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Plan inlink (tổng quan)" sheetId="2" r:id="rId6"/>
    <sheet state="visible" name="Kế hoạch chèn link (mới)" sheetId="3" r:id="rId7"/>
    <sheet state="visible" name="Trang tính4" sheetId="4" r:id="rId8"/>
    <sheet state="hidden" name="Kế hoạch chèn link (bản cũ – kh" sheetId="5" r:id="rId9"/>
    <sheet state="visible" name="Link trỏ về từng trang đích" sheetId="6" r:id="rId10"/>
    <sheet state="visible" name="Inlink đã chèn" sheetId="7" r:id="rId11"/>
    <sheet state="visible" name="Anchor text ưu tiên" sheetId="8" r:id="rId12"/>
    <sheet state="hidden" name="Inlink - Đề xuất 5 bài trang đí" sheetId="9" r:id="rId13"/>
  </sheets>
  <definedNames>
    <definedName hidden="1" localSheetId="1" name="_xlnm._FilterDatabase">'Plan inlink (tổng quan)'!$A$1:$J$76</definedName>
    <definedName hidden="1" localSheetId="2" name="_xlnm._FilterDatabase">'Kế hoạch chèn link (mới)'!$A$2:$L$2944</definedName>
    <definedName hidden="1" localSheetId="3" name="_xlnm._FilterDatabase">'Trang tính4'!$A$1:$B$1001</definedName>
    <definedName hidden="1" localSheetId="5" name="_xlnm._FilterDatabase">'Link trỏ về từng trang đích'!$A$1:$F$76</definedName>
    <definedName hidden="1" localSheetId="7" name="_xlnm._FilterDatabase">'Anchor text ưu tiên'!$A$1:$T$80</definedName>
  </definedNames>
  <calcPr/>
</workbook>
</file>

<file path=xl/sharedStrings.xml><?xml version="1.0" encoding="utf-8"?>
<sst xmlns="http://schemas.openxmlformats.org/spreadsheetml/2006/main" count="34727" uniqueCount="5886">
  <si>
    <t>MỞ TAB NÀO ĐỂ LÀM GÌ</t>
  </si>
  <si>
    <t>https://techcombank.com/thong-tin/blog/mo-tai-khoan-ho-kinh-doanh</t>
  </si>
  <si>
    <t>Tên tab</t>
  </si>
  <si>
    <t>https://techcombank.com/thong-tin/blog/chuyen-doi-ho-kinh-doanh-len-doanh-nghiep</t>
  </si>
  <si>
    <t>Dùng để</t>
  </si>
  <si>
    <t>https://techcombank.com/thong-tin/blog/no-xau-mo-the-tin-dung-duoc-khong</t>
  </si>
  <si>
    <t>Kế hoạch chèn link (mới)</t>
  </si>
  <si>
    <t>https://techcombank.com/thong-tin/blog/uu-dai-the-tin-dung-techcombank-signature</t>
  </si>
  <si>
    <t>CÁCH ĐỌC TAB NÀY
Mỗi dòng = 1 link cần chèn</t>
  </si>
  <si>
    <t>TAB LÀM VIỆC CHÍNH. Mỗi dòng = 1 link: anchor (cột D) của trang đích (cột B) được chèn vào bài ở cột F, dưới mục ở cột G. Tổng 2.942 link. MỖI BÀI CHỈ CHÈN TỐI ĐA 5 ANCHOR (theo góp ý của sếp). Lọc theo cột B để xem 1 trang đích, lọc theo cột F để xem 1 bài cần chèn những gì.</t>
  </si>
  <si>
    <t>https://techcombank.com/thong-tin/blog/qua-han-thanh-toan-the-tin-dung-1-ngay</t>
  </si>
  <si>
    <t>Plan inlink (tổng quan)</t>
  </si>
  <si>
    <t>STT</t>
  </si>
  <si>
    <t>https://techcombank.com/thong-tin/blog/tin-chap-doanh-nghiep</t>
  </si>
  <si>
    <t>TAB NHÌN NHANH, cùng kiểu tab Plan inlink. Mỗi dòng = 1 trang đích (75 dòng): nhóm, URL, số link đề xuất / mục tiêu, đủ hay thiếu, các anchor dùng, và danh sách URL bài sẽ chèn link (bấm vào ô cột I để xem hết). Cột Trạng thái là ô chọn để theo dõi tiến độ. Tự cập nhật theo tab Kế hoạch (mới).</t>
  </si>
  <si>
    <t>Cách áp giới hạn 5 anchor/bài</t>
  </si>
  <si>
    <t>https://techcombank.com/thong-tin/blog/vay-tin-chap-va-vay-the-chap</t>
  </si>
  <si>
    <t>Bài nào trước đây bị đề xuất quá 5 link thì giữ lại 5 link liên quan nhất (thứ tự: Phù hợp cao → Có thể đi → Cần soát; có sẵn cụm anchor trong bài được ưu tiên hơn). Đã bỏ 752 link thừa, rồi tìm bài khác còn chỗ trống, cùng chủ đề, để bù 304 link. Hiện có 409 bài chèn đúng 5 link, không bài nào quá 5.</t>
  </si>
  <si>
    <t>Trang đích còn thiếu link</t>
  </si>
  <si>
    <t>https://techcombank.com/thong-tin/blog/kinh-nghiem-chuyen-doi-tu-ho-kinh-doanh-len-doanh-nghiep</t>
  </si>
  <si>
    <t>32 trang đích chưa đủ số mục tiêu, tổng thiếu 448 link (xem cột Đánh giá màu đỏ ở tab Plan inlink tổng quan). Lý do: các bài cùng chủ đề đã dùng hết 5 chỗ, phần còn lại của web không đủ liên quan. Không ép chèn vào bài lạc đề.</t>
  </si>
  <si>
    <t>Anchor text ưu tiên</t>
  </si>
  <si>
    <t>Danh sách anchor ưu tiên sếp giao. Cột C tự đếm số lần đã đề xuất trong tab Kế hoạch (mới).</t>
  </si>
  <si>
    <t>https://techcombank.com/thong-tin/blog/dao-han-la-gi</t>
  </si>
  <si>
    <t>Link trỏ về từng trang đích</t>
  </si>
  <si>
    <t>https://techcombank.com/thong-tin/blog/tien-singapore</t>
  </si>
  <si>
    <t>https://techcombank.com/thong-tin/blog/lai-suat-vay-tin-chap</t>
  </si>
  <si>
    <t>https://techcombank.com/thong-tin/blog/giai-dap-ve-thue-doanh-nghiep</t>
  </si>
  <si>
    <t>Ví dụ dòng 1: mở bài ở cột F → tìm mục ở cột G → gắn chữ ở cột D thành link trỏ về trang đích ở cột B. Số dòng của mỗi trang đích = đúng số link mục tiêu (vd 30 link → Link số 1 → 30), mỗi dòng chèn vào một bài khác nhau, không chèn vào bài đã có sẵn link. ★ = anchor sếp chọn ưu tiên. Màu cột Mức độ: xanh mint = Phù hợp cao · xanh nhạt = Có thể đi · vàng = Cần soát (phải sửa/thêm câu). Dòng ghi "Liên quan rộng" ở cột Ghi chú: đọc lại bài trước khi chèn. Làm xong dòng nào thì đổi cột Tình trạng.</t>
  </si>
  <si>
    <t>https://techcombank.com/thong-tin/blog/khai-bao-tai-khoan-ngan-hang-voi-co-quan-thue</t>
  </si>
  <si>
    <t>Phân loại</t>
  </si>
  <si>
    <t>https://techcombank.com/thong-tin/blog/thay-doi-dia-chi-ho-kinh-doanh</t>
  </si>
  <si>
    <t>URL trang đích</t>
  </si>
  <si>
    <t>Mỗi dòng = 1 trang đích. Cột F liệt kê tất cả bài sẽ chèn link về trang đó. Cột E tự đếm: xanh = đủ mục tiêu, đỏ = còn thiếu. Tự cập nhật theo tab Kế hoạch (mới).</t>
  </si>
  <si>
    <t>Số link đề xuất</t>
  </si>
  <si>
    <t>https://techcombank.com/thong-tin/blog/nhung-ho-kinh-doanh-duoc-mien-thue</t>
  </si>
  <si>
    <t>Inlink đã chèn</t>
  </si>
  <si>
    <t>Mục tiêu</t>
  </si>
  <si>
    <t>Các link đang có sẵn trên web. Bài cach-mo-tai-khoan đã có link về trang bao-nhieu-tuoi-duoc-mo-tai-khoan-ngan-hang → KHÔNG đề xuất chèn lại.</t>
  </si>
  <si>
    <t>Đánh giá</t>
  </si>
  <si>
    <t>https://techcombank.com/thong-tin/blog/nen-thanh-lap-ho-kinh-doanh-ke-khai-hay-doanh-nghiep</t>
  </si>
  <si>
    <t>Trang tính4</t>
  </si>
  <si>
    <t>Phân loại anchor</t>
  </si>
  <si>
    <t>Anchor text</t>
  </si>
  <si>
    <t>https://techcombank.com/thong-tin/blog/nen-de-tien-trong-the-hay-gui-tiet-kiem</t>
  </si>
  <si>
    <t>URL chèn (bài sẽ gắn link về trang đích)</t>
  </si>
  <si>
    <t>Danh sách sếp tổng hợp số anchor mỗi bài (bản trước, có bài tới 14 anchor) – giữ nguyên để đối chiếu.</t>
  </si>
  <si>
    <t>https://techcombank.com/thong-tin/blog/co-nen-dung-the-tin-dung-khong</t>
  </si>
  <si>
    <t>Trang đích (link trỏ VỀ đây)</t>
  </si>
  <si>
    <t>Trạng thái</t>
  </si>
  <si>
    <t>Ý nghĩa màu (cột Mức độ)</t>
  </si>
  <si>
    <t>https://techcombank.com/thong-tin/blog/cach-thanh-toan-the-tin-dung</t>
  </si>
  <si>
    <t>Xanh mint = Phù hợp cao.   Xanh nhạt = Có thể đi.   Vàng = Cần soát (phải sửa/thêm câu cho chứa anchor).   ★ = anchor sếp chọn ưu tiên.</t>
  </si>
  <si>
    <t>Cách chèn</t>
  </si>
  <si>
    <t>Link số</t>
  </si>
  <si>
    <t>673 link: bài có sẵn nguyên cụm anchor → bôi đen gắn link. 2.269 link: cần sửa hoặc thêm 1 câu chứa anchor. Các link bù mới đều ở mức Cần soát hoặc Có thể đi – nên đọc lại trước khi chèn.</t>
  </si>
  <si>
    <t>https://techcombank.com/thong-tin/blog/tat-toan</t>
  </si>
  <si>
    <t>Không chèn trùng</t>
  </si>
  <si>
    <t>Anchor text (chữ gắn link)</t>
  </si>
  <si>
    <t>Sếp chọn</t>
  </si>
  <si>
    <t>Không có bài nào được đề xuất 2 lần cho cùng 1 trang đích, và không đề xuất vào bài đã có sẵn link về trang đích đó.</t>
  </si>
  <si>
    <t>https://techcombank.com/thong-tin/blog/1000-te-bang-bao-nhieu-tien-viet</t>
  </si>
  <si>
    <t>Bản cũ</t>
  </si>
  <si>
    <t>Chèn vào bài (mở bài này để sửa)</t>
  </si>
  <si>
    <t>Tab "Kế hoạch chèn link (bản cũ – không dùng)" và tab đề xuất cũ đã được ẩn, không xóa.</t>
  </si>
  <si>
    <t>Đặt dưới mục</t>
  </si>
  <si>
    <t>https://techcombank.com/thong-tin/blog/tien-trung-quoc</t>
  </si>
  <si>
    <t>Câu gợi ý trong bài</t>
  </si>
  <si>
    <t>Auto Loan</t>
  </si>
  <si>
    <t>https://techcombank.com/thong-tin/blog/1-do-uc-bang-bao-nhieu-tien-viet</t>
  </si>
  <si>
    <t>Mức độ</t>
  </si>
  <si>
    <t>https://techcombank.com/thong-tin/blog/vay-the-chap-kinh-doanh</t>
  </si>
  <si>
    <t>https://techcombank.com/thong-tin/blog/lai-suat-vay-mua-o-to</t>
  </si>
  <si>
    <t>Tình trạng</t>
  </si>
  <si>
    <t>https://techcombank.com/thong-tin/blog/lai-suat-vay-the-chap</t>
  </si>
  <si>
    <t>Ghi chú</t>
  </si>
  <si>
    <t>https://techcombank.com/thong-tin/blog/lam-ho-so-tra-gop-dien-thoai</t>
  </si>
  <si>
    <t>nhóm</t>
  </si>
  <si>
    <t>https://techcombank.com/thong-tin/blog/thue-thuong-mai-dien-tu</t>
  </si>
  <si>
    <t>thứ tự</t>
  </si>
  <si>
    <t>https://techcombank.com/thong-tin/blog/thue-thu-nhap-doanh-nghiep</t>
  </si>
  <si>
    <t>https://techcombank.com/thong-tin/blog/ho-kinh-doanh-ca-the</t>
  </si>
  <si>
    <t>https://techcombank.com/thong-tin/blog/thue-ho-kinh-doanh-2025</t>
  </si>
  <si>
    <t>https://techcombank.com/thong-tin/blog/cac-hinh-thuc-cho-vay-tieu-dung</t>
  </si>
  <si>
    <t>https://techcombank.com/thong-tin/blog/hieu-hiet-ve-tuan-thu-thue-cho-cac-doanh-nghiep-khoi-nghiep</t>
  </si>
  <si>
    <t>https://techcombank.com/thong-tin/blog/han-muc-vay-the-chap-so-do</t>
  </si>
  <si>
    <t>https://techcombank.com/thong-tin/blog/nap-tien-vao-tai-khoan-ngan-hang</t>
  </si>
  <si>
    <t>https://techcombank.com/thong-tin/blog/app-ngan-hang-uy-tin</t>
  </si>
  <si>
    <t>lãi suất vay mua ô tô</t>
  </si>
  <si>
    <t>https://techcombank.com/thong-tin/blog/kinh-nghiem-gui-tiet-kiem-online</t>
  </si>
  <si>
    <t>https://techcombank.com/thong-tin/blog/cach-tinh-lai-suat-tien-gui-tiet-kiem</t>
  </si>
  <si>
    <t/>
  </si>
  <si>
    <t>https://techcombank.com/thong-tin/blog/phi-rut-tien-mat-the-tin-dung</t>
  </si>
  <si>
    <t>https://techcombank.com/thong-tin/blog/nen-mua-xe-tra-gop-hay-tra-thang</t>
  </si>
  <si>
    <t>2. Ưu và nhược điểm khi vay ngân hàng mua xe trả góp</t>
  </si>
  <si>
    <t>https://techcombank.com/thong-tin/blog/1-te-bang-bao-nhieu-tien-viet-nam</t>
  </si>
  <si>
    <t>Để cập nhật mức lãi suất vay mua ô tô của Techcombank chính xác nhất, vui lòng truy cập các …</t>
  </si>
  <si>
    <t>https://techcombank.com/thong-tin/blog/gui-tiet-kiem-hang-thang</t>
  </si>
  <si>
    <t>Có sẵn cụm anchor trong câu này → bôi đen cụm đó, gắn link.</t>
  </si>
  <si>
    <t>https://techcombank.com/thong-tin/blog/1-van-te-bang-bao-nhieu-tien-viet</t>
  </si>
  <si>
    <t>PHÙ HỢP CAO</t>
  </si>
  <si>
    <t>https://techcombank.com/thong-tin/blog/lai-suat-vay-kinh-doanh</t>
  </si>
  <si>
    <t>Nhóm</t>
  </si>
  <si>
    <t>Từ khoá chính</t>
  </si>
  <si>
    <t>Landingpage (trang đích)</t>
  </si>
  <si>
    <t>Số inlink mục tiêu</t>
  </si>
  <si>
    <t>https://techcombank.com/thong-tin/blog/thu-tuc-mua-xe-tra-gop</t>
  </si>
  <si>
    <t>Tổng số link</t>
  </si>
  <si>
    <t>Chưa làm</t>
  </si>
  <si>
    <t>https://techcombank.com/thong-tin/blog/lai-suat-vay-the-chap-so-do</t>
  </si>
  <si>
    <t>Phù hợp cao</t>
  </si>
  <si>
    <t>Có thể đi</t>
  </si>
  <si>
    <t>Cần soát</t>
  </si>
  <si>
    <t>https://techcombank.com/thong-tin/blog/vay-the-chap-so-hong</t>
  </si>
  <si>
    <t>Hoàn thiện</t>
  </si>
  <si>
    <t>https://techcombank.com/thong-tin/blog/vay-tra-gop</t>
  </si>
  <si>
    <t>https://techcombank.com/thong-tin/blog/cac-hinh-thuc-vay-von-ngan-hang</t>
  </si>
  <si>
    <t>https://techcombank.com/thong-tin/blog/nen-vay-tin-chap-o-dau</t>
  </si>
  <si>
    <t>https://techcombank.com/thong-tin/blog/vay-300-trieu</t>
  </si>
  <si>
    <t>https://techcombank.com/thong-tin/blog/vay-100-trieu</t>
  </si>
  <si>
    <t>https://techcombank.com/thong-tin/blog/cach-su-dung-the-tin-dung</t>
  </si>
  <si>
    <t>lãi suất vay mua xe ô tô</t>
  </si>
  <si>
    <t>https://techcombank.com/thong-tin/blog/cach-nop-thue-dien-tu</t>
  </si>
  <si>
    <t>(Mở bài)</t>
  </si>
  <si>
    <t>Cùng tìm hiểu những thông tin cần biết khi mua xe máy, ô tô trả góp và tham khảo giải pháp vay tại Techcombank trong bà…</t>
  </si>
  <si>
    <t>Chưa có cụm anchor nguyên văn → sửa câu này (hoặc thêm 1 câu ngay sau) cho chứa anchor rồi gắn link.</t>
  </si>
  <si>
    <t>https://techcombank.com/thong-tin/blog/tra-cuu-ma-so-thue-ho-kinh-doanh</t>
  </si>
  <si>
    <t>https://techcombank.com/thong-tin/blog/cach-tinh-thue-thu-nhap-doanh-nghiep</t>
  </si>
  <si>
    <t>https://techcombank.com/thong-tin/blog/hoan-thue-doanh-nghiep</t>
  </si>
  <si>
    <t>https://techcombank.com/thong-tin/blog/bi-quyet-tiet-kiem-tien-mua-nha</t>
  </si>
  <si>
    <t>https://techcombank.com/thong-tin/blog/ke-khai-thue-doanh-nghiep</t>
  </si>
  <si>
    <t>https://techcombank.com/thong-tin/blog/vay-the-chap-xe-o-to-cu</t>
  </si>
  <si>
    <t>3. Lãi suất vay thế chấp xe ô tô của các ngân hàng</t>
  </si>
  <si>
    <t>https://techcombank.com/thong-tin/blog/kiem-tra-thue-ho-kinh-doanh</t>
  </si>
  <si>
    <t>Với Techcombank, quý Khách hàng vui lòng tham khảo Biểu phí lãi suất vay mua ô tô mới nhất .</t>
  </si>
  <si>
    <t>CÓ THỂ ĐI</t>
  </si>
  <si>
    <t>https://techcombank.com/thong-tin/blog/tim-hieu-ve-chinh-sach-thue-moi</t>
  </si>
  <si>
    <t>https://techcombank.com/thong-tin/blog/kinh-nghiem-vay-tien-ngan-hang-xay-nha</t>
  </si>
  <si>
    <t>https://techcombank.com/thong-tin/blog/lai-suat-chung-chi-quy</t>
  </si>
  <si>
    <t>https://techcombank.com/thong-tin/blog/cach-su-dung-tai-khoan-cong-ty</t>
  </si>
  <si>
    <t>https://techcombank.com/thong-tin/blog/tra-luong-tien-mat</t>
  </si>
  <si>
    <t>2. Lưu ý cách tính lãi suất khi vay thế chấp sổ đỏ/ sổ…</t>
  </si>
  <si>
    <t>…n đang cân nhắc vay mua xe, đừng quên tìm hiểu thêm về lãi suất vay mua xe ô tô tại ngân hàng để có quyết định phù hợp…</t>
  </si>
  <si>
    <t>https://techcombank.com/thong-tin/blog/tien-dai-loan</t>
  </si>
  <si>
    <t>CẦN SOÁT</t>
  </si>
  <si>
    <t>https://techcombank.com/thong-tin/blog/vay-tin-chap-la-gi</t>
  </si>
  <si>
    <t>https://techcombank.com/thong-tin/blog/doi-xe-xang-lay-xe-dien</t>
  </si>
  <si>
    <t>3. Lưu ý khi tham gia chương trình đổi xe xăng lấy xe…</t>
  </si>
  <si>
    <t>Vay mua ô tô với lãi suất hấp dẫn tại Techcombank.</t>
  </si>
  <si>
    <t>https://techcombank.com/thong-tin/blog/gui-tien-du-hoc</t>
  </si>
  <si>
    <t>https://techcombank.com/thong-tin/blog/vay-mua-xe-tra-gop-ngan-hang-nao-tot-nhat</t>
  </si>
  <si>
    <t>https://techcombank.com/thong-tin/blog/vay-thau-chi-bang-so-tiet-kiem</t>
  </si>
  <si>
    <t>https://techcombank.com/thong-tin/blog/tra-cuu-han-muc-the-tin-dung</t>
  </si>
  <si>
    <t>https://techcombank.com/thong-tin/blog/cach-gui-tiet-kiem-online</t>
  </si>
  <si>
    <t>https://techcombank.com/thong-tin/blog/vay-du-hoc</t>
  </si>
  <si>
    <t>https://techcombank.com/thong-tin/blog/vay-tin-chap-theo-luong</t>
  </si>
  <si>
    <t>https://techcombank.com/thong-tin/blog/co-100-trieu-co-mua-nen-mua-tra-gop</t>
  </si>
  <si>
    <t>3. Cách tính khoản trả góp hàng tháng khi mua ô tô</t>
  </si>
  <si>
    <t>https://techcombank.com/thong-tin/blog/vay-tin-chap-no-xau</t>
  </si>
  <si>
    <t>Giả sử khách hàng muốn mua một chiếc ô tô VinFast có giá lăn bánh khoảng 800 triệu VND, lãi suất giả định cho khoản vay…</t>
  </si>
  <si>
    <t>https://techcombank.com/thong-tin/blog/tien-nhan-roi-nen-lam-gi</t>
  </si>
  <si>
    <t>URL 001 (bài đặt link)</t>
  </si>
  <si>
    <t>Anchortext 002</t>
  </si>
  <si>
    <t>https://techcombank.com/thong-tin/blog/kinh-nghiem-vay-the-chap-ngan-hang</t>
  </si>
  <si>
    <t>URL 002 (bài đặt link)</t>
  </si>
  <si>
    <t>https://techcombank.com/thong-tin/blog/vay-ngan-hang-1-ty-moi-thang-tra-bao-nhieu</t>
  </si>
  <si>
    <t>https://techcombank.com/thong-tin/blog/the-tin-dung-phu-la-gi</t>
  </si>
  <si>
    <t>lãi suất vay mua ô tô các ngân hàng</t>
  </si>
  <si>
    <t>https://techcombank.com/thong-tin/blog/vay-tin-chap-ho-kinh-doanh</t>
  </si>
  <si>
    <t>https://techcombank.com/thong-tin/blog/tai-khoan-ngan-hang-la-gi</t>
  </si>
  <si>
    <t>3. Nên mở loại tài khoản ngân hàng nào?</t>
  </si>
  <si>
    <t>https://techcombank.com/thong-tin/blog/han-muc-mua-ngoai-te-khi-di-du-lich</t>
  </si>
  <si>
    <t>Có thể mở tài khoản tín dụng (thẻ tín dụng) để sử dụng tính năng chi tiêu trước trả tiền sau, trả góp lãi suất 0%, tiện…</t>
  </si>
  <si>
    <t>https://techcombank.com/thong-tin/blog/1-dong-do-la-my-bang-bao-nhieu-tien-viet-nam</t>
  </si>
  <si>
    <t>Anchortext 003</t>
  </si>
  <si>
    <t>URL 003 (bài đặt link)</t>
  </si>
  <si>
    <t>https://techcombank.com/thong-tin/blog/1000-yen-bang-bao-nhieu-tien-viet</t>
  </si>
  <si>
    <t>Anchortext 004</t>
  </si>
  <si>
    <t>URL 004 (bài đặt link)</t>
  </si>
  <si>
    <t>https://techcombank.com/thong-tin/blog/1-cent-bang-bao-nhieu-tien-viet</t>
  </si>
  <si>
    <t>Anchortext 005</t>
  </si>
  <si>
    <t>URL 005 (bài đặt link)</t>
  </si>
  <si>
    <t>https://techcombank.com/thong-tin/blog/100-riel-bang-bao-nhieu-tien-viet-nam</t>
  </si>
  <si>
    <t>Anchortext 006</t>
  </si>
  <si>
    <t>URL 006 (bài đặt link)</t>
  </si>
  <si>
    <t>Anchortext 007</t>
  </si>
  <si>
    <t>https://techcombank.com/thong-tin/blog/thu-tuc-vay-von-kinh-doanh-nho</t>
  </si>
  <si>
    <t>https://techcombank.com/thong-tin/blog/mua-bao-hiem-o-to-dien</t>
  </si>
  <si>
    <t>Cần bổ sung Inlink</t>
  </si>
  <si>
    <t>URL 007 (bài đặt link)</t>
  </si>
  <si>
    <t>3. Mua bảo hiểm ô tô điện ở đâu?</t>
  </si>
  <si>
    <t>Anchortext 008</t>
  </si>
  <si>
    <t>https://techcombank.com/thong-tin/blog/quy-trinh-tat-toan-khoan-vay-the-chap</t>
  </si>
  <si>
    <t>URL 008 (bài đặt link)</t>
  </si>
  <si>
    <t>Mua qua chi nhánh, phòng giao dịch của các ngân hàng có phân phối bảo hiểm ô tô</t>
  </si>
  <si>
    <t>Anchortext 009</t>
  </si>
  <si>
    <t>Business Account</t>
  </si>
  <si>
    <t>URL 009 (bài đặt link)</t>
  </si>
  <si>
    <t>https://techcombank.com/thong-tin/blog/nop-thue-dat-qua-ngan-hang</t>
  </si>
  <si>
    <t>Anchortext 010</t>
  </si>
  <si>
    <t>URL 010 (bài đặt link)</t>
  </si>
  <si>
    <t>Anchortext 011</t>
  </si>
  <si>
    <t>URL 011 (bài đặt link)</t>
  </si>
  <si>
    <t>https://techcombank.com/thong-tin/blog/lai-suat-vay-thau-chi</t>
  </si>
  <si>
    <t>Anchortext 012</t>
  </si>
  <si>
    <t>URL 012 (bài đặt link)</t>
  </si>
  <si>
    <t>https://techcombank.com/thong-tin/blog/vay-mua-nha-o-xa-hoi</t>
  </si>
  <si>
    <t>Anchortext 013</t>
  </si>
  <si>
    <t>URL 013 (bài đặt link)</t>
  </si>
  <si>
    <t>https://techcombank.com/thong-tin/blog/vay-30-trieu</t>
  </si>
  <si>
    <t>Anchortext 014</t>
  </si>
  <si>
    <t>URL 014 (bài đặt link)</t>
  </si>
  <si>
    <t>https://techcombank.com/thong-tin/blog/tra-cuu-no-thue-ho-kinh-doanh</t>
  </si>
  <si>
    <t>Anchortext 015</t>
  </si>
  <si>
    <t>URL 015 (bài đặt link)</t>
  </si>
  <si>
    <t>Anchortext 016</t>
  </si>
  <si>
    <t>https://techcombank.com/thong-tin/blog/nop-thue-hai-quan</t>
  </si>
  <si>
    <t>URL 016 (bài đặt link)</t>
  </si>
  <si>
    <t>https://techcombank.com/thong-tin/blog/cach-dang-ky-ma-so-thue-ho-kinh-doanh-online</t>
  </si>
  <si>
    <t>Anchortext 017</t>
  </si>
  <si>
    <t>URL 017 (bài đặt link)</t>
  </si>
  <si>
    <t>Anchortext 018</t>
  </si>
  <si>
    <t>https://techcombank.com/thong-tin/blog/thue-khoan-ho-kinh-doanh-la-gi</t>
  </si>
  <si>
    <t>URL 018 (bài đặt link)</t>
  </si>
  <si>
    <t>Anchortext 019</t>
  </si>
  <si>
    <t>https://techcombank.com/thong-tin/blog/tra-cuu-no-thue-ca-nhan</t>
  </si>
  <si>
    <t>URL 019 (bài đặt link)</t>
  </si>
  <si>
    <t>Anchortext 020</t>
  </si>
  <si>
    <t>URL 020 (bài đặt link)</t>
  </si>
  <si>
    <t>https://techcombank.com/thong-tin/blog/lai-suat-tha-noi</t>
  </si>
  <si>
    <t>Anchortext 021</t>
  </si>
  <si>
    <t>URL 021 (bài đặt link)</t>
  </si>
  <si>
    <t>https://techcombank.com/thong-tin/blog/ke-khai-thue-ho-kinh-doanh-ca-the-online</t>
  </si>
  <si>
    <t>Anchortext 022</t>
  </si>
  <si>
    <t>URL 022 (bài đặt link)</t>
  </si>
  <si>
    <t>Anchortext 023</t>
  </si>
  <si>
    <t>https://techcombank.com/thong-tin/blog/tra-cuu-no-thue-doanh-nghiep</t>
  </si>
  <si>
    <t>URL 023 (bài đặt link)</t>
  </si>
  <si>
    <t>Anchortext 024</t>
  </si>
  <si>
    <t>URL 024 (bài đặt link)</t>
  </si>
  <si>
    <t>https://techcombank.com/thong-tin/blog/vay-mua-nha-tra-gop</t>
  </si>
  <si>
    <t>Anchortext 025</t>
  </si>
  <si>
    <t>URL 025 (bài đặt link)</t>
  </si>
  <si>
    <t>https://techcombank.com/thong-tin/blog/ho-so-vay-tin-chap</t>
  </si>
  <si>
    <t>Anchortext 026</t>
  </si>
  <si>
    <t>URL 026 (bài đặt link)</t>
  </si>
  <si>
    <t>Anchortext 027</t>
  </si>
  <si>
    <t>https://techcombank.com/thong-tin/blog/nhung-chi-phi-khong-duoc-tru-khi-tinh-thue-tndn</t>
  </si>
  <si>
    <t>URL 027 (bài đặt link)</t>
  </si>
  <si>
    <t>Anchortext 028</t>
  </si>
  <si>
    <t>URL 028 (bài đặt link)</t>
  </si>
  <si>
    <t>https://techcombank.com/thong-tin/blog/cac-sai-lam-pho-bien-khi-chuyen-doi-ho-kinh-doanh-len-sme</t>
  </si>
  <si>
    <t>Anchortext 029</t>
  </si>
  <si>
    <t>URL 029 (bài đặt link)</t>
  </si>
  <si>
    <t>https://techcombank.com/thong-tin/blog/tiem-nang-chuyen-doi-tu-ho-kinh-doanh-len-doanh-nghiep-sme</t>
  </si>
  <si>
    <t>Anchortext 030</t>
  </si>
  <si>
    <t>URL 030 (bài đặt link)</t>
  </si>
  <si>
    <t>https://techcombank.com/thong-tin/blog/lam-the-thanh-toan-quoc-te</t>
  </si>
  <si>
    <t>Anchortext 031</t>
  </si>
  <si>
    <t>https://techcombank.com/thong-tin/blog/vay-tin-chap-toi-da-duoc-bao-nhieu</t>
  </si>
  <si>
    <t>URL 031 (bài đặt link)</t>
  </si>
  <si>
    <t>Anchortext 032</t>
  </si>
  <si>
    <t>URL 032 (bài đặt link)</t>
  </si>
  <si>
    <t>https://techcombank.com/thong-tin/blog/so-sanh-gui-tiet-kiem-online-va-tai-quay</t>
  </si>
  <si>
    <t>Anchortext 033</t>
  </si>
  <si>
    <t>URL 033 (bài đặt link)</t>
  </si>
  <si>
    <t>https://techcombank.com/thong-tin/blog/mobile-banking-la-gi</t>
  </si>
  <si>
    <t>Anchortext 034</t>
  </si>
  <si>
    <t>URL 034 (bài đặt link)</t>
  </si>
  <si>
    <t>Anchortext 035</t>
  </si>
  <si>
    <t>https://techcombank.com/thong-tin/blog/lai-suat-tiet-kiem</t>
  </si>
  <si>
    <t>URL 035 (bài đặt link)</t>
  </si>
  <si>
    <t>Anchortext 036</t>
  </si>
  <si>
    <t>https://techcombank.com/thong-tin/blog/vay-sinh-vien</t>
  </si>
  <si>
    <t>URL 036 (bài đặt link)</t>
  </si>
  <si>
    <t>Anchortext 037</t>
  </si>
  <si>
    <t>https://techcombank.com/thong-tin/blog/lai-suat-vay-ngan-hang</t>
  </si>
  <si>
    <t>URL 037 (bài đặt link)</t>
  </si>
  <si>
    <t>Anchortext 038</t>
  </si>
  <si>
    <t>URL 038 (bài đặt link)</t>
  </si>
  <si>
    <t>https://techcombank.com/thong-tin/blog/the-tin-dung-quoc-te</t>
  </si>
  <si>
    <t>Anchortext 039</t>
  </si>
  <si>
    <t>URL 039 (bài đặt link)</t>
  </si>
  <si>
    <t>https://techcombank.com/thong-tin/blog/cic-la-gi</t>
  </si>
  <si>
    <t>Anchortext 040</t>
  </si>
  <si>
    <t>URL 040 (bài đặt link)</t>
  </si>
  <si>
    <t>Anchortext 041</t>
  </si>
  <si>
    <t>https://techcombank.com/thong-tin/blog/no-xau-co-lam-the-visa-duoc-khong</t>
  </si>
  <si>
    <t>URL 041 (bài đặt link)</t>
  </si>
  <si>
    <t>Anchortext 042</t>
  </si>
  <si>
    <t>2. Mở thẻ thanh toán quốc tế trực tiếp tại phòng giao d…</t>
  </si>
  <si>
    <t>URL 042 (bài đặt link)</t>
  </si>
  <si>
    <t>https://techcombank.com/thong-tin/blog/diem-tin-dung</t>
  </si>
  <si>
    <t>Anchortext 043</t>
  </si>
  <si>
    <t>Với những khách hàng đang mở thẻ để phục vụ nhu cầu chi tiêu lớn hơn, Techcombank cũng cung cấp nhiều giải pháp tài chính khác,…</t>
  </si>
  <si>
    <t>URL 043 (bài đặt link)</t>
  </si>
  <si>
    <t>Anchortext 044</t>
  </si>
  <si>
    <t>URL 044 (bài đặt link)</t>
  </si>
  <si>
    <t>Anchortext 045</t>
  </si>
  <si>
    <t>URL 045 (bài đặt link)</t>
  </si>
  <si>
    <t>https://techcombank.com/thong-tin/blog/no-nhom-3</t>
  </si>
  <si>
    <t>Anchortext 046</t>
  </si>
  <si>
    <t>URL 046 (bài đặt link)</t>
  </si>
  <si>
    <t>https://techcombank.com/thong-tin/blog/no-xau-nhom-2</t>
  </si>
  <si>
    <t>Anchortext 047</t>
  </si>
  <si>
    <t>URL 047 (bài đặt link)</t>
  </si>
  <si>
    <t>https://techcombank.com/thong-tin/blog/kiem-tra-no-xau</t>
  </si>
  <si>
    <t>Anchortext 048</t>
  </si>
  <si>
    <t>https://techcombank.com/thong-tin/blog/no-xau-co-vay-the-chap-duoc-khong</t>
  </si>
  <si>
    <t>https://techcombank.com/thong-tin/blog/cho-vay-tung-lan</t>
  </si>
  <si>
    <t>4. Khám phá các giải pháp vay dành cho khách hàng cá n…</t>
  </si>
  <si>
    <t>https://techcombank.com/thong-tin/blog/du-no-tin-dung-la-gi</t>
  </si>
  <si>
    <t>Rước xe yêu với hạn mức vay tới 80% giá trị xe, lãi suất chỉ từ 6.89%/năm, áp dụng cho cả ô tô mới và cũ, thời gian vay…</t>
  </si>
  <si>
    <t>URL 048 (bài đặt link)</t>
  </si>
  <si>
    <t>Anchortext 049</t>
  </si>
  <si>
    <t>https://techcombank.com/thong-tin/blog/du-no-la-gi</t>
  </si>
  <si>
    <t>URL 049 (bài đặt link)</t>
  </si>
  <si>
    <t>Anchortext 050</t>
  </si>
  <si>
    <t>https://techcombank.com/thong-tin/blog/cach-lam-the-ngan-hang-chay-quang-cao-facebook</t>
  </si>
  <si>
    <t>URL 050 (bài đặt link)</t>
  </si>
  <si>
    <t>Anchortext 051</t>
  </si>
  <si>
    <t>https://techcombank.com/thong-tin/blog/tat-toan-so-tiet-kiem</t>
  </si>
  <si>
    <t>URL 051 (bài đặt link)</t>
  </si>
  <si>
    <t>Anchortext 052</t>
  </si>
  <si>
    <t>URL 052 (bài đặt link)</t>
  </si>
  <si>
    <t>https://techcombank.com/thong-tin/blog/the-ghi-no-va-the-tin-dung</t>
  </si>
  <si>
    <t>mua xe trả góp lãi suất bao nhiêu</t>
  </si>
  <si>
    <t>Anchortext 053</t>
  </si>
  <si>
    <t>URL 053 (bài đặt link)</t>
  </si>
  <si>
    <t>https://techcombank.com/thong-tin/blog/co-nen-gui-tiet-kiem-online</t>
  </si>
  <si>
    <t>Anchortext 054</t>
  </si>
  <si>
    <t>4.1. Đối với hình thức mua trả góp điện thoại online</t>
  </si>
  <si>
    <t>URL 054 (bài đặt link)</t>
  </si>
  <si>
    <t>&gt;&gt;&gt; Để tìm hiểu về trả góp trên Lazada, khách hàng có thể tham khảo bài viết Bật mí cách mua hàng trả góp Lazada lãi su…</t>
  </si>
  <si>
    <t>https://techcombank.com/thong-tin/blog/cach-tiet-kiem-tien-sinh-loi</t>
  </si>
  <si>
    <t>Anchortext 055</t>
  </si>
  <si>
    <t>URL 055 (bài đặt link)</t>
  </si>
  <si>
    <t>https://techcombank.com/thong-tin/blog/1000-won-bang-bao-nhieu-tien-viet</t>
  </si>
  <si>
    <t>Anchortext 056</t>
  </si>
  <si>
    <t>URL 056 (bài đặt link)</t>
  </si>
  <si>
    <t>https://techcombank.com/thong-tin/blog/1-won-bang-bao-nhieu-tien-viet</t>
  </si>
  <si>
    <t>Anchortext 057</t>
  </si>
  <si>
    <t>URL 057 (bài đặt link)</t>
  </si>
  <si>
    <t>Anchortext 058</t>
  </si>
  <si>
    <t>https://techcombank.com/thong-tin/blog/chuyen-tien-tu-nhat-ve-viet-nam</t>
  </si>
  <si>
    <t>URL 058 (bài đặt link)</t>
  </si>
  <si>
    <t>Anchortext 059</t>
  </si>
  <si>
    <t>https://techcombank.com/thong-tin/blog/tien-indonesia</t>
  </si>
  <si>
    <t>URL 059 (bài đặt link)</t>
  </si>
  <si>
    <t>Anchortext 060</t>
  </si>
  <si>
    <t>https://techcombank.com/thong-tin/blog/nen-mua-xe-o-to-dien-hay-xe-xang</t>
  </si>
  <si>
    <t>https://techcombank.com/thong-tin/blog/chuyen-tien-di-uc</t>
  </si>
  <si>
    <t>3. Nên mua xe ô tô điện hay xe xăng?</t>
  </si>
  <si>
    <t>URL 060 (bài đặt link)</t>
  </si>
  <si>
    <t>Techcombank - Lựa chọn hàng đầu cho nhu cầu mua xe trả góp</t>
  </si>
  <si>
    <t>Anchortext 061</t>
  </si>
  <si>
    <t>URL 061 (bài đặt link)</t>
  </si>
  <si>
    <t>https://techcombank.com/thong-tin/blog/rui-ro-khi-vay-the-chap-ngan-hang</t>
  </si>
  <si>
    <t>Anchortext 062</t>
  </si>
  <si>
    <t>URL 062 (bài đặt link)</t>
  </si>
  <si>
    <t>https://techcombank.com/thong-tin/blog/vay-tien-mat</t>
  </si>
  <si>
    <t>Anchortext 063</t>
  </si>
  <si>
    <t>URL 063 (bài đặt link)</t>
  </si>
  <si>
    <t>Anchortext 064</t>
  </si>
  <si>
    <t>https://techcombank.com/thong-tin/blog/lai-suat-qua-han</t>
  </si>
  <si>
    <t>URL 064 (bài đặt link)</t>
  </si>
  <si>
    <t>Anchortext 065</t>
  </si>
  <si>
    <t>https://techcombank.com/thong-tin/blog/cach-tinh-lai-vay-ngan-hang</t>
  </si>
  <si>
    <t>URL 065 (bài đặt link)</t>
  </si>
  <si>
    <t>Anchortext 066</t>
  </si>
  <si>
    <t>URL 066 (bài đặt link)</t>
  </si>
  <si>
    <t>https://techcombank.com/thong-tin/blog/mo-the-tin-dung-co-loi-ich-gi</t>
  </si>
  <si>
    <t>Anchortext 067</t>
  </si>
  <si>
    <t>2. Chức năng mua trả góp lãi suất từ 0%</t>
  </si>
  <si>
    <t>URL 067 (bài đặt link)</t>
  </si>
  <si>
    <t>https://techcombank.com/thong-tin/blog/mua-nha-tra-gop-dua-truoc-100-trieu</t>
  </si>
  <si>
    <t>Nhìn chung, mua hàng trả góp thông qua thẻ tín dụng sẽ giúp giải quyết bài toán mua sắm trong điều kiện không đủ tài ch…</t>
  </si>
  <si>
    <t>Anchortext 068</t>
  </si>
  <si>
    <t>URL 068 (bài đặt link)</t>
  </si>
  <si>
    <t>Anchortext 069</t>
  </si>
  <si>
    <t>https://techcombank.com/thong-tin/blog/vay-200-trieu</t>
  </si>
  <si>
    <t>URL 069 (bài đặt link)</t>
  </si>
  <si>
    <t>Anchortext 070</t>
  </si>
  <si>
    <t>https://techcombank.com/thong-tin/blog/vay-tin-chap-cho-doanh-nghiep-moi-thanh-lap</t>
  </si>
  <si>
    <t>URL 070 (bài đặt link)</t>
  </si>
  <si>
    <t>https://techcombank.com/thong-tin/blog/kiem-tra-ma-so-thue-doanh-nghiep</t>
  </si>
  <si>
    <t>Anchortext 071</t>
  </si>
  <si>
    <t>URL 071 (bài đặt link)</t>
  </si>
  <si>
    <t>https://techcombank.com/thong-tin/blog/khoi-nghiep-truoc-chinh-sach-thue-moi</t>
  </si>
  <si>
    <t>Anchortext 072</t>
  </si>
  <si>
    <t>URL 072 (bài đặt link)</t>
  </si>
  <si>
    <t>4. Có 100 triệu VND vốn ban đầu, có thể tham khảo giải…</t>
  </si>
  <si>
    <t>https://techcombank.com/thong-tin/blog/cach-tinh-thue-ho-kinh-doanh-nho-le</t>
  </si>
  <si>
    <t>Anchortext 073</t>
  </si>
  <si>
    <t>Với 100 triệu VND vốn ban đầu, khách hàng có thể tham khảo một số giải pháp vay mua nhà trả góp Techcombank - chính sác…</t>
  </si>
  <si>
    <t>URL 073 (bài đặt link)</t>
  </si>
  <si>
    <t>Anchortext 074</t>
  </si>
  <si>
    <t>https://techcombank.com/thong-tin/blog/dang-ky-ma-so-thue-ca-nhan</t>
  </si>
  <si>
    <t>URL 074 (bài đặt link)</t>
  </si>
  <si>
    <t>Anchortext 075</t>
  </si>
  <si>
    <t>https://techcombank.com/thong-tin/blog/co-nen-vay-ngan-hang-mua-nha</t>
  </si>
  <si>
    <t>https://techcombank.com/thong-tin/blog/hoan-thue-thu-nhap-ca-nhan</t>
  </si>
  <si>
    <t>https://techcombank.com/thong-tin/blog/truy-thu-thue-ho-kinh-doanh</t>
  </si>
  <si>
    <t>https://techcombank.com/thong-tin/blog/kiem-tra-thue-thu-nhap-ca-nhan</t>
  </si>
  <si>
    <t>https://techcombank.com/thong-tin/blog/tien-chuyen-vao-tai-khoan-co-bi-tinh-thue-khong</t>
  </si>
  <si>
    <t>2. Lợi ích khi vay 30 triệu trên Techcombank Mobile</t>
  </si>
  <si>
    <t>Giảm bớt áp lực trả góp với lãi suất cạnh tranh</t>
  </si>
  <si>
    <t>URL 075 (bài đặt link)</t>
  </si>
  <si>
    <t>https://techcombank.com/thong-tin/blog/tra-cuu-no-thue-hai-quan</t>
  </si>
  <si>
    <t>Anchortext 076</t>
  </si>
  <si>
    <t>URL 076 (bài đặt link)</t>
  </si>
  <si>
    <t>https://techcombank.com/thong-tin/blog/app-vay-tien-nhanh</t>
  </si>
  <si>
    <t>Anchortext 077</t>
  </si>
  <si>
    <t>URL 077 (bài đặt link)</t>
  </si>
  <si>
    <t>https://techcombank.com/thong-tin/blog/gia-chung-chi-quy-la-gi</t>
  </si>
  <si>
    <t>Anchortext 078</t>
  </si>
  <si>
    <t>URL 078 (bài đặt link)</t>
  </si>
  <si>
    <t>https://techcombank.com/thong-tin/blog/cach-tinh-thue-thu-nhap-ca-nhan-2025</t>
  </si>
  <si>
    <t>Anchortext 079</t>
  </si>
  <si>
    <t>URL 079 (bài đặt link)</t>
  </si>
  <si>
    <t>Anchortext 080</t>
  </si>
  <si>
    <t>https://techcombank.com/thong-tin/blog/merchant-la-gi</t>
  </si>
  <si>
    <t>URL 080 (bài đặt link)</t>
  </si>
  <si>
    <t>4. 4 cách dùng thẻ tín dụng thông thái</t>
  </si>
  <si>
    <t>Anchortext 081</t>
  </si>
  <si>
    <t>https://techcombank.com/thong-tin/blog/thue-phi-co-dinh-khi-chuyen-doi-tu-ho-kinh-doanh-len-doanh-nghiep</t>
  </si>
  <si>
    <t>Tận dụng chính sách trả góp với lãi suất từ 0%, khách hàng sẽ được hưởng lợi rất nhiều so với các hình thức mua trả góp…</t>
  </si>
  <si>
    <t>URL 081 (bài đặt link)</t>
  </si>
  <si>
    <t>Anchortext 082</t>
  </si>
  <si>
    <t>https://techcombank.com/thong-tin/blog/cong-ty-su-dung-tai-khoan-ca-nhan</t>
  </si>
  <si>
    <t>URL 082 (bài đặt link)</t>
  </si>
  <si>
    <t>Anchortext 083</t>
  </si>
  <si>
    <t>https://techcombank.com/thong-tin/blog/loi-nhuan</t>
  </si>
  <si>
    <t>URL 083 (bài đặt link)</t>
  </si>
  <si>
    <t>Anchortext 084</t>
  </si>
  <si>
    <t>URL 084 (bài đặt link)</t>
  </si>
  <si>
    <t>https://techcombank.com/thong-tin/blog/dang-ky-nhieu-tai-khoan-ngan-hang-co-sao-khong</t>
  </si>
  <si>
    <t>Anchortext 085</t>
  </si>
  <si>
    <t>URL 085 (bài đặt link)</t>
  </si>
  <si>
    <t>https://techcombank.com/thong-tin/blog/tai-khoan-doanh-nghiep-co-the-khong</t>
  </si>
  <si>
    <t>Anchortext 086</t>
  </si>
  <si>
    <t>cách nộp thuế đất online</t>
  </si>
  <si>
    <t>URL 086 (bài đặt link)</t>
  </si>
  <si>
    <t>★</t>
  </si>
  <si>
    <t>https://techcombank.com/thong-tin/blog/thanh-toan-tien-dien-bang-the-tin-dung</t>
  </si>
  <si>
    <t>Anchortext 087</t>
  </si>
  <si>
    <t>URL 087 (bài đặt link)</t>
  </si>
  <si>
    <t>https://techcombank.com/thong-tin/blog/cach-su-dung-the-visa-techcombank</t>
  </si>
  <si>
    <t>Anchortext 088</t>
  </si>
  <si>
    <t>Cách nộp thuế điện tử online giúp rút ngắn thủ tục, minh bạch nghĩa vụ và hạn chế sai sót trong quá trình kê khai - nộp…</t>
  </si>
  <si>
    <t>URL 088 (bài đặt link)</t>
  </si>
  <si>
    <t>Anchortext 089</t>
  </si>
  <si>
    <t>https://techcombank.com/thong-tin/blog/quan-ly-tai-chinh-cho-dan-van-phong</t>
  </si>
  <si>
    <t>https://techcombank.com/thong-tin/blog/so-tai-khoan-ngan-hang</t>
  </si>
  <si>
    <t>URL 089 (bài đặt link)</t>
  </si>
  <si>
    <t>https://techcombank.com/thong-tin/blog/cach-chuyen-tien</t>
  </si>
  <si>
    <t>Anchortext 090</t>
  </si>
  <si>
    <t>URL 090 (bài đặt link)</t>
  </si>
  <si>
    <t>https://techcombank.com/thong-tin/blog/gui-tien-ngan-hang-co-an-toan-khong</t>
  </si>
  <si>
    <t>Anchortext 091</t>
  </si>
  <si>
    <t>URL 091 (bài đặt link)</t>
  </si>
  <si>
    <t>https://techcombank.com/thong-tin/blog/thue-vat-la-gi</t>
  </si>
  <si>
    <t>https://techcombank.com/thong-tin/blog/rui-ro-khi-gui-tiet-kiem-ngan-hang</t>
  </si>
  <si>
    <t>Anchortext 092</t>
  </si>
  <si>
    <t>Cách tính thuế giá trị gia tăng (VAT) như thế nào, đối tượng và nhóm hàng hóa nào phải nộp thuế VAT?</t>
  </si>
  <si>
    <t>URL 092 (bài đặt link)</t>
  </si>
  <si>
    <t>Anchortext 093</t>
  </si>
  <si>
    <t>URL 093 (bài đặt link)</t>
  </si>
  <si>
    <t>Anchortext 094</t>
  </si>
  <si>
    <t>https://techcombank.com/thong-tin/blog/gui-tiet-kiem-ngoai-te</t>
  </si>
  <si>
    <t>URL 094 (bài đặt link)</t>
  </si>
  <si>
    <t>Anchortext 095</t>
  </si>
  <si>
    <t>https://techcombank.com/thong-tin/blog/lai-suat-vay-tieu-dung</t>
  </si>
  <si>
    <t>URL 095 (bài đặt link)</t>
  </si>
  <si>
    <t>Anchortext 096</t>
  </si>
  <si>
    <t>https://techcombank.com/thong-tin/blog/cach-rut-tien-atm</t>
  </si>
  <si>
    <t>URL 096 (bài đặt link)</t>
  </si>
  <si>
    <t>https://techcombank.com/thong-tin/blog/cho-vay-tieu-dung-la-gi</t>
  </si>
  <si>
    <t>Anchortext 097</t>
  </si>
  <si>
    <t>URL 097 (bài đặt link)</t>
  </si>
  <si>
    <t>Anchortext 098</t>
  </si>
  <si>
    <t>https://techcombank.com/thong-tin/blog/mm-yy-la-gi</t>
  </si>
  <si>
    <t>Bài viết dưới đây sẽ hướng dẫn chi tiết cách tra cứu nộp thuế hải quan và các phương thức đóng lệ phí hải quan online m…</t>
  </si>
  <si>
    <t>URL 098 (bài đặt link)</t>
  </si>
  <si>
    <t>Anchortext 099</t>
  </si>
  <si>
    <t>https://techcombank.com/thong-tin/blog/the-tin-dung-nao-nhieu-uu-dai-nhat</t>
  </si>
  <si>
    <t>URL 099 (bài đặt link)</t>
  </si>
  <si>
    <t>Anchortext 100</t>
  </si>
  <si>
    <t>https://techcombank.com/thong-tin/blog/tra-gop-hoc-phi</t>
  </si>
  <si>
    <t>URL 100 (bài đặt link)</t>
  </si>
  <si>
    <t>Anchortext 101</t>
  </si>
  <si>
    <t>https://techcombank.com/thong-tin/blog/vay-von-doanh-nghiep-khong-the-chap</t>
  </si>
  <si>
    <t>URL 101 (bài đặt link)</t>
  </si>
  <si>
    <t>Anchortext 102</t>
  </si>
  <si>
    <t>https://techcombank.com/thong-tin/blog/rut-tien-mat-tu-the-tin-dung</t>
  </si>
  <si>
    <t>URL 102 (bài đặt link)</t>
  </si>
  <si>
    <t>https://techcombank.com/thong-tin/blog/nop-tien-mat-vao-tai-khoan-cong-ty</t>
  </si>
  <si>
    <t>Anchortext 103</t>
  </si>
  <si>
    <t>3.3. Có nộp tiền mặt vào tài khoản công ty online được…</t>
  </si>
  <si>
    <t>https://techcombank.com/thong-tin/blog/tra-gop-lazada</t>
  </si>
  <si>
    <t>URL 103 (bài đặt link)</t>
  </si>
  <si>
    <t>Doanh nghiệp chỉ có thể thực hiện việc nộp tiền mặt vào tài khoản công ty thông qua hai cách đã đề cập trong bài viết,…</t>
  </si>
  <si>
    <t>Anchortext 104</t>
  </si>
  <si>
    <t>https://techcombank.com/thong-tin/blog/mua-truoc-tra-sau</t>
  </si>
  <si>
    <t>URL 104 (bài đặt link)</t>
  </si>
  <si>
    <t>Anchortext 105</t>
  </si>
  <si>
    <t>https://techcombank.com/thong-tin/blog/gui-tiet-kiem-lay-lai-hang-thang</t>
  </si>
  <si>
    <t>URL 105 (bài đặt link)</t>
  </si>
  <si>
    <t>Anchortext 106</t>
  </si>
  <si>
    <t>URL 106 (bài đặt link)</t>
  </si>
  <si>
    <t>https://techcombank.com/thong-tin/blog/mat-the-tin-dung-co-bi-mat-tien-khong</t>
  </si>
  <si>
    <t>Anchortext 107</t>
  </si>
  <si>
    <t>URL 107 (bài đặt link)</t>
  </si>
  <si>
    <t>https://techcombank.com/thong-tin/blog/cho-vay-kinh-doanh-ho-gia-dinh</t>
  </si>
  <si>
    <t>Anchortext 108</t>
  </si>
  <si>
    <t>https://techcombank.com/thong-tin/blog/mau-mo-tai-khoan-doanh-nghiep-techcombank</t>
  </si>
  <si>
    <t>Phần D: Đăng ký dịch vụ và Giải pháp</t>
  </si>
  <si>
    <t>URL 108 (bài đặt link)</t>
  </si>
  <si>
    <t>Bạn tick chọn ô “Đăng ký và ủy quyền cho Techcombank tự động trích tiền trên tài khoản thanh toán để nộp thuế điện tử và thanh …</t>
  </si>
  <si>
    <t>Anchortext 109</t>
  </si>
  <si>
    <t>https://techcombank.com/thong-tin/blog/vay-15-trieu</t>
  </si>
  <si>
    <t>Chưa có cụm anchor → thêm 1 câu ngay sau câu này, ví dụ: "Xem thêm: cách nộp thuế đất online." rồi gắn link vào cụm anchor.</t>
  </si>
  <si>
    <t>URL 109 (bài đặt link)</t>
  </si>
  <si>
    <t>Anchortext 110</t>
  </si>
  <si>
    <t>https://techcombank.com/thong-tin/blog/thanh-toan-toi-thieu-the-tin-dung</t>
  </si>
  <si>
    <t>URL 110 (bài đặt link)</t>
  </si>
  <si>
    <t>Anchortext 111</t>
  </si>
  <si>
    <t>https://techcombank.com/thong-tin/blog/tien-gui-khong-ky-han</t>
  </si>
  <si>
    <t>URL 111 (bài đặt link)</t>
  </si>
  <si>
    <t>Anchortext 112</t>
  </si>
  <si>
    <t>URL 112 (bài đặt link)</t>
  </si>
  <si>
    <t>https://techcombank.com/thong-tin/blog/dang-vay-tra-gop-co-vay-them-duoc-khong</t>
  </si>
  <si>
    <t>https://techcombank.com/thong-tin/blog/tin-dung-doanh-nghiep</t>
  </si>
  <si>
    <t>Anchortext 113</t>
  </si>
  <si>
    <t>4. Lưu ý khi đăng ký tín dụng doanh nghiệp tại ngân hàn…</t>
  </si>
  <si>
    <t>URL 113 (bài đặt link)</t>
  </si>
  <si>
    <t>Đồng thời, để quản lý tài chính minh bạch, doanh nghiệp nên thực hiện nộp thuế và các khoản nghĩa vụ nhà nước qua tài khoản nộp…</t>
  </si>
  <si>
    <t>https://techcombank.com/thong-tin/blog/tien-gui-co-ky-han</t>
  </si>
  <si>
    <t>Anchortext 114</t>
  </si>
  <si>
    <t>URL 114 (bài đặt link)</t>
  </si>
  <si>
    <t>Anchortext 115</t>
  </si>
  <si>
    <t>https://techcombank.com/thong-tin/blog/uu-dai-mua-ve-may-bay-bang-the-tin-dung</t>
  </si>
  <si>
    <t>URL 115 (bài đặt link)</t>
  </si>
  <si>
    <t>Anchortext 116</t>
  </si>
  <si>
    <t>https://techcombank.com/thong-tin/blog/mo-so-tiet-kiem-can-bao-nhieu-tien</t>
  </si>
  <si>
    <t>URL 116 (bài đặt link)</t>
  </si>
  <si>
    <t>Anchortext 117</t>
  </si>
  <si>
    <t>đóng thuế đất online</t>
  </si>
  <si>
    <t>URL 117 (bài đặt link)</t>
  </si>
  <si>
    <t>https://techcombank.com/thong-tin/blog/vay-the-chap-khong-tra-duoc</t>
  </si>
  <si>
    <t>Anchortext 118</t>
  </si>
  <si>
    <t>https://techcombank.com/thong-tin/blog/thue-thu-nhap-ca-nhan</t>
  </si>
  <si>
    <t>URL 118 (bài đặt link)</t>
  </si>
  <si>
    <t>Cùng Techcombank tìm hiểu chi tiết cách tính thuế thu nhập cá nhân, quy định mới và cách đóng thuế thu nhập cá nhân 202…</t>
  </si>
  <si>
    <t>https://techcombank.com/thong-tin/blog/vay-the-chap-toi-da-duoc-bao-nhieu</t>
  </si>
  <si>
    <t>Anchortext 119</t>
  </si>
  <si>
    <t>URL 119 (bài đặt link)</t>
  </si>
  <si>
    <t>Anchortext 120</t>
  </si>
  <si>
    <t>https://techcombank.com/thong-tin/blog/tai-sao-gui-tiet-kiem-online-lai-suat-cao-hon</t>
  </si>
  <si>
    <t>URL 120 (bài đặt link)</t>
  </si>
  <si>
    <t>Anchortext 121</t>
  </si>
  <si>
    <t>https://techcombank.com/thong-tin/blog/gui-tiet-kiem-vang</t>
  </si>
  <si>
    <t>URL 121 (bài đặt link)</t>
  </si>
  <si>
    <t>Anchortext 122</t>
  </si>
  <si>
    <t>URL 122 (bài đặt link)</t>
  </si>
  <si>
    <t>https://techcombank.com/thong-tin/blog/nen-gui-tiet-kiem-6-thang-hay-1-nam</t>
  </si>
  <si>
    <t>https://techcombank.com/thong-tin/blog/ho-kinh-doanh-la-gi</t>
  </si>
  <si>
    <t>Anchortext 123</t>
  </si>
  <si>
    <t>6. Kể từ 1/1/2026, hộ kinh doanh đó​ng ​thuế như thế nà…</t>
  </si>
  <si>
    <t>URL 123 (bài đặt link)</t>
  </si>
  <si>
    <t>Người nộp thuế có thể tra cứu kết quả nộp thuế, giấy nộp tiền, nghĩa vụ thuế, thông báo từ cơ quan thuế để đảm bảo không phát s…</t>
  </si>
  <si>
    <t>https://techcombank.com/thong-tin/blog/lai-suat-cho-vay-doanh-nghiep</t>
  </si>
  <si>
    <t>Anchortext 124</t>
  </si>
  <si>
    <t>Chưa có cụm anchor → thêm 1 câu ngay sau câu này, ví dụ: "Xem thêm: đóng thuế đất online." rồi gắn link vào cụm anchor.</t>
  </si>
  <si>
    <t>URL 124 (bài đặt link)</t>
  </si>
  <si>
    <t>Anchortext 125</t>
  </si>
  <si>
    <t>https://techcombank.com/thong-tin/blog/1-trieu-do-bang-bao-nhieu-tien-viet</t>
  </si>
  <si>
    <t>URL 125 (bài đặt link)</t>
  </si>
  <si>
    <t>Anchortext 126</t>
  </si>
  <si>
    <t>https://techcombank.com/thong-tin/blog/vay-the-chap-la-gi</t>
  </si>
  <si>
    <t>URL 126 (bài đặt link)</t>
  </si>
  <si>
    <t>Anchortext 127</t>
  </si>
  <si>
    <t>https://techcombank.com/thong-tin/blog/vay-ngan-han</t>
  </si>
  <si>
    <t>URL 127 (bài đặt link)</t>
  </si>
  <si>
    <t>Anchortext 128</t>
  </si>
  <si>
    <t>URL 128 (bài đặt link)</t>
  </si>
  <si>
    <t>https://techcombank.com/thong-tin/blog/lai-suat-la-gi</t>
  </si>
  <si>
    <t>Anchortext 129</t>
  </si>
  <si>
    <t>https://techcombank.com/thong-tin/blog/phat-cham-dang-ky-thue-ho-kinh-doanh</t>
  </si>
  <si>
    <t>4. Hộ kinh doanh nên làm gì để tránh bị phạt?</t>
  </si>
  <si>
    <t>URL 129 (bài đặt link)</t>
  </si>
  <si>
    <t>Thấu hiểu điều đó, Techcombank mang đến giải pháp tài chính tối ưu giúp các chủ hộ kinh doanh tối giản hóa quy trình nộp Thuế v…</t>
  </si>
  <si>
    <t>Anchortext 130</t>
  </si>
  <si>
    <t>https://techcombank.com/thong-tin/blog/vay-san-xuat-kinh-doanh</t>
  </si>
  <si>
    <t>URL 130 (bài đặt link)</t>
  </si>
  <si>
    <t>Anchortext 131</t>
  </si>
  <si>
    <t>https://techcombank.com/thong-tin/blog/vay-von-doanh-nghiep-nho</t>
  </si>
  <si>
    <t>URL 131 (bài đặt link)</t>
  </si>
  <si>
    <t>Anchortext 132</t>
  </si>
  <si>
    <t>URL 132 (bài đặt link)</t>
  </si>
  <si>
    <t>Anchortext 133</t>
  </si>
  <si>
    <t>URL 133 (bài đặt link)</t>
  </si>
  <si>
    <t>Anchortext 134</t>
  </si>
  <si>
    <t>URL 134 (bài đặt link)</t>
  </si>
  <si>
    <t>Anchortext 135</t>
  </si>
  <si>
    <t>https://techcombank.com/thong-tin/blog/quyet-toan-thue-doanh-nghiep</t>
  </si>
  <si>
    <t>https://techcombank.com/thong-tin/blog/chuyen-nhuong-chung-chi-tien-gui</t>
  </si>
  <si>
    <t>URL 135 (bài đặt link)</t>
  </si>
  <si>
    <t>Anchortext 136</t>
  </si>
  <si>
    <t>Bài viết sẽ làm rõ lợi suất, thuế phí và thủ tục cần biết khi chuyển nhượng chứng chỉ tiền gửi.</t>
  </si>
  <si>
    <t>https://techcombank.com/thong-tin/blog/ho-kinh-doanh-dong-thue-nhu-nao</t>
  </si>
  <si>
    <t>URL 136 (bài đặt link)</t>
  </si>
  <si>
    <t>Anchortext 137</t>
  </si>
  <si>
    <t>https://techcombank.com/thong-tin/blog/cach-tra-cuu-hoa-don-dien-tu</t>
  </si>
  <si>
    <t>URL 137 (bài đặt link)</t>
  </si>
  <si>
    <t>Anchortext 138</t>
  </si>
  <si>
    <t>URL 138 (bài đặt link)</t>
  </si>
  <si>
    <t>https://techcombank.com/thong-tin/blog/lien-ket-tai-khoan-ngan-hang-voi-etax-mobile</t>
  </si>
  <si>
    <t>Anchortext 139</t>
  </si>
  <si>
    <t>URL 139 (bài đặt link)</t>
  </si>
  <si>
    <t>Anchortext 140</t>
  </si>
  <si>
    <t>https://techcombank.com/thong-tin/blog/kinh-nghiem-vay-tien-mua-nha</t>
  </si>
  <si>
    <t>URL 140 (bài đặt link)</t>
  </si>
  <si>
    <t>https://techcombank.com/thong-tin/blog/dong-ma-so-thue-ho-kinh-doanh</t>
  </si>
  <si>
    <t>Anchortext 141</t>
  </si>
  <si>
    <t>1. Trường hợp phải đóng mã số thuế hộ kinh doanh</t>
  </si>
  <si>
    <t>https://techcombank.com/thong-tin/blog/ngan-hang-so-cho-doanh-nghiep</t>
  </si>
  <si>
    <t>URL 141 (bài đặt link)</t>
  </si>
  <si>
    <t>Căn cứ Điều 39 Luật Quản lý thuế 2019 và Điều 29, Điều 32 Thông tư 86/2024/TT-BTC , mã số thuế của người nộp thuế bị chấm dứt h…</t>
  </si>
  <si>
    <t>Anchortext 142</t>
  </si>
  <si>
    <t>URL 142 (bài đặt link)</t>
  </si>
  <si>
    <t>https://techcombank.com/thong-tin/blog/doanh-nghiep-moi-thanh-lap-duoc-uu-dai-gi</t>
  </si>
  <si>
    <t>Anchortext 143</t>
  </si>
  <si>
    <t>URL 143 (bài đặt link)</t>
  </si>
  <si>
    <t>https://techcombank.com/thong-tin/blog/quyet-toan-thue-thu-nhap-ca-nhan</t>
  </si>
  <si>
    <t>Anchortext 144</t>
  </si>
  <si>
    <t>URL 144 (bài đặt link)</t>
  </si>
  <si>
    <t>Anchortext 145</t>
  </si>
  <si>
    <t>https://techcombank.com/thong-tin/blog/hoa-don-dien-tu</t>
  </si>
  <si>
    <t>URL 145 (bài đặt link)</t>
  </si>
  <si>
    <t>nộp thuế đất online</t>
  </si>
  <si>
    <t>Anchortext 146</t>
  </si>
  <si>
    <t>https://techcombank.com/thong-tin/blog/dieu-kien-vay-the-chap</t>
  </si>
  <si>
    <t>URL 146 (bài đặt link)</t>
  </si>
  <si>
    <t>https://techcombank.com/thong-tin/blog/kinh-doanh-online</t>
  </si>
  <si>
    <t>Anchortext 147</t>
  </si>
  <si>
    <t>5.3. Các loại thuế cần đóng khi kinh doanh online?</t>
  </si>
  <si>
    <t>URL 147 (bài đặt link)</t>
  </si>
  <si>
    <t>https://techcombank.com/thong-tin/blog/co-nen-gui-tiet-kiem-ngan-hang</t>
  </si>
  <si>
    <t>Các loại thuế người kinh doanh online cần nộp bao gồm:</t>
  </si>
  <si>
    <t>Anchortext 148</t>
  </si>
  <si>
    <t>URL 148 (bài đặt link)</t>
  </si>
  <si>
    <t>https://techcombank.com/thong-tin/blog/mat-so-dien-thoai-dang-ky-tai-khoan-ngan-hang</t>
  </si>
  <si>
    <t>Anchortext 149</t>
  </si>
  <si>
    <t>URL 149 (bài đặt link)</t>
  </si>
  <si>
    <t>https://techcombank.com/thong-tin/blog/shopeepay-la-gi</t>
  </si>
  <si>
    <t>Anchortext 150</t>
  </si>
  <si>
    <t>URL 150 (bài đặt link)</t>
  </si>
  <si>
    <t>https://techcombank.com/thong-tin/blog/thue-doanh-nghiep</t>
  </si>
  <si>
    <t>Anchortext 151</t>
  </si>
  <si>
    <t>https://techcombank.com/thong-tin/blog/the-visa-co-may-loai</t>
  </si>
  <si>
    <t>URL 151 (bài đặt link)</t>
  </si>
  <si>
    <t>Anchortext 152</t>
  </si>
  <si>
    <t>URL 152 (bài đặt link)</t>
  </si>
  <si>
    <t>https://techcombank.com/thong-tin/blog/nen-lam-the-visa-hay-noi-dia</t>
  </si>
  <si>
    <t>Anchortext 153</t>
  </si>
  <si>
    <t>3. Cách 2: Tra cứu thuế thu nhập cá nhân qua ứng dụng…</t>
  </si>
  <si>
    <t>URL 153 (bài đặt link)</t>
  </si>
  <si>
    <t>https://techcombank.com/thong-tin/blog/cach-tiet-kiem-tien-cua-nguoi-nhat</t>
  </si>
  <si>
    <t>Anchortext 154</t>
  </si>
  <si>
    <t>Nhờ vậy, việc tra cứu hay kiểm tra thuế thu nhập cá nhân (TNCN) online không chỉ giúp người nộp thuế chủ động nắm bắt n…</t>
  </si>
  <si>
    <t>URL 154 (bài đặt link)</t>
  </si>
  <si>
    <t>https://techcombank.com/thong-tin/blog/phan-mem-lap-ke-hoach-tai-chinh-ca-nhan</t>
  </si>
  <si>
    <t>Anchortext 155</t>
  </si>
  <si>
    <t>URL 155 (bài đặt link)</t>
  </si>
  <si>
    <t>https://techcombank.com/thong-tin/blog/hoc-cach-tiet-kiem-tien-luong</t>
  </si>
  <si>
    <t>Anchortext 156</t>
  </si>
  <si>
    <t>URL 156 (bài đặt link)</t>
  </si>
  <si>
    <t>Anchortext 157</t>
  </si>
  <si>
    <t>https://techcombank.com/thong-tin/blog/uu-dai-mo-the-tin-dung</t>
  </si>
  <si>
    <t>URL 157 (bài đặt link)</t>
  </si>
  <si>
    <t>Anchortext 158</t>
  </si>
  <si>
    <t>https://techcombank.com/thong-tin/blog/dieu-kien-vay-von-ngan-hang</t>
  </si>
  <si>
    <t>URL 158 (bài đặt link)</t>
  </si>
  <si>
    <t>Anchortext 159</t>
  </si>
  <si>
    <t>https://techcombank.com/thong-tin/blog/the-ghi-no-visa-la-gi</t>
  </si>
  <si>
    <t>URL 159 (bài đặt link)</t>
  </si>
  <si>
    <t>https://techcombank.com/thong-tin/blog/dang-ky-thue-ho-kinh-doanh-ca-the-online</t>
  </si>
  <si>
    <t>Anchortext 160</t>
  </si>
  <si>
    <t>2. Cách đăng ký tài khoản thuế hộ kinh doanh online tr…</t>
  </si>
  <si>
    <t>URL 160 (bài đặt link)</t>
  </si>
  <si>
    <t>https://techcombank.com/thong-tin/blog/han-muc-thau-chi-la-gi</t>
  </si>
  <si>
    <t>Anchortext 161</t>
  </si>
  <si>
    <t>Sau khi được cấp mã số thuế, hộ kinh doanh nên đăng ký tài khoản Thuế điện tử và eTax Mobile để tra cứu và thực hiện cá…</t>
  </si>
  <si>
    <t>URL 161 (bài đặt link)</t>
  </si>
  <si>
    <t>https://techcombank.com/thong-tin/blog/vay-the-chap-qua-luong</t>
  </si>
  <si>
    <t>Anchortext 162</t>
  </si>
  <si>
    <t>URL 162 (bài đặt link)</t>
  </si>
  <si>
    <t>Anchortext 163</t>
  </si>
  <si>
    <t>https://techcombank.com/thong-tin/blog/cach-tao-ma-qr</t>
  </si>
  <si>
    <t>URL 163 (bài đặt link)</t>
  </si>
  <si>
    <t>Anchortext 164</t>
  </si>
  <si>
    <t>https://techcombank.com/thong-tin/blog/thanh-toan-bang-ma-qr</t>
  </si>
  <si>
    <t>URL 164 (bài đặt link)</t>
  </si>
  <si>
    <t>Anchortext 165</t>
  </si>
  <si>
    <t>https://techcombank.com/thong-tin/blog/quy-trinh-gui-tien-tiet-kiem</t>
  </si>
  <si>
    <t>URL 165 (bài đặt link)</t>
  </si>
  <si>
    <t>https://techcombank.com/thong-tin/blog/rut-tien-tiet-kiem-truoc-thoi-han</t>
  </si>
  <si>
    <t>Anchortext 166</t>
  </si>
  <si>
    <t>URL 166 (bài đặt link)</t>
  </si>
  <si>
    <t>https://techcombank.com/thong-tin/blog/khau-hao</t>
  </si>
  <si>
    <t>Anchortext 167</t>
  </si>
  <si>
    <t>https://techcombank.com/thong-tin/blog/no-chu-y-la-gi</t>
  </si>
  <si>
    <t>4. Danh sách tài sản cố định không phải trích khấu hao</t>
  </si>
  <si>
    <t>URL 167 (bài đặt link)</t>
  </si>
  <si>
    <t>Anchortext 168</t>
  </si>
  <si>
    <t>TSCĐ vô hình là quyền sử dụng đất lâu dài có thu tiền sử dụng đất, hoặc quyền sử dụng đất lâu dài hợp pháp do chuyển nhượng.</t>
  </si>
  <si>
    <t>https://techcombank.com/thong-tin/blog/no-xau</t>
  </si>
  <si>
    <t>URL 168 (bài đặt link)</t>
  </si>
  <si>
    <t>Chưa có cụm anchor → thêm 1 câu ngay sau câu này, ví dụ: "Xem thêm: nộp thuế đất online." rồi gắn link vào cụm anchor.</t>
  </si>
  <si>
    <t>Anchortext 169</t>
  </si>
  <si>
    <t>URL 169 (bài đặt link)</t>
  </si>
  <si>
    <t>https://techcombank.com/thong-tin/blog/no-xau-la-gi</t>
  </si>
  <si>
    <t>Anchortext 170</t>
  </si>
  <si>
    <t>URL 170 (bài đặt link)</t>
  </si>
  <si>
    <t>https://techcombank.com/thong-tin/blog/tra-gop-shopee</t>
  </si>
  <si>
    <t>Anchortext 171</t>
  </si>
  <si>
    <t>URL 171 (bài đặt link)</t>
  </si>
  <si>
    <t>https://techcombank.com/thong-tin/blog/thanh-toan-tra-gop-qua-the-tin-dung</t>
  </si>
  <si>
    <t>Anchortext 172</t>
  </si>
  <si>
    <t>https://techcombank.com/thong-tin/blog/thu-tuc-vay-ngan-hang-mua-nha</t>
  </si>
  <si>
    <t>URL 172 (bài đặt link)</t>
  </si>
  <si>
    <t>3. Tham khảo kỹ về lãi suất và các điều khoản trong hợp…</t>
  </si>
  <si>
    <t>Anchortext 173</t>
  </si>
  <si>
    <t>https://techcombank.com/thong-tin/blog/the-visa-co-can-mat-khau-khong</t>
  </si>
  <si>
    <t>Vay mua nhà dự án trực tiếp từ chủ đầu tư , vay mua chuyển nhượng bất động sản , vay mua nhà đã có giấy chứng nhận…</t>
  </si>
  <si>
    <t>URL 173 (bài đặt link)</t>
  </si>
  <si>
    <t>Anchortext 174</t>
  </si>
  <si>
    <t>https://techcombank.com/thong-tin/blog/di-du-lich-nuoc-ngoai-can-chuan-bi-gi</t>
  </si>
  <si>
    <t>URL 174 (bài đặt link)</t>
  </si>
  <si>
    <t>Anchortext 175</t>
  </si>
  <si>
    <t>https://techcombank.com/thong-tin/blog/vay-mua-dien-thoai</t>
  </si>
  <si>
    <t>URL 175 (bài đặt link)</t>
  </si>
  <si>
    <t>Anchortext 176</t>
  </si>
  <si>
    <t>https://techcombank.com/thong-tin/blog/thu-tuc-vay-von-ngan-hang-de-xay-nha</t>
  </si>
  <si>
    <t>URL 176 (bài đặt link)</t>
  </si>
  <si>
    <t>Anchortext 177</t>
  </si>
  <si>
    <t>URL 177 (bài đặt link)</t>
  </si>
  <si>
    <t>https://techcombank.com/thong-tin/blog/quy-trinh-cho-vay-tieu-dung</t>
  </si>
  <si>
    <t>https://techcombank.com/thong-tin/blog/chinh-sach-thue-moi</t>
  </si>
  <si>
    <t>Anchortext 178</t>
  </si>
  <si>
    <t>1. Nắm vững và cập nhật các quy định thuế mới</t>
  </si>
  <si>
    <t>URL 178 (bài đặt link)</t>
  </si>
  <si>
    <t>https://techcombank.com/thong-tin/blog/the-chap-la-gi</t>
  </si>
  <si>
    <t>Sàn thương mại điện tử phải nộp thuế thay cho hộ kinh doanh, cá nhân kinh doanh từ ngày 01/04/2025</t>
  </si>
  <si>
    <t>Anchortext 179</t>
  </si>
  <si>
    <t>URL 179 (bài đặt link)</t>
  </si>
  <si>
    <t>https://techcombank.com/thong-tin/blog/thanh-toan-khi-du-lich-han-quoc</t>
  </si>
  <si>
    <t>Anchortext 180</t>
  </si>
  <si>
    <t>URL 180 (bài đặt link)</t>
  </si>
  <si>
    <t>Anchortext 181</t>
  </si>
  <si>
    <t>https://techcombank.com/thong-tin/blog/ma-buu-chinh-the-tin-dung</t>
  </si>
  <si>
    <t>URL 181 (bài đặt link)</t>
  </si>
  <si>
    <t>Anchortext 182</t>
  </si>
  <si>
    <t>https://techcombank.com/thong-tin/blog/lai-suat-the-tin-dung</t>
  </si>
  <si>
    <t>URL 182 (bài đặt link)</t>
  </si>
  <si>
    <t>Anchortext 183</t>
  </si>
  <si>
    <t>https://techcombank.com/thong-tin/blog/thi-truong-trai-phieu-co-hoi-dau-tu-trai-phieu-vang-du-lai-suat-thap</t>
  </si>
  <si>
    <t>URL 183 (bài đặt link)</t>
  </si>
  <si>
    <t>https://techcombank.com/thong-tin/blog/gui-tiet-kiem-ngan-hang-van-la-lua-chon-an-toan-trong-thoi-ky-kinh-te-con-nhieu-bien-dong</t>
  </si>
  <si>
    <t>Anchortext 184</t>
  </si>
  <si>
    <t>URL 184 (bài đặt link)</t>
  </si>
  <si>
    <t>Anchortext 185</t>
  </si>
  <si>
    <t>https://techcombank.com/thong-tin/blog/so-tiet-kiem-ngan-hang</t>
  </si>
  <si>
    <t>URL 185 (bài đặt link)</t>
  </si>
  <si>
    <t>Anchortext 186</t>
  </si>
  <si>
    <t>URL 186 (bài đặt link)</t>
  </si>
  <si>
    <t>https://techcombank.com/thong-tin/blog/gui-tiet-kiem-theo-ngay</t>
  </si>
  <si>
    <t>Anchortext 187</t>
  </si>
  <si>
    <t>https://techcombank.com/thong-tin/blog/1-man-bang-bao-nhieu-tien-viet</t>
  </si>
  <si>
    <t>URL 187 (bài đặt link)</t>
  </si>
  <si>
    <t>https://techcombank.com/thong-tin/blog/chuyen-gia-du-doan-gia-bat-dong-san-2025-va-cac-no-luc-tu-ngan-hang</t>
  </si>
  <si>
    <t>Anchortext 188</t>
  </si>
  <si>
    <t>https://techcombank.com/thong-tin/blog/tien-nhat</t>
  </si>
  <si>
    <t>URL 188 (bài đặt link)</t>
  </si>
  <si>
    <t>Anchortext 189</t>
  </si>
  <si>
    <t>Ngoài ý nghĩa to lớn mang lại cho khách hàng, chiến lược đẩy mạnh cho vay mua nhà của ngân hàng Techcombank cũng được kỳ vọng s…</t>
  </si>
  <si>
    <t>https://techcombank.com/thong-tin/blog/vay-the-chap-hop-dong-mua-ban-can-ho</t>
  </si>
  <si>
    <t>URL 189 (bài đặt link)</t>
  </si>
  <si>
    <t>Anchortext 190</t>
  </si>
  <si>
    <t>URL 190 (bài đặt link)</t>
  </si>
  <si>
    <t>https://techcombank.com/thong-tin/blog/vay-20-trieu</t>
  </si>
  <si>
    <t>Anchortext 191</t>
  </si>
  <si>
    <t>URL 191 (bài đặt link)</t>
  </si>
  <si>
    <t>https://techcombank.com/thong-tin/blog/cong-thuc-tinh-lai-suat-thuc</t>
  </si>
  <si>
    <t>Anchortext 192</t>
  </si>
  <si>
    <t>URL 192 (bài đặt link)</t>
  </si>
  <si>
    <t>https://techcombank.com/thong-tin/blog/lai-suat-ngan-hang-cho-vay-xay-nha</t>
  </si>
  <si>
    <t>Anchortext 193</t>
  </si>
  <si>
    <t>URL 193 (bài đặt link)</t>
  </si>
  <si>
    <t>Anchortext 194</t>
  </si>
  <si>
    <t>https://techcombank.com/thong-tin/blog/giai-ngan-vay-the-chap</t>
  </si>
  <si>
    <t>URL 194 (bài đặt link)</t>
  </si>
  <si>
    <t>Anchortext 195</t>
  </si>
  <si>
    <t>https://techcombank.com/thong-tin/blog/vay-mua-chung-cu</t>
  </si>
  <si>
    <t>URL 195 (bài đặt link)</t>
  </si>
  <si>
    <t>Anchortext 196</t>
  </si>
  <si>
    <t>https://techcombank.com/thong-tin/blog/vay-bo-sung-von-luu-dong</t>
  </si>
  <si>
    <t>URL 196 (bài đặt link)</t>
  </si>
  <si>
    <t>Anchortext 197</t>
  </si>
  <si>
    <t>https://techcombank.com/thong-tin/blog/dinh-cu-chau-au</t>
  </si>
  <si>
    <t>URL 197 (bài đặt link)</t>
  </si>
  <si>
    <t>1.1. Chi phí pháp lý theo từng chương trình cư trú</t>
  </si>
  <si>
    <t>https://techcombank.com/thong-tin/blog/gui-tiet-kiem-online-co-rut-truoc-han-duoc-khong</t>
  </si>
  <si>
    <t>Anchortext 198</t>
  </si>
  <si>
    <t>Ngoài tiền đầu tư, nhà đầu tư cần dự trù thêm thuế chuyển nhượng bất động sản (khoảng 3% – 10% tùy nước), phí thẩm định pháp lý…</t>
  </si>
  <si>
    <t>URL 198 (bài đặt link)</t>
  </si>
  <si>
    <t>Anchortext 199</t>
  </si>
  <si>
    <t>URL 199 (bài đặt link)</t>
  </si>
  <si>
    <t>Anchortext 200</t>
  </si>
  <si>
    <t>URL 200 (bài đặt link)</t>
  </si>
  <si>
    <t>https://techcombank.com/thong-tin/blog/khach-hang-vip-bat-dong-san</t>
  </si>
  <si>
    <t>3. Khám phá The Inner - Chương trình đặc quyền hệ sinh…</t>
  </si>
  <si>
    <t>The Inner - Chương trình đặc quyền hệ sinh thái từ Techcombank và Masterise Homes không chỉ dừng lại ở những ưu đãi tài chính, …</t>
  </si>
  <si>
    <t>https://techcombank.com/thong-tin/blog/chuyen-tien-tu-my-ve-viet-nam</t>
  </si>
  <si>
    <t>https://techcombank.com/thong-tin/blog/loi-ich-khi-ho-kinh-doanh-chuyen-len-doanh-nghiep</t>
  </si>
  <si>
    <t>https://techcombank.com/thong-tin/blog/mo-tai-khoan-doanh-nghiep</t>
  </si>
  <si>
    <t>https://techcombank.com/thong-tin/blog/luat-thuong-mai-dien-tu</t>
  </si>
  <si>
    <t>https://techcombank.com/thong-tin/blog/chung-chi-tien-gui-co-duoc-rut-truoc-han</t>
  </si>
  <si>
    <t>https://techcombank.com/thong-tin/blog/luu-y-khi-chuyen-tien-vao-tai-khoan-cong-ty</t>
  </si>
  <si>
    <t>https://techcombank.com/thong-tin/blog/cach-lay-lai-tien-da-chuyen-khoan-khi-bi-lua</t>
  </si>
  <si>
    <t>4.4. Lừa đảo qua website</t>
  </si>
  <si>
    <t>Giả mạo trang thông tin thuế điện tử, bảo hiểm xã hội, bộ Công an, website bán vé…</t>
  </si>
  <si>
    <t>https://techcombank.com/thong-tin/blog/one-stop-shop</t>
  </si>
  <si>
    <t>Liên quan rộng – đọc lại bài trước khi chèn</t>
  </si>
  <si>
    <t>https://techcombank.com/thong-tin/blog/thue-doanh-nghiep-2025</t>
  </si>
  <si>
    <t>https://techcombank.com/thong-tin/blog/ebitda-la-gi</t>
  </si>
  <si>
    <t>https://techcombank.com/thong-tin/blog/cho-vay-hop-von-la-gi</t>
  </si>
  <si>
    <t>https://techcombank.com/thong-tin/blog/luu-y-khi-chuyen-doi-tu-ho-kinh-doanh-len-doanh-nghiep</t>
  </si>
  <si>
    <t>5. Khi nào doanh nghiệp nên chọn vay hợp vốn?</t>
  </si>
  <si>
    <t>Bất động sản, Quyền sử dụng đất, Máy móc thiết bị, tài sản hình thành từ vốn vay và/hoặc tài sản khác do các bên thỏa thuận</t>
  </si>
  <si>
    <t>https://techcombank.com/thong-tin/blog/vi-dien-tu</t>
  </si>
  <si>
    <t>https://techcombank.com/thong-tin/blog/cach-kiem-tra-tai-khoan-ngan-hang-cua-cong-ty</t>
  </si>
  <si>
    <t>https://techcombank.com/thong-tin/blog/mo-them-tai-khoan-ngan-hang-cho-cong-ty</t>
  </si>
  <si>
    <t>https://techcombank.com/thong-tin/blog/vi-dien-tu-la-gi</t>
  </si>
  <si>
    <t>https://techcombank.com/thong-tin/blog/ho-kinh-doanh-can-gi-o-tai-khoan-ngan-hang</t>
  </si>
  <si>
    <t>3.4. Lưu ý về hạn mức chuyển tiền, chuẩn bị giấy tờ và…</t>
  </si>
  <si>
    <t>Đối với các giao dịch lớn (thường trên 10.000 USD theo quy định báo cáo tại Mỹ), bạn có thể cần cung cấp giấy tờ chứng minh mục…</t>
  </si>
  <si>
    <t>https://techcombank.com/thong-tin/blog/techcombank-sinh-loi-tu-dong</t>
  </si>
  <si>
    <t>https://techcombank.com/thong-tin/blog/cdm</t>
  </si>
  <si>
    <t>https://techcombank.com/thong-tin/blog/1-cmnd-dang-ky-duoc-may-tai-khoan-ngan-hang</t>
  </si>
  <si>
    <t>https://techcombank.com/thong-tin/blog/cach-chon-so-tai-khoan-dep</t>
  </si>
  <si>
    <t>https://techcombank.com/thong-tin/blog/due-diligence</t>
  </si>
  <si>
    <t>https://techcombank.com/thong-tin/blog/nen-vay-the-chap-ngan-hang-nao</t>
  </si>
  <si>
    <t>1.4. Due diligence thuế</t>
  </si>
  <si>
    <t>https://techcombank.com/thong-tin/blog/lai-suat-chung-chi-tien-gui-cac-ngan-hang</t>
  </si>
  <si>
    <t>Chưa hoàn thành</t>
  </si>
  <si>
    <t>Quá trình này xem xét việc kê khai, nộp thuế và các nghĩa vụ thuế khác mà doanh nghiệp đã và đang thực hiện, từ đó nhận diện rủ…</t>
  </si>
  <si>
    <t>https://techcombank.com/thong-tin/blog/cach-lam-the-atm</t>
  </si>
  <si>
    <t>https://techcombank.com/thong-tin/blog/quan-ly-chuoi-cua-hang</t>
  </si>
  <si>
    <t>https://techcombank.com/thong-tin/blog/lam-the-atm-co-mat-phi-khong</t>
  </si>
  <si>
    <t>https://techcombank.com/thong-tin/blog/lam-the-tin-dung</t>
  </si>
  <si>
    <t>https://techcombank.com/thong-tin/blog/gui-tiet-kiem-tich-luy-la-gi</t>
  </si>
  <si>
    <t>https://techcombank.com/thong-tin/blog/giai-ngan-la-gi</t>
  </si>
  <si>
    <t>2. Minh bạch hóa nghĩa vụ thuế và tài chính</t>
  </si>
  <si>
    <t>https://techcombank.com/thong-tin/blog/cach-tiet-kiem-tien-hieu-qua-cho-gia-dinh</t>
  </si>
  <si>
    <t>Doanh nghiệp chỉ nộp thuế khi có lợi nhuận, mức thuế gắn với hiệu quả kinh doanh</t>
  </si>
  <si>
    <t>https://techcombank.com/thong-tin/blog/the-tin-dung-den</t>
  </si>
  <si>
    <t>https://techcombank.com/thong-tin/blog/sao-ke-the-tin-dung-la-gi</t>
  </si>
  <si>
    <t>https://techcombank.com/thong-tin/blog/the-ghi-no-co-rut-tien-duoc-khong</t>
  </si>
  <si>
    <t>https://techcombank.com/thong-tin/blog/6-chiec-lo-tai-chinh-ca-nhan</t>
  </si>
  <si>
    <t>https://techcombank.com/thong-tin/blog/may-pos-la-gi</t>
  </si>
  <si>
    <t>3. Hướng dẫn đăng ký Dịch vụ thu hộ qua POS của Techcom…</t>
  </si>
  <si>
    <t>https://techcombank.com/thong-tin/blog/vay-ngan-hang-chi-can-cccd</t>
  </si>
  <si>
    <t>Miễn phí 3 tháng kê khai thuế và nộp thuế trực tiếp qua ứng dụng</t>
  </si>
  <si>
    <t>https://techcombank.com/thong-tin/blog/the-tin-dung-mien-phi-thuong-nien</t>
  </si>
  <si>
    <t>https://techcombank.com/thong-tin/blog/cac-loai-the-tin-dung</t>
  </si>
  <si>
    <t>https://techcombank.com/thong-tin/blog/no-the-tin-dung-qua-han</t>
  </si>
  <si>
    <t>https://techcombank.com/thong-tin/blog/vay-tin-chap-khong-tra-duoc-co-sao-khong</t>
  </si>
  <si>
    <t>https://techcombank.com/thong-tin/blog/vay-han-muc-la-gi</t>
  </si>
  <si>
    <t>https://techcombank.com/thong-tin/blog/cach-huy-the-tin-dung</t>
  </si>
  <si>
    <t>https://techcombank.com/thong-tin/blog/chuyen-tien-tu-han-sang-viet-nam</t>
  </si>
  <si>
    <t>chuyển khoản, nhận tiền, gửi/rút tiền, trả lương, thanh toán hóa đơn, nộp thuế, mua bán ngoại tệ,...</t>
  </si>
  <si>
    <t>https://techcombank.com/thong-tin/blog/tai-khoan-thanh-toan-la-gi</t>
  </si>
  <si>
    <t>https://techcombank.com/thong-tin/blog/so-cvv-la-gi</t>
  </si>
  <si>
    <t>https://techcombank.com/thong-tin/blog/tin-dung-la-gi</t>
  </si>
  <si>
    <t>https://techcombank.com/thong-tin/blog/tra-gop-qua-the-tin-dung</t>
  </si>
  <si>
    <t>https://techcombank.com/thong-tin/blog/mua-iphone-17</t>
  </si>
  <si>
    <t>https://techcombank.com/thong-tin/blog/the-tin-dung-het-han</t>
  </si>
  <si>
    <t>https://techcombank.com/thong-tin/blog/chung-chi-tien-gui-khac-gi-so-tiet-kiem</t>
  </si>
  <si>
    <t>https://techcombank.com/thong-tin/blog/cach-quan-ly-tai-chinh-kinh-doanh</t>
  </si>
  <si>
    <t>https://techcombank.com/thong-tin/blog/cac-chung-chi-quy-o-viet-nam</t>
  </si>
  <si>
    <t>5. Số hóa quy trình quản lý bằng nền tảng ngân hàng số</t>
  </si>
  <si>
    <t>https://techcombank.com/thong-tin/blog/nen-gui-tiet-kiem-thong-thuong-hay-tich-luy</t>
  </si>
  <si>
    <t>Quản lý doanh thu tự động, chi lương, thanh toán hóa đơn điện nước, nộp thuế hải quan đều được thực hiện trên nền tảng số Techc…</t>
  </si>
  <si>
    <t>https://techcombank.com/thong-tin/blog/dau-tu-trai-phieu-doanh-nghiep-dung-ham-lai-suat-cao</t>
  </si>
  <si>
    <t>https://techcombank.com/thong-tin/blog/ngoai-te-la-gi</t>
  </si>
  <si>
    <t>https://techcombank.com/thong-tin/blog/doi-tien-do-o-dau</t>
  </si>
  <si>
    <t>https://techcombank.com/thong-tin/blog/lai-suat-gui-tiet-kiem-usd</t>
  </si>
  <si>
    <t>https://techcombank.com/thong-tin/blog/vnd-to-myr</t>
  </si>
  <si>
    <t>https://techcombank.com/thong-tin/blog/1-van-tien-dai-loan-bang-bao-nhieu-tien-viet</t>
  </si>
  <si>
    <t>https://techcombank.com/thong-tin/blog/chuan-bi-cho-doanh-nghiep-khoi-nghiep-truoc-nhung-thay-doi-ve-thue</t>
  </si>
  <si>
    <t>https://techcombank.com/thong-tin/blog/vay-40-trieu</t>
  </si>
  <si>
    <t>Trong bối cảnh Chính phủ đẩy mạnh hỗ trợ khởi nghiệp và phát triển doanh nghiệp vừa và nhỏ, hệ thống thuế Việt Nam từ năm 2025 …</t>
  </si>
  <si>
    <t>https://techcombank.com/thong-tin/blog/dang-ky-kinh-doanh-la-gi</t>
  </si>
  <si>
    <t>https://techcombank.com/thong-tin/blog/phi-vay-the-chap</t>
  </si>
  <si>
    <t>https://techcombank.com/thong-tin/blog/vay-the-chap-so-bao-hiem-xa-hoi</t>
  </si>
  <si>
    <t>https://techcombank.com/thong-tin/blog/vay-the-chap-khong-chung-minh-thu-nhap</t>
  </si>
  <si>
    <t>https://techcombank.com/thong-tin/blog/dau-tu-ngan-han</t>
  </si>
  <si>
    <t>https://techcombank.com/thong-tin/blog/vay-kinh-doanh-online</t>
  </si>
  <si>
    <t>https://techcombank.com/thong-tin/blog/chuyen-doi-hoa-don-dien-tu</t>
  </si>
  <si>
    <t>5. Bước 5: Lưu trữ – đối soát</t>
  </si>
  <si>
    <t>CASA</t>
  </si>
  <si>
    <t>https://techcombank.com/thong-tin/blog/vay-50-trieu</t>
  </si>
  <si>
    <t>https://techcombank.com/thong-tin/blog/cach-nap-the-viettel</t>
  </si>
  <si>
    <t>Để hỗ trợ Hộ kinh doanh thích nghi với hoá đơn điện tử, chuyển đổi số và phát triển kinh doanh bền vững, Techcombank cung cấp g…</t>
  </si>
  <si>
    <t>https://techcombank.com/thong-tin/blog/mat-so-tiet-kiem</t>
  </si>
  <si>
    <t>https://techcombank.com/thong-tin/blog/app-gui-tien-tiet-kiem</t>
  </si>
  <si>
    <t>https://techcombank.com/thong-tin/blog/vay-thau-chi-la-gi</t>
  </si>
  <si>
    <t>https://techcombank.com/thong-tin/blog/cong-ty-xuat-nhap-khau</t>
  </si>
  <si>
    <t>4. Những lưu ý quan trọng cho công ty xuất nhập khẩu mớ…</t>
  </si>
  <si>
    <t>Áp đúng mã định danh hàng hóa là chìa khóa giúp doanh nghiệp tính toán chính xác chi phí nghĩa vụ nộp thuế, đẩy nhanh tiến độ t…</t>
  </si>
  <si>
    <t>https://techcombank.com/thong-tin/blog/hoa-don-dien-tu-ho-kinh-doanh</t>
  </si>
  <si>
    <t>2. Tăng tính minh bạch trong hoạt động kinh doanh</t>
  </si>
  <si>
    <t>Minh bạch hóa doanh thu, từ đó giảm thiểu nguy cơ xử phạt vi phạm hành chính do sai sót kê khai hoặc nộp thuế không đúng hạn</t>
  </si>
  <si>
    <t>https://techcombank.com/thong-tin/blog/top-phan-mem-ban-hang</t>
  </si>
  <si>
    <t>4.2. Nghĩa vụ về tài khoản thanh toán và nghĩa vụ thuế</t>
  </si>
  <si>
    <t>https://techcombank.com/thong-tin/blog/thu-tuc-thanh-lap-doanh-nghiep</t>
  </si>
  <si>
    <t>Song song với Luật Thương mại điện tử, việc khấu trừ, kê khai, nộp thuế thay cho hộ kinh doanh, cá nhân kinh doanh trên sàn TMĐ…</t>
  </si>
  <si>
    <t>https://techcombank.com/thong-tin/blog/wacc-la-gi</t>
  </si>
  <si>
    <t>https://techcombank.com/thong-tin/blog/quan-ly-tai-chinh-doanh-nghiep-la-gi</t>
  </si>
  <si>
    <t>https://techcombank.com/thong-tin/blog/may-tinh-tien</t>
  </si>
  <si>
    <t>6. Quy trình triển khai máy tính tiền như thế nào?</t>
  </si>
  <si>
    <t>https://techcombank.com/thong-tin/blog/dieu-kien-thanh-lap-doanh-nghiep</t>
  </si>
  <si>
    <t>https://techcombank.com/thong-tin/blog/chi-phi-mo-tai-khoan-ngan-hang-cho-cong-ty</t>
  </si>
  <si>
    <t>https://techcombank.com/thong-tin/blog/thanh-toan-khi-du-lich-thai-lan</t>
  </si>
  <si>
    <t>4.3. Làm thế nào để nhận hoàn thuế thu nhập cá nhân (T…</t>
  </si>
  <si>
    <t>Người nộp thuế nên thường xuyên cập nhật thông tin từ Tổng cục Thuế và sử dụng ứng dụng eTax Mobile để tính thuế thu nh…</t>
  </si>
  <si>
    <t>https://techcombank.com/thong-tin/blog/tin-dung-tieu-dung</t>
  </si>
  <si>
    <t>Năm cũ: không ghi năm.</t>
  </si>
  <si>
    <t>https://techcombank.com/thong-tin/blog/ghi-chep-chi-tieu</t>
  </si>
  <si>
    <t>https://techcombank.com/thong-tin/blog/cach-nap-tien-vao-the-ghi-no</t>
  </si>
  <si>
    <t>https://techcombank.com/thong-tin/blog/cach-chuyen-khoan-bang-dien-thoai</t>
  </si>
  <si>
    <t>https://techcombank.com/thong-tin/blog/thanh-toan-truc-tuyen</t>
  </si>
  <si>
    <t>https://techcombank.com/thong-tin/blog/nap-xu-tiktok</t>
  </si>
  <si>
    <t>https://techcombank.com/thong-tin/blog/the-tin-dung-la-gi</t>
  </si>
  <si>
    <t>https://techcombank.com/thong-tin/blog/bao-lanh-ngan-hang-la-gi</t>
  </si>
  <si>
    <t>https://techcombank.com/thong-tin/blog/remittance-la-gi</t>
  </si>
  <si>
    <t>Đảm bảo nộp thuế nhập khẩu.</t>
  </si>
  <si>
    <t>https://techcombank.com/thong-tin/blog/cach-tiet-kiem-100-trieu-1-nam</t>
  </si>
  <si>
    <t>https://techcombank.com/thong-tin/blog/dau-tu-tai-chinh-ca-nhan</t>
  </si>
  <si>
    <t>https://techcombank.com/thong-tin/blog/so-du-tai-khoan-thanh-toan</t>
  </si>
  <si>
    <t>https://techcombank.com/thong-tin/blog/vay-tien-online</t>
  </si>
  <si>
    <t>3. Chuyển nhượng linh hoạt khi sở hữu Chứng chỉ tiền gử…</t>
  </si>
  <si>
    <t>https://techcombank.com/thong-tin/blog/mo-the-tin-dung-khong-can-chung-minh-thu-nhap</t>
  </si>
  <si>
    <t>Bên bán và bên mua trong giao dịch chuyển nhượng CCTG đều không mất bất kỳ khoản thuế hay phí nào.</t>
  </si>
  <si>
    <t>https://techcombank.com/thong-tin/blog/so-tai-khoan-dep</t>
  </si>
  <si>
    <t>https://techcombank.com/thong-tin/blog/mo-tai-khoan-ngan-hang-online-co-an-toan-khong</t>
  </si>
  <si>
    <t>https://techcombank.com/thong-tin/blog/cach-tinh-tien-dien-sinh-hoat</t>
  </si>
  <si>
    <t>https://techcombank.com/thong-tin/blog/xac-thuc-sinh-trac-hoc-khi-chuyen-tien</t>
  </si>
  <si>
    <t>https://techcombank.com/thong-tin/blog/ty-gia-cac-ngan-hang</t>
  </si>
  <si>
    <t>https://techcombank.com/thong-tin/blog/chuyen-doi-so-ho-kinh-doanh</t>
  </si>
  <si>
    <t>1.4. An tâm liên kết eTax Mobile nhận thêm ưu đãi</t>
  </si>
  <si>
    <t>https://techcombank.com/thong-tin/blog/lam-the-visa-o-dau</t>
  </si>
  <si>
    <t>Sở hữu tài khoản Hộ kinh doanh Techcombank, khách hàng có thể dễ dàng liên kết eTax hỗ trợ kê khai thuế thuận tiện và chuẩn quy…</t>
  </si>
  <si>
    <t>https://techcombank.com/thong-tin/blog/ngan-hang-thu-huong-la-gi</t>
  </si>
  <si>
    <t>https://techcombank.com/thong-tin/blog/tai-khoan-ngan-hang-bi-khoa</t>
  </si>
  <si>
    <t>https://techcombank.com/thong-tin/blog/tai-khoan-ngan-hang-con-0-dong-co-sao-khong</t>
  </si>
  <si>
    <t>https://techcombank.com/thong-tin/blog/mo-tai-khoan-ngan-hang-cho-tre-em</t>
  </si>
  <si>
    <t>https://techcombank.com/thong-tin/blog/ho-so-thu-tuc-xoa-the-chap</t>
  </si>
  <si>
    <t>https://techcombank.com/thong-tin/blog/lam-the-atm-bao-lau-co</t>
  </si>
  <si>
    <t>Bài viết dưới đây sẽ hướng dẫn quy trình, thủ tục giải chấp sổ đỏ theo quy định mới năm 2026 và giải đáp các câu hỏi thường gặp…</t>
  </si>
  <si>
    <t>https://techcombank.com/thong-tin/blog/ma-pin-the-atm</t>
  </si>
  <si>
    <t>https://techcombank.com/thong-tin/blog/cach-kich-hoat-the-atm</t>
  </si>
  <si>
    <t>https://techcombank.com/thong-tin/blog/atm-la-gi</t>
  </si>
  <si>
    <t>https://techcombank.com/thong-tin/blog/lap-ke-hoach-tai-chinh-ca-nhan</t>
  </si>
  <si>
    <t>2.1. Bước 1: Xác định mục đích lập kế hoạch tài chính c…</t>
  </si>
  <si>
    <t>https://techcombank.com/thong-tin/blog/nang-han-muc-tin-dung</t>
  </si>
  <si>
    <t>Bao gồm các kế hoạch quan trọng và tốn kém như mua nhà, tích lũy tài sản thông qua chứng khoán hoặc bất động sản, và chuẩn bị c…</t>
  </si>
  <si>
    <t>https://techcombank.com/thong-tin/blog/loi-ich-cua-viec-tiet-kiem-tien</t>
  </si>
  <si>
    <t>https://techcombank.com/thong-tin/blog/cach-tiet-kiem-tien</t>
  </si>
  <si>
    <t>https://techcombank.com/thong-tin/blog/softpos</t>
  </si>
  <si>
    <t>https://techcombank.com/thong-tin/blog/rut-tien-mat-tu-tai-khoan-doanh-nghiep</t>
  </si>
  <si>
    <t>3. Tìm hiểu quy định của ngân hàng liên quan đến việc c…</t>
  </si>
  <si>
    <t>Bên cạnh đó, doanh nghiệp cũng nên lưu ý quy định khi nộp tiền vào ngân sách nhà nước qua ngân hàng , đặc biệt với các khoản th…</t>
  </si>
  <si>
    <t>https://techcombank.com/thong-tin/blog/in-ma-qr-ngan-hang</t>
  </si>
  <si>
    <t>https://techcombank.com/thong-tin/blog/spaylater</t>
  </si>
  <si>
    <t>https://techcombank.com/thong-tin/blog/tieu-dung-ben-vung</t>
  </si>
  <si>
    <t>https://techcombank.com/thong-tin/blog/phi-thuong-nien-la-gi</t>
  </si>
  <si>
    <t>nộp thuế hộ trên etax</t>
  </si>
  <si>
    <t>https://techcombank.com/thong-tin/blog/the-tin-dung-hoan-tien</t>
  </si>
  <si>
    <t>https://techcombank.com/thong-tin/blog/thu-tuc-chuyen-tien-ra-nuoc-ngoai</t>
  </si>
  <si>
    <t>Người nộp thuế hiện có thể liên kết và khai báo tài khoản ngân hàng trên eTax Mobile để thực hiện các giao dịch với cơ…</t>
  </si>
  <si>
    <t>https://techcombank.com/thong-tin/blog/dieu-kien-mua-usd-tu-ngan-hang</t>
  </si>
  <si>
    <t>https://techcombank.com/thong-tin/blog/the-napas-la-gi</t>
  </si>
  <si>
    <t>nộp thuế đất qua ngân hàng</t>
  </si>
  <si>
    <t>https://techcombank.com/thong-tin/blog/mo-the-tin-dung-han-muc-cao</t>
  </si>
  <si>
    <t>https://techcombank.com/thong-tin/blog/nghich-ly-nha-dau-tu-che-trai-phieu-lai-suat-cao-ua-ma-an-toan-du-lai-suat-thap-hon-05-1</t>
  </si>
  <si>
    <t>nộp thuế online</t>
  </si>
  <si>
    <t>https://techcombank.com/thong-tin/blog/thanh-toan-khoan-vay</t>
  </si>
  <si>
    <t>Việc nắm rõ thời hạn nộp tờ khai và quy trình kê khai thuế hộ kinh doanh cá thể online giúp chủ hộ hạn chế sai sót, trá…</t>
  </si>
  <si>
    <t>https://techcombank.com/thong-tin/blog/co-nen-gui-chung-chi-tien-gui</t>
  </si>
  <si>
    <t>https://techcombank.com/thong-tin/blog/chung-chi-tien-gui-co-duoc-bao-hiem-khong</t>
  </si>
  <si>
    <t>https://techcombank.com/thong-tin/blog/lai-kep-ngan-hang</t>
  </si>
  <si>
    <t>https://techcombank.com/thong-tin/blog/chon-kenh-dau-tu-an-toan-trong-boi-canh-thi-truong-bien-dong</t>
  </si>
  <si>
    <t>https://techcombank.com/thong-tin/blog/chung-chi-tien-gui-co-phai-la-trai-phieu-khong</t>
  </si>
  <si>
    <t>5. Hướng dẫn nộp thuế thu nhập cá nhân sau khi quyết t…</t>
  </si>
  <si>
    <t>Để quá trình quyết toán diễn ra thuận lợi, bạn nên chuẩn bị sẵn chứng từ khấu trừ, kiểm tra dữ liệu thu nhập, và liên k…</t>
  </si>
  <si>
    <t>https://techcombank.com/thong-tin/blog/gui-tiet-kiem-usd</t>
  </si>
  <si>
    <t>https://techcombank.com/thong-tin/blog/tien-malaysia</t>
  </si>
  <si>
    <t>Title/URL còn năm cũ (2025): nên cập nhật; câu chèn không ghi năm.</t>
  </si>
  <si>
    <t>https://techcombank.com/thong-tin/blog/1-trieu-won-bang-bao-nhieu-tien-viet</t>
  </si>
  <si>
    <t>https://techcombank.com/thong-tin/blog/cach-tiet-kiem-tien-theo-tuan</t>
  </si>
  <si>
    <t>https://techcombank.com/thong-tin/blog/nhu-cau-vay-tieu-dung-cua-nguoi-viet-du-kien-tang-manh-trong-thoi-gian-toi</t>
  </si>
  <si>
    <t>https://techcombank.com/thong-tin/blog/co-nen-mua-o-to-tra-gop</t>
  </si>
  <si>
    <t>https://techcombank.com/thong-tin/blog/gui-tiet-kiem-online-bi-mat-tien</t>
  </si>
  <si>
    <t>https://techcombank.com/thong-tin/blog/mo-tai-khoan-tiet-kiem-cho-con</t>
  </si>
  <si>
    <t>https://techcombank.com/thong-tin/blog/cach-dau-tu</t>
  </si>
  <si>
    <t>https://techcombank.com/thong-tin/blog/gui-them-tien-vao-so-tiet-kiem</t>
  </si>
  <si>
    <t>https://techcombank.com/thong-tin/blog/rui-ro-khi-gui-tiet-kiem-online</t>
  </si>
  <si>
    <t>https://techcombank.com/thong-tin/blog/quy-du-phong-tai-chinh-la-gi</t>
  </si>
  <si>
    <t>https://techcombank.com/thong-tin/blog/tra-no-vay-thau-chi-nhu-the-nao</t>
  </si>
  <si>
    <t>Thời điểm quyết toán thuế hàng năm là lúc nhiều người lao động quan tâm đến việc hoàn thuế thu nhập cá nhân (TNCN) – đặ…</t>
  </si>
  <si>
    <t>…a cứu và thực hiện các nghĩa vụ thuế như kê khai thuế, nộp thuế online…</t>
  </si>
  <si>
    <t>https://techcombank.com/thong-tin/blog/dong-tai-khoan-ngan-hang-cong-ty</t>
  </si>
  <si>
    <t>https://techcombank.com/thong-tin/blog/sao-ke-tai-khoan-doanh-nghiep</t>
  </si>
  <si>
    <t>https://techcombank.com/thong-tin/blog/cac-loai-hinh-doanh-nghiep</t>
  </si>
  <si>
    <t>https://techcombank.com/thong-tin/blog/co-50-trieu-nen-mua-vang-hay-gui-tiet-kiem</t>
  </si>
  <si>
    <t>https://techcombank.com/thong-tin/blog/the-visa-ao-la-gi</t>
  </si>
  <si>
    <t>4.2. Kiểm tra thuế hộ kinh doanh trên điện thoại được…</t>
  </si>
  <si>
    <t>Hộ kinh doanh có thể sử dụng ứng dụng eTax Mobile để kiểm tra thông tin đăng ký thuế, tra cứu nghĩa vụ thuế và theo dõi…</t>
  </si>
  <si>
    <t>https://techcombank.com/thong-tin/blog/cach-dong-tien-dien-qua-tai-khoan-ngan-hang</t>
  </si>
  <si>
    <t>https://techcombank.com/thong-tin/blog/thanh-toan-cuoc-truyen-hinh</t>
  </si>
  <si>
    <t>https://techcombank.com/thong-tin/blog/voucher-the-pizza-company</t>
  </si>
  <si>
    <t>https://techcombank.com/thong-tin/blog/nhung-kho-khan-khi-tiet-kiem-tien</t>
  </si>
  <si>
    <t>https://techcombank.com/thong-tin/blog/so-du-tien-gui-la-gi</t>
  </si>
  <si>
    <t>3.2. Khai thuế hộ kinh doanh</t>
  </si>
  <si>
    <t>https://techcombank.com/thong-tin/blog/the-visa-khong-thanh-toan-duoc</t>
  </si>
  <si>
    <t>Hộ kinh doanh, cá nhân kinh doanh có thể nộp tờ khai thuế qua ứng dụng eTax Mobile hoặc Trang thông tin điện tử của Cục…</t>
  </si>
  <si>
    <t>https://techcombank.com/thong-tin/blog/ty-gia-hoi-doai-la-gi</t>
  </si>
  <si>
    <t>https://techcombank.com/thong-tin/blog/von-luu-dong-la-gi</t>
  </si>
  <si>
    <t>https://techcombank.com/thong-tin/blog/ekyc-la-gi</t>
  </si>
  <si>
    <t>https://techcombank.com/thong-tin/blog/fintech-la-gi</t>
  </si>
  <si>
    <t>https://techcombank.com/thong-tin/blog/ngan-hang-dien-tu</t>
  </si>
  <si>
    <t>https://techcombank.com/thong-tin/blog/ngan-hang-so</t>
  </si>
  <si>
    <t>https://techcombank.com/thong-tin/blog/sao-ke-luong</t>
  </si>
  <si>
    <t>https://techcombank.com/thong-tin/blog/chinh-sach-tang-luong-huu</t>
  </si>
  <si>
    <t>https://techcombank.com/thong-tin/blog/so-du-kha-dung</t>
  </si>
  <si>
    <t>https://techcombank.com/thong-tin/blog/co-nen-mua-so-tai-khoan-ngan-hang-dep</t>
  </si>
  <si>
    <t>2. Cách nộp thuế thu nhập cá nhân (TNCN) trên eTax Mob…</t>
  </si>
  <si>
    <t>Nộp thuế trên eTax Mobile chỉ với 1 phút thực hiện.</t>
  </si>
  <si>
    <t>https://techcombank.com/thong-tin/blog/lo-so-tai-khoan-ngan-hang-co-sao-khong</t>
  </si>
  <si>
    <t>https://techcombank.com/thong-tin/blog/8868</t>
  </si>
  <si>
    <t>https://techcombank.com/thong-tin/blog/cach-doi-mat-khau-tai-khoan-ngan-hang</t>
  </si>
  <si>
    <t>https://techcombank.com/thong-tin/blog/lo-ma-qr-ngan-hang-co-sao-khong</t>
  </si>
  <si>
    <t>https://techcombank.com/thong-tin/blog/cach-lien-ket-tai-khoan-ngan-hang-voi-vneid</t>
  </si>
  <si>
    <t>https://techcombank.com/thong-tin/blog/nen-mo-tai-khoan-ngan-hang-nao-cho-doanh-nghiep</t>
  </si>
  <si>
    <t>https://techcombank.com/thong-tin/blog/tai-khoan-ngan-hang-chua-toi-da-bao-nhieu-tien</t>
  </si>
  <si>
    <t>1.4. Sàn thương mại điện tử phải khai và nộp thuế thay…</t>
  </si>
  <si>
    <t>https://techcombank.com/thong-tin/blog/hoc-sinh-sinh-vien-nen-lam-the-ngan-hang-nao</t>
  </si>
  <si>
    <t>Các sàn thương mại điện tử sẽ phải kê khai và nộp thuế cho hộ kinh doanh bán hàng trên nền sàn.</t>
  </si>
  <si>
    <t>https://techcombank.com/thong-tin/blog/viet-kieu-co-mo-duoc-tai-khoan-ngan-hang-khong</t>
  </si>
  <si>
    <t>https://techcombank.com/thong-tin/blog/ty-gia-la-gi</t>
  </si>
  <si>
    <t>https://techcombank.com/thong-tin/blog/the-tin-dung-mien-lai-55-ngay</t>
  </si>
  <si>
    <t>https://techcombank.com/thong-tin/blog/ma-qr-ngan-hang-khong-hop-le</t>
  </si>
  <si>
    <t>https://techcombank.com/thong-tin/blog/cach-chuyen-tien-qua-ma-qr-techcombank</t>
  </si>
  <si>
    <t>1.2. Khó khăn trong việc xác định doanh thu trên các n…</t>
  </si>
  <si>
    <t>https://techcombank.com/thong-tin/blog/iban-la-gi</t>
  </si>
  <si>
    <t>Từ 17/01/2025 , theo Nghị định 117/2025/NĐ-CP , sàn thương mại điện tử có trách nhiệm kê khai và nộp thuế thay cho hộ k…</t>
  </si>
  <si>
    <t>https://techcombank.com/thong-tin/blog/casa-la-gi</t>
  </si>
  <si>
    <t>https://techcombank.com/thong-tin/blog/the-ghi-no-co-chuyen-khoan-duoc-khong</t>
  </si>
  <si>
    <t>https://techcombank.com/thong-tin/blog/chuyen-tien-dinh-cu</t>
  </si>
  <si>
    <t>https://techcombank.com/thong-tin/blog/ma-otp-la-gi</t>
  </si>
  <si>
    <t>https://techcombank.com/thong-tin/blog/vi-du-ve-ca-nhan-hoa</t>
  </si>
  <si>
    <t>https://techcombank.com/thong-tin/blog/the-debit-cho-con</t>
  </si>
  <si>
    <t>1. Cách 1: Tra cứu mã số thuế hộ kinh doanh trên eTax…</t>
  </si>
  <si>
    <t>Cách tra cứu mã số thuế hộ kinh doanh trên eTax Mobile khi quên được thực hiện như sau:</t>
  </si>
  <si>
    <t>https://techcombank.com/thong-tin/blog/mo-tai-khoan-ngan-hang-bang-so-dien-thoai</t>
  </si>
  <si>
    <t>https://techcombank.com/thong-tin/blog/quy-gia-dinh</t>
  </si>
  <si>
    <t>https://techcombank.com/thong-tin/blog/rut-tien-bang-ma-qr-la-gi-cach-thuc-hien-nhu-the-nao</t>
  </si>
  <si>
    <t>https://techcombank.com/thong-tin/blog/rut-tien-bang-ma-qr-khac-ngan-hang-duoc-khong</t>
  </si>
  <si>
    <t>https://techcombank.com/thong-tin/blog/the-visa-de-lam-gi</t>
  </si>
  <si>
    <t>3. Hướng dẫn hộ kinh doanh khai báo tài khoản ngân hàn…</t>
  </si>
  <si>
    <t>Chủ hộ kinh doanh có thể linh hoạt lựa chọn thực hiện trên máy tính qua Dịch vụ công Tổng cục Thuế hoặc thao tác nhanh…</t>
  </si>
  <si>
    <t>https://techcombank.com/thong-tin/blog/the-atm-khong-rut-duoc-tien</t>
  </si>
  <si>
    <t>https://techcombank.com/thong-tin/blog/app-mua-truoc-tra-sau</t>
  </si>
  <si>
    <t>https://techcombank.com/thong-tin/blog/cashback-the-thanh-toan</t>
  </si>
  <si>
    <t>https://techcombank.com/thong-tin/blog/cach-mo-tai-khoan</t>
  </si>
  <si>
    <t>https://techcombank.com/thong-tin/blog/thanh-toan-ve-may-bay-online</t>
  </si>
  <si>
    <t>Song song với Luật Thương mại điện tử, việc khấu trừ, kê khai, nộp thuế thay cho hộ kinh doanh, cá nhân kinh doanh trên…</t>
  </si>
  <si>
    <t>https://techcombank.com/thong-tin/blog/cach-khoa-the-ngan-hang</t>
  </si>
  <si>
    <t>https://techcombank.com/thong-tin/blog/cach-su-dung-the-ghi-no</t>
  </si>
  <si>
    <t>https://techcombank.com/thong-tin/blog/ma-qr-techcombank</t>
  </si>
  <si>
    <t>https://techcombank.com/thong-tin/blog/tao-ma-qr-thanh-toan-cho-cua-hang</t>
  </si>
  <si>
    <t>https://techcombank.com/thong-tin/blog/pos</t>
  </si>
  <si>
    <t>1. Quy định mới nhất về mã số thuế cá nhân</t>
  </si>
  <si>
    <t>Người nộp thuế không cần đăng ký mã số thuế riêng — chỉ cần sử dụng số định danh cá nhân để kê khai, nộp hoặc quyết toá…</t>
  </si>
  <si>
    <t>https://techcombank.com/thong-tin/blog/qr-code-doanh-nghiep</t>
  </si>
  <si>
    <t>https://techcombank.com/thong-tin/blog/qr-dong</t>
  </si>
  <si>
    <t>https://techcombank.com/thong-tin/blog/the-debit</t>
  </si>
  <si>
    <t>https://techcombank.com/thong-tin/blog/mua-ve-xem-phim</t>
  </si>
  <si>
    <t>1. Thuế khoán hộ kinh doanh là gì?</t>
  </si>
  <si>
    <t>Trên cơ sở đó, cơ quan thuế tính số thuế phải nộp và thông báo cho hộ kinh doanh thực hiện nghĩa vụ thuế theo quy định.</t>
  </si>
  <si>
    <t>https://techcombank.com/thong-tin/blog/uu-dai-the-tin-dung</t>
  </si>
  <si>
    <t>https://techcombank.com/thong-tin/blog/lich-su-tin-dung</t>
  </si>
  <si>
    <t>https://techcombank.com/thong-tin/blog/ho-so-vay-von-cua-doanh-nghiep-gom-nhung-gi</t>
  </si>
  <si>
    <t>https://techcombank.com/thong-tin/blog/tous-les-jours</t>
  </si>
  <si>
    <t>1. Chủ động cập nhật và tìm hiểu chính sách thuế mới</t>
  </si>
  <si>
    <t>Từ ngày 01/01/2026, hộ kinh doanh và cá nhân kinh doanh sẽ phải nộp thuế dựa trên doanh thu thực tế thay vì khoán thuế.</t>
  </si>
  <si>
    <t>https://techcombank.com/thong-tin/blog/the-tin-dung-ao</t>
  </si>
  <si>
    <t>https://techcombank.com/thong-tin/blog/the-tin-dung-co-ma-pin-khong</t>
  </si>
  <si>
    <t>https://techcombank.com/thong-tin/blog/cach-thanh-toan-quang-cao-tiktok</t>
  </si>
  <si>
    <t>https://techcombank.com/thong-tin/blog/bao-hiem-suc-khoe-la-gi</t>
  </si>
  <si>
    <t>https://techcombank.com/thong-tin/blog/ma-swift-ngan-hang</t>
  </si>
  <si>
    <t>https://techcombank.com/thong-tin/blog/chuyen-tien-tu-duc-ve-viet-nam</t>
  </si>
  <si>
    <t>https://techcombank.com/thong-tin/blog/1-yen-bang-bao-nhieu-tien-viet-nam</t>
  </si>
  <si>
    <t>https://techcombank.com/thong-tin/blog/lam-the-tin-dung-co-mat-phi-khong</t>
  </si>
  <si>
    <t>https://techcombank.com/thong-tin/blog/the-tin-dung-noi-dia</t>
  </si>
  <si>
    <t>cách nộp thuế điện tử</t>
  </si>
  <si>
    <t>https://techcombank.com/thong-tin/blog/loyalty-la-gi</t>
  </si>
  <si>
    <t>https://techcombank.com/thong-tin/blog/the-tin-dung-bi-khoa</t>
  </si>
  <si>
    <t>https://techcombank.com/thong-tin/blog/cach-tinh-loi-nhuan-chung-chi-tien-gui</t>
  </si>
  <si>
    <t>https://techcombank.com/thong-tin/blog/nguyen-tac-quan-ly-tai-chinh-ca-nhan</t>
  </si>
  <si>
    <t>https://techcombank.com/thong-tin/blog/thanh-khoan-la-gi</t>
  </si>
  <si>
    <t>https://techcombank.com/thong-tin/blog/tat-toan-chung-chi-tien-gui</t>
  </si>
  <si>
    <t>https://techcombank.com/thong-tin/blog/quan-ly-tai-chinh-doanh-nghiep-nho</t>
  </si>
  <si>
    <t>https://techcombank.com/thong-tin/blog/chung-chi-tien-gui-la-gi</t>
  </si>
  <si>
    <t>https://techcombank.com/thong-tin/blog/cach-kiem-tra-tai-khoan-ngan-hang</t>
  </si>
  <si>
    <t>https://techcombank.com/thong-tin/blog/cach-nhan-tien-tu-nuoc-ngoai-ve-viet-nam</t>
  </si>
  <si>
    <t>https://techcombank.com/thong-tin/blog/tien-lao</t>
  </si>
  <si>
    <t>https://techcombank.com/thong-tin/blog/tien-thai-lan</t>
  </si>
  <si>
    <t>https://techcombank.com/thong-tin/blog/thanh-toan-bang-the-quoc-te</t>
  </si>
  <si>
    <t>https://techcombank.com/thong-tin/blog/gui-tien-sang-nuoc-ngoai</t>
  </si>
  <si>
    <t>https://techcombank.com/thong-tin/blog/1-euro-bang-bao-nhieu-tien-viet</t>
  </si>
  <si>
    <t>https://techcombank.com/thong-tin/blog/thanh-toan-qr-thai-lan</t>
  </si>
  <si>
    <t>https://techcombank.com/thong-tin/blog/vay-sieu-toc</t>
  </si>
  <si>
    <t>https://techcombank.com/thong-tin/blog/nhan-tien-western-union</t>
  </si>
  <si>
    <t>https://techcombank.com/thong-tin/blog/barcode-la-gi</t>
  </si>
  <si>
    <t>https://techcombank.com/thong-tin/blog/thanh-lap-ho-kinh-doanh-ca-the</t>
  </si>
  <si>
    <t>https://techcombank.com/thong-tin/blog/thanh-toan-khong-dung-tien-mat</t>
  </si>
  <si>
    <t>https://techcombank.com/thong-tin/blog/giay-phep-kinh-doanh</t>
  </si>
  <si>
    <t>https://techcombank.com/thong-tin/blog/nim-la-gi</t>
  </si>
  <si>
    <t>https://techcombank.com/thong-tin/blog/chuyen-doi-xanh</t>
  </si>
  <si>
    <t>https://techcombank.com/thong-tin/blog/an-han-no-goc-la-gi</t>
  </si>
  <si>
    <t>1. Truy thu thuế hộ kinh doanh là gì?</t>
  </si>
  <si>
    <t>Tuy nhiên, truy thu thuế được hiểu là việc cơ quan thuế yêu cầu nộp bổ sung phần thuế còn thiếu.</t>
  </si>
  <si>
    <t>https://techcombank.com/thong-tin/blog/xu-huong-dau-tu-trai-phieu-ky-han-duoi-mot-nam-lua-chon-an-toan-khi-thi-truong-bien-dong</t>
  </si>
  <si>
    <t>https://techcombank.com/thong-tin/blog/chung-chi-tien-gui-co-an-toan-khong</t>
  </si>
  <si>
    <t>https://techcombank.com/thong-tin/blog/the-nao-la-tiet-kiem</t>
  </si>
  <si>
    <t>https://techcombank.com/thong-tin/blog/vi-sao-lai-suat-trai-phieu-tai-tcbs-lai-thap-hon-so-voi-cac-to-chuc-phat-hanh-khac</t>
  </si>
  <si>
    <t>1. Quyết toán thuế doanh nghiệp là gì? Gồm các sắc thu…</t>
  </si>
  <si>
    <t>https://techcombank.com/thong-tin/blog/thu-tuc-vay-von-doanh-nghiep</t>
  </si>
  <si>
    <t>Hiểu một cách bản chất, quyết toán thuế doanh nghiệp là quá trình doanh nghiệp tiến hành khai báo, tính toán lại một cá…</t>
  </si>
  <si>
    <t>https://techcombank.com/thong-tin/blog/tiet-kiem-tien-moi-ngay</t>
  </si>
  <si>
    <t>https://techcombank.com/thong-tin/blog/thoi-han-vay-thau-chi</t>
  </si>
  <si>
    <t>https://techcombank.com/thong-tin/blog/tap-doan-thanh-quang-khoi-sac-kinh-doanh-nho-nguon-von-vay-tin-dung-techcombank-tren-nen-tang-misa-lending</t>
  </si>
  <si>
    <t>https://techcombank.com/thong-tin/blog/loi-nhuan-rong</t>
  </si>
  <si>
    <t>https://techcombank.com/thong-tin/blog/roa</t>
  </si>
  <si>
    <t>Bài viết dưới đây sẽ hướng dẫn chi tiết cách nộp thuế đất qua ngân hàng và trên Etax online đúng quy định , kèm theo cá…</t>
  </si>
  <si>
    <t>https://techcombank.com/thong-tin/blog/tra-cuu-hoa-don-tien-dien</t>
  </si>
  <si>
    <t>https://techcombank.com/thong-tin/blog/huong-dan-dang-ky-thanh-lap-doanh-nghiep</t>
  </si>
  <si>
    <t>https://techcombank.com/thong-tin/blog/app-theo-doi-chung-chi-quy</t>
  </si>
  <si>
    <t>https://techcombank.com/thong-tin/blog/nap-tien-dien-thoai-online</t>
  </si>
  <si>
    <t>https://techcombank.com/thong-tin/blog/thanh-toan-tra-sau-viettel-bang-tai-khoan-ngan-hang</t>
  </si>
  <si>
    <t>https://techcombank.com/thong-tin/blog/cach-nap-the</t>
  </si>
  <si>
    <t>https://techcombank.com/thong-tin/blog/cach-nap-the-vina</t>
  </si>
  <si>
    <t>Căn cứ Điều 39 Luật Quản lý thuế 2019 và Điều 29, Điều 32 Thông tư 86/2024/TT-BTC , mã số thuế của người nộp thuế bị ch…</t>
  </si>
  <si>
    <t>https://techcombank.com/thong-tin/blog/cach-nap-the-mobi</t>
  </si>
  <si>
    <t>https://techcombank.com/thong-tin/blog/app-dong-tien-dien-online</t>
  </si>
  <si>
    <t>https://techcombank.com/thong-tin/blog/thoi-gian-hoan-tien-the-tin-dung</t>
  </si>
  <si>
    <t>https://techcombank.com/thong-tin/blog/hu-chi-tieu</t>
  </si>
  <si>
    <t>https://techcombank.com/thong-tin/blog/vong-quay-von</t>
  </si>
  <si>
    <t>3. Lợi ích hộ kinh doanh nhận được khi mở Tài khoản Hộ…</t>
  </si>
  <si>
    <t>https://techcombank.com/thong-tin/blog/techcombank-va-cong-cuoc-chuyen-doi-so-nganh-ngan-hang</t>
  </si>
  <si>
    <t>NHIỀU ƯU ĐÃI THUẾ, HOÁ ĐƠN ĐIỆN TỬ như miễn phí 5,000 hoá đơn điện tử, miễn phí 1 năm chữ ký số, miễn phí xuất hóa đơn…</t>
  </si>
  <si>
    <t>https://techcombank.com/thong-tin/blog/dau-tu-quy-mo</t>
  </si>
  <si>
    <t>https://techcombank.com/thong-tin/blog/app-tra-luong</t>
  </si>
  <si>
    <t>https://techcombank.com/thong-tin/blog/sms-banking</t>
  </si>
  <si>
    <t>https://techcombank.com/thong-tin/blog/ma-giao-dich-la-gi</t>
  </si>
  <si>
    <t>https://techcombank.com/thong-tin/blog/66666-co-y-nghia-gi</t>
  </si>
  <si>
    <t>https://techcombank.com/thong-tin/blog/so-8386</t>
  </si>
  <si>
    <t>https://techcombank.com/thong-tin/blog/so-the-ngan-hang</t>
  </si>
  <si>
    <t>1. Techcombank T-Shop - Phần mềm bán hàng, xuất hóa đơ…</t>
  </si>
  <si>
    <t>https://techcombank.com/thong-tin/blog/99999-co-y-nghia-gi</t>
  </si>
  <si>
    <t>https://techcombank.com/thong-tin/blog/so-6868</t>
  </si>
  <si>
    <t>https://techcombank.com/thong-tin/blog/y-nghia-so-68</t>
  </si>
  <si>
    <t>https://techcombank.com/thong-tin/blog/mo-tai-khoan-ngan-hang-co-mat-phi-khong</t>
  </si>
  <si>
    <t>https://techcombank.com/thong-tin/blog/nho-nguoi-than-mo-tai-khoan-ngan-hang</t>
  </si>
  <si>
    <t>https://techcombank.com/thong-tin/blog/bao-nhieu-tuoi-duoc-mo-tai-khoan-ngan-hang</t>
  </si>
  <si>
    <t>1.1. Ưu đãi về thuế và lệ phí từ Nhà nước</t>
  </si>
  <si>
    <t>https://techcombank.com/thong-tin/blog/mo-tai-khoan-ngan-hang-duoi-18-tuoi</t>
  </si>
  <si>
    <t>Doanh nghiệp khởi nghiệp sáng tạo, công ty quản lý quỹ đầu tư khởi nghiệp sáng tạo được miễn thuế thu nhập doanh nghiệp…</t>
  </si>
  <si>
    <t>https://techcombank.com/thong-tin/blog/cach-lien-ket-epass-voi-tai-khoan-ngan-hang</t>
  </si>
  <si>
    <t>https://techcombank.com/thong-tin/blog/88-la-gi</t>
  </si>
  <si>
    <t>https://techcombank.com/thong-tin/blog/gia-tri-thuong-hieu</t>
  </si>
  <si>
    <t>https://techcombank.com/thong-tin/blog/mat-the-tin-dung-co-lam-lai-duoc-khong</t>
  </si>
  <si>
    <t>Khi đó, người nộp thuế có thể bị xử phạt vi phạm hành chính theo quy định hiện hành.</t>
  </si>
  <si>
    <t>https://techcombank.com/thong-tin/blog/loa-ting-ting</t>
  </si>
  <si>
    <t>https://techcombank.com/thong-tin/blog/loa-thong-bao-chuyen-khoan</t>
  </si>
  <si>
    <t>https://techcombank.com/thong-tin/blog/cach-tao-ma-qr-code-mien-phi</t>
  </si>
  <si>
    <t>https://techcombank.com/thong-tin/blog/cam-nang-dinh-cu-my</t>
  </si>
  <si>
    <t>thuế thu nhập doanh nghiệp</t>
  </si>
  <si>
    <t>https://techcombank.com/thong-tin/blog/1-nguoi-co-the-lam-duoc-bao-nhieu-the-atm</t>
  </si>
  <si>
    <t>https://techcombank.com/thong-tin/blog/lam-the-visa-online</t>
  </si>
  <si>
    <t>https://techcombank.com/thong-tin/blog/thanh-toan-hoc-phi-online</t>
  </si>
  <si>
    <t>5.3 Mua chữ ký số (Token) và hóa đơn điện tử</t>
  </si>
  <si>
    <t>Dùng để ký điện tử các văn bản, hồ sơ giao dịch với cơ quan nhà nước, đặc biệt là nộp tờ khai thuế trực tuyến, khai hải…</t>
  </si>
  <si>
    <t>https://techcombank.com/thong-tin/blog/cach-bao-ve-tai-khoan</t>
  </si>
  <si>
    <t>https://techcombank.com/thong-tin/blog/the-atm-gan-chip</t>
  </si>
  <si>
    <t>https://techcombank.com/thong-tin/blog/li-xi-tet</t>
  </si>
  <si>
    <t>https://techcombank.com/thong-tin/blog/chuyen-khoan-lien-ngan-hang</t>
  </si>
  <si>
    <t>https://techcombank.com/thong-tin/blog/smart-otp-la-gi</t>
  </si>
  <si>
    <t>3.2. Hướng dẫn cá nhân nộp thuế trên eTax Mobile</t>
  </si>
  <si>
    <t>https://techcombank.com/thong-tin/blog/merchant-portal</t>
  </si>
  <si>
    <t>https://techcombank.com/thong-tin/blog/gui-ma-qr-ngan-hang</t>
  </si>
  <si>
    <t>https://techcombank.com/thong-tin/blog/thanh-toan-hoa-don-tieu-dung</t>
  </si>
  <si>
    <t>https://techcombank.com/thong-tin/blog/quet-ma-qr-techcombank</t>
  </si>
  <si>
    <t>https://techcombank.com/thong-tin/blog/lam-ma-qr-ngan-hang-co-mat-phi-khong</t>
  </si>
  <si>
    <t>https://techcombank.com/thong-tin/blog/thanh-toan-ma-qr-tro-thanh-phuong-thuc-duoc-ua-chuong-va-trien-khai-manh-me</t>
  </si>
  <si>
    <t>https://techcombank.com/thong-tin/blog/the-mastercard-la-gi</t>
  </si>
  <si>
    <t>https://techcombank.com/thong-tin/blog/san-pham-xanh</t>
  </si>
  <si>
    <t>Thay vì phải trực tiếp đến cơ quan hải quan, người nộp thuế có thể dễ dàng kiểm tra cứu nợ thuế hải quan và hoàn tất th…</t>
  </si>
  <si>
    <t>https://techcombank.com/thong-tin/blog/voucher-starbucks</t>
  </si>
  <si>
    <t>https://techcombank.com/thong-tin/blog/the-tin-dung-techcombank-visa-eco</t>
  </si>
  <si>
    <t>https://techcombank.com/thong-tin/blog/mr-eco</t>
  </si>
  <si>
    <t>https://techcombank.com/thong-tin/blog/xep-hang-tin-dung</t>
  </si>
  <si>
    <t>https://techcombank.com/thong-tin/blog/luu-y-khi-su-dung-the-tin-dung</t>
  </si>
  <si>
    <t>https://techcombank.com/thong-tin/blog/cam-ket-tin-dung</t>
  </si>
  <si>
    <t>https://techcombank.com/thong-tin/blog/han-muc-tra-gop-the-tin-dung</t>
  </si>
  <si>
    <t>https://techcombank.com/thong-tin/blog/han-muc-the-tin-dung</t>
  </si>
  <si>
    <t>https://techcombank.com/thong-tin/blog/kich-hoat-the-tin-dung-techcombank</t>
  </si>
  <si>
    <t>https://techcombank.com/thong-tin/blog/thanh-toan-online-bang-the-tin-dung</t>
  </si>
  <si>
    <t>https://techcombank.com/thong-tin/blog/voucher-highland</t>
  </si>
  <si>
    <t>https://techcombank.com/thong-tin/blog/thanh-toan-quoc-te</t>
  </si>
  <si>
    <t>https://techcombank.com/thong-tin/blog/vang-14k-gia-hom-nay</t>
  </si>
  <si>
    <t>https://techcombank.com/thong-tin/blog/dat-ve-may-bay</t>
  </si>
  <si>
    <t>4. Doanh nghiệp khởi nghiệp được miễn thuế 2 năm đầu,…</t>
  </si>
  <si>
    <t>https://techcombank.com/thong-tin/blog/the-visa-co-thanh-toan-quoc-te-duoc-khong</t>
  </si>
  <si>
    <t>Giảm 50% số thuế TNDN phải nộp trong 4 năm tiếp theo</t>
  </si>
  <si>
    <t>https://techcombank.com/thong-tin/blog/chuyen-tien-tro-cap-than-nhan-o-nuoc-ngoai</t>
  </si>
  <si>
    <t>https://techcombank.com/thong-tin/blog/tai-khoan-ngan-hang-duoi-50k-co-bi-khoa-khong</t>
  </si>
  <si>
    <t>https://techcombank.com/thong-tin/blog/ngan-hang-uy-tin</t>
  </si>
  <si>
    <t>https://techcombank.com/thong-tin/blog/cac-loai-bao-hiem-suc-khoe</t>
  </si>
  <si>
    <t>Title/URL còn năm cũ: câu chèn không ghi năm.</t>
  </si>
  <si>
    <t>https://techcombank.com/thong-tin/blog/cua-hang-tien-loi</t>
  </si>
  <si>
    <t>https://techcombank.com/thong-tin/blog/thanh-toan-khi-du-lich-singapore</t>
  </si>
  <si>
    <t>https://techcombank.com/thong-tin/blog/the-visa-co-rut-tien-duoc-khong</t>
  </si>
  <si>
    <t>https://techcombank.com/thong-tin/blog/the-tin-dung-co-chuyen-khoan-duoc-khong</t>
  </si>
  <si>
    <t>Để xác định chính xác nghĩa vụ thuế thu nhập doanh nghiệp (TNDN) phải nộp, doanh nghiệp phải tuân thủ công thức:</t>
  </si>
  <si>
    <t>https://techcombank.com/thong-tin/blog/khong-su-dung-the-tin-dung-co-mat-phi-khong</t>
  </si>
  <si>
    <t>https://techcombank.com/thong-tin/blog/dao-han-the-tin-dung</t>
  </si>
  <si>
    <t>https://techcombank.com/thong-tin/blog/lam-phat-la-gi</t>
  </si>
  <si>
    <t>https://techcombank.com/thong-tin/blog/phi-chuyen-doi-ngoai-te</t>
  </si>
  <si>
    <t>https://techcombank.com/thong-tin/blog/ngoai-hoi-la-gi</t>
  </si>
  <si>
    <t>https://techcombank.com/thong-tin/blog/xu-huong-ty-gia-usd</t>
  </si>
  <si>
    <t>https://techcombank.com/thong-tin/blog/cach-tinh-gia-vang</t>
  </si>
  <si>
    <t>Quyết toán Thuế thu nhập doanh nghiệp (TNDN):</t>
  </si>
  <si>
    <t>https://techcombank.com/thong-tin/blog/thanh-toan-khi-du-lich-nhat-ban</t>
  </si>
  <si>
    <t>https://techcombank.com/thong-tin/blog/phan-mem-quan-ly-tai-chinh-doanh-nghiep</t>
  </si>
  <si>
    <t>https://techcombank.com/thong-tin/blog/bao-hiem-sinh-ky-la-gi</t>
  </si>
  <si>
    <t>https://techcombank.com/thong-tin/blog/5-trieu-mua-duoc-bao-nhieu-vang</t>
  </si>
  <si>
    <t>https://techcombank.com/thong-tin/blog/tai-san-va-tieu-san-la-gi</t>
  </si>
  <si>
    <t>https://techcombank.com/thong-tin/blog/rut-tien-bao-hiem-nhan-tho-khi-het-han</t>
  </si>
  <si>
    <t>… dụng cho doanh nghiệp mới thành lập trải rộng từ miễn thuế thu nhập doanh nghiệp, bãi bỏ lệ phí môn bài đến hỗ trợ lã…</t>
  </si>
  <si>
    <t>https://techcombank.com/thong-tin/blog/ngan-hang-xanh</t>
  </si>
  <si>
    <t>https://techcombank.com/thong-tin/blog/tinh-thanh-khoan-la-gi</t>
  </si>
  <si>
    <t>https://techcombank.com/thong-tin/blog/tai-khoan-tiet-kiem</t>
  </si>
  <si>
    <t>https://techcombank.com/thong-tin/blog/loi-ich-cua-ngan-hang-so-voi-sme</t>
  </si>
  <si>
    <t>https://techcombank.com/thong-tin/blog/ke-hoach-tai-chinh</t>
  </si>
  <si>
    <t>https://techcombank.com/thong-tin/blog/gui-tiet-kiem-online-quay-vong-ca-goc-va-lai</t>
  </si>
  <si>
    <t>https://techcombank.com/thong-tin/blog/bao-lanh-vay-von</t>
  </si>
  <si>
    <t>https://techcombank.com/thong-tin/blog/chung-chi-quy</t>
  </si>
  <si>
    <t>2.2. Lợi nhuận ròng (Net Profit)</t>
  </si>
  <si>
    <t>Lợi nhuận ròng = Tổng doanh thu - (Chi phí hoạt động + Chi phí tài chính + Thuế thu nhập doanh nghiệp)</t>
  </si>
  <si>
    <t>https://techcombank.com/thong-tin/blog/mua-chung-chi-quy</t>
  </si>
  <si>
    <t>…p luật lao động không cấm hình thức này, song quy định thuế thu nhập doanh nghiệp từ năm 2025 đã bổ sung điều kiện về…</t>
  </si>
  <si>
    <t>https://techcombank.com/thong-tin/blog/toi-uu-hoa-chi-phi-trong-doanh-nghiep</t>
  </si>
  <si>
    <t>https://techcombank.com/thong-tin/blog/gia-dien-sinh-hoat</t>
  </si>
  <si>
    <t>https://techcombank.com/thong-tin/blog/app-chia-tien</t>
  </si>
  <si>
    <t>https://techcombank.com/thong-tin/blog/dang-ky-thanh-lap-doanh-nghiep</t>
  </si>
  <si>
    <t>https://techcombank.com/thong-tin/blog/ho-so-dang-ky-thanh-lap-doanh-nghiep</t>
  </si>
  <si>
    <t>1. EBITDA phản ánh điều gì trong hoạt động kinh doanh?</t>
  </si>
  <si>
    <t>https://techcombank.com/thong-tin/blog/dang-ky-thanh-lap-doanh-nghiep-online</t>
  </si>
  <si>
    <t>… yếu tố như chi phí lãi vay (phụ thuộc vào cơ cấu nợ), thuế thu nhập doanh nghiệp (phụ thuộc vào chính sách thuế từng…</t>
  </si>
  <si>
    <t>https://techcombank.com/thong-tin/blog/tai-khoan-cong-ty-co-chuyen-online-duoc-khong</t>
  </si>
  <si>
    <t>https://techcombank.com/thong-tin/blog/cac-loai-bao-hiem-hien-nay</t>
  </si>
  <si>
    <t>https://techcombank.com/thong-tin/blog/loi-ich-cua-tri-tue-nhan-tao</t>
  </si>
  <si>
    <t>https://techcombank.com/thong-tin/blog/voucher-golden-gate</t>
  </si>
  <si>
    <t>https://techcombank.com/thong-tin/blog/co-loyalty-la-gi</t>
  </si>
  <si>
    <t>https://techcombank.com/thong-tin/blog/sinh-loi-rinh-loc</t>
  </si>
  <si>
    <t>1.2. Thuế giá trị gia tăng, thuế thu nhập doanh nghiệp…</t>
  </si>
  <si>
    <t>Thuế thu nhập doanh nghiệp (TNDN):</t>
  </si>
  <si>
    <t>https://techcombank.com/thong-tin/blog/bao-hiem-nhan-tho-la-gi</t>
  </si>
  <si>
    <t>https://techcombank.com/thong-tin/blog/chu-ky-so-huong-di-nang-cao-hieu-qua-trong-hoat-dong-ngan-hang</t>
  </si>
  <si>
    <t>https://techcombank.com/thong-tin/blog/cpi-la-gi</t>
  </si>
  <si>
    <t>https://techcombank.com/thong-tin/blog/chi-tra-luong-huu</t>
  </si>
  <si>
    <t>https://techcombank.com/thong-tin/blog/gia-xang-dau-hom-nay</t>
  </si>
  <si>
    <t>2. Ưu điểm vượt trội của mô hình doanh nghiệp trong dà…</t>
  </si>
  <si>
    <t>https://techcombank.com/thong-tin/blog/app-ngan-hang-co-dung-duoc-o-nuoc-ngoai</t>
  </si>
  <si>
    <t>Miễn thuế thu nhập doanh nghiệp nhỏ và vừa trong 3 năm đầu thành lập</t>
  </si>
  <si>
    <t>https://techcombank.com/thong-tin/blog/thanh-toan-phi-quan-ly-chung-cu</t>
  </si>
  <si>
    <t>https://techcombank.com/thong-tin/blog/cach-huy-thanh-toan-tien-dien</t>
  </si>
  <si>
    <t>https://techcombank.com/thong-tin/blog/kieu-hoi-la-gi</t>
  </si>
  <si>
    <t>https://techcombank.com/thong-tin/blog/bao-hiem-nhan-tho-bao-nhieu-tien</t>
  </si>
  <si>
    <t>https://techcombank.com/thong-tin/blog/day-so-phat-tai-phat-loc</t>
  </si>
  <si>
    <t>2. Công thức tính WACC</t>
  </si>
  <si>
    <t>T là thuế suất thuế thu nhập doanh nghiệp dùng để điều chỉnh phần chi phí nợ vay sau thuế</t>
  </si>
  <si>
    <t>https://techcombank.com/thong-tin/blog/vip-ngan-hang</t>
  </si>
  <si>
    <t>https://techcombank.com/thong-tin/blog/app-ngan-hang</t>
  </si>
  <si>
    <t>https://techcombank.com/thong-tin/blog/chuyen-nham-tien-co-lay-lai-duoc-khong</t>
  </si>
  <si>
    <t>https://techcombank.com/thong-tin/blog/token-la-gi</t>
  </si>
  <si>
    <t>https://techcombank.com/thong-tin/blog/ty-le-khach-hang-su-dung-chu-ky-so-trong-linh-vuc-ngan-hang-dang-o-muc-5</t>
  </si>
  <si>
    <t>1.1. Thanh toán và chuyển tiền</t>
  </si>
  <si>
    <t>Đóng thuế thu nhập doanh nghiệp, thuế giá trị gia tăng…</t>
  </si>
  <si>
    <t>https://techcombank.com/thong-tin/blog/cach-quet-nfc-cccd-tren-iphone</t>
  </si>
  <si>
    <t>https://techcombank.com/thong-tin/blog/mo-tai-khoan-ngan-hang-trung-so-dien-thoai</t>
  </si>
  <si>
    <t>https://techcombank.com/thong-tin/blog/thanh-toan-khong-tien-mat-trong-nganh-giao-duc-co-hoi-va-thach-thuc</t>
  </si>
  <si>
    <t>https://techcombank.com/thong-tin/blog/bi-nuot-the-atm-phai-lam-sao</t>
  </si>
  <si>
    <t>https://techcombank.com/thong-tin/blog/vi-tra-sau</t>
  </si>
  <si>
    <t>5. Giải đáp thắc mắc về khấu hao</t>
  </si>
  <si>
    <t>https://techcombank.com/thong-tin/blog/app-quan-ly-chi-tieu</t>
  </si>
  <si>
    <t>Đây là cơ sở để tính giá thành sản phẩm, xác định lợi nhuận và nghĩa vụ thuế thu nhập doanh nghiệp.</t>
  </si>
  <si>
    <t>https://techcombank.com/thong-tin/blog/mo-the-tin-dung-chi-can-cccd</t>
  </si>
  <si>
    <t>https://techcombank.com/thong-tin/blog/chuyen-khoan-thanh-cong-nhung-khong-nhan-duoc-tien</t>
  </si>
  <si>
    <t>thuế VAT</t>
  </si>
  <si>
    <t>https://techcombank.com/thong-tin/blog/li-xi-so-dep</t>
  </si>
  <si>
    <t>https://techcombank.com/thong-tin/blog/thanh-toan-tien-nuoc-online</t>
  </si>
  <si>
    <t>https://techcombank.com/thong-tin/blog/ma-qr-lam-gia-duoc-khong</t>
  </si>
  <si>
    <t>https://techcombank.com/thong-tin/blog/cach-dang-ky-dinh-danh-muc-2</t>
  </si>
  <si>
    <t>Bước 2: Nộp hồ sơ qua Cổng Dịch vụ công Thuế điện tử</t>
  </si>
  <si>
    <t>Truy cập Cổng Dịch vụ công Thuế tại địa chỉ dichvucong.gdt.gov.vn và đăng nhập bằng tài khoản thuế điện tử hoặc tài kho…</t>
  </si>
  <si>
    <t>https://techcombank.com/thong-tin/blog/thanh-toan-khong-cham-tuong-lai-cua-thanh-toan-so-tai-viet-nam</t>
  </si>
  <si>
    <t>https://techcombank.com/thong-tin/blog/dau-chan-carbon</t>
  </si>
  <si>
    <t>https://techcombank.com/thong-tin/blog/esg</t>
  </si>
  <si>
    <t>https://techcombank.com/thong-tin/blog/oneu</t>
  </si>
  <si>
    <t>https://techcombank.com/thong-tin/blog/mo-the-ghi-no</t>
  </si>
  <si>
    <t>https://techcombank.com/thong-tin/blog/xu-huong-tieu-dung</t>
  </si>
  <si>
    <t>https://techcombank.com/thong-tin/blog/giao-thong-xanh</t>
  </si>
  <si>
    <t>Thuế thu nhập doanh nghiệp (TNDN) là một nghĩa vụ quan trọng mà bất kỳ doanh nghiệp nào cũng cần nắm rõ.</t>
  </si>
  <si>
    <t>https://techcombank.com/thong-tin/blog/lam-the-visa-mat-bao-lau</t>
  </si>
  <si>
    <t>https://techcombank.com/thong-tin/blog/sang-ngang-the-tin-dung</t>
  </si>
  <si>
    <t>https://techcombank.com/thong-tin/blog/uu-diem-cua-blockchain</t>
  </si>
  <si>
    <t>https://techcombank.com/thong-tin/blog/bao-hiem-vat-chat-xe-o-to</t>
  </si>
  <si>
    <t>1. Đối tượng nộp thuế</t>
  </si>
  <si>
    <t>Điều 2 Luật thuế thu nhập doanh nghiệp 2025 có quy định rõ về đối tượng nộp thuế gồm:</t>
  </si>
  <si>
    <t>https://techcombank.com/thong-tin/blog/so-sanh-bao-hiem-suc-khoe-bo-sung</t>
  </si>
  <si>
    <t>https://techcombank.com/thong-tin/blog/cac-loai-the-ngan-hang</t>
  </si>
  <si>
    <t>https://techcombank.com/thong-tin/blog/cach-sao-ke-tai-khoan-ngan-hang</t>
  </si>
  <si>
    <t>1. Lợi nhuận ròng là gì?</t>
  </si>
  <si>
    <t>…ất - kinh doanh, chi phí tài chính, chi phí quản lý và thuế thu nhập doanh nghiệp (TNDN).</t>
  </si>
  <si>
    <t>https://techcombank.com/thong-tin/blog/dac-san-nha-trang</t>
  </si>
  <si>
    <t>https://techcombank.com/thong-tin/blog/the-ghi-no-la-gi</t>
  </si>
  <si>
    <t>https://techcombank.com/thong-tin/blog/the-atm-tu</t>
  </si>
  <si>
    <t>https://techcombank.com/thong-tin/blog/thanh-toan-tien-internet-online</t>
  </si>
  <si>
    <t>…ế doanh nghiệp phải nộp và mức thuế mới như thuế suất, thuế thu nhập doanh nghiệp năm 2026 là bao nhiêu?</t>
  </si>
  <si>
    <t>https://techcombank.com/thong-tin/blog/so-the-tin-dung</t>
  </si>
  <si>
    <t>https://techcombank.com/thong-tin/blog/bao-lanh-thuc-hien-hop-dong</t>
  </si>
  <si>
    <t>https://techcombank.com/thong-tin/blog/ma-mcc</t>
  </si>
  <si>
    <t>https://techcombank.com/thong-tin/blog/so-the-visa-hop-le</t>
  </si>
  <si>
    <t>https://techcombank.com/thong-tin/blog/ten-dang-nhap-tai-khoan-ngan-hang-la-gi</t>
  </si>
  <si>
    <t>2.1. Miễn thuế thu nhập doanh nghiệp (TNDN) trong 3 nă…</t>
  </si>
  <si>
    <t>…quy định mới, doanh nghiệp nhỏ và vừa (SMEs) được miễn thuế thu nhập doanh nghiệp trong vòng 03 năm kể từ ngày được cấ…</t>
  </si>
  <si>
    <t>https://techcombank.com/thong-tin/blog/thanh-toan-khi-du-lich-hong-kong</t>
  </si>
  <si>
    <t>https://techcombank.com/thong-tin/blog/ty-le-thanh-toan-khong-dung-tien-mat-trong-linh-vuc-y-te-con-han-che</t>
  </si>
  <si>
    <t>https://techcombank.com/thong-tin/blog/thanh-toan-khong-dung-tien-mat-tro-thanh-xu-huong-tang-truong-chong-mat</t>
  </si>
  <si>
    <t>https://techcombank.com/thong-tin/blog/xu-huong-thanh-toan-khong-dung-tien-mat-tai-viet-nam</t>
  </si>
  <si>
    <t>https://techcombank.com/thong-tin/blog/the-visa</t>
  </si>
  <si>
    <t>https://techcombank.com/thong-tin/blog/cay-atm-gan-day</t>
  </si>
  <si>
    <t>1. Các loại thuế cốt lõi doanh nghiệp bắt buộc phải kê…</t>
  </si>
  <si>
    <t>https://techcombank.com/thong-tin/blog/eco-card</t>
  </si>
  <si>
    <t>https://techcombank.com/thong-tin/blog/anh-trai-vuot-ngan-chong-gai-mua-2</t>
  </si>
  <si>
    <t>https://techcombank.com/thong-tin/blog/tiet-kiem-khi-di-du-lich</t>
  </si>
  <si>
    <t>https://techcombank.com/thong-tin/blog/3d-secure</t>
  </si>
  <si>
    <t>https://techcombank.com/thong-tin/blog/ca-nhan-hoa</t>
  </si>
  <si>
    <t>https://techcombank.com/thong-tin/blog/thanh-toan-khi-du-lich-trung-quoc</t>
  </si>
  <si>
    <t>https://techcombank.com/thong-tin/blog/quy-dinh-ve-mua-ban-ngoai-te-cua-doanh-nghiep</t>
  </si>
  <si>
    <t>1. Tại sao nên chuyển đổi từ hộ kinh doanh lên doanh n…</t>
  </si>
  <si>
    <t>https://techcombank.com/thong-tin/blog/du-bao-gia-vang</t>
  </si>
  <si>
    <t>miễn 100% thuế thu nhập doanh nghiệp cho doanh nghiệp nhỏ và vừa trong 3 năm đầu;</t>
  </si>
  <si>
    <t>https://techcombank.com/thong-tin/blog/gia-vang-16k-hom-nay</t>
  </si>
  <si>
    <t>https://techcombank.com/thong-tin/blog/shang-chi</t>
  </si>
  <si>
    <t>https://techcombank.com/thong-tin/blog/tai-tro-fifa-world-cup</t>
  </si>
  <si>
    <t>https://techcombank.com/thong-tin/blog/chuyen-doi-so-nganh-ngan-hang-thach-thuc-va-co-hoi</t>
  </si>
  <si>
    <t>https://techcombank.com/thong-tin/blog/dinar-kuwait</t>
  </si>
  <si>
    <t>https://techcombank.com/thong-tin/blog/the-ghi-no-noi-dia</t>
  </si>
  <si>
    <t>1. So sánh chi tiết hộ kinh doanh kê khai và doanh ngh…</t>
  </si>
  <si>
    <t>https://techcombank.com/thong-tin/blog/vang-24k</t>
  </si>
  <si>
    <t>Miễn thuế thu nhập doanh nghiệp vừa và nhỏ trong 3 năm đầu thành lập</t>
  </si>
  <si>
    <t>https://techcombank.com/thong-tin/blog/npv-la-gi</t>
  </si>
  <si>
    <t>https://techcombank.com/thong-tin/blog/bao-hiem-trung</t>
  </si>
  <si>
    <t>https://techcombank.com/thong-tin/blog/luong-huu</t>
  </si>
  <si>
    <t>https://techcombank.com/thong-tin/blog/ma-giam-gia-al-frescos</t>
  </si>
  <si>
    <t>https://techcombank.com/thong-tin/blog/voucher-coopmart</t>
  </si>
  <si>
    <t>https://techcombank.com/thong-tin/blog/voucher-jollibee</t>
  </si>
  <si>
    <t>2. Các loại thuế doanh nghiệp cần lưu ý</t>
  </si>
  <si>
    <t>https://techcombank.com/thong-tin/blog/giam-gia-be</t>
  </si>
  <si>
    <t>https://techcombank.com/thong-tin/blog/voucher-katinat</t>
  </si>
  <si>
    <t>https://techcombank.com/thong-tin/blog/ma-giam-gia-phela</t>
  </si>
  <si>
    <t>https://techcombank.com/thong-tin/blog/kichi-kichi</t>
  </si>
  <si>
    <t>https://techcombank.com/thong-tin/blog/ma-giam-gia-shopee</t>
  </si>
  <si>
    <t>https://techcombank.com/thong-tin/blog/ma-giam-xanh-sm</t>
  </si>
  <si>
    <t>4. Không tính toán lại chi phí thuế và nghĩa vụ pháp lý</t>
  </si>
  <si>
    <t>Thuế thu nhập doanh nghiệp (TNDN) 15 - 50% trên lợi nhuận tùy ngành nghề.</t>
  </si>
  <si>
    <t>https://techcombank.com/thong-tin/blog/voucher-kfc</t>
  </si>
  <si>
    <t>https://techcombank.com/thong-tin/blog/voucher-phuc-long</t>
  </si>
  <si>
    <t>https://techcombank.com/thong-tin/blog/voucher-grab</t>
  </si>
  <si>
    <t>https://techcombank.com/thong-tin/blog/dat-xe-xanh-sm</t>
  </si>
  <si>
    <t>https://techcombank.com/thong-tin/blog/voucher-xanh-sm</t>
  </si>
  <si>
    <t>https://techcombank.com/thong-tin/blog/mua-ve-may-bay-gia-re</t>
  </si>
  <si>
    <t>1. Xác định mục đích chuyển tiền</t>
  </si>
  <si>
    <t>…phí này sẽ được coi là chi phí hợp lý, hợp lệ khi tính thuế Thu nhập doanh nghiệp và khấu trừ thuế Giá trị gia tăng</t>
  </si>
  <si>
    <t>https://techcombank.com/thong-tin/blog/ban-do-du-lich</t>
  </si>
  <si>
    <t>https://techcombank.com/thong-tin/blog/nhuong-quyen-la-gi</t>
  </si>
  <si>
    <t>https://techcombank.com/thong-tin/blog/dao-tao-the-he-ke-can</t>
  </si>
  <si>
    <t>2.2. Thuế thu nhập doanh nghiệp (CIT)</t>
  </si>
  <si>
    <t>…ẫn được áp dụng ở mức 20%, tuy nhiên theo Điều 10 Luật Thuế thu nhập doanh nghiệp 2025 (có hiệu lực từ ngày 01/10/2025…</t>
  </si>
  <si>
    <t>https://techcombank.com/thong-tin/blog/gia-cao-su</t>
  </si>
  <si>
    <t>https://techcombank.com/thong-tin/blog/so-sanh-ma-qr-va-ma-vach</t>
  </si>
  <si>
    <t>https://techcombank.com/thong-tin/blog/qr-code-phuong-thuc-thanh-toan-toi-uu-trong-ky-nguyen-so</t>
  </si>
  <si>
    <t>https://techcombank.com/thong-tin/blog/tich-luy-tai-san</t>
  </si>
  <si>
    <t>https://techcombank.com/thong-tin/blog/khau-vi-nha-dau-tu-tpdn-thay-doi-the-nao-sau-nhung-bien-dong-vua-qua</t>
  </si>
  <si>
    <t>1. Ưu đãi về thủ tục hành chính, thuế và lệ phí</t>
  </si>
  <si>
    <t>Luật 67/2025/QH15 về thuế Thu nhập Doanh nghiệp).</t>
  </si>
  <si>
    <t>https://techcombank.com/thong-tin/blog/cach-quan-ly-tai-san</t>
  </si>
  <si>
    <t>https://techcombank.com/thong-tin/blog/kinh-nghiem-mua-vang-tich-tru</t>
  </si>
  <si>
    <t>https://techcombank.com/thong-tin/blog/bao-hiem-lien-ket-dau-tu</t>
  </si>
  <si>
    <t>https://techcombank.com/thong-tin/blog/chung-chi-quy-mo-va-dong</t>
  </si>
  <si>
    <t>https://techcombank.com/thong-tin/blog/anh-sang-cuoi-duong-ham-xuat-hien-trai-phieu-doanh-nghiep-tot-va-an-toan-se-duoc-nha-dau-tu-chon</t>
  </si>
  <si>
    <t>Cách 2: Tra cứu mã số thuế doanh nghiệp tại Cổng thông…</t>
  </si>
  <si>
    <t>Tại ô tìm kiếm ở góc trên cùng, nhập tên doanh nghiệp hoặc mã số doanh nghiệp (Theo quy định hiện hành, mã số doanh ngh…</t>
  </si>
  <si>
    <t>https://techcombank.com/thong-tin/blog/chung-chi-quy-dong</t>
  </si>
  <si>
    <t>https://techcombank.com/thong-tin/blog/cach-tinh-ty-gia-ky-han</t>
  </si>
  <si>
    <t>tra cứu nợ thuế doanh nghiệp</t>
  </si>
  <si>
    <t>https://techcombank.com/thong-tin/blog/ly-do-ngan-hang-so-tro-thanh-cong-cu-tai-chinh-hang-dau-cua-gioi-tre</t>
  </si>
  <si>
    <t>https://techcombank.com/thong-tin/blog/hom-nay-co-nen-mua-vang-khong</t>
  </si>
  <si>
    <t>https://techcombank.com/thong-tin/blog/phuong-phap-dau-tu-chung-chi-quy</t>
  </si>
  <si>
    <t>3.4. Kê khai Thu nhập doanh nghiệp (TNDN) tạm nộp hàng…</t>
  </si>
  <si>
    <t>Theo Sổ tay thuế , trình tự thực hiện kê khai Thu nhập doanh nghiệp (TNDN) tạm nộp hàng quý như sau:</t>
  </si>
  <si>
    <t>https://techcombank.com/thong-tin/blog/ung-dung-cong-nghe</t>
  </si>
  <si>
    <t>https://techcombank.com/thong-tin/blog/quan-ly-chi-phi-doanh-nghiep</t>
  </si>
  <si>
    <t>https://techcombank.com/thong-tin/blog/thanh-ly-tai-san</t>
  </si>
  <si>
    <t>https://techcombank.com/thong-tin/blog/don-bay-tai-chinh</t>
  </si>
  <si>
    <t>https://techcombank.com/thong-tin/blog/lap-ke-hoach-chi-tieu-ca-nhan</t>
  </si>
  <si>
    <t>1. Tổng quan về quản lý tài chính doanh nghiệp</t>
  </si>
  <si>
    <t>Ở cấp độ vận hành hằng ngày, quản lý tài chính doanh nghiệp gắn liền với việc kiểm soát dòng tiền ra - vào, quản lý côn…</t>
  </si>
  <si>
    <t>https://techcombank.com/thong-tin/blog/cach-dang-ky-the-visa</t>
  </si>
  <si>
    <t>https://techcombank.com/thong-tin/blog/chung-chi-quy-va-co-phieu</t>
  </si>
  <si>
    <t>https://techcombank.com/thong-tin/blog/bang-gia-chung-chi-quy</t>
  </si>
  <si>
    <t>https://techcombank.com/thong-tin/blog/thoi-gian-khop-lech-chung-chi-quy</t>
  </si>
  <si>
    <t>https://techcombank.com/thong-tin/blog/phan-bo-tai-san</t>
  </si>
  <si>
    <t>https://techcombank.com/thong-tin/blog/danh-muc-dau-tu</t>
  </si>
  <si>
    <t>2. Cách tính giá chứng chỉ quỹ</t>
  </si>
  <si>
    <t>https://techcombank.com/thong-tin/blog/dau-co-va-dau-tu</t>
  </si>
  <si>
    <t>Thuế thu nhập cá nhân :</t>
  </si>
  <si>
    <t>https://techcombank.com/thong-tin/blog/dau-tu-dai-han</t>
  </si>
  <si>
    <t>https://techcombank.com/thong-tin/blog/chung-chi-quy-va-chung-khoan</t>
  </si>
  <si>
    <t>https://techcombank.com/thong-tin/blog/chien-luoc-dau-tu</t>
  </si>
  <si>
    <t>3. Tận dụng các ưu đãi thuế dành cho doanh nghiệp khởi…</t>
  </si>
  <si>
    <t>Miễn thuế TNCN trong 2 năm và giảm 50% trong 4 năm tiếp theo đối với thu nhập từ tiền lương, tiền công của chuyên gia,…</t>
  </si>
  <si>
    <t>2.1. Công thức tính ROA</t>
  </si>
  <si>
    <t>Lợi nhuận sau thuế là lợi nhuận ròng của doanh nghiệp sau khi đã trừ đi tất cả các chi phí và thuế thu nhập</t>
  </si>
  <si>
    <t>1. Tầm quan trọng của việc tối ưu hóa chi phí đối với…</t>
  </si>
  <si>
    <t>Nhờ vậy, tối ưu hóa chi phí không chỉ là bài toán tiết kiệm mà còn là nền tảng để doanh nghiệp tăng trưởng bền vững, th…</t>
  </si>
  <si>
    <t>Techcombank T-Shop là ứng dụng quản lý bán hàng đột phá đến từ Techcombank, giúp các chủ hộ kinh doanh cùng doanh nghiệ…</t>
  </si>
  <si>
    <t>1. Khi nào cần đóng tài khoản ngân hàng công ty?</t>
  </si>
  <si>
    <t>Căn cứ Điều 201, Luật Doanh nghiệp 2020, công ty bị sáp nhập phải chuyển toàn bộ tài sản, quyền, nghĩa vụ cho công ty n…</t>
  </si>
  <si>
    <t>1.1. Điều kiện về chủ thể thành lập (Người đại diện &amp;…</t>
  </si>
  <si>
    <t>a) Cơ quan nhà nước, đơn vị lực lượng vũ trang nhân dân sử dụng tài sản nhà nước để thành lập doanh nghiệp kinh doanh t…</t>
  </si>
  <si>
    <t>4. Quy trình, thủ tục thành lập doanh nghiệp</t>
  </si>
  <si>
    <t>Sau khi có Giấy chứng nhận và mã số thuế, doanh nghiệp tiến hành khắc dấu tròn tại các cơ sở khắc dấu.</t>
  </si>
  <si>
    <t>2.2. Gói BusinessOne Plus</t>
  </si>
  <si>
    <t>BussinessOne Plus là gói giải pháp đặc biệt, phù hợp với doanh nghiệp xuất nhập khẩu, thường xuyên có các giao dịch tha…</t>
  </si>
  <si>
    <t>6.2. Chuyển tiền từ Việt Nam sang Đài Loan</t>
  </si>
  <si>
    <t>Ưu đãi tỷ giá giao dịch ngoại tệ lên đến 215 điểm (*) , thêm tầng ưu đãi áp dụng cho KH “Lần đầu giao dịch ngoại tệ tại…</t>
  </si>
  <si>
    <t>2. Lợi ích khi doanh nghiệp sở hữu tài khoản ngân hàng</t>
  </si>
  <si>
    <t>Tất cả các giao dịch thu, chi của doanh nghiệp đều được ghi nhận rõ ràng trong một tài khoản duy nhất, giúp doanh nghiệ…</t>
  </si>
  <si>
    <t>Số link mục tiêu</t>
  </si>
  <si>
    <t>Số bài đã đề xuất</t>
  </si>
  <si>
    <t>Các bài sẽ chèn link về trang này (mỗi dòng 1 bài)</t>
  </si>
  <si>
    <t>3. Các loại bảo lãnh ngân hàng phổ biến hiện nay</t>
  </si>
  <si>
    <t>Bảo lãnh thuế (Tax Guarantee) là cam kết của ngân hàng nhằm bảo đảm nghĩa vụ nộp thuế đối với lô hàng nhập khẩu thay cho doanh …</t>
  </si>
  <si>
    <t>CCB</t>
  </si>
  <si>
    <t>các loại thuế doanh nghiệp phải nộp</t>
  </si>
  <si>
    <t>1.1. Thuế thu nhập doanh nghiệp (TNDN) - phân bậc theo…</t>
  </si>
  <si>
    <t>Luật Thuế TNDN 2025 đã có bước thay đổi mang tính hỗ trợ rõ rệt khi phân bậc thuế suất theo quy mô doanh thu của doanh nghiệp:</t>
  </si>
  <si>
    <t>1.1. Giải pháp quản lý doanh thu All-In-One</t>
  </si>
  <si>
    <t>Techcombank T-Shop là ứng dụng quản lý bán hàng đột phá đến từ Techcombank, giúp các chủ hộ kinh doanh cùng doanh nghiệp vừa và…</t>
  </si>
  <si>
    <t>Bước 5: Làm thủ tục hải quan và thông quan hàng hóa</t>
  </si>
  <si>
    <t>Doanh nghiệp tiến hành khai báo hải quan điện tử trên hệ thống (VNACCS/VCIS), chuẩn bị bộ chứng từ giấy (Hóa đơn thương mại, Ph…</t>
  </si>
  <si>
    <t>thuế thu nhập doanh nghiệp 2026</t>
  </si>
  <si>
    <t>2. Hộ kinh doanh được miễn thuế kể từ 01/01/2026</t>
  </si>
  <si>
    <t>Theo Nghị định số 141/2026/NĐ-CP vừa được Quốc hội thông qua, từ 01/01/2026, ngưỡng doanh thu miễn thuế thu nhập cá nhâ…</t>
  </si>
  <si>
    <t>TD</t>
  </si>
  <si>
    <t>1. 2 loại thuế hộ kinh doanh nhỏ lẻ cần nộp và kê khai…</t>
  </si>
  <si>
    <t>Theo luật Thuế thu nhập cá nhân (sửa đổi) vừa được Quốc hội thông qua, từ năm 2026, ngưỡng doanh thu miễn thuế thu nhập…</t>
  </si>
  <si>
    <t>Bài viết tổng hợp cách kê khai thuế thu nhập cá nhân online, cách đăng ký nộp thuế điện tử online cho doanh nghiệp, hộ…</t>
  </si>
  <si>
    <t>6. Câu hỏi thường gặp về Luật Thương mại điện tử</t>
  </si>
  <si>
    <t>Luật Thương mại điện tử số 122/2025/QH15 có hiệu lực từ 01/7/2026, đặt ra yêu cầu về xác thực danh tính, công khai thôn…</t>
  </si>
  <si>
    <t>Hộ kinh doanh, cá nhân kinh doanh có doanh thu từ hoạt động sản xuất, kinh doanh trong năm dương lịch từ 500 triệu VND…</t>
  </si>
  <si>
    <t>1. Doanh nghiệp vừa và nhỏ mới thành lập được miễn thu…</t>
  </si>
  <si>
    <t>…cả doanh nghiệp chuyển đổi từ hộ kinh doanh, được miễn thuế thu nhập doanh nghiệp (TNDN) trong 3 năm đầu kể từ ngày đư…</t>
  </si>
  <si>
    <t>thuế giá trị gia tăng</t>
  </si>
  <si>
    <t>Thuế giá trị gia tăng (GTGT):</t>
  </si>
  <si>
    <t>Unsecured Loan</t>
  </si>
  <si>
    <t>1. Các trường hợp được áp dụng hoàn thuế doanh nghiệp</t>
  </si>
  <si>
    <t>9 Trường hợp doanh nghiệp được áp dụng hoàn thuế VAT.</t>
  </si>
  <si>
    <t>công ty sử dụng tài khoản cá nhân</t>
  </si>
  <si>
    <t>7. Các khoản khi không được khấu trừ khi tính thuế thu…</t>
  </si>
  <si>
    <t>l) Phần thuế giá trị gia tăng đầu vào đã được khấu trừ;</t>
  </si>
  <si>
    <t>1.2. Nâng ngưỡng chịu thuế GTGT</t>
  </si>
  <si>
    <t>Theo Luật Thuế giá trị gia tăng 2024 , từ ngày 01/01/2026, cá nhân kinh doanh và hộ ki…</t>
  </si>
  <si>
    <t>2. 15 Khoản khi không được khấu trừ khi tính thuế thu…</t>
  </si>
  <si>
    <t>1. Xác định thời điểm chuyển đổi</t>
  </si>
  <si>
    <t>…thông qua Luật Thuế thu nhập cá nhân (sửa đổi) và Luật Thuế giá trị gia tăng 2025, trong đó quy định hộ/cá nhân có doa…</t>
  </si>
  <si>
    <t>Thuế Giá trị gia tăng (GTGT) và Thuế Thu nhập cá nhân (TNCN).</t>
  </si>
  <si>
    <t>2. Công thức tính tiền điện sinh hoạt hiện nay</t>
  </si>
  <si>
    <t>Tổng tiền điện phải trả = Tổng tiền điện của các bậc thang + Thuế giá trị gia tăng (VAT)</t>
  </si>
  <si>
    <t>1.2. Điều kiện để khoản chi lương tiền mặt được tính l…</t>
  </si>
  <si>
    <t>…7/2025 quy định chi tiết thi hành một số điều của Luật Thuế giá trị gia tăng, cùng các văn bản sửa đổi, bổ sung…</t>
  </si>
  <si>
    <t>2. Lưu ý khi công ty sử dụng tài khoản cá nhân</t>
  </si>
  <si>
    <t>Cần có chứng từ thanh toán không tiền mặt cho hóa đơn từ 5 triệu đồng trở lên để khấu trừ thuế giá trị gia tăng (GTGT):</t>
  </si>
  <si>
    <t>1.5. Chính sách tạo đòn bẩy</t>
  </si>
  <si>
    <t>Một cột mốc quan trọng là từ 1/7/2024, Luật Thuế Giá trị gia tăng sửa đổi quy định chỉ giao dịch không tiền mặt mới đượ…</t>
  </si>
  <si>
    <t>3. Các mốc thời gian quan trọng trong năm tài chính</t>
  </si>
  <si>
    <t>Thuế giá trị gia tăng (VAT):</t>
  </si>
  <si>
    <t>1. 5 loại thuế hộ kinh doanh cần nộp</t>
  </si>
  <si>
    <t>Thuế giá trị gia tăng (GTGT) và thuế thu nhập cá nhân (TNCN) là hai loại thu…</t>
  </si>
  <si>
    <t>2. Quyền và nghĩa vụ của hộ kinh doanh cá thể</t>
  </si>
  <si>
    <t>Kê khai, nộp thuế đúng hạn (thuế giá trị gia tăng, thuế thu nhập cá nhân, lệ phí môn bài…)</t>
  </si>
  <si>
    <t>1. Công thức tính tiền điện sinh hoạt hiện nay</t>
  </si>
  <si>
    <t>Tổng tiền điện = (Số kWh bậc 1 × Giá bậc 1) + (Số kWh bậc 2 × Giá bậc 2) + … + (Số kWh bậc 6 × Giá bậc 6) + 8% thuế VAT</t>
  </si>
  <si>
    <t>https://techcombank.com/cong-cu-tien-ich/cong-cu-tinh-toan/bang-tinh-lai-suat-vay</t>
  </si>
  <si>
    <t>Tool</t>
  </si>
  <si>
    <t>3. Du hí Thái Lan, tận hưởng ưu đãi du lịch cho di chu…</t>
  </si>
  <si>
    <t>…ngoại tệ, chuẩn bị đầy đủ chứng từ nếu có nhu cầu hoàn thuế VAT, và đừng quên tra cứu trước các chương trình ưu đãi củ…</t>
  </si>
  <si>
    <t>1. Hộ kinh doanh được miễn thuế trong năm 2025</t>
  </si>
  <si>
    <t>…g không chịu thuế và Điều 18 về Hiệu lực thi hành Luật Thuế giá trị gia tăng 2024, trước ngày 31/12/2025, hộ kinh doan…</t>
  </si>
  <si>
    <t>3. Các khoản thuế doanh nghiệp phải nộp năm 2026</t>
  </si>
  <si>
    <t>3.3. Khai thuế Giá trị gia tăng (GTGT) định kỳ</t>
  </si>
  <si>
    <t>Khai thuế Giá trị gia tăng (GTGT) định kỳ.</t>
  </si>
  <si>
    <t>https://techcombank.com/cong-cu-tien-ich/cong-cu-tinh-toan/bang-tinh-lai-suat-tiet-kiem</t>
  </si>
  <si>
    <t>2.3. Câu hỏi 3: Nghĩa vụ thuế sẽ thay đổi như thế nào?</t>
  </si>
  <si>
    <t>…n sang doanh nghiệp, mô hình sẽ chịu các loại thuế như thuế giá trị gia tăng (GTGT), thuế thu nhập doanh nghiệp (TNDN)…</t>
  </si>
  <si>
    <t>3. Khi nào nên chọn doanh nghiệp?</t>
  </si>
  <si>
    <t>Đồng thời, doanh nghiệp còn được khấu trừ thuế giá trị gia tăng (GTGT) đầu vào - một lợi thế mà hộ kinh doanh không có.</t>
  </si>
  <si>
    <t>7. Hóa đơn đầu ra</t>
  </si>
  <si>
    <t>Số thuế VAT phải nộp = Số thuế VAT đầu ra - Số thuế VAT đầu vào được khấu trừ</t>
  </si>
  <si>
    <t>Tặng U-Point tương đương 20% giá trị thanh toán thuế đầu tiên qua eTax Mobile (tối đa 500,000 điểm/giao dịch)</t>
  </si>
  <si>
    <t>2.4. Tích hợp với các phương thức thanh toán online</t>
  </si>
  <si>
    <t>Với những người hay chi tiêu nhóm hoặc tham gia các hoạt động chung có giá trị lớn, việc mở thẻ tín dụng hạn mức cao cũ…</t>
  </si>
  <si>
    <t>thuế GTGT là gì</t>
  </si>
  <si>
    <t>1.1. Lúng túng trong việc lựa chọn và áp dụng phương p…</t>
  </si>
  <si>
    <t>Doanh thu (x) tỷ lệ thuế GTGT theo ngành</t>
  </si>
  <si>
    <t>2. Hướng dẫn kê khai thuế hộ kinh doanh cá thể online…</t>
  </si>
  <si>
    <t>Bạn cần phân tách rõ theo từng nhóm ngành nghề để hệ thống tự động áp tỷ lệ % thuế GTGT và TNCN chính xác</t>
  </si>
  <si>
    <t>1. Máy tính tiền là gì?</t>
  </si>
  <si>
    <t>Cộng tổng giá trị các mặt hàng, tính thuế (VAT), áp dụng giảm giá, và tính số tiền thối lại cho khách</t>
  </si>
  <si>
    <t>Bài viết dưới đây sẽ hướng dẫn bạn cách tra cứu mã số thuế doanh nghiệp từ A-Z.</t>
  </si>
  <si>
    <t>1. Hướng dẫn tra cứu nợ thuế hải quan</t>
  </si>
  <si>
    <t>Hiện nay, doanh nghiệp có thể tra cứu nợ thuế hải quan thông qua website Tổng cục Hải quan.</t>
  </si>
  <si>
    <t>kiểm tra nợ thuế doanh nghiệp</t>
  </si>
  <si>
    <t>cách tính thuế thu nhập doanh nghiệp</t>
  </si>
  <si>
    <t>Bước 1: Rà soát sổ sách và đối chiếu chứng từ gốc</t>
  </si>
  <si>
    <t>Trước khi lên tờ khai, kế toán cần kiểm tra và đối chiếu toàn bộ số liệu kế toán, hóa đơn, chứng từ, doanh thu, chi phí…</t>
  </si>
  <si>
    <t>Thường xuyên tra cứu nợ thuế giúp hộ kinh doanh chủ động theo dõi nghĩa vụ thuế, kịp thời phát hiện các khoản thuế chưa…</t>
  </si>
  <si>
    <t>Bước 4: Kiểm tra và ra quyết định hoàn thuế doanh nghi…</t>
  </si>
  <si>
    <t>Áp dụng đối với các trường hợp phải kiểm tra trước khi hoàn thuế theo quy định của pháp luật (như doanh nghiệp đề nghị…</t>
  </si>
  <si>
    <t>Việc nắm rõ cách tra cứu hóa đơn điện tử hợp lệ không chỉ giúp doanh nghiệp đảm bảo tuân thủ quy định pháp luật, mà còn…</t>
  </si>
  <si>
    <t>3.2. Lưu ý về kỳ hạn trả lương và việc chia nhỏ khoản…</t>
  </si>
  <si>
    <t>Doanh nghiệp nên cân nhắc kỹ nội dung này để tránh bị cơ quan thuế xem xét lại tính hợp lý của khoản chi khi thanh tra,…</t>
  </si>
  <si>
    <t>5. 6 câu hỏi thường gặp khi sao kê tài khoản doanh ngh…</t>
  </si>
  <si>
    <t>Cơ quan thuế được quyền yêu cầu ngân hàng cung cấp và kiểm tra thông tin doanh nghiệp theo quy định tại khoản 2, điều 3…</t>
  </si>
  <si>
    <t>2.1. Quản trị cấu trúc vốn</t>
  </si>
  <si>
    <t>Doanh nghiệp cần cân đối giữa việc sử dụng vốn vay - vốn có chi phí lãi vay nhưng giúp tiết kiệm thuế - và vốn chủ sở h…</t>
  </si>
  <si>
    <t>Bước 3: Chuẩn bị chứng từ và thực hiện nghĩa vụ tài ch…</t>
  </si>
  <si>
    <t>Doanh nghiệp tiến hành xin các loại giấy phép chuyên ngành (nếu có), kiểm tra chất lượng, hun trùng, hoặc xin cấp Giấy…</t>
  </si>
  <si>
    <t>1.2. Thuế suất 25 - 50%</t>
  </si>
  <si>
    <t>Nhờ chính sách này, doanh nghiệp khởi nghiệp sáng tạo có thể tập trung nguồn lực cho nghiên cứu, thử nghiệm sản phẩm, x…</t>
  </si>
  <si>
    <t>1. Cách kiểm tra tài khoản của công ty trực tiếp tại q…</t>
  </si>
  <si>
    <t>Ngoài các thông tin trên, doanh nghiệp cũng có thể cần tra cứu tài khoản ngân hàng đã đăng ký với cơ quan thuế để đối c…</t>
  </si>
  <si>
    <t>tra cứu nợ thuế theo mã số thuế</t>
  </si>
  <si>
    <t>3.1. Mở thêm tài khoản cùng ngân hàng tại quầy</t>
  </si>
  <si>
    <t>Giấy ủy quyền, đăng ký mẫu dấu, giấy chứng nhận đăng ký Mã số thuế (nếu không tra cứu được MST trên Tổng cục Thuế), hoặ…</t>
  </si>
  <si>
    <t>Bài viết dưới đây hướng dẫn 3 cách tra cứu nợ thuế thu nhập cá nhân năm 2025 chi tiết, dễ thực hiện và cập nhật theo qu…</t>
  </si>
  <si>
    <t>Cùng tìm hiểu 3 cách tra cứu mã số thuế hộ kinh doanh online nhanh chóng, chính xác qua hệ thống của Tổng cục Thuế và ứ…</t>
  </si>
  <si>
    <t>Đóng mã số thuế hộ kinh doanh là thủ tục cần thực hiện khi chấm dứt hoạt động hoặc thuộc các trường hợp phải chấm dứt h…</t>
  </si>
  <si>
    <t>Kể từ khi số CCCD thay cho mã số thuế, thao tác tra cứu nợ thuế cá nhân bằng CCCD cũng chỉ mất vài phút và không đòi hỏ…</t>
  </si>
  <si>
    <t>2.1. Tra cứu tiền điện theo mã khách hàng và thanh toá…</t>
  </si>
  <si>
    <t>Hiện nay, hầu hết các ngân hàng đều đã tích hợp tính năng tra cứu tiền điện theo mã khách hàng và thanh toán ngay trên…</t>
  </si>
  <si>
    <t>Merchant</t>
  </si>
  <si>
    <t>Từ ngày 01/07/2025, mã số thuế cá nhân sẽ được thay thế hoàn toàn bằng số định danh cá nhân theo quy định tại Thông tư…</t>
  </si>
  <si>
    <t>cách nạp thẻ Viettel</t>
  </si>
  <si>
    <t>2. Tra cứu thông tin quyết toán thuế thu nhập cá nhân</t>
  </si>
  <si>
    <t>Điền mã số thuế, năm quyết toán và ấn tra cứu</t>
  </si>
  <si>
    <t>1. Làm sao biết được hoàn thuế thu nhập cá nhân hay kh…</t>
  </si>
  <si>
    <t>https://techcombank.com/khach-hang-ca-nhan/chi-tieu/the/the-tin-dung/techcombank-everyday</t>
  </si>
  <si>
    <t>thuế doanh nghiệp</t>
  </si>
  <si>
    <t>Thuế doanh nghiệp là một trong những nội dung quan trọng mà bất kỳ đơn v…</t>
  </si>
  <si>
    <t>Secured Lending</t>
  </si>
  <si>
    <t>1. Tuân thủ thuế - Không chỉ là nghĩa vụ mà còn là lợi…</t>
  </si>
  <si>
    <t>Khi thực hiện tốt nghĩa vụ thuế, doanh nghiệp không chỉ giảm thiểu rủi ro tài chính, mà còn tạo ra sự minh bạch trong q…</t>
  </si>
  <si>
    <t>Khi chuyển đổi từ hộ kinh doanh sang doanh nghiệp, bên cạnh việc hoàn tất thủ tục pháp lý, chủ doanh nghiệp cần nắm rõ…</t>
  </si>
  <si>
    <t>Trường hợp Cơ quan đăng ký kinh doanh có yêu cầu, người đăng ký thành lập doanh nghiệp phải nộp Phiếu lý lịch tư pháp c…</t>
  </si>
  <si>
    <t>5. Techcombank đồng hành cùng Hộ kinh doanh chuyển đổi…</t>
  </si>
  <si>
    <t>Loạt chính sách mới về phí và thuế doanh nghiệp 2025 đóng vai trò như một công cụ tài khóa khuyến khíc…</t>
  </si>
  <si>
    <t>Hoàn thuế doanh nghiệp là việc ngân sách nhà nước trả lại cho doanh nghiệp số…</t>
  </si>
  <si>
    <t>…doanh nghiệp nào cũng cần biết chính là kiểm tra mã số thuế doanh nghiệp .</t>
  </si>
  <si>
    <t>…ng chi tiết về thời hạn, hồ sơ và quy trình quyết toán thuế doanh nghiệp năm 2026 chuẩn xác.</t>
  </si>
  <si>
    <t>…ù vậy, việc vận hành hệ thống kế toán cũng như kê khai thuế doanh nghiệp sao cho vừa đúng tiến độ, vừa chuẩn chỉnh the…</t>
  </si>
  <si>
    <t>…ế của doanh nghiệp đã được số hóa, cho phép tra cứu nợ thuế doanh nghiệp theo mã số thuế hoặc kiểm tra nợ thuế trên th…</t>
  </si>
  <si>
    <t>1. Đối tượng nộp thuế thuế thu nhập doanh nghiệp 2026…</t>
  </si>
  <si>
    <t>Xác định chính xác đối tượng chịu thuế là nền tảng cho việc tuân thủ quy định thuế doanh nghiệp 2026.</t>
  </si>
  <si>
    <t>Nếu một khoản chi phí không đáp ứng các điều kiện hợp lệ, khoản chi đó sẽ bị loại khỏi "Chi phí được trừ", dẫn đến tăng…</t>
  </si>
  <si>
    <t>cách tính tiền điện sinh hoạt</t>
  </si>
  <si>
    <t>doanh nghiệp phải nộp những loại thuế nào</t>
  </si>
  <si>
    <t>1. Điều kiện để đăng ký thành lập doanh nghiệp mới</t>
  </si>
  <si>
    <t>Tên công ty phải cấu thành từ "Loại hình doanh nghiệp" và "Tên riêng", đảm bảo tính duy nhất để không gây nhầm lẫn với…</t>
  </si>
  <si>
    <t>M ở tài khoản doanh nghiệp nhanh chóng tại Techcombank</t>
  </si>
  <si>
    <t>2. Chuyên nghiệp hóa công tác quản lý tài chính và sổ…</t>
  </si>
  <si>
    <t>Để đáp ứng yêu cầu quản lý thuế mới và đảm bảo hoạt động kinh doanh vận hành minh bạch, các chủ hộ kinh doanh cần từng…</t>
  </si>
  <si>
    <t>Tuy nhiên, việc chuẩn bị hồ sơ đăng ký thành lập doanh nghiệp thường khiến nhiều chủ doanh nghiệp lúng túng vì có quá n…</t>
  </si>
  <si>
    <t>Trong bối cảnh Chính phủ đẩy mạnh hỗ trợ khởi nghiệp và phát triển doanh nghiệp vừa và nhỏ, hệ thống thuế Việt Nam từ n…</t>
  </si>
  <si>
    <t>Từ ngày 01/06/2025, nhiều chính sách thuế mới bắt đầu có hiệu lực, tác động trực tiếp đến hộ kinh doanh và doanh nghiệp…</t>
  </si>
  <si>
    <t>Trong bối cảnh chuyển đổi số mạnh mẽ, thủ tục đăng ký thành lập doanh nghiệp tại Việt Nam đã được triển khai trên môi t…</t>
  </si>
  <si>
    <t>So sánh các thuế phí giữa hộ kinh doanh và doanh nghiệp.</t>
  </si>
  <si>
    <t>1. Không tìm hiểu kỹ sự khác biệt giữa hộ kinh doanh v…</t>
  </si>
  <si>
    <t>Thực tế, hai loại hình này có sự khác biệt rất lớn về pháp lý, thuế và quy mô hoạt động:Chính vì chưa nắm rõ những điểm…</t>
  </si>
  <si>
    <t>1. Công ty có thể sử dụng tài khoản cá nhân không?</t>
  </si>
  <si>
    <t>Theo luật doanh nghiệp và luật quản lý thuế, các giao dịch liên quan đến hoạt động kinh doanh của doanh nghiệp phải thự…</t>
  </si>
  <si>
    <t>cách tính thuế thu nhập cá nhân</t>
  </si>
  <si>
    <t>Ưu đãi về thuế, tín dụng cho doanh nghiệp mới thành lập trải rộng từ miễn thuế thu nhập doanh nghiệp, bãi bỏ lệ phí môn…</t>
  </si>
  <si>
    <t>Việc xác định đúng các loại hình doanh nghiệp là bước nền tảng, quyết định đến cơ cấu tổ chức, trách nhiệm pháp lý và nghĩa vụ …</t>
  </si>
  <si>
    <t>công ty dùng tài khoản cá nhân có được không</t>
  </si>
  <si>
    <t>Trường hợp mua hàng trên 20 triệu đồng nhưng bên mua chuyển tiền từ tài khoản cá nhân chuyển vào tài khoản công ty, bên…</t>
  </si>
  <si>
    <t>CD</t>
  </si>
  <si>
    <t>6. Ưu đãi khi mở tài khoản doanh nghiệp tại Techcombank</t>
  </si>
  <si>
    <t>giấy chứng nhận đăng ký doanh nghiệp, công bố thông tin, dấu pháp nhân và dấu chức danh, bộ hồ sơ lưu nội bộ, biển công…</t>
  </si>
  <si>
    <t>cách kiểm tra tài khoản ngân hàng</t>
  </si>
  <si>
    <t>3. Lưu ý quan trọng khi sử dụng tài khoản công ty</t>
  </si>
  <si>
    <t>Chỉ được sử dụng tài khoản công ty cho mục đích kinh doanh, không được dùng cho mục đích cá nhân để đảm bảo tính minh b…</t>
  </si>
  <si>
    <t>2. 14 khoản tiền không bị tính thuế khi chuyển vào tài…</t>
  </si>
  <si>
    <t>Thu nhập từ chuyển nhượng nhà ở, quyền sử dụng đất ở và tài sản gắn liền với đất ở của cá nhân trong trường hợp cá nhân…</t>
  </si>
  <si>
    <t>1. Vay tín chấp là gì?</t>
  </si>
  <si>
    <t>Trên thực tế, các gói vay tín chấp tại các ngân hàng và công ty tài chính thường hướng đến hoạt động vay tín chấp tiêu…</t>
  </si>
  <si>
    <t>3.4. Nhân viên có thể thay mặt công ty nộp tiền mặt và…</t>
  </si>
  <si>
    <t>Có, nhân viên hoàn toàn có thể thay mặt công ty nộp tiền mặt vào tài khoản của công ty.</t>
  </si>
  <si>
    <t>3. Câu hỏi thường gặp khi chuyển khoản online của tài…</t>
  </si>
  <si>
    <t>Khi sử dụng dịch vụ chuyển khoản online từ tài khoản công ty, người dùng cần lưu ý những thông tin, quy định liên quan…</t>
  </si>
  <si>
    <t>2.6 Điều kiện riêng đối với từng loại hình công ty</t>
  </si>
  <si>
    <t>Thành viên hợp danh phải là cá nhân và chịu trách nhiệm bằng toàn bộ tài sản của mình về các nghĩa vụ của công ty.</t>
  </si>
  <si>
    <t>Yêu cầu nhân viên ngân hàng kiểm tra tài khoản ngân hàng của công ty.</t>
  </si>
  <si>
    <t>3.4. Làm thế nào để quản lý nhiều tài khoản hiệu quả?</t>
  </si>
  <si>
    <t>Ví dụ bạn có thể mở một tài khoản thanh toán chuyên để nhận lương từ công việc chính, một tài khoản chuyên để nhận nguồ…</t>
  </si>
  <si>
    <t>2. Fmarket</t>
  </si>
  <si>
    <t>Fmarket là nền tảng phân phối chứng chỉ quỹ mở trực tuyến, đóng vai trò trung gian kết nối nhà đầu tư cá nhân với nhiều…</t>
  </si>
  <si>
    <t>1.5. Bảo hiểm nhân thọ</t>
  </si>
  <si>
    <t>Khi tham gia các loại hình bảo hiểm nhân thọ, người dùng sẽ đóng một khoản phí nhất định vào quỹ dự trữ tài chính được…</t>
  </si>
  <si>
    <t>1. Tín dụng tiêu dùng là gì?</t>
  </si>
  <si>
    <t>Tín dụng tiêu dùng là hình thức cấp vốn mà các tổ chức tài chính (ngân hàng, công ty tài chính) cung cấp cho cá nhân nh…</t>
  </si>
  <si>
    <t>Không cần sử dụng tài khoản công ty:</t>
  </si>
  <si>
    <t>7.1. Thu nhập được miễn thuế (*)</t>
  </si>
  <si>
    <t>khoản tài trợ nhận được từ doanh nghiệp không có quan hệ liên kết, tổ chức, cá nhân trong nước và ngoài nước để sử dụng…</t>
  </si>
  <si>
    <t>FX</t>
  </si>
  <si>
    <t>4. Thanh toán tiền điện bằng thẻ tín dụng Techcombank,…</t>
  </si>
  <si>
    <t>Việc kết hợp theo dõi chi tiêu và sử dụng thêm các công cụ tính lãi suất tiết kiệm cũng giúp bạn quản lý tài chính cá n…</t>
  </si>
  <si>
    <t>Phần B: Thông tin về FATCA và Ủy thác</t>
  </si>
  <si>
    <t>Trường hợp lựa chọn “Có”, bạn bấm vào link “ Mẫu nhận diện thông tin ” và thực hiện khai báo thông tin về việc tham gia…</t>
  </si>
  <si>
    <t>1. Miễn các chi phí mở tài khoản ngân hàng cho công ty</t>
  </si>
  <si>
    <t>Chương trình mở tài khoản công ty miễn phí được các ngân hàng thực hiện như một chính sách hỗ trợ và khuyến khích doanh…</t>
  </si>
  <si>
    <t>2. Tăng cường an ninh và phát hiện bất thường nhờ vào…</t>
  </si>
  <si>
    <t>Ngoài ra, AI còn có thể sử dụng công nghệ nhận diện khuôn mặt và giọng nói để xác thực danh tính khách hàng, đảm bảo rằ…</t>
  </si>
  <si>
    <t>cách mở tài khoản ngân hàng</t>
  </si>
  <si>
    <t>7. Lời khuyên khi lựa chọn loại hình doanh nghiệp</t>
  </si>
  <si>
    <t>Nếu muốn hạn chế rủi ro cá nhân, nên chọn Công ty TNHH hoặc Công ty Cổ phần, bởi các hình thức này áp dụng trách nhiệm…</t>
  </si>
  <si>
    <t>2.2. Quy trình thực hiện</t>
  </si>
  <si>
    <t>Chủ hộ sử dụng tài khoản định danh điện tử cá nhân (VNeID) để đăng nhập vào Cổng Dịch vụ công Quốc gia hoặc Cổng thông…</t>
  </si>
  <si>
    <t>2. Điều kiện vay tín chấp hạn mức cao</t>
  </si>
  <si>
    <t>Trên thực tế, các khoản vay mà cá nhân đang có tại tất cả các ngân hàng/công ty tài chính đều được thể hiện trên hệ thố…</t>
  </si>
  <si>
    <t>1. “Gỡ rối” băn khoăn của khách hàng về việc gửi tiết…</t>
  </si>
  <si>
    <t>Điều này đã khiến kẻ gian lợi dụng để truy cập bất hợp pháp vào tài khoản, làm rò rỉ thông tin cá nhân… Vì thế, ngân hà…</t>
  </si>
  <si>
    <t>2.2. Bước 2: Cung cấp thông tin cá nhân</t>
  </si>
  <si>
    <t>Bạn cần cung cấp thông tin cá nhân cho nhân viên giao dịch và yêu cầu đổi số điện thoại đăng ký tài khoản ngân hàng đan…</t>
  </si>
  <si>
    <t>4. Hướng dẫn cách ghi chép chi tiêu bằng ứng dụng (app)</t>
  </si>
  <si>
    <t>Sổ thu chi MISA là ứng dụng quản lý tài chính cá nhân do Công ty Cổ phần MISA - đơn vị công nghệ hàng đầu tại Việt Nam…</t>
  </si>
  <si>
    <t>6.2. Trực tiếp tại quầy giao dịch Techcombank</t>
  </si>
  <si>
    <t>Để tối ưu hóa hơn nữa khả năng quản lý tài chính và dòng tiền, việc công ty mở nhiều tài khoản ngân hàng là giải pháp hiệu quả …</t>
  </si>
  <si>
    <t>1. Đáo hạn thẻ tín dụng là gì?</t>
  </si>
  <si>
    <t>Thông thường, dịch vụ đáo hạn thẻ tín dụng được cung cấp bởi các công ty tài chính hoặc cá nhân với quy trình hoạt động như sau:</t>
  </si>
  <si>
    <t>1. Lịch sử tín dụng là gì?</t>
  </si>
  <si>
    <t>Lịch sử tín dụng là bản ghi tổng hợp toàn bộ thông tin về các khoản vay, việc sử dụng thẻ tín dụng và thói quen trả nợ của bạn …</t>
  </si>
  <si>
    <t>ngân hàng uy tín</t>
  </si>
  <si>
    <t>3. Mở tài khoản và mua chứng chỉ quỹ</t>
  </si>
  <si>
    <t>Nếu bạn đã có tài khoản chứng khoán, có thể mua các loại quỹ ETF (niêm yết trên sàn) hoặc sử dụng nền tảng giao dịch online của…</t>
  </si>
  <si>
    <t>1. Chi phí không được trừ khi tính thuế TNDN là gì?</t>
  </si>
  <si>
    <t>Khi tính thuế TNDN, doanh nghiệp không được đưa các khoản này vào chi phí hợp lý để giảm thu nhập chịu thuế.</t>
  </si>
  <si>
    <t>cách tính thuế TNDN</t>
  </si>
  <si>
    <t>3.2. Ví dụ minh họa</t>
  </si>
  <si>
    <t>Tính thuế TNDN phải nộp:</t>
  </si>
  <si>
    <t>Luật Thuế TNDN 2025 đã có bước thay đổi mang tính hỗ trợ rõ rệt khi phân bậc thuế suất theo quy mô doanh thu của doanh…</t>
  </si>
  <si>
    <t>1. Quy định pháp luật về việc trả lương tiền mặt - Cập…</t>
  </si>
  <si>
    <t>pháp luật lao động (quy định về hình thức, kỳ hạn trả lương) và pháp luật thuế thu nhập doanh nghiệp (điều kiện để khoả…</t>
  </si>
  <si>
    <t>Theo quy định mới, doanh nghiệp nhỏ và vừa (SMEs) được miễn thuế thu nhập doanh nghiệp trong vòng 03 năm kể từ ngày đượ…</t>
  </si>
  <si>
    <t>Nói cách khác, chỉ số này giúp đánh giá doanh nghiệp tạo ra bao nhiêu lợi nhuận từ hoạt động kinh doanh chính, trước kh…</t>
  </si>
  <si>
    <t>Nếu doanh nghiệp thanh toán hóa đơn trên 20 triệu bằng tiền mặt, sẽ không được khấu trừ thuế GTGT và không được tính và…</t>
  </si>
  <si>
    <t>Trường hợp chuyển tiền mua hàng trên 20 triệu đồng từ tài khoản doanh nghiệp bên mua sang tài khoản doanh nghiệp bên bá…</t>
  </si>
  <si>
    <t>Theo Khoản 4 Điều 10 Nghị quyết 198/2025/QH15 và Điều 7 Nghị định 20/2026/NĐ-CP , doanh nghiệp nhỏ và vừa đăng ký kinh…</t>
  </si>
  <si>
    <t>2. Ưu đãi thuế cho doanh nghiệp vừa và nhỏ với mức 15%…</t>
  </si>
  <si>
    <t>Theo Điều 10 Luật Thuế thu nhập doanh nghiệp 2025 (có hiệu lực từ kỳ tính thuế năm 2025) quy định mức thuế suất ưu đãi…</t>
  </si>
  <si>
    <t>4. Cách tính thuế thu nhập doanh nghiệp 2026 chuẩn xác</t>
  </si>
  <si>
    <t>Sau khi biết mức thuế thu nhập doanh nghiệp (TNDN) năm 2026 là bao nhiêu, doanh nghiệp cần hiểu cách tính thuế để xác đ…</t>
  </si>
  <si>
    <t>3. Cách 3: Sử dụng phần mềm tra hóa đơn điện tử hợp lệ…</t>
  </si>
  <si>
    <t>Việc nắm rõ cách tra cứu hóa đơn điện tử Tổng cục thuế đúng quy trình sẽ giúp người nộp thuế xác minh tính hợp lệ của c…</t>
  </si>
  <si>
    <t>công thức tính thuế TNDN</t>
  </si>
  <si>
    <t>Bài viết dưới đây sẽ giúp bạn hiểu rõ khái niệm lợi nhuận, phân biệt lợi nhuận gộp, lợi nhuận ròng, lợi nhuận trước thu…</t>
  </si>
  <si>
    <t>2. 2. Cách tính thuế thu nhập doanh nghiệp (TNDN) mới…</t>
  </si>
  <si>
    <t>Thuế TNDN được tính theo công thức cơ bản:</t>
  </si>
  <si>
    <t>1. Cách tính thuế thu nhập cá nhân (TNCN) đối với cá n…</t>
  </si>
  <si>
    <t>Công thức tính thuế thu nhập cá nhân 2026 thứ 2 đối với cá nhân cư trú.</t>
  </si>
  <si>
    <t>chuyển khoản thành công nhưng không nhận được tiền</t>
  </si>
  <si>
    <t>1. Có 50 triệu mua được bao nhiêu vàng? Nên mua vàng g…</t>
  </si>
  <si>
    <t>Công thức chung để tính số lượng vàng bạn có thể mua là:</t>
  </si>
  <si>
    <t>4.2. Lợi ích thuế từ nợ vay làm giảm chi phí vốn sau t…</t>
  </si>
  <si>
    <t>Chi phí nợ vay trong công thức WACC thường được tính sau thuế do lãi vay có thể tạo ra lợi ích thuế trong điều kiện đượ…</t>
  </si>
  <si>
    <t>5.1. Đối với cá nhân cư trú ký hợp đồng lao động trên…</t>
  </si>
  <si>
    <t>Công thức tính số 1 về mức đóng thuế thu nhập cá nhân cho cá nhân không cư trú.</t>
  </si>
  <si>
    <t>cách nạp tiền điện thoại viettel</t>
  </si>
  <si>
    <t>4 cách nạp tiền điện thoại online phổ biến:</t>
  </si>
  <si>
    <t>cách nạp tiền viettel</t>
  </si>
  <si>
    <t>3. Cách 3: Thanh toán cước trả sau qua Viettel Money</t>
  </si>
  <si>
    <t>Nếu đã liên kết tài khoản ngân hàng hoặc nạp tiền vào tài khoản Viettel Money, bạn có thể thanh toán cước chỉ với vài t…</t>
  </si>
  <si>
    <t>nạp thẻ viettel</t>
  </si>
  <si>
    <t>3. Nạp thẻ điện thoại qua ứng dụng của nhà mạng</t>
  </si>
  <si>
    <t>Hầu hết các nhà mạng hiện nay như Viettel, Vinaphone, Mobiphone,.....đều cung cấp dịch vụ nạp thẻ điện thoại ứng dụng d…</t>
  </si>
  <si>
    <t>7. Nạp thẻ VinaPhone cho thuê bao khác</t>
  </si>
  <si>
    <t>Khi người thân, bạn bè hoặc đồng nghiệp hết tiền điện thoại, bạn hoàn toàn có thể nạp hộ thuê bao khác một cách nhanh c…</t>
  </si>
  <si>
    <t>6. Nạp thẻ MobiFone trả trước, trả sau bằng ví điện tử…</t>
  </si>
  <si>
    <t>Ưu điểm của các ví điện tử này là thường xuyên triển khai các ưu đãi hoàn tiền hoặc chiết khấu khi nạp tiền điện thoại,…</t>
  </si>
  <si>
    <t>cách nạp thẻ viettel</t>
  </si>
  <si>
    <t>4.3. Thẻ Visa phi vật lý có nạp tiền được không?</t>
  </si>
  <si>
    <t>&gt;&gt;&gt; Để biết chi tiết cách thức nạp tiền cho thẻ ghi nợ phi vật lý, bạn có thể đọc thêm bài viết Hướng dẫn nạp tiền vào…</t>
  </si>
  <si>
    <t>Chi tiết về 4 cách nạp tiền vào thẻ ghi nợ này, hãy cùng Techcombank tìm hiểu tại bài viết dưới đây.</t>
  </si>
  <si>
    <t>2.6. ShopeePay</t>
  </si>
  <si>
    <t>ShopeePay là một trong các ví điện tử ở Việt Nam cho phép người dùng thanh toán trực tuyến trên Shopee - sàn thương mại…</t>
  </si>
  <si>
    <t>1. Chuyển khoản qua Mobile Banking với tính năng Chuyể…</t>
  </si>
  <si>
    <t>Chuyển tiền trên điện thoại qua ngân hàng số/Mobile Banking là cách làm có nhiều ưu điểm điểm nhất vì:</t>
  </si>
  <si>
    <t>1. Ví ShopeePay là gì?</t>
  </si>
  <si>
    <t>ShopeePay là ví điện tử cho phép người dùng thanh toán trực tuyến trên Shopee - sàn thương mại điện tử số 1 Việt Nam, t…</t>
  </si>
  <si>
    <t>2.3. Đóng tiền điện nước qua tài khoản ngân hàng liên…</t>
  </si>
  <si>
    <t>Cách đóng tiền điện qua điện thoại bằng ứng dụng Ví MoMo.</t>
  </si>
  <si>
    <t>bao nhiêu tuổi được mở tài khoản ngân hàng</t>
  </si>
  <si>
    <t>2.1. Thanh toán cước truyền hình qua ngân hàng số</t>
  </si>
  <si>
    <t>Ngoài ra, Techcombank Mobile còn hỗ trợ thanh toán đa dạng các loại hóa đơn khác như Hóa đơn điện, nước , nạp tiền điện…</t>
  </si>
  <si>
    <t>4. Thanh toán trực tuyến nhanh chóng với Techcombank M…</t>
  </si>
  <si>
    <t>Thanh toán hóa đơn điện, nước, vé máy bay, nạp tiền điện thoại,...</t>
  </si>
  <si>
    <t>4. Hướng dẫn tích điểm U-Point với Techcombank OneU</t>
  </si>
  <si>
    <t>Chương trình không áp dụng cho giao dịch nạp tiền điện thoại &amp; gói data điện thoại.</t>
  </si>
  <si>
    <t>6. Thanh toán tiền điện online qua Viettel Money</t>
  </si>
  <si>
    <t>Khách hàng sử dụng Viettel Money sẽ thanh toán tiền điện qua app bằng cách:</t>
  </si>
  <si>
    <t>Trong đó, Xu TikTok là loại tiền ảo giúp người dùng tặng quà cho livestreamer, mua vật phẩm ảo hoặc ủng hộ các nhà sáng…</t>
  </si>
  <si>
    <t>2. 3 cách rèn luyện thói quen tiết kiệm tiền thường xu…</t>
  </si>
  <si>
    <t>Có một số cách tiết kiệm hiệu quả như đặt mục tiêu rõ ràng, theo dõi thu chi hàng tháng, thói quen nạp tiền vào tài kho…</t>
  </si>
  <si>
    <t>14. Viettel Money (hỗ trợ nợ nhóm 1, 2)</t>
  </si>
  <si>
    <t>Đăng ký vay nhanh trên app vay tiền nhanh Viettel Money bằng cách thực hiện các bước sau:</t>
  </si>
  <si>
    <t>3.1. Kiểm tra số dư tiền gửi online thông qua ứng dụng…</t>
  </si>
  <si>
    <t>Nếu bạn muốn biết cách nạp tiền vào tài khoản ngân hàng một cách nhanh chóng, Techcombank Mobile cũng là công cụ hữu hi…</t>
  </si>
  <si>
    <t>Home Loan</t>
  </si>
  <si>
    <t>1.2. Các cách nạp tiền vào thẻ Visa Debit Techcombank</t>
  </si>
  <si>
    <t>Techcombank đang hỗ trợ khách hàng nạp tiền vào tài khoản ngân hàng theo nhiều cách khác nhau.</t>
  </si>
  <si>
    <t>1. Liên hệ nhà mạng để khôi phục số điện thoại</t>
  </si>
  <si>
    <t>Cung cấp số dư tài khoản gần nhất của thuê bao/Giá trị thẻ nạp gần nhất là bao nhiêu, nạp bằng hình thức nào.</t>
  </si>
  <si>
    <t>https://techcombank.com/thong-tin/blog/traveloka-voucher</t>
  </si>
  <si>
    <t>Loyalty</t>
  </si>
  <si>
    <t>7. Câu hỏi thường gặp</t>
  </si>
  <si>
    <t>Là khi khách hàng nạp tiền vào thẻ tín dụng để thanh toán các khoản chi trước đó trong 1 chu kỳ thanh toán.</t>
  </si>
  <si>
    <t>mở tài khoản ngân hàng dưới 18 tuổi</t>
  </si>
  <si>
    <t>3. Thẻ Visa Prepaid (Thẻ Visa trả trước) là gì?</t>
  </si>
  <si>
    <t>Thẻ được hoạt động như một chiếc sim điện thoại, khách hàng cần nạp trước số tiền vào thẻ để sử dụng cho mục đích thanh…</t>
  </si>
  <si>
    <t>1. Thẻ Visa khác gì thẻ thường? Hiểu đúng về thẻ Visa…</t>
  </si>
  <si>
    <t>https://techcombank.com/thong-tin/blog/mo-hinh-kinh-doanh-la-gi</t>
  </si>
  <si>
    <t>Thẻ nội địa là thẻ thanh toán nội địa chỉ cho phép khách hàng thanh toán, nạp, rút, chuyển tiền với phạm vi trong nước.</t>
  </si>
  <si>
    <t>1.1. Quá trình đăng ký thanh toán trực tuyến chưa hoàn…</t>
  </si>
  <si>
    <t>Nạp tiền vào thẻ , hoàn thành các thủ tục để thỏa mãn điều kiện sử dụng dịch vụ.</t>
  </si>
  <si>
    <t>giá điện sinh hoạt</t>
  </si>
  <si>
    <t>Thay vì sử dụng nguồn tiền trong tài khoản thanh toán, bạn có thể sử dụng thẻ tín dụng Techcombank để chi trả hay đóng…</t>
  </si>
  <si>
    <t>2.1 Tối ưu hóa chi phí tiêu dùng</t>
  </si>
  <si>
    <t>Khách hàng có thể sử dụng điểm tích lũy để đổi lấy voucher giảm giá, hoàn tiền (cashback) hoặc thanh toán trực tiếp cho…</t>
  </si>
  <si>
    <t>3.2. Sinh lời từ những lợi ích “phi tài chính”</t>
  </si>
  <si>
    <t>Kích hoạt ngay Sinh Lời Tự Động 2.0 để toàn bộ số dư tài khoản của bạn được sinh lời, hưởng lợi suất vượt trội từ chính…</t>
  </si>
  <si>
    <t>Với mong muốn đồng hành cùng phụ huynh và du học sinh trong việc quản lý chi phí học tập, Techcombank Mobile mang đến d…</t>
  </si>
  <si>
    <t>4.1.Trong định giá và đánh giá doanh nghiệp</t>
  </si>
  <si>
    <t>Hệ số này giúp nhà đầu tư ước lượng doanh nghiệp đang được định giá cao hay thấp so với khả năng sinh lời từ hoạt động…</t>
  </si>
  <si>
    <t>3.2. Chuyển tiền bằng thư (Mail Transfer - M/T)</t>
  </si>
  <si>
    <t>Đặc điểm của hình thức này là tần suất gửi đều đặn, giá trị giao dịch trung bình, và yêu cầu tốc độ chuyển tiền cao để…</t>
  </si>
  <si>
    <t>1. Tổng quan chương trình Sinh Lời Rinh Lộc của Techco…</t>
  </si>
  <si>
    <t>Được kết nối trực tiếp với giải pháp cốt lõi Techcombank Sinh Lời Tự Động - giải pháp tối ưu dòng tiền nhàn rỗi với lãi…</t>
  </si>
  <si>
    <t>2.6. Phân loại theo hình thức thanh toán</t>
  </si>
  <si>
    <t>Tính bằng tỷ giá điện hối trừ đi lãi phát sinh trong thời gian chuyển check qua bưu điện.</t>
  </si>
  <si>
    <t>2.4 Gia tăng lợi nhuận: Đặc quyền nhân đôi giá trị cùn…</t>
  </si>
  <si>
    <t>Không dừng lại ở con số ảo, quỹ điểm này sở hữu tính thanh khoản linh hoạt gần như tiền mặt khi dễ dàng quy đổi ngược l…</t>
  </si>
  <si>
    <t>nạp tiền vào tài khoản ngân hàng</t>
  </si>
  <si>
    <t>3.1. Xem xét giá chứng chỉ quỹ hiện tại</t>
  </si>
  <si>
    <t>NAV/CCQ cao phản ánh quỹ đã hoạt động hiệu quả, giá trị tài sản tăng theo thời gian, đồng nghĩa quỹ đã sinh lời tốt.</t>
  </si>
  <si>
    <t>2.3. Theo đặc điểm kinh tế</t>
  </si>
  <si>
    <t>Là chi phí phát sinh nhưng chưa được phân bổ vào giá thành sản phẩm hoặc dịch vụ, vẫn là phần vốn lưu động cần được quả…</t>
  </si>
  <si>
    <t>2.1. Bảo vệ tài chính cho gia đình</t>
  </si>
  <si>
    <t>Đảm bảo các chi phí sinh hoạt hàng ngày, tiền thuê nhà, điện nước...</t>
  </si>
  <si>
    <t>2.5. Thẻ tín dụng Techcombank Everyday</t>
  </si>
  <si>
    <t>Thẻ tín dụng Techcombank Everyday là lựa chọn hoàn hảo cho khách hàng thường xuyên chi tiêu cho sinh hoạt hàng ngày như…</t>
  </si>
  <si>
    <t>2.2 Khả năng thanh khoản 24/7: Sẵn sàng chi tiêu linh…</t>
  </si>
  <si>
    <t>Trong khi các sản phẩm tương tự trên thị trường thường tạo rào cản với quy trình đăng ký phức tạp (như yêu cầu chữ ký đ…</t>
  </si>
  <si>
    <t>1. Chữ ký số đóng vai trò quan trọng trong việc bảo đả…</t>
  </si>
  <si>
    <t>Tại buổi khai mạc hội thảo “Vai trò của chữ ký số cá nhân trong các giao dịch thanh toán điện tử” vào ngày 17/10/2023,…</t>
  </si>
  <si>
    <t>2.2. Tối ưu hóa các chi phí lớn</t>
  </si>
  <si>
    <t>Nếu đang thuê nhà với mức giá đắt đỏ, hãy cân nhắc chuyển sang một nơi xa trung tâm hơn hoặc tìm thêm bạn cùng phòng để…</t>
  </si>
  <si>
    <t>6. Giải pháp eKYC ứng dụng trong ngân hàng Techcombank</t>
  </si>
  <si>
    <t>Theo quy định của Ngân hàng nhà nước, từ 01/07/2024, các giao dịch chuyển tiền trực tuyến hoặc nạp tiền vào ví điện tử…</t>
  </si>
  <si>
    <t>Bài viết giải thích khái niệm, cách tính, các nhóm hàng được theo dõi và ý nghĩa của CPI tăng/giảm để bạn có cơ sở đánh…</t>
  </si>
  <si>
    <t>4. Các công cụ hỗ trợ quản lý tài chính hiệu quả</t>
  </si>
  <si>
    <t>Tiền trong tài khoản tự sinh lời, thêm giá trị mỗi ngày, linh hoạt chi tiêu khi cần.</t>
  </si>
  <si>
    <t>3. Quản lý tài chính hiệu quả với các tính năng ưu việ…</t>
  </si>
  <si>
    <t>Tiền trong tài khoản tự sinh lời, thêm giá trị mỗi ngày, linh hoạt chi tiêu khi cần</t>
  </si>
  <si>
    <t>2. 3 Loại lợi nhuận cơ bản trong báo cáo tài chính</t>
  </si>
  <si>
    <t>Việc hiểu rõ từng loại lợi nhuận giúp doanh nghiệp và nhà đầu tư đánh giá chính xác hiệu quả hoạt động cũng như khả năn…</t>
  </si>
  <si>
    <t>3. Mở tài khoản thanh toán tại ngân hàng</t>
  </si>
  <si>
    <t>Thanh toán hóa đơn sinh hoạt (điện, nước, điện thoại…) ngay trên điện thoại mà không cần đi xa</t>
  </si>
  <si>
    <t>4.2. Đánh giá hiệu quả vận hành</t>
  </si>
  <si>
    <t>Ngoài ra, với nhà đầu tư, chỉ số này là cơ sở quan trọng để đánh giá năng lực sinh lời và so sánh hiệu quả hoạt động gi…</t>
  </si>
  <si>
    <t>5.2. Kinh doanh online qua sàn thương mại điện tử đóng…</t>
  </si>
  <si>
    <t>Hộ kinh doanh và cá nhân kinh doanh có doanh thu từ hoạt động trên sàn Thương mại điện tử (TMĐT) từ 100 triệu VND/năm t…</t>
  </si>
  <si>
    <t>cách sao kê tài khoản ngân hàng</t>
  </si>
  <si>
    <t>https://techcombank.com/thong-tin/blog/bung-no-hoat-dong-thanh-toan-truc-tuyen-tai-viet-nam</t>
  </si>
  <si>
    <t>1. Hoạt động thanh toán trực tuyến lên ngôi tại Việt Na…</t>
  </si>
  <si>
    <t>Trước đây, để nạp tiền điện thoại, mua sắm hằng ngày hay thanh toán hóa đơn...</t>
  </si>
  <si>
    <t>giá điện sinh hoạt mới nhất</t>
  </si>
  <si>
    <t>Luôn đi đầu trong công cuộc đổi mới, Techcombank đã tạo nên những dấu ấn đầy tự hào trong suốt hành trình hoạt động khi…</t>
  </si>
  <si>
    <t>Bài viết dưới đây tổng hợp bảng giá bán lẻ xăng dầu mới nhất từ các hệ thống phân phối như Petrolimex, PVOIL, đồng thời…</t>
  </si>
  <si>
    <t>2. Tổng quan về Sinh Lời Tự Động</t>
  </si>
  <si>
    <t>Cơ chế hoạt động của Sinh Lời Tự Động phiên bản mới nhất 2.0</t>
  </si>
  <si>
    <t>2.3. Thanh toán hóa đơn tiền điện qua app công ty cung…</t>
  </si>
  <si>
    <t>Hiện nay, Tập đoàn Điện lực Việt Nam (EVN) đã triển khai các ứng dụng chăm sóc khách hàng theo từng khu vực để giúp người dân d…</t>
  </si>
  <si>
    <t>Chưa có cụm anchor → thêm 1 câu ngay sau câu này, ví dụ: "Xem thêm: giá điện sinh hoạt mới nhất." rồi gắn link vào cụm anchor.</t>
  </si>
  <si>
    <t>2. Ở nước ngoài có thể thực hiện những giao dịch nào tr…</t>
  </si>
  <si>
    <t>Thanh toán hóa đơn điện, nước, Internet, học phí, nạp tiền điện thoại hoặc các dịch vụ khác</t>
  </si>
  <si>
    <t>Nhờ vậy, khách hàng có thể thanh toán hóa đơn tiền điện nước mọi lúc, mọi nơi, không cần đến bưu điện nộp tiền hoặc đến phòng g…</t>
  </si>
  <si>
    <t>3.1. Ngân hàng số và ví điện tử</t>
  </si>
  <si>
    <t>Thanh toán hóa đơn điện, nước và nhiều dịch vụ khác, nạp tiền điện thoại,...</t>
  </si>
  <si>
    <t>2.2. Đa dạng tiện ích</t>
  </si>
  <si>
    <t>Thanh toán hóa đơn điện, nước và nhiều dịch vụ khác, nạp tiền điện thoại...</t>
  </si>
  <si>
    <t>3. Khám phá 10+ tính năng của ngân hàng số tại Techcomb…</t>
  </si>
  <si>
    <t>4. Thanh toán trực tuyến nhanh chóng với Techcombank Mo…</t>
  </si>
  <si>
    <t>3.1. Thanh toán trả sau</t>
  </si>
  <si>
    <t>Thanh toán trực tuyến các hóa đơn mua sắm, hóa đơn điện nước, nạp tiền điện thoại, phí dịch vụ chung cư… thông qua ứng dụng của…</t>
  </si>
  <si>
    <t>Wealth</t>
  </si>
  <si>
    <t>2.2 Ngân hàng số là gì?</t>
  </si>
  <si>
    <t>Ngoài ra, Techcombank Mobile còn hỗ trợ thanh toán đa dạng các loại hóa đơn khác như Hóa đơn điện, nước , nạp tiền điện thoại ,…</t>
  </si>
  <si>
    <t>3.2. Đóng phí quản lý chung cư qua ngân hàng số</t>
  </si>
  <si>
    <t>1. 5 bước hủy thanh toán tiền điện qua Internet Banking</t>
  </si>
  <si>
    <t>Để hủy thanh toán hóa đơn tiền điện trên Techcombank Mobile, khách hàng có thể thực hiện các bước sau:</t>
  </si>
  <si>
    <t>dãy số phát tài phát lộc</t>
  </si>
  <si>
    <t>Thay vào đó, nghĩa vụ thuế được xác định dựa trên doanh thu thực tế , gắn với hóa đơn điện tử và quản lý theo phương pháp rủi ro.</t>
  </si>
  <si>
    <t>1.5. Đăng nhập và thực hiện giao dịch</t>
  </si>
  <si>
    <t>Tại đây, khách hàng dễ dàng quản lý tài chính cá nhân, từ việc chuyển khoản, thanh toán hóa đơn điện nước cho đến thanh toán tố…</t>
  </si>
  <si>
    <t>Tối ưu quản trị tài chính toàn diện với Techcombank Bus…</t>
  </si>
  <si>
    <t>https://techcombank.com/thong-tin/blog/phan-mem-xuat-hoa-don-dien-tu</t>
  </si>
  <si>
    <t>Hóa đơn điện tử đang trở thành công cụ không thể thiếu đối với hộ kinh doanh và doanh nghiệp trong quá trình bán hàng, kê khai …</t>
  </si>
  <si>
    <t>1. Đóng tiền điện bằng ngân hàng số</t>
  </si>
  <si>
    <t>Đây được coi là cách đóng tiền điện online tiện lợi và được ưa chuộng nhất vì khách hàng không cần cài thêm app mà vẫn có thể t…</t>
  </si>
  <si>
    <t>2. MoMo</t>
  </si>
  <si>
    <t>Ví điện tử MoMo hỗ trợ người dùng mua trước, trả sau cho nhiều nhu cầu hằng ngày như ăn uống, đi siêu thị, thanh toán hóa đơn đ…</t>
  </si>
  <si>
    <t>kiểm tra thuế thu nhập cá nhân</t>
  </si>
  <si>
    <t>2. Tính năng của app ngân hàng</t>
  </si>
  <si>
    <t>Bạn có thể chuyển tiền nội bộ hoặc liên ngân hàng, thanh toán hóa đơn điện, nước, vay tiêu dùng và nhiều dịch vụ khác,...</t>
  </si>
  <si>
    <t>2.1. App quản lý chi tiêu với nhiều tính năng tiện ích</t>
  </si>
  <si>
    <t>Với tính năng này giúp người dùng tránh được việc trễ hạn thanh toán các hóa đơn định kỳ như thanh toán tiền điện nước , bảo hi…</t>
  </si>
  <si>
    <t>3. Cách nạp thẻ điện thoại Viettel trả trước, trả sau b…</t>
  </si>
  <si>
    <t>Viettel Money là nền tảng tài chính số chính thức của Viettel, giúp nạp tiền điện thoại, thanh toán hóa đơn và mua gói data dễ …</t>
  </si>
  <si>
    <t>thuế thu nhập cá nhân</t>
  </si>
  <si>
    <t>Mỗi năm, đến thời điểm quyết toán thuế thu nhập cá nhân (TNCN), người lao động cần rà soát lại thu nhập, chứng…</t>
  </si>
  <si>
    <t>URL đích</t>
  </si>
  <si>
    <t>Số bài blog chèn link</t>
  </si>
  <si>
    <t>Số bài blog chèn link trong thân bài</t>
  </si>
  <si>
    <t>Bài blog chứa link</t>
  </si>
  <si>
    <t>…năm là lúc nhiều người lao động quan tâm đến việc hoàn thuế thu nhập cá nhân (TNCN) – đặc biệt là khi số thuế đã nộp c…</t>
  </si>
  <si>
    <t>1. 10 khoản tiền chuyển vào tài khoản cá nhân phải nộp…</t>
  </si>
  <si>
    <t>Theo Luật Thuế thu nhập cá nhân và Thông tư số 111/2013/TT-BTC , dưới đây là 10 khoản …</t>
  </si>
  <si>
    <t>tên đăng nhập tài khoản ngân hàng</t>
  </si>
  <si>
    <t>Ngày 10/12/2025, Quốc hội chính thức thông qua Luật Thuế thu nhập cá nhân (sửa đổi) và Luật Thuế giá trị gia tăng 2025,…</t>
  </si>
  <si>
    <t>Thuế thu nhập cá nhân (PIT):</t>
  </si>
  <si>
    <t>2.1. Người thụ hưởng kiều hối (cá nhân hoặc tổ chức tr…</t>
  </si>
  <si>
    <t>Không bị đánh thuế thu nhập cá nhân đối với khoản kiều hối nhận được</t>
  </si>
  <si>
    <t>2. Cách tính lợi nhuận chứng chỉ quỹ</t>
  </si>
  <si>
    <t>3.2. Trường hợp nên chuyển đổi lên doanh nghiệp</t>
  </si>
  <si>
    <t>Bắt đầu thuê lao động dài hạn, trả lương qua hệ thống, cần thực hiện các nghĩa vụ về bảo hiểm, thuế thu nhập cá nhân</t>
  </si>
  <si>
    <t>1. Đầu tư quỹ mở là gì? Cơ chế hoạt động của quỹ mở</t>
  </si>
  <si>
    <t>khi bán lại, nhà đầu tư nhận về giá trị tương ứng theo NAV mới, sau khi trừ các khoản phí và thuế thu nhập cá nhân (nếu…</t>
  </si>
  <si>
    <t>Thuế giá trị gia tăng (GTGT) và thuế thu nhập cá nhân (TNCN) là hai loại thuế chủ yếu áp dụng đối với hoạt đ…</t>
  </si>
  <si>
    <t>Thuế thu nhập cá nhân (TNCN):</t>
  </si>
  <si>
    <t>2. Thuế và phí chuyển nhượng chứng chỉ tiền gửi</t>
  </si>
  <si>
    <t>…gửi sẽ không phải chịu thuế giá trị gia tăng (GTGT) và thuế thu nhập cá nhân (TNCN).</t>
  </si>
  <si>
    <t>3.2. Mục đích chuyển tiền và chứng từ</t>
  </si>
  <si>
    <t>Các khoản tiền kiều hối nhận được tại Việt Nam không phải chịu thuế thu nhập cá nhân</t>
  </si>
  <si>
    <t>…D/năm trở lên phải nộp thuế Giá trị gia tăng (GTGT) và thuế Thu nhập cá nhân (TNCN)</t>
  </si>
  <si>
    <t>Sao kê lương là một trong những thủ tục quan trọng giúp người dùng chứng minh thu nhập và quản lý tài chính cá nhân.</t>
  </si>
  <si>
    <t>1. Các loại thuế áp dụng cho hộ kinh doanh</t>
  </si>
  <si>
    <t>Năm 2026 hộ kinh sẽ nộp thuế giá trị gia tăng, thuế thu nhập cá nhân và thuế tiêu thụ đặc biệt (tuỳ ngành hàng, dịch vụ…</t>
  </si>
  <si>
    <t>Hiện nay, việc quản lý và tra cứu nghĩa vụ thuế thu nhập cá nhân (TNCN) của người lao động được thực hiện hoàn toàn trê…</t>
  </si>
  <si>
    <t>rút tiền bằng mã QR</t>
  </si>
  <si>
    <t>…ốc hội thông qua, từ 01/01/2026, ngưỡng doanh thu miễn thuế thu nhập cá nhân và thuế giá trị gia tăng với hộ kinh doan…</t>
  </si>
  <si>
    <t>Thuế giá trị gia tăng (GTGT) và thuế thu nhập cá nhân (TNCN) là 2 loại thuế áp dụng cho hộ kinh doanh, cá nhân kinh doa…</t>
  </si>
  <si>
    <t>Việc tra cứu/kiểm tra thuế thu nhập cá nhân (TNCN) định kỳ là điều cần thiết giúp người nộp thuế n…</t>
  </si>
  <si>
    <t>2. Các loại thuế doanh nghiệp cần nộp</t>
  </si>
  <si>
    <t>…rị gia tăng (GTGT), thuế thu nhập doanh nghiệp (TNDN), thuế thu nhập cá nhân (TNCN) khấu trừ cho nhân viên và một số l…</t>
  </si>
  <si>
    <t>4. Tìm kiếm các chính sách hỗ trợ từ Chính phủ</t>
  </si>
  <si>
    <t>Chính sách giảm thuế, miễn giảm phí chuyển nhượng nhà đất hoặc hỗ trợ thuế thu nhập cá nhân cho những người mua nhà lần…</t>
  </si>
  <si>
    <t>2.6. FAST HRM Online</t>
  </si>
  <si>
    <t>Việc ứng dụng công nghệ vào quy trình tiền lương không chỉ đơn thuần là việc thay thế các bảng tính Excel thủ công, mà…</t>
  </si>
  <si>
    <t>3. Người nhận lương hưu cần lưu ý gì khi quản lý khoản…</t>
  </si>
  <si>
    <t>Sau khi nhận mức lương hưu hoặc trợ cấp mới, người hưởng nên cập nhật lại khoản thu nhập thực nhận và phân bổ cho các n…</t>
  </si>
  <si>
    <t>quét NFC CCCD trên iPhone</t>
  </si>
  <si>
    <t>1.4. Theo dõi thu - chi hàng tháng</t>
  </si>
  <si>
    <t>Đặc biệt, ứng dụng ngân hàng số cũng có thể giúp bạn quản lý thu chi tài chính cá nhân hiệu quả.</t>
  </si>
  <si>
    <t>Bao nhiêu tuổi được mở tài khoản ngân hàng?</t>
  </si>
  <si>
    <t>4. Bước 4: Tính thu nhập tính thuế</t>
  </si>
  <si>
    <t>Kết quả thu được là số thu nhập tính thuế, dùng để nhân với mức thuế suất TNDN tương ứng.</t>
  </si>
  <si>
    <t>2.3. Quy định thu hồi tiền chậm nộp thuế</t>
  </si>
  <si>
    <t>e) Thu tiền, tài sản khác của đối tượng bị cưỡng chế thi hành quyết định hành chính về quản lý thuế do cơ quan, tổ chức…</t>
  </si>
  <si>
    <t>2. Nên chi bao nhiêu tiền để mua bảo hiểm nhân thọ?</t>
  </si>
  <si>
    <t>Thông thường, mức chi phí phù hợp cho một gói bảo hiểm nhân thọ nên nằm trong khoảng từ 10 - 15% tổng thu nhập mỗi thán…</t>
  </si>
  <si>
    <t>Quản lý tài chính cá nhân không chỉ dừng lại ở việc ghi chép thu chi, mà quan trọng hơn là biết cách phân bổ dòng tiền…</t>
  </si>
  <si>
    <t>Nộp thuế đất là nghĩa vụ tài chính quan trọng của cá nhân và tổ chức sử dụng đất tại Việt Nam.</t>
  </si>
  <si>
    <t>5. Lưu ý khi đóng mã số thuế hộ kinh doanh</t>
  </si>
  <si>
    <t>Mã số thuế cá nhân của chủ hộ kinh doanh vẫn tiếp tục được sử dụng:</t>
  </si>
  <si>
    <t>3. Hướng dẫn quản lý khoản vay tiền mặt nhanh online 2…</t>
  </si>
  <si>
    <t>Bạn nên chọn kỳ hạn vay và lịch thanh toán phù hợp với thu nhập cá nhân (ví dụ:</t>
  </si>
  <si>
    <t>5. Mở thẻ tín dụng bằng hợp đồng bảo hiểm nhân thọ</t>
  </si>
  <si>
    <t>Một số ngân hàng cho phép mở thẻ tín dụng bằng hợp đồng bảo hiểm nhân thọ, trong đó giá trị hợp đồng được xem như một t…</t>
  </si>
  <si>
    <t>Cách 1: Tra cứu mã số thuế doanh nghiệp tại Cổng thông…</t>
  </si>
  <si>
    <t>Nhập các thông tin yêu cầu (Mã số thuế hoặc Tên tổ chức cá nhân nộp thuế), điền đúng "Mã xác nhận" (Captcha) hiển thị t…</t>
  </si>
  <si>
    <t>eco card</t>
  </si>
  <si>
    <t>3. Ai cần xuất hoá đơn điện tử khởi tạo từ máy tính tiề…</t>
  </si>
  <si>
    <t>Hộ kinh doanh, cá nhân kinh doanh theo quy định tại khoản 1 Điều 51 có mức doanh thu hằng năm từ 01 tỷ đồng trở lên, khoản 2 Đi…</t>
  </si>
  <si>
    <t>2. Thời hạn đăng ký thuế hộ kinh doanh</t>
  </si>
  <si>
    <t>Đối với các cá nhân kinh doanh tự do (miễn giấy phép), cá nhân phát sinh doanh thu từ việc cho thuê tài sản (nhà, đất, mặt bằng…</t>
  </si>
  <si>
    <t>6.2. Phương pháp tính trực tiếp</t>
  </si>
  <si>
    <t>Tổ chức, cá nhân nước ngoài không cư trú tại Việt Nam, không có cơ sở thường trú tại Việt Nam, có doanh thu phát sinh tại Việt …</t>
  </si>
  <si>
    <t>thuế thu nhập cá nhân năm 2026</t>
  </si>
  <si>
    <t>Theo Luật Thuế giá trị gia tăng 2024 , từ ngày 01/01/2026, cá nhân kinh doanh và hộ kinh doanh có doanh thu hàng năm từ…</t>
  </si>
  <si>
    <t>tra số tài khoản ngân hàng</t>
  </si>
  <si>
    <t>3. Có bao nhiêu cách để tra cứu số tài khoản ngân hàng?</t>
  </si>
  <si>
    <t>Có 4 cách để tra cứu số tài khoản ngân hàng nhanh gọn và tiện lợi nhất bao gồm:</t>
  </si>
  <si>
    <t>tra tài khoản ngân hàng</t>
  </si>
  <si>
    <t>3. Cách kiểm tra số dư tài khoản nhanh nhất</t>
  </si>
  <si>
    <t>Kiểm tra số dư tài khoản với thẻ ngân hàng liên kết với tài khoản</t>
  </si>
  <si>
    <t>… ngân hàng của công ty, bạn có thể tham khảo cách kiểm tra tài khoản ngân hàng bằng 2 hình thức:</t>
  </si>
  <si>
    <t>1.1. SMS Banking là gì?</t>
  </si>
  <si>
    <t>SMS Banking là dịch vụ ngân hàng điện tử, cho phép khách hàng theo dõi thông tin tài khoản và nhận thông báo giao dịch/…</t>
  </si>
  <si>
    <t>1. Mã giao dịch là gì?</t>
  </si>
  <si>
    <t>Vậy nên, việc tìm hiểu cách tra cứu mã giao dịch là rất quan trọng để mọi người bảo vệ tài khoản ngân hàng của mình.</t>
  </si>
  <si>
    <t>Khách hàng nên mua số tài khoản ngân hàng đẹp bởi dễ nhớ khi giao dịch, tạo được dấu ấn cá nhân, mang lại may mắn...</t>
  </si>
  <si>
    <t>CDM là một trong những công cụ hiện đại giúp khách hàng nộp tiền, rút tiền và kiểm tra số dư tài khoản mà không cần đến…</t>
  </si>
  <si>
    <t>Để thực hiện các giao dịch chuyển khoản, chủ tài khoản của ngân hàng thụ hưởng cần cung cấp số tài khoản cho người thực…</t>
  </si>
  <si>
    <t>CIC là gì</t>
  </si>
  <si>
    <t>1. 8868 nghĩa là gì?</t>
  </si>
  <si>
    <t>Chính vì vậy, dãy số 8868 thường được lựa chọn xuất hiện trong số điện thoại, biển số xe hay số tài khoản ngân hàng của…</t>
  </si>
  <si>
    <t>5. Mở tài khoản số đẹp miễn phí, dãy số như ý tại Tech…</t>
  </si>
  <si>
    <t>Techcombank là một trong những ngân hàng tiên phong cung cấp dịch vụ Mở tài khoản số đẹp online .</t>
  </si>
  <si>
    <t>2. Gợi ý số tài khoản có dãy số 66666</t>
  </si>
  <si>
    <t>Hiện nay, nhiều ngân hàng trong đó có Techcombank hỗ trợ khách hàng lựa chọn số tài khoản đẹp theo phong thủy.</t>
  </si>
  <si>
    <t>2. Gợi ý số tài khoản có dãy số 8386</t>
  </si>
  <si>
    <t>Hiện nay, nhiều ngân hàng lớn cung cấp dịch vụ chọn số tài khoản theo phong thủy, giúp khách hàng sở hữu dãy số 8386 để…</t>
  </si>
  <si>
    <t>Số thẻ ngân hàng là gì và có phải là số tài khoản không?</t>
  </si>
  <si>
    <t>Việc chủ động “dịch” số tài khoản ngân hàng giúp bạn nắm rõ thông điệp phong thủy đằng sau dãy số mình đang sử dung.</t>
  </si>
  <si>
    <t>3. Mở tài khoản số đẹp miễn phí, dãy số như ý tại Tech…</t>
  </si>
  <si>
    <t>Việc sở hữu những dãy số có chứa 6868 trong sim điện thoại, biển số xe hay số tài khoản ngân hàng được xem là cách thu…</t>
  </si>
  <si>
    <t>4. Mở tài khoản số đẹp miễn phí, dãy số như ý tại Tech…</t>
  </si>
  <si>
    <t>1. Cách chuyển tiền bằng mã QR</t>
  </si>
  <si>
    <t>Sau khi quét, hệ thống hiển thị thông tin người nhận gồm tên, số tài khoản và ngân hàng.</t>
  </si>
  <si>
    <t>1.1 Techcombank Priority</t>
  </si>
  <si>
    <t>Tài khoản số đẹp với hạn mức chuyển khoản liên ngân hàng điện tử tối đa 20 tỷ VND/ngày.</t>
  </si>
  <si>
    <t>1. Nạp tiền vào tài khoản ngân hàng tại nhà qua Mobile…</t>
  </si>
  <si>
    <t>Không cần đến trực tiếp phòng giao dịch/chi nhánh ngân hàng, bạn có thể mở tài khoản ngân hàng online và nạp tiền vào t…</t>
  </si>
  <si>
    <t>Việc mở thêm các tài khoản cùng 1 số CCCD đăng ký còn phụ thuộc vào quy định và chính sách của từng ngân hàng khác nhau.</t>
  </si>
  <si>
    <t>2.1. Nên làm gì nếu quên mật khẩu đăng nhập Mobile Ban…</t>
  </si>
  <si>
    <t>Theo quy định của đa số ngân hàng, nếu khách hàng nhập sai mật khẩu quá 3 - 5 lần khi đăng nhập vào Mobile Banking hoặc…</t>
  </si>
  <si>
    <t>1. Mở tài khoản ngân hàng online có an toàn không?</t>
  </si>
  <si>
    <t>Mở tài khoản ngân hàng online thông qua ngân hàng số hoàn toàn an toàn vì có các công nghệ bảo mật tiên tiến.</t>
  </si>
  <si>
    <t>1. Mở tài khoản ngân hàng có miễn phí thật không?</t>
  </si>
  <si>
    <t>Hiện nay, đa số ngân hàng đều miễn phí mở tài khoản.</t>
  </si>
  <si>
    <t>Số tài khoản ngân hàng là gì, cách tra cứu và sử dụng</t>
  </si>
  <si>
    <t>1.3. Cách kiểm tra số dư tài khoản nhanh nhất</t>
  </si>
  <si>
    <t>1. Số dư tiền gửi là gì?</t>
  </si>
  <si>
    <t>Bạn có thể dễ dàng kiểm tra số dư tài khoản tiền gửi thông qua ứng dụng ngân hàng số.</t>
  </si>
  <si>
    <t>rút tiền mặt từ thẻ tín dụng</t>
  </si>
  <si>
    <t>Khách hàng có thể tự kiểm tra thông tin tài khoản ngân hàng 24/7, mọi lúc mọi nơi chỉ với điện thoại thông minh có kết…</t>
  </si>
  <si>
    <t>2.1. Cách 1: Làm việc với ngân hàng</t>
  </si>
  <si>
    <t>Ngân hàng mở tài khoản gửi yêu cầu tra soát hỗ trợ thu hồi tiền tới ngân hàng thụ hưởng &gt; Ngân hàng thụ hưởng tra soát…</t>
  </si>
  <si>
    <t>2. 3 lưu ý để sử dụng mã QR ngân hàng an toàn</t>
  </si>
  <si>
    <t>Vì mã QR ngân hàng chứa thông tin tài khoản thụ hưởng (tên chủ tài khoản, số tài khoản, tên ngân hàng) nên khách hàng c…</t>
  </si>
  <si>
    <t>mở tài khoản ngân hàng online</t>
  </si>
  <si>
    <t>Tuy nhiên, nhiều khách hàng vẫn thắc mắc mở tài khoản ngân hàng online có an toàn không ?</t>
  </si>
  <si>
    <t>cách tạo tài khoản ngân hàng</t>
  </si>
  <si>
    <t>Tuy nhiên theo yêu cầu của một số ngân hàng, bạn có thể sẽ mất thêm 1 khoản phí nhỏ từ 50,000 VND - 100,000 VND để nạp…</t>
  </si>
  <si>
    <t>2.1. Tài khoản thanh toán</t>
  </si>
  <si>
    <t>Tài khoản thanh toán có thể mở online hoàn toàn miễn phí qua ngân hàng số/Mobile Banking.</t>
  </si>
  <si>
    <t>1. Mở tài khoản online thay vì nhờ người thân mở tài k…</t>
  </si>
  <si>
    <t>…hời gian đến ngân hàng mở tài khoản thì có thể đăng ký mở tài khoản ngân hàng online .</t>
  </si>
  <si>
    <t>1. Độ tuổi được phép tự mở tài khoản ngân hàng</t>
  </si>
  <si>
    <t>&gt;&gt;&gt; Mở tài khoản ngân hàng online ngay hôm nay để giao dịch miễn phí, thuận tiện quản lý chi tiêu.</t>
  </si>
  <si>
    <t>1. Xác thực sinh trắc học khi chuyển tiền ngân hàng là…</t>
  </si>
  <si>
    <t>Ngoài các tình huống giao dịch trên, hiện nay, khi mở tài khoản ngân hàng online qua ứng dụng ngân hàng, khách hàng bắt…</t>
  </si>
  <si>
    <t>1. 1 CCCD mở được mấy tài khoản ngân hàng? Cập nhật 20…</t>
  </si>
  <si>
    <t>Hiện nay nhiều ngân hàng đã cho phép đăng ký mở tài khoản online , ví dụ như ngân hàng Techcombank, BIDV, MBBank, Vietc…</t>
  </si>
  <si>
    <t>…c tiếp phòng giao dịch/chi nhánh ngân hàng, bạn có thể mở tài khoản ngân hàng online và nạp tiền vào tài khoản ngân hà…</t>
  </si>
  <si>
    <t>5.3 Đăng ký tài khoản ngân hàng online cho người dưới…</t>
  </si>
  <si>
    <t>Nhiều bạn trẻ thắc mắc 15 tuổi mở tài khoản ngân hàng online nào được?</t>
  </si>
  <si>
    <t>2. Quy trình khai báo tài khoản ngân hàng với eTax Mob…</t>
  </si>
  <si>
    <t>Khai báo tài khoản ngân hàng với cơ quan thuế theo thời hạn quy định không chỉ là nghĩa vụ pháp lý bắt buộc, mà còn là…</t>
  </si>
  <si>
    <t>Để xác định số dư, kiểm tra giao dịch hoặc quản lý tài chính từ tài khoản ngân hàng của công ty, bạn có thể tham khảo c…</t>
  </si>
  <si>
    <t>Cùng tìm hiểu nhanh cách liên kết ePass với tài khoản ngân hàng/ thẻ ngân hàng trong bài viết dưới đây!</t>
  </si>
  <si>
    <t>4. Mở Tài khoản Hộ kinh doanh Techcombank - Thuận tiện…</t>
  </si>
  <si>
    <t>Khai báo tài khoản ngân hàng với cơ quan thuế trước thời hạn quy định không chỉ là nghĩa vụ pháp lý bắt buộc, mà còn là…</t>
  </si>
  <si>
    <t>làm thẻ tín dụng</t>
  </si>
  <si>
    <t>1.1 Techcombank Sinh Lời Tự Động là gì?</t>
  </si>
  <si>
    <t>Nhờ sở hữu nền tảng công nghệ tiên tiến, cơ chế đảm bảo tính thanh khoản, Techcombank Sinh Lời Tự Động đã tạo nên cuộc…</t>
  </si>
  <si>
    <t>Bạn đang tìm cách đổi mật khẩu tài khoản ngân hàng nhanh, không cần đến phòng giao dịch?</t>
  </si>
  <si>
    <t>Bên cạnh đó, một số ngân hàng cũng đã hỗ trợ mở tài khoản trực tuyến bằng cách kết nối với VNeID, giúp rút ngắn quy trì…</t>
  </si>
  <si>
    <t>2. Lời khuyên sử dụng số tài khoản ngân hàng an toàn</t>
  </si>
  <si>
    <t>Dưới đây là một số lời khuyên hữu ích giúp bạn sử dụng tài khoản ngân hàng một cách an toàn và hiệu quả:</t>
  </si>
  <si>
    <t>Liên kết tài khoản ngân hàng Techcombank với eTax Mobile để nhận tiền hoàn thuế thuận tiện.</t>
  </si>
  <si>
    <t>Cùng tìm hiểu cách đóng tiền điện, nước qua tài khoản ngân hàng online và ví điện tử ngay trong bài viết dưới đây!</t>
  </si>
  <si>
    <t>Ở bài viết này, Techcombank sẽ hướng dẫn chi tiết các bước cách đổi số điện thoại liên kết tài khoản ngân hàng cực đơn…</t>
  </si>
  <si>
    <t>Hiện nay, Techcombank đang triển khai nhiều chương trình ưu đãi hấp dẫn khi mở tài khoản doanh nghiệp như tặng tài khoả…</t>
  </si>
  <si>
    <t>4.2. Sau khi đóng tài khoản có thể mở lại không?</t>
  </si>
  <si>
    <t>Theo quy định tại Điều 18 Thông tư 23/2014/TT-NHNN (đã được sửa đổi, bổ sung), sau khi đã khóa tài khoản ngân hàng, khá…</t>
  </si>
  <si>
    <t>5. Hướng dẫn kích hoạt Sinh Lời Tự Động</t>
  </si>
  <si>
    <t>Đồng thời, khách hàng đăng ký mở tài khoản hộ kinh doanh online còn có thể tận dụng tối đa các tính năng ưu việt của ng…</t>
  </si>
  <si>
    <t>2. Lưu ý trước khi mua tài khoản số đẹp</t>
  </si>
  <si>
    <t>Thủ tục mở tài khoản số đẹp cũng khá đơn giản theo hình thức online hoặc trực tiếp tại ngân hàng.</t>
  </si>
  <si>
    <t>1.4. Giao dịch nhanh chóng, tiện lợi</t>
  </si>
  <si>
    <t>Các doanh nghiệp nên chọn những ngân hàng có thủ tục mở tài khoản nhanh chóng và có hình thức mở tài khoản online 24/7,…</t>
  </si>
  <si>
    <t>2.2. Hạn chế</t>
  </si>
  <si>
    <t>miễn phí mở tài khoản số đẹp, phí duy trì ngân hàng số, phát hành và phí thường niên thẻ ghi nợ, chuyển tiền online năm…</t>
  </si>
  <si>
    <t>1.2. Tài khoản tiết kiệm</t>
  </si>
  <si>
    <t>Để mở tài khoản tiết kiệm, bạn có thể mở online qua ngân hàng số hoặc mở trực tiếp tại phòng giao dịch/chi nhánh gần nh…</t>
  </si>
  <si>
    <t>thẻ tín dụng Techcombank Everyday</t>
  </si>
  <si>
    <t>2. Nên mở nhiều tài khoản ngân hàng khi nào?</t>
  </si>
  <si>
    <t>Hiện tại, không phải toàn bộ các ngân hàng đều có chính sách mở thêm tài khoản thanh toán online tại cùng 1 ngân hàng.</t>
  </si>
  <si>
    <t>1. Giới thiệu biểu mẫu mở tài khoản doanh nghiệp Techc…</t>
  </si>
  <si>
    <t>Khách hàng tải mẫu mở tài khoản doanh nghiệp Techcombank tại website của ngân hàng.</t>
  </si>
  <si>
    <t>chọn ngân hàng uy tín</t>
  </si>
  <si>
    <t>3. Lời khuyên để gửi tiết kiệm tại ngân hàng an toàn,…</t>
  </si>
  <si>
    <t>Lựa chọn ngân hàng uy tín để gửi tiền:</t>
  </si>
  <si>
    <t>chuyển tiền, thanh toán, gửi tiết kiệm, đầu tư, vay trực tuyến… Dưới đây là TOP 10 app/ứng dụng ngân hàng được người dù…</t>
  </si>
  <si>
    <t>3. Lưu ý khi gửi tiết kiệm ngân hàng để an toàn nhất</t>
  </si>
  <si>
    <t>Lựa chọn ngân hàng uy tín để được hưởng các dịch vụ chuyên nghiệp, đảm bảo an to…</t>
  </si>
  <si>
    <t>5. Quy trình cho vay tín chấp doanh nghiệp</t>
  </si>
  <si>
    <t>Bước 1 - Lựa chọn ngân hàng uy tín:</t>
  </si>
  <si>
    <t>6. 4 lưu ý khi thực hiện giao dịch ngoại tệ</t>
  </si>
  <si>
    <t>Ưu tiên lựa chọn ngân hàng uy tín , có nhiều kinh nghiệm trong lĩnh vực ngoại hối</t>
  </si>
  <si>
    <t>thẻ tín dụng hoàn tiền</t>
  </si>
  <si>
    <t>2.1. Ưu tiên thực hiện chuyển tiền quốc tế qua các ngân…</t>
  </si>
  <si>
    <t>…c hiện chuyển tiền trợ cấp thân nhân ở nước ngoài, lựa chọn ngân hàng uy tín đóng vai trò then chốt để đảm bảo giao dịch diễn ra an…</t>
  </si>
  <si>
    <t>2. Lưu ý khi nộp tiền mặt vào tài khoản công ty</t>
  </si>
  <si>
    <t>Lựa chọn ngân hàng uy tín:</t>
  </si>
  <si>
    <t>4. Tạo quỹ tiết kiệm dự phòng trên ngân hàng số dễ dàng</t>
  </si>
  <si>
    <t>Lựa chọn ngân hàng uy tín để gửi quỹ dự phòng tài chính.</t>
  </si>
  <si>
    <t>1.1. Độ uy tín của ngân hàng</t>
  </si>
  <si>
    <t>…chuyên nghiệp đánh giá và xếp hạng các doanh nghiệp và ngân hàng uy tín tại Việt Nam.</t>
  </si>
  <si>
    <t>5. Lựa chọn ngân hàng uy tín để gửi tiền tiết kiệm onl…</t>
  </si>
  <si>
    <t>Những ngân hàng uy tín luôn đảm bảo về vấn đề bảo mật thông tin, minh bạch và…</t>
  </si>
  <si>
    <t>URL</t>
  </si>
  <si>
    <t>3. Lưu ý trước khi gửi tiết kiệm tại ngân hàng</t>
  </si>
  <si>
    <t>Anchor</t>
  </si>
  <si>
    <t>Chọn ngân hàng uy tín, kinh nghiệm trên 10 năm:</t>
  </si>
  <si>
    <t>Số lần đã đề xuất</t>
  </si>
  <si>
    <t>2. Lợi ích của bảo lãnh vay vốn đối với doanh nghiệp</t>
  </si>
  <si>
    <t>Việc được một ngân hàng uy tín đứng ra bảo lãnh giúp nâng cao uy tín và mức độ chuyên…</t>
  </si>
  <si>
    <t>lãi suất ngân hàng</t>
  </si>
  <si>
    <t>cách hủy thẻ tín dụng</t>
  </si>
  <si>
    <t>Giá trị thương hiệu ” không chỉ phản ánh quy mô tài sản hay lợi nhuận, mà còn thể hiện năng lực quản trị, uy tín và niề…</t>
  </si>
  <si>
    <t>3. Kinh nghiệm vay thế chấp ngân hàng để có mức lãi su…</t>
  </si>
  <si>
    <t>Lựa chọn ngân hàng uy tín, có ưu đãi về lãi suất:</t>
  </si>
  <si>
    <t>Chúng tôi sẽ giới thiệu đến bạn TOP 7 ngân hàng uy tín 2026 đang cung cấp đa dạng gói vay không cần tài sản đ…</t>
  </si>
  <si>
    <t>lãi suất ngân hàng hôm nay</t>
  </si>
  <si>
    <t>1.4. Điều kiện, thủ tục vay đơn giản, nhanh chóng và t…</t>
  </si>
  <si>
    <t>… tranh mạnh mẽ trên thị trường tài chính hiện nay, một ngân hàng uy tín và chuyên nghiệp sẽ đưa ra những điều kiện vay…</t>
  </si>
  <si>
    <t>lãi suất ngân hàng nào cao nhất</t>
  </si>
  <si>
    <t>1.1 Lãi suất ưu đãi</t>
  </si>
  <si>
    <t>Bên cạnh cung cấp chính sách vay ưu đãi, các ngân hàng uy tín thường cung cấp mức lãi suất chính xác tại thời điểm k…</t>
  </si>
  <si>
    <t>1. Ngân hàng Techcombank</t>
  </si>
  <si>
    <t>Hiện Techcombank đã vươn mình trở thành một trong những ngân hàng uy tín tại Việt Nam với các điểm nhấn:</t>
  </si>
  <si>
    <t>lãi suất ngân hàng hiện nay</t>
  </si>
  <si>
    <t>5. Hỗ trợ khách hàng</t>
  </si>
  <si>
    <t>Các app ngân hàng uy tín sẽ cung cấp nhiều kênh hỗ trợ khác nhau như:</t>
  </si>
  <si>
    <t>… tài khoản ngân hàng nào, đồng thời đưa ra gợi ý top 7 ngân hàng uy tín, tốt nhất mà học sinh, sinh viên nên đăng ký m…</t>
  </si>
  <si>
    <t>7. Nên gửi tiết kiệm ngoại tệ ở ngân hàng nào?</t>
  </si>
  <si>
    <t>Đồng thời, bạn cũng nên chọn gửi ngoại tệ vào ngân hàng uy tín, có độ bảo mật cao để an tâm hơn khi sử dụng.</t>
  </si>
  <si>
    <t>3. 7 tiêu chí cần quan tâm khi Việt Kiều chọn ngân hàn…</t>
  </si>
  <si>
    <t>…t Kiều cũng cần lưu ý khi mở tài khoản và lựa chọn các ngân hàng uy tín, đáp ứng đủ các tiêu chí nêu trong bài viết để…</t>
  </si>
  <si>
    <t>3.3. Tính ổn định và tốc độ cập nhật tỷ giá</t>
  </si>
  <si>
    <t>Một ngân hàng uy tín sẽ cập nhật tỷ giá thường xuyên theo thị trường.</t>
  </si>
  <si>
    <t>2. 5 ngân hàng mở thẻ Visa có dịch vụ tốt, uy tín</t>
  </si>
  <si>
    <t>Nhìn chung, khi sử dụng dịch vụ mở thẻ tại các ngân hàng, khách hàng nên tìm hiểu kỹ các tiêu chí so sánh và uy tín ngâ…</t>
  </si>
  <si>
    <t>xếp hạng tín dụng</t>
  </si>
  <si>
    <t>2.1. Cách làm lại thẻ ngân hàng khi bị mất thông qua p…</t>
  </si>
  <si>
    <t>Khi mất thẻ tín dụng, khách hàng có thể liên hệ trực tiếp qua hotline tư vấn của ngân hàng và chọn số khẩn cấp để yêu c…</t>
  </si>
  <si>
    <t>Bài viết dưới đây sẽ tổng hợp lãi suất chứng chỉ tiền gửi các ngân hàng mới nhất để bạn để có thể lựa chọn được đơn vị…</t>
  </si>
  <si>
    <t>lãi suất tiền gửi ngân hàng</t>
  </si>
  <si>
    <t>5. Tỷ giá giữa các ngân hàng khác nhau</t>
  </si>
  <si>
    <t>Tỷ giá có thể chênh lệch từ vài điểm đến vài trăm điểm giữa các ngân hàng, việc theo dõi và so sánh tỷ giá sẽ giúp bạn…</t>
  </si>
  <si>
    <t>3. Yếu tố ảnh hưởng khả năng ngân hàng xét duyệt vay v…</t>
  </si>
  <si>
    <t>Đối với mọi ngân hàng, một doanh nghiệp, hộ kinh doanh uy tín sẽ có hệ thống thông tin tài chính kế toán rõ ràng, minh…</t>
  </si>
  <si>
    <t>lãi suất gửi tiết kiệm ngân hàng</t>
  </si>
  <si>
    <t>6. Vay ở đâu nếu không đủ điều kiện vay vốn sinh viên…</t>
  </si>
  <si>
    <t>Phụ huynh, sinh viên, nghiên cứu sinh, học viên thạc sĩ có thể tham khảo giải pháp vay tín chấp tại các ngân hàng nếu k…</t>
  </si>
  <si>
    <t>2. Nguyên tắc thanh toán thẻ tín dụng miễn lãi 55 ngày</t>
  </si>
  <si>
    <t>Là thời gian ngân hàng gia hạn thêm để chủ thẻ có thể sắp xếp tài chính nhằm thanh toán số tiền đã chi tiêu từ thẻ tín…</t>
  </si>
  <si>
    <t>chuyển tiền thành công nhưng chưa nhận được</t>
  </si>
  <si>
    <t>3. Vai trò của mã giao dịch chuyển tiền</t>
  </si>
  <si>
    <t>Mã giao dịch là bằng chứng cho việc giao dịch đã được thực hiện thành công và có thể giúp người dùng hoặc ngân hàng xác…</t>
  </si>
  <si>
    <t>lãi suất ngân hàng tiền gửi</t>
  </si>
  <si>
    <t>tiền chuyển khoản bị treo</t>
  </si>
  <si>
    <t>Số URL đã có ít nhất 1 bài blog chèn link</t>
  </si>
  <si>
    <t>Chuyển tiền bằng mã QR là cách chuyển khoản ngân hàng phổ biến nhất hiện nay.</t>
  </si>
  <si>
    <t>Số URL chưa có bài blog nào chèn link</t>
  </si>
  <si>
    <t>Số URL có link trong thân bài blog</t>
  </si>
  <si>
    <t>Vậy, chuyển nhầm tiền có lấy lại được không ?, và nếu có thì chuyển khoản nhầm làm sao để lấy lại nhanh nhất.</t>
  </si>
  <si>
    <t>3. 4 lỗi có thể gặp với ngân hàng thụ hưởng khi chuyển…</t>
  </si>
  <si>
    <t>Chuyển khoản thành công nhưng không nhận được tiền</t>
  </si>
  <si>
    <t>1. Xu hướng tài chính 2026: Hộ kinh doanh kỳ vọng gì ở…</t>
  </si>
  <si>
    <t>tra cứu cic miễn phí</t>
  </si>
  <si>
    <t>Tài khoản ngân hàng không còn chỉ là một chiếc "ví điện tử" để nhận và chuyển tiền, mà được kỳ vọng trở thành một công…</t>
  </si>
  <si>
    <t>6. Mã QR ngân hàng bị sai thông tin</t>
  </si>
  <si>
    <t>Trong trường hợp nhập sai thông tin tài khoản, mã QR vẫn sẽ được khởi tạo thành công nhưng thiết bị quét sẽ không nhận…</t>
  </si>
  <si>
    <t>cách thanh toán thẻ tín dụng</t>
  </si>
  <si>
    <t>4.1. Sử dụng loa bán hàng Techcombank như thế nào?</t>
  </si>
  <si>
    <t>Sau khi thiết bị loa bán hàng được cài đặt thành công, mỗi khi có người mua hàng thực hiện chuyển tiền hành công qua mã…</t>
  </si>
  <si>
    <t>1. Nạp tiền vào thẻ ghi nợ thông qua Mobile Banking</t>
  </si>
  <si>
    <t>Đây cũng là một trong những hình thức chuyển tiền phổ biến nhất hiện nay, và các chủ cửa hàng thường trang bị loa thông…</t>
  </si>
  <si>
    <t>tra cứu cic</t>
  </si>
  <si>
    <t>4. Bước 4: Xác thực giao dịch và kiểm tra trạng thái g…</t>
  </si>
  <si>
    <t>Chuyển thành công Tới TEN NGUOI THU HUONG VND số tiền, Tài khoản nhận, Lời nhắn, Ngày thực hiện, và Mã giao dịch .</t>
  </si>
  <si>
    <t>7. Một số lỗi có thể gặp khi chuyển khoản và cách xử lý</t>
  </si>
  <si>
    <t>Người bán nhận ảnh “chuyển tiền thành công” nhưng số dư không tăng.</t>
  </si>
  <si>
    <t>kiểm tra cic</t>
  </si>
  <si>
    <t>2.5. Hỗ trợ hoạt động quản lý bán hàng và kiểm soát do…</t>
  </si>
  <si>
    <t>Nhiều thiết bị loa thông báo chuyển khoản tích hợp với phần mềm quản lý bán hàng, giúp chủ cửa hàng tăng cường khả năng…</t>
  </si>
  <si>
    <t>1. Remittance là gì?</t>
  </si>
  <si>
    <t>Remittance (còn gọi là chuyển tiền quốc tế hoặc kiều hối) là hình thức thanh toán trong đó một cá nhân hoặc tổ chức yêu…</t>
  </si>
  <si>
    <t>cic là gì</t>
  </si>
  <si>
    <t>1.1. Các tính năng chính của CDM</t>
  </si>
  <si>
    <t>Số tiền nộp vào tài khoản được cập nhật ngay trong vòng 1 phút, hỗ trợ các giao dịch chuyển khoản và thanh toán nhanh c…</t>
  </si>
  <si>
    <t>2.1.1. Cách tạo mã QR Techcombank</t>
  </si>
  <si>
    <t>Chuyển đổi sang Cửa hàng của tôi nếu giao dịch liên quan đến khoản tiền kinh doanh</t>
  </si>
  <si>
    <t>Vậy bị lừa chuyển tiền qua tài khoản có lấy lại được không?</t>
  </si>
  <si>
    <t>1. Giới thiệu dịch vụ gửi tiền du học Techcombank</t>
  </si>
  <si>
    <t>Học phí đến hạn, sinh hoạt phí cần bổ sung hay các khoản chi tiêu phát sinh khi con đi du học có thể làm khó nhiều phụ…</t>
  </si>
  <si>
    <t>IBAN giúp định danh tài khoản ngân hàng một cách chính xác, giảm thiểu sai sót và rủi ro trong quá trình chuyển tiền xu…</t>
  </si>
  <si>
    <t>4. Câu hỏi thường gặp</t>
  </si>
  <si>
    <t>Tài khoản ngân hàng bị khóa có chuyển tiền vào được không?</t>
  </si>
  <si>
    <t>vay nhanh</t>
  </si>
  <si>
    <t>chứng chỉ tiền gửi là gì</t>
  </si>
  <si>
    <t>1.1. Với tài khoản 0 đồng nhưng vẫn hoạt động hàng thá…</t>
  </si>
  <si>
    <t>Nếu tài khoản có số dư trung bình tháng là 0 đồng nhưng bạn vẫn duy trì các hoạt động giao dịch như thanh toán, chuyển/…</t>
  </si>
  <si>
    <t>vay</t>
  </si>
  <si>
    <t>1. Ví điện tử là gì?</t>
  </si>
  <si>
    <t>“ Dịch vụ ví điện tử là dịch vụ cung cấp cho khách hàng một tài Khoản điện tử định danh do các tổ chức cung ứng dịch vụ…</t>
  </si>
  <si>
    <t>vay tiền</t>
  </si>
  <si>
    <t>1. Token là gì?</t>
  </si>
  <si>
    <t>Mục đích chính của Token là đảm bảo rằng chỉ có chủ sở hữu hợp pháp của tài khoản mới có thể chuyển tiền, thanh toán ho…</t>
  </si>
  <si>
    <t>Với phương pháp xác thực sinh trắc học, thao tác thực hiện một số tình huống giao dịch như chuyển tiền nước ngoài, đăng…</t>
  </si>
  <si>
    <t>vay tiền online chuyển khoản ngay</t>
  </si>
  <si>
    <t>3. Ý nghĩa của CASA với khách hàng</t>
  </si>
  <si>
    <t>Nhận lương, chuyển khoản, rút tiền, thanh toán QR, quẹt thẻ… mọi lúc, không bị ràng buộc thời gian</t>
  </si>
  <si>
    <t>3. 2 lưu ý khi chuyển tiền bằng thẻ ghi nợ</t>
  </si>
  <si>
    <t>Bên cạnh đó, để đảm bảo tính chính xác khi nhận tiền, nhiều đơn vị kinh doanh hiện nay còn trang bị thêm loa thông báo…</t>
  </si>
  <si>
    <t>Trong nhiều lựa chọn chuyển tiền hiện nay, Techcombank mang đến giải pháp thuận tiện và minh bạch cho khách hàng có nhu…</t>
  </si>
  <si>
    <t>Bên cạnh việc tìm hiểu điều kiện cư trú và hoàn thiện hồ sơ, mỗi gia đình cần chủ động tính toán ngân sách cho các khoả…</t>
  </si>
  <si>
    <t>3. Xây dựng kế hoạch quản lý gia sản dài hạn</t>
  </si>
  <si>
    <t>Việc xác định các khoản chi phí cần chuẩn bị, nắm rõ quy định liên quan đến việc mang và chuyển tiền quốc tế, đồng thời…</t>
  </si>
  <si>
    <t>app vay</t>
  </si>
  <si>
    <t>độ tuổi mở tài khoản ngân hàng</t>
  </si>
  <si>
    <t>2.1 Điều kiện và thủ tục mở tài khoản cho con</t>
  </si>
  <si>
    <t>Techcombank không giới hạn độ tuổi mở tài khoản ngân hàng.</t>
  </si>
  <si>
    <t>vay tiền app</t>
  </si>
  <si>
    <t>Bài viết này sẽ giúp bạn giải đáp thắc mắc nên làm tài khoản ngân hàng nào, đồng thời đưa ra gợi ý top 7 ngân hàng uy t…</t>
  </si>
  <si>
    <t>1. Mở thẻ ngân hàng - thẻ ATM online thông qua Mobile…</t>
  </si>
  <si>
    <t>Để đăng ký mở thẻ thanh toán quốc tế qua Mobile Banking, khách hàng cần phải có tài khoản thanh toán tại ngân hàng muốn…</t>
  </si>
  <si>
    <t>app vay tiền</t>
  </si>
  <si>
    <t>lãi suất chứng chỉ tiền gửi các ngân hàng</t>
  </si>
  <si>
    <t>1. Một người có thể làm bao nhiêu thẻ ATM tại 1 ngân h…</t>
  </si>
  <si>
    <t>Tại nhiều ngân hàng hiện nay, mỗi khách hàng với 1 CCCD/CMND có thể mở từ 2 - 4 thẻ ATM (thẻ ghi nợ/thẻ thanh toán) trê…</t>
  </si>
  <si>
    <t>2. Làm thẻ ngân hàng (thẻ ATM) có tốn tiền không?</t>
  </si>
  <si>
    <t>Chỉ một số ngân hàng yêu cầu nộp khoản tiền ban đầu để duy trì số dư tối thiểu trong tài khoản, mức phí này thường dao…</t>
  </si>
  <si>
    <t>1.3. Mã QR Cửa hàng</t>
  </si>
  <si>
    <t>Nếu khách hàng là người trẻ tuổi, việc mở tài khoản ngân hàng dưới 18 tuổi đã được hỗ trợ để sớm làm quen với các công…</t>
  </si>
  <si>
    <t>3. Bước 3: Nhập số tiền cần thanh toán</t>
  </si>
  <si>
    <t>Ngân hàng Techcombank còn hỗ trợ các giải pháp tài chính cho cả đối tượng khách hàng trẻ tuổi, giúp bố mẹ dễ dàng mở tà…</t>
  </si>
  <si>
    <t>app vay nhanh</t>
  </si>
  <si>
    <t>2. 2 đối tượng đặc biệt có thể nhờ người thân mở hộ tà…</t>
  </si>
  <si>
    <t>Nhóm người chưa đủ 15 tuổi và nhóm người không đủ năng lực hành vi dân sự, có thể nhờ người thân mở tài khoản ngân hàng…</t>
  </si>
  <si>
    <t>1. Làm thẻ ngân hàng - thẻ ATM có mất phí không?</t>
  </si>
  <si>
    <t>Khi làm thẻ ngân hàng - thẻ ATM, khách hàng thường sẽ mất một khoản phí mở thẻ khoảng 30.000 - 100.000 VND, tùy thuộc v…</t>
  </si>
  <si>
    <t>app vay tiền nhanh</t>
  </si>
  <si>
    <t>4. Cách lấy mã OTP</t>
  </si>
  <si>
    <t>Thông thường, các ngân hàng đều tự kích hoạt SMS OTP/Smart OTP ngay khi khách hàng mở tài khoản thanh toán.</t>
  </si>
  <si>
    <t>2.1. Techcombank Business</t>
  </si>
  <si>
    <t>Techcombank Business cung cấp hệ sinh thái ngân hàng số toàn diện cho doanh nghiệp với khả năng quản lý tài khoản, phê…</t>
  </si>
  <si>
    <t>Vậy làm cách nào để xem số tài khoản ngân hàng hợp tuổi và chọn được một bộ số phù hợp nhất?</t>
  </si>
  <si>
    <t>Techcombank là một trong những ngân hàng dẫn dầu số hóa trong lĩnh vực tài chính ngân hàng, thông qua các tiện ích onli…</t>
  </si>
  <si>
    <t>Hiện nay, khách hàng dưới 18 tuổi vẫn có thể mở tài khoản tại hầu hết các ngân hàng.</t>
  </si>
  <si>
    <t>cách tính lãi suất tiết kiệm ngân hàng</t>
  </si>
  <si>
    <t>4. 3 lưu ý khi đổi số điện thoại ngân hàng</t>
  </si>
  <si>
    <t>Vì hiện chưa có hình thức mở tài khoản ngân hàng không cần số điện thoại , một thuê bao chính chủ ổn định là điều kiện…</t>
  </si>
  <si>
    <t>2. Giải pháp vay vốn cho doanh nghiệp mới thành lập</t>
  </si>
  <si>
    <t>Đồng thời, khách hàng nên mở tài khoản tại ngân hàng uy tín, lâu năm, biểu phí thấp và nhiều gói ưu đãi hấp dẫn để tối…</t>
  </si>
  <si>
    <t>cách tính lãi suất ngân hàng</t>
  </si>
  <si>
    <t>3. Ví dụ về cá nhân hóa cho người dùng chọn tài khoản…</t>
  </si>
  <si>
    <t>Techcombank là một trong những ngân hàng tiên phong cung cấp dịch vụ mở tài khoản số đẹp online .</t>
  </si>
  <si>
    <t>4.5. Mở thẻ tín dụng bằng sổ tiết kiệm có được không?</t>
  </si>
  <si>
    <t>Theo quy định của Ngân hàng Nhà nước Việt Nam, khách hàng có thể mở thẻ tín dụng không cần chứng minh thu nhập bằng các…</t>
  </si>
  <si>
    <t>tính lãi suất ngân hàng</t>
  </si>
  <si>
    <t>2.1. Mở tài khoản ngân hàng</t>
  </si>
  <si>
    <t>Kể từ ngày 10/10/2025, khách hàng có thể mở tài khoản ngân hàng ngay trên Ví ShopeePay.</t>
  </si>
  <si>
    <t>2.3. Tối ưu tiền nhàn rỗi</t>
  </si>
  <si>
    <t>tính lãi suất tiết kiệm</t>
  </si>
  <si>
    <t>Chủ Hộ kinh doanh mở tài khoản ngân hàng thanh toán cho Hộ kinh doanh Techcombank và bật Sinh lời tự động trên tối đa 4…</t>
  </si>
  <si>
    <t>2. Hướng dẫn cách làm thẻ Visa online</t>
  </si>
  <si>
    <t>Để làm thẻ Visa online, khách hàng cần phải có tài khoản ngân hàng.</t>
  </si>
  <si>
    <t>1. Chữ ký số là gì và vai trò của chữ ký số trong lĩnh…</t>
  </si>
  <si>
    <t>1 Tệ bằng bao nhiêu tiền Việt</t>
  </si>
  <si>
    <t>Chữ ký số được sử dụng phổ biến trong lĩnh vực ngân hàng để ký kết và xác thực hợp đồng điện tử, ký số hóa đơn điện tử,…</t>
  </si>
  <si>
    <t>1. Điều kiện đăng ký mở thẻ</t>
  </si>
  <si>
    <t>Nếu con chưa có tài khoản thanh toán tại Techcombank, bố mẹ có thể đưa con đến phòng giao dịch/chi nhánh ngân hàng để m…</t>
  </si>
  <si>
    <t>1. Mở thẻ thanh toán quốc tế online</t>
  </si>
  <si>
    <t>Để có thể mở thẻ thanh toán quốc tế qua Mobile Banking, khách hàng cần có tài khoản thanh toán.</t>
  </si>
  <si>
    <t>1. Giới thiệu về hình thức vay thấu chi bằng sổ tiết k…</t>
  </si>
  <si>
    <t>Giải pháp này cho phép khách hàng sử dụng một khoản hạn mức (được cấp trên tài khoản thấu chi chuyên dụng mở tại ngân h…</t>
  </si>
  <si>
    <t>2.4. MoMo</t>
  </si>
  <si>
    <t>Để thực hiện việc thanh toán học phí trực tuyến thông qua ví điện tử MoMo, trước tiên, bạn cần mở một tài khoản ngân hà…</t>
  </si>
  <si>
    <t>Cụ thể sau khi mở tài khoản ngân hàng , một số phí bạn có thể phải thanh toán như sau:</t>
  </si>
  <si>
    <t>tính lãi suất vay ngân hàng</t>
  </si>
  <si>
    <t>tính lãi vay ngân hàng</t>
  </si>
  <si>
    <t>2. Triển vọng của hình thức thanh toán mã QR trên toàn…</t>
  </si>
  <si>
    <t>Quảng Bình hướng đến mục tiêu trên 90% người dân từ 15 tuổi trở lên có tài khoản giao dịch tại ngân hàng;</t>
  </si>
  <si>
    <t>mở tài khoản ngân hàng cho học sinh</t>
  </si>
  <si>
    <t>bảng tính lãi suất vay ngân hàng</t>
  </si>
  <si>
    <t>Tuy nhiên, mỗi ngân hàng sẽ có những thao tác khác nhau, nên để hiểu rõ các bước mở tài khoản ngân hàng, mời bạn tham k…</t>
  </si>
  <si>
    <t>2.3. Dễ dàng mở tài khoản cho con</t>
  </si>
  <si>
    <t>Dành cho gia đình có con dưới 18 tuổi, ba mẹ có thể cùng con yêu học cách chi tiêu bằng cách Mở tài khoản cho con .</t>
  </si>
  <si>
    <t>5. Công nghệ mới thay thế mã OTP trong lĩnh vực ngân h…</t>
  </si>
  <si>
    <t>Khách hàng khi mở tài khoản ngân hàng online chỉ cần xác thực sinh trắc học và định danh eKYC bằng cách quét NFC trên C…</t>
  </si>
  <si>
    <t>4. Kích hoạt xác thực hai yếu tố (2FA)</t>
  </si>
  <si>
    <t>Hiện nay, khi mở tài khoản ngân hàng online qua ứng dụng ngân hàng, khách hàng bắt buộc phải xác thực sinh trắc học với…</t>
  </si>
  <si>
    <t>1 đô la Mỹ bằng bao nhiêu tiền Việt</t>
  </si>
  <si>
    <t>Theo Quyết định 2345/QĐ-NHNN của Ngân hàng Nhà nước, khi mở tài khoản ngân hàng online qua ứng dụng ngân hàng, khách hà…</t>
  </si>
  <si>
    <t>3. Một số lưu ý quan trọng để nạp xu TikTok an toàn</t>
  </si>
  <si>
    <t>Ưu tiên sử dụng tài khoản/thẻ từ các ngân hàng uy tín (như Techcombank ) hoặc ví điện tử lớn có tính năng bảo mật OTP/s…</t>
  </si>
  <si>
    <t>4. Chọn số tài khoản ngân hàng trùng số điện thoại có…</t>
  </si>
  <si>
    <t>Bạn hoàn toàn có thể chọn số tài khoản ngân hàng trùng số điện thoại, trùng ngày sinh, trùng biển số xe… với chương trì…</t>
  </si>
  <si>
    <t>2.3. Viettel Money</t>
  </si>
  <si>
    <t>Nếu trường của bạn không cung cấp mã thanh toán dành cho học sinh, Viettel Money hoàn toàn hỗ trợ bạn chuyển khoản trực…</t>
  </si>
  <si>
    <t>4. 4 lưu ý khi chọn tài khoản số đẹp</t>
  </si>
  <si>
    <t>Mỗi ngân hàng sẽ có những quy định riêng, vì thế bạn cần kiểm tra 1 số điều khoản như đối tượng mở tài khoản số đẹp của…</t>
  </si>
  <si>
    <t>lãi suất vay ngân hàng</t>
  </si>
  <si>
    <t>1.1. Lợi ích khi mở nhiều tài khoản ngân hàng</t>
  </si>
  <si>
    <t>Bằng cách mở nhiều tài khoản ngân hàng, bạn có thể phân chia tiền gửi của mình vào các tài khoản hoặc các ngân hàng có…</t>
  </si>
  <si>
    <t>Lưu ý quan trọng khi chuyển tiền ngân hàng</t>
  </si>
  <si>
    <t>Do đó, trước khi xác nhận giao dịch, cần rà soát kỹ các thông tin người thụ hưởng (họ tên, số tài khoản, ngân hàng) để…</t>
  </si>
  <si>
    <t>lãi suất vay ngân hàng hiện nay</t>
  </si>
  <si>
    <t>1.3. Với tài khoản 0 đồng không hoạt động liên tục trê…</t>
  </si>
  <si>
    <t>Nếu mở tài khoản ngân hàng nhưng không sử dụng (không phát sinh bất kỳ giao dịch nào như thanh toán, chuyển khoản, nhận…</t>
  </si>
  <si>
    <t>1. Ý nghĩa số tài khoản ngân hàng đẹp qua từng con số</t>
  </si>
  <si>
    <t>lãi suất cho vay ngân hàng</t>
  </si>
  <si>
    <t>Số tài khoản ngân hàng là một dãy số có 6-15 ký tự (có thể bao gồm chữ cái) do ngân hàng cấp cho bạn khi bạn mở một tài…</t>
  </si>
  <si>
    <t>1. Thẻ ghi nợ có chuyển khoản được không?</t>
  </si>
  <si>
    <t>Thông thường, loại thẻ này sẽ được ngân hàng phát hành khi khách hàng mở tài khoản thanh toán hoặc nhận giải ngân khoản…</t>
  </si>
  <si>
    <t>lãi vay ngân hàng hiện nay</t>
  </si>
  <si>
    <t>1. 2 cách mở tài khoản ngân hàng trùng số điện thoại c…</t>
  </si>
  <si>
    <t>Khi đã có tài khoản ngân hàng, khách hàng đặc biệt là sinh viên có thể dễ dàng tiếp cận các sản phẩm tài chính khác như…</t>
  </si>
  <si>
    <t>lãi suất vay ngân hàng hôm nay</t>
  </si>
  <si>
    <t>1. Việt Kiều có được mở tài khoản ngân hàng không?</t>
  </si>
  <si>
    <t>Khách hàng Việt Kiều đang sinh sống tại nước ngoài có thể mở tài khoản ngân hàng tại Việt Nam nếu đáp ứng đủ điều kiện.</t>
  </si>
  <si>
    <t>2.11. Techcombank Family</t>
  </si>
  <si>
    <t>TCB Family là giải pháp tài chính gia đình hiện đại, cho phép phụ huynh mở tài khoản ngân hàng cho trẻ em, theo dõi và…</t>
  </si>
  <si>
    <t>Khách hàng cân nhắc mở tài khoản tại các ngân hàng có nền tảng số tốt để hạn chế tình trạng này</t>
  </si>
  <si>
    <t>1. Thực trạng thanh toán không tiền mặt trong ngành gi…</t>
  </si>
  <si>
    <t>Thông qua một số hoạt động như làm thẻ ngân hàng miễn phí cho sinh viên đã khuyến khích sinh viên thanh toán tiền học p…</t>
  </si>
  <si>
    <t>tiền Nhật</t>
  </si>
  <si>
    <t>vay thấu chi là gì</t>
  </si>
  <si>
    <t>Với các khách hàng đã có tài khoản ngân hàng tại Techcombank sẽ cần bổ sung thông tin định danh eKYC và thông tin sinh trắc học…</t>
  </si>
  <si>
    <t>vay thấu chi</t>
  </si>
  <si>
    <t>Với khách hàng dưới 18 tuổi, Techcombank chỉ cho phép khách hàng mở tài khoản ngân hàng cho con tại quầy giao dịch ngân…</t>
  </si>
  <si>
    <t>2. Mở tài khoản ngân hàng online cho người dưới 18 tuổ…</t>
  </si>
  <si>
    <t>Không thể mở tài khoản ngân hàng online cho người dưới 18 tuổi mà chỉ có thể mở tại phòng giao dịch của ngân hàng.</t>
  </si>
  <si>
    <t>thấu chi là gì</t>
  </si>
  <si>
    <t>nộp tiền vào tài khoản</t>
  </si>
  <si>
    <t>Hỗ trợ nộp tiền vào tài khoản của chính bạn, người khác hoặc tài khoản công ty một cách nhanh chóng và chính xác.</t>
  </si>
  <si>
    <t>2. Nạp tiền vào thẻ ghi nợ qua cây CDM</t>
  </si>
  <si>
    <t>Nhét thẻ ATM vào khe thẻ &gt; Chọn “ Nộp tiền ” &gt; Chọn “ Nộp tiền vào tài khoản ” &gt; Nhập mã PIN.</t>
  </si>
  <si>
    <t>vay thấu chi là như nào</t>
  </si>
  <si>
    <t>1. Thẻ ghi nợ quốc tế Visa (Visa Debit) là gì?</t>
  </si>
  <si>
    <t>Để sử dụng được thẻ Visa Debit, bạn cần phải nạp tiền vào tài khoản ngân hàng được liên kết với thẻ và chi tiêu bằng ch…</t>
  </si>
  <si>
    <t>1.1. Nộp tiền mặt tại phòng giao dịch ngân hàng</t>
  </si>
  <si>
    <t>Điền thông tin vào phiếu "Nộp tiền vào tài khoản", bao gồm số tài khoản công ty, số tiền nộp, lý do nộp…</t>
  </si>
  <si>
    <t>Đặc biệt đối với những giao dịch như nộp tiền vào tài khoản công ty bằng tài khoản cá nhân, việc có chứng từ giải …</t>
  </si>
  <si>
    <t>3. Ngân hàng uy tín có mức lãi suất tiết kiệm tích lũy…</t>
  </si>
  <si>
    <t>…g theo ngày/ tuần/ tháng/ quý hoặc khách hàng chủ động nộp tiền vào tài khoản bất cứ khi nào có tiền nhàn rỗi.</t>
  </si>
  <si>
    <t>… doanh nghiệp để đảm bảo chuyển khoản, rút tiền mặt và nộp tiền vào tài khoản công ty nhanh chóng, chính xác.</t>
  </si>
  <si>
    <t>Nếu muốn tiếp tục sử dụng, bạn sẽ cần nạp tiền vào tài khoản hoặc đến chi nhánh nộp tiền trong vòng 30 ngày kể từ khi t…</t>
  </si>
  <si>
    <t>1 Yên bằng bao nhiêu tiền Việt</t>
  </si>
  <si>
    <t>2.3. Nộp tiền vào tài khoản công ty</t>
  </si>
  <si>
    <t>Doanh nghiệp có thể nộp tiền vào tài khoản ngân hàng công ty bằng hai cách:</t>
  </si>
  <si>
    <t>2. Nạp thẻ điện thoại qua Mobile Banking</t>
  </si>
  <si>
    <t>Nhằm đáp ứng nhu cầu ngày càng cao của khách hàng và phù hợp với xu hướng công nghệ hiện đại, nhiều ngân hàng đã tích h…</t>
  </si>
  <si>
    <t>1. Nạp tiền điện thoại qua Internet Banking/Mobile Ban…</t>
  </si>
  <si>
    <t>rút tiền thẻ tín dụng</t>
  </si>
  <si>
    <t>3. Giải đáp 4 thắc mắc về rút tiền bằng mã QR</t>
  </si>
  <si>
    <t>Rút tiền bằng mã QR an toàn hơn sử dụng thẻ ngân hàng vì người dùng chỉ cần dùng điện thoại quét mã QR, không cần nhập…</t>
  </si>
  <si>
    <t>1. Mã PIN thẻ ATM là gì?</t>
  </si>
  <si>
    <t>Mã PIN của thẻ ngân hàng đóng vai trò quan trọng trong việc bảo mật tài khoản, ngăn chặn truy cập trái phép và bảo vệ s…</t>
  </si>
  <si>
    <t>quẹt thẻ tín dụng lấy tiền mặt</t>
  </si>
  <si>
    <t>3. Cách rút tiền ở cây ATM/CDM với tính năng Rút tiền…</t>
  </si>
  <si>
    <t>Khách hàng chỉ có thể rút tiền tại cây ATM của ngân hàng phát hành thẻ/tài khoản khi sử dụng tính năng Rút tiền không c…</t>
  </si>
  <si>
    <t>3. Câu hỏi thường gặp</t>
  </si>
  <si>
    <t>Chưa kích hoạt thẻ thanh toán, bạn vẫn có thể nhận được tiền nếu người chuyển chuyển tiền trực tiếp vào số tài khoản ng…</t>
  </si>
  <si>
    <t>Nạp tiền online qua tài khoản ngân hàng liên kết với thẻ ghi nợ phi vật lý trên ngân hàng số/Mobile Banking</t>
  </si>
  <si>
    <t>thuế hộ kinh doanh</t>
  </si>
  <si>
    <t>hộ kinh doanh đóng thuế như thế nào</t>
  </si>
  <si>
    <t>2. Thẻ ngân hàng nào phù hợp với bạn?</t>
  </si>
  <si>
    <t>Phù hợp với những ai không muốn liên kết trực tiếp với tài khoản ngân hàng, nạp tiền vào thẻ trước để sử dụng</t>
  </si>
  <si>
    <t>1 Won bằng bao nhiêu tiền Việt</t>
  </si>
  <si>
    <t>2.3. Đóng tiền điện nước qua tài khoản ngân hàng liên k…</t>
  </si>
  <si>
    <t>Bạn chỉ cần nạp tiền vào ví điện tử từ tài khoản ngân hàng và làm theo các bước sau:</t>
  </si>
  <si>
    <t>Sinh Lời Tự Động</t>
  </si>
  <si>
    <t>Toàn bộ tiền trong tài khoản tự sinh lời theo ngày tới 5.5%/năm, đảm bảo chi tiêu 24/7, hoàn toàn tự động, miễn phí</t>
  </si>
  <si>
    <t>3. 3 lưu ý khi rút tiền QR khác ngân hàng tại cây ATM</t>
  </si>
  <si>
    <t>Sau khi quét mã QR trên màn hình ATM, người dùng sẽ nhập số tiền và chọn tài khoản rút tiền trên Mobile Banking.</t>
  </si>
  <si>
    <t>3. Nạp tiền, rút tiền và chuyển khoản</t>
  </si>
  <si>
    <t>Thẻ Visa có thể dùng để nạp, rút tiền và chuyển khoản tùy vào loại thẻ.</t>
  </si>
  <si>
    <t>1.4. Tài khoản không đủ tiền</t>
  </si>
  <si>
    <t>Chuyển tiền từ tài khoản khác vào tài khoản thanh toán liên kết với thẻ ATM</t>
  </si>
  <si>
    <t>5. Hướng dẫn sử dụng thẻ ATM gắn chip</t>
  </si>
  <si>
    <t>Khách hàng cắm thẻ vào khe đọc chip &gt; Nhập mã PIN &gt; Lựa chọn các chức năng như rút tiền, chuyển khoản hoặc kiểm tra số…</t>
  </si>
  <si>
    <t>2. Một người có thể làm bao nhiêu thẻ ATM khác ngân hà…</t>
  </si>
  <si>
    <t>Do đó, nếu không phải người kinh doanh, buôn bán, có nhiều nguồn tiền ra vào khác nhau hoặc có nhu cầu tách biệt các kh…</t>
  </si>
  <si>
    <t>cách tính lãi suất vay ngân hàng</t>
  </si>
  <si>
    <t>Cây ATM và thẻ ATM là công cụ giúp khách hàng thực hiện các thao tác tài chính như rút tiền, chuyển khoản hay thanh toá…</t>
  </si>
  <si>
    <t>sao kê tài khoản ngân hàng</t>
  </si>
  <si>
    <t>2. Sao kê tài khoản online qua Mobile Banking</t>
  </si>
  <si>
    <t>Để thực hiện sao kê tài khoản ngân hàng online qua Mobile Banking, bạn hãy thực hiện các bước sau đây:</t>
  </si>
  <si>
    <t>cách tính lãi suất vay</t>
  </si>
  <si>
    <t>…Điều 1 Nghị định 117/2018/NĐ-CP thì các thông tin trên sao kê tài khoản ngân hàng là thông tin mà ngân hàng có trách n…</t>
  </si>
  <si>
    <t>4.2. Điều kiện để được giải ngân khoản vay là gì?</t>
  </si>
  <si>
    <t>…minh mục đích vay, khả năng tài chính (như bảng lương, sao kê tài khoản ngân hàng, báo cáo tài chính…) và tài sản đảm…</t>
  </si>
  <si>
    <t>tiền Đài Loan</t>
  </si>
  <si>
    <t>4.1. Điều kiện đăng ký</t>
  </si>
  <si>
    <t>…minh thu nhập hợp pháp (hợp đồng lao động, bảng lương, sao kê tài khoản ngân hàng…)</t>
  </si>
  <si>
    <t>2. Lời khuyên giúp bạn vay thấu chi với hạn mức cao</t>
  </si>
  <si>
    <t>Hãy chuẩn bị đầy đủ hợp đồng lao động, bảng lương và sao kê tài khoản ngân hàng.</t>
  </si>
  <si>
    <t>2. Lợi ích của việc gửi tiết kiệm tại ngân hàng</t>
  </si>
  <si>
    <t>Ngoài ra, khách hàng cũng có thể quản lý tiền của mình thông qua dịch vụ sao kê tài khoản ngân hàng.</t>
  </si>
  <si>
    <t>Trên thực tế, bảng lương chỉ là một trong những yếu tố để ngân hàng đánh giá năng lực tài chính của bạn khi xét duyệt k…</t>
  </si>
  <si>
    <t>3.1. Hướng dẫn cá nhân quyết toán thuế trên eTax Mobile</t>
  </si>
  <si>
    <t>Với trường hợp còn nợ thuế từ năm 2021 trở đi, phần mềm cho phép nộp bản khai, trả tiền trực tuyến qua tài khoản ngân h…</t>
  </si>
  <si>
    <t>1. Ghi chép chi tiêu cá nhân là gì?</t>
  </si>
  <si>
    <t>Tự động phân loại chi tiêu, tạo biểu đồ thống kê, nhắc nhở tiết kiệm, liên kết tài khoản ngân hàng.</t>
  </si>
  <si>
    <t>3. 7 mẹo giúp tăng hạn mức tín dụng cao dễ dàng</t>
  </si>
  <si>
    <t>Đây là cách chuyển khoản tiền đã rút thành các kỳ thanh toán nhỏ theo thời gian, thay vì phải thanh toán toàn bộ dư nợ…</t>
  </si>
  <si>
    <t>3. Hướng dẫn quản lý thẻ Thanh toán quốc tế Techcomban…</t>
  </si>
  <si>
    <t>Nếu chưa mở tài khoản Techcombank, bố mẹ có thể tham khảo bài viết Hướng dẫn cách mở tài khoản ngân hàng online đơn giả…</t>
  </si>
  <si>
    <t>3.5. Tích hợp thuận tiện trong thương mại điện tử &amp; hệ…</t>
  </si>
  <si>
    <t>Không phải điền thông tin tài khoản ngân hàng hay đăng ký thêm khi thực hiện giao dịch</t>
  </si>
  <si>
    <t>3 lời khuyên giúp bạn bắt đầu tiết kiệm tiền thông minh</t>
  </si>
  <si>
    <t>Việc này sẽ càng tối ưu chi phí hơn nếu bạn sử dụng tài khoản ngân hàng miễn phí để thực hiện các giao dịch chuyển tiền…</t>
  </si>
  <si>
    <t>1. Lập ngân sách chi tiêu cho gia đình</t>
  </si>
  <si>
    <t>Bạn nên thống kê lại tổng thu nhập hàng tháng của cả gia đình để phân bổ ngân sách sao cho vừa cân đối với các khoản ch…</t>
  </si>
  <si>
    <t>Người dùng đã thực hiện xác thực CCCD trên MoMo và đã liên kết tài khoản ngân hàng</t>
  </si>
  <si>
    <t>1. Techcombank Mobile</t>
  </si>
  <si>
    <t>Chuyển tới người khác trong Techcombank hoặc liên ngân hàng và chuyển tiền chứng khoán hoặc chuyển tiền giữa các tài kh…</t>
  </si>
  <si>
    <t>Đưa thẻ vào khe đọc thẻ ATM và nhập mã PIN → Chọn mục Xem số dư/In sao kê → Hệ thống sẽ hiển thị đầy đủ số tài khoản ng…</t>
  </si>
  <si>
    <t>1 Man bằng bao nhiêu tiền Việt</t>
  </si>
  <si>
    <t>2.3. Ưu đãi độc quyền</t>
  </si>
  <si>
    <t>Khi thanh toán bằng thẻ đen, chủ thẻ sẽ được hoàn tiền theo % quy định tùy ngân hàng và hoàn trực tiếp vào tài khoản th…</t>
  </si>
  <si>
    <t>Việc cho phép app liên kết trực tiếp với các tài khoản ngân hàng, thẻ tín dụng và ví điện tử, giúp người dùng theo dõi…</t>
  </si>
  <si>
    <t>Có thể nhận sao kê qua email, Mobile Banking hoặc tại quầy giao dịch của ngân hàng</t>
  </si>
  <si>
    <t>2. Cập nhật chương trình cashback thẻ Thanh toán Quốc…</t>
  </si>
  <si>
    <t>&gt;&gt;&gt; Tạo tài khoản ngân hàng online ngay hôm nay!</t>
  </si>
  <si>
    <t>2. Gửi tiết kiệm tại ngân hàng để sinh lời hấp dẫn</t>
  </si>
  <si>
    <t>Một vài ngân hàng hiện nay có chính sách miễn phí, hoàn phí dịch vụ khi khách hàng sử dụng tài khoản thanh toán, tài kh…</t>
  </si>
  <si>
    <t>2. 5 cách mở thẻ tín dụng chỉ với CCCD, không cần chứn…</t>
  </si>
  <si>
    <t>Thông thường khi đăng ký mở thẻ tín dụng, các ngân hàng sẽ yêu cầu khách hàng cung cấp giấy tờ chứng minh thu nhập (sao…</t>
  </si>
  <si>
    <t>1. Cập nhật chương trình hoàn tiền thẻ tín dụng Techco…</t>
  </si>
  <si>
    <t>Bao nhiêu tuổi được mở tài khoản ngân hàng ?</t>
  </si>
  <si>
    <t>1. Thẻ ghi nợ có rút tiền được không?</t>
  </si>
  <si>
    <t>Thẻ ghi nợ được ngân hàng phát hành như là một công cụ giao dịch, có đầy đủ các chức năng cơ bản như rút tiền, chuyển/n…</t>
  </si>
  <si>
    <t>1. Điều kiện để vay tiền mặt nhanh online ngân hàng kh…</t>
  </si>
  <si>
    <t>Là khách hàng hiện hữu , đã có tài khoản thanh toán tại ngân hàng và đang sử dụng ngân hàng số</t>
  </si>
  <si>
    <t>2.2. Điều kiện mở thẻ</t>
  </si>
  <si>
    <t>Sao kê 3 tháng lương gần nhất, hợp đồng lao động từ 3 - 6 tháng, sổ tiết kiệm hoặc các tài sản thế chấp khác tùy yêu cầ…</t>
  </si>
  <si>
    <t>tiền Thái Lan</t>
  </si>
  <si>
    <t>5.5. Nợ xấu có ảnh hưởng đến việc xin visa không?</t>
  </si>
  <si>
    <t>Tuy nhiên, một số đại sứ quán có thể yêu cầu chứng minh tài chính bằng sổ tiết kiệm, sao kê tài khoản, hoặc giấy tờ vay…</t>
  </si>
  <si>
    <t>4. Gợi ý thực tế khi áp dụng phương pháp 6 chiếc lọ tà…</t>
  </si>
  <si>
    <t>Gửi vào tài khoản tiết kiệm ngân hàng:</t>
  </si>
  <si>
    <t>3. Loại giao dịch đủ điều kiện miễn lãi 55 ngày</t>
  </si>
  <si>
    <t>Một số khách hàng mới mở thẻ cũng thường quan tâm đến việc mở tài khoản ngân hàng có mất phí không , bởi đây là bước đầu tiên g…</t>
  </si>
  <si>
    <t>chọn dãy số hợp mệnh, dãy số tứ quý, dãy số phát tài phát lộc hay chọn theo số điện thoại, ngày sinh, ngày kỉ niệm...</t>
  </si>
  <si>
    <t>số tài khoản phát tài phát lộc</t>
  </si>
  <si>
    <t>Lựa chọn số tài khoản mang ý nghĩa “Đại Phát” là cách để mỗi người khởi đầu hành trình tài chính của mình với tâm thế t…</t>
  </si>
  <si>
    <t>Từ góc nhìn văn hóa phương Đông, số 6868 là biểu tượng mạnh mẽ của tài lộc, phát triển và sự sung túc lâu dài.</t>
  </si>
  <si>
    <t>2.1. Số tài khoản tứ quý, tiến đơn</t>
  </si>
  <si>
    <t>Sử dụng số tiến đơn trong tài khoản cũng mang ý nghĩa tạo sự thăng tiến và phát triển không chỉ trong lĩnh vực tài chín…</t>
  </si>
  <si>
    <t>Ngoài ý nghĩa tinh thần, ngày nay nhiều người còn chú trọng chọn lì xì số đẹp – con số mang năng lượng may mắn, hợp tuổ…</t>
  </si>
  <si>
    <t>Bài viết này sẽ giải mã chi tiết ý nghĩa của dãy số 8868 và gợi ý cách ứng dụng để thu hút vận may, phát tài phát lộc v…</t>
  </si>
  <si>
    <t>1.1. Giải mã từng con số</t>
  </si>
  <si>
    <t>Như vậy, 66666 là dãy số biểu trưng cho “lộc nối lộc, phúc nối phúc”, cực kỳ phù hợp với những ai làm ăn, đầu tư, hoặc…</t>
  </si>
  <si>
    <t>1 triệu đô bằng bao nhiêu tiền Việt</t>
  </si>
  <si>
    <t>1.1. Giải mã từng con số trong dãy 8386</t>
  </si>
  <si>
    <t>Khi các con số này kết hợp thành 8386 , tổng thể dãy số mang thông điệp phát tài phát lộc .</t>
  </si>
  <si>
    <t>3.1. Gợi ý dãy số tài khoản 10 số có đuôi 68</t>
  </si>
  <si>
    <t>Phát Lộc với dãy số tài khoản đẹp có đuôi 68.</t>
  </si>
  <si>
    <t>2.2. Gợi ý dãy số tài khoản 12 số có Ngũ quý 9</t>
  </si>
  <si>
    <t>Dãy 12 số phù hợp với người thích sự cân bằng, hài hòa và muốn kết hợp thêm yếu tố phong thủy (như Lộc Phát – Thần Tài).</t>
  </si>
  <si>
    <t>2. Quy tắc và ý nghĩa của số thẻ Visa hợp lệ</t>
  </si>
  <si>
    <t>9 chữ số tiếp theo trong dãy số thẻ Visa hợp lệ chỉ số tài khoản của khách hàng, mỗi khách hàng sẽ có một dãy số tài khoản độc …</t>
  </si>
  <si>
    <t>1.3. Mang đến may mắn</t>
  </si>
  <si>
    <t>Số tài khoản ngân hàng đẹp còn mang ý nghĩa về phong thủy, mang đến cho chủ sở hữu tài lộc dồi dào, mọi việc diễn ra mộ…</t>
  </si>
  <si>
    <t>4. 5 điều cần tránh khi lì xì và nhận lì xì</t>
  </si>
  <si>
    <t>Bạn có thể tham khảo bài viết Lì xì số đẹp, phát tài phát lộc, hợp mệnh hợp tuổi Tết 2026 để có thêm ý tưởng về số tiền…</t>
  </si>
  <si>
    <t>5 cách chọn tài khoản số đẹp - dễ nhớ - phát tài - phát lộc để biết cách chọn số tài khoản đẹp ưng ý.</t>
  </si>
  <si>
    <t>3. Giới thiệu Gói giải pháp BusinessOne của Techcombank</t>
  </si>
  <si>
    <t>Miễn phí tài khoản số đẹp phát lộc, có phú quý, phong thuỷ, số tự chọn online nhanh chóng, tiện lợi</t>
  </si>
  <si>
    <t>1000 Won bằng bao nhiêu tiền Việt</t>
  </si>
  <si>
    <t>2.5. Thấu chi tiêu dùng</t>
  </si>
  <si>
    <t>&gt;&gt;&gt; 5 cách chọn số tài khoản đẹp - Dễ nhớ, phát tài, phát lộc.</t>
  </si>
  <si>
    <t>3. Hướng dẫn cách mở thẻ ngân hàng cho doanh nghiệp</t>
  </si>
  <si>
    <t>Miễn phí tài khoản số đẹp, đa dạng lựa chọn 5-6-8-9-10-12 số theo phong thủy (tam hoa, tứ quý, lộc phát…);</t>
  </si>
  <si>
    <t>Phí mở tài khoản số đẹp phát lộc, phí duy trì tài khoản VND và ngoại tệ, phí thường niên ngân hàng số 3 năm đầu, 100% p…</t>
  </si>
  <si>
    <t>3.3. Tiền có được hoàn lại khi giao dịch chuyển khoản…</t>
  </si>
  <si>
    <t>Nếu phát hiện giao dịch chưa thành công nhưng số tiền vẫn bị trừ khỏi tài khoản, khách hàng nên:</t>
  </si>
  <si>
    <t>2. Kiểm tra tài khoản ngân hàng tại cây ATM/CDM</t>
  </si>
  <si>
    <t>Với phương thức này, bạn có thể chủ động thực hiện kiểm tra tài khoản ngân hàng tại cây ATM/CDM của ngân hàng phát hành…</t>
  </si>
  <si>
    <t>2.2. SeAMobile Biz (SeABank)</t>
  </si>
  <si>
    <t>SeAMobile Biz là ứng dụng ngân hàng số dành riêng cho doanh nghiệp do SeABank phát triển, cho phép quản lý tài khoản, c…</t>
  </si>
  <si>
    <t>2.5. Ưu đãi đa tầng</t>
  </si>
  <si>
    <t>MIỄN HOÀN TOÀN CÁC LOẠI PHÍ tài khoản Hộ kinh doanh như miễn phí tạo tài khoản Hộ kinh doanh số đẹp, miễn phí chuyển kh…</t>
  </si>
  <si>
    <t>3.2. Cách 2: Đóng lệ phí hải quan online qua ngân hàng…</t>
  </si>
  <si>
    <t>mở tài khoản số đẹp, phí duy trì ngân hàng số, phát hành và phí thường niên thẻ ghi nợ, chuyển tiền online năm đầu, tha…</t>
  </si>
  <si>
    <t>1.2. Tài khoản ngân hàng bị khóa khi không sử dụng tro…</t>
  </si>
  <si>
    <t>Giấy tờ tùy thân hết hạn, hoặc tài khoản chung, hoặc chủ tài khoản dưới 15 tuổi (không có người giám hộ và phát hành th…</t>
  </si>
  <si>
    <t>cách nhận tiền từ nước ngoài về Việt Nam</t>
  </si>
  <si>
    <t>6. Các khoản chi được khấu trừ khi tính thuế</t>
  </si>
  <si>
    <t>khoản tài trợ cho nghiên cứu khoa học, phát triển công nghệ và đổi mới sáng tạo, chuyển đổi số;</t>
  </si>
  <si>
    <t>tra cứu thuế TNCN</t>
  </si>
  <si>
    <t>2. Cách 2: Tra cứu trên eTax Mobile</t>
  </si>
  <si>
    <t>Hệ thống trả kết quả tra cứu thuế TNCN đã nộp và tình trạng các khoản thuế</t>
  </si>
  <si>
    <t>3.3. Trường hợp 3: Có nhiều mã số thuế khác nhau</t>
  </si>
  <si>
    <t>Người nộp thuế chỉ cần kiểm tra lại dữ liệu cá nhân (qua Cổng thông tin Tổng cục Thuế hoặc eTax Mobile) để đảm bảo thôn…</t>
  </si>
  <si>
    <t>kiểm tra thuế TNCN online</t>
  </si>
  <si>
    <t>3.1. Liên kết tài khoản ngân hàng với Etax Mobile bị l…</t>
  </si>
  <si>
    <t>Nếu lỗi vẫn tiếp diễn, người dùng nên liên hệ ngân hàng đang sử dụng hoặc cơ quan thuế quản lý để được hỗ trợ kiểm tra.</t>
  </si>
  <si>
    <t>3. Khi nào tiền hoàn thuế được chuyển vào tài khoản cá…</t>
  </si>
  <si>
    <t>Đối với hồ sơ thuộc diện kiểm tra trước hoàn thuế thu nhập cá nhân:</t>
  </si>
  <si>
    <t>Trang đích</t>
  </si>
  <si>
    <t>Bài nguồn</t>
  </si>
  <si>
    <t>4. Hướng dẫn nhận tiền hoàn thuế thu nhập cá nhân sau…</t>
  </si>
  <si>
    <t>Mức độ phù hợp</t>
  </si>
  <si>
    <t>Lý do</t>
  </si>
  <si>
    <t>Vị trí chèn</t>
  </si>
  <si>
    <t>Trích đoạn gốc</t>
  </si>
  <si>
    <t>Đề xuất nội dung chèn link</t>
  </si>
  <si>
    <t>Anchor sử dụng</t>
  </si>
  <si>
    <t>Ghi chú biên tập</t>
  </si>
  <si>
    <t>4. Sổ thu chi MISA</t>
  </si>
  <si>
    <t>Tích hợp sẵn các công cụ hữu ích như tính lãi vay, ước tính thuế thu nhập cá nhân, tra cứu tỷ giá hối đoái (vàng, USD).</t>
  </si>
  <si>
    <t>2.1. Rủi ro về thuế và chi phí được trừ</t>
  </si>
  <si>
    <t>Điều này làm tăng thu nhập chịu thuế, phát sinh số thuế phải nộp thêm và tiềm ẩn rủi ro bị xử lý khi cơ quan thuế thanh…</t>
  </si>
  <si>
    <t>6. Kê khai và nộp thuế hộ kinh doanh</t>
  </si>
  <si>
    <t>Người nộp thuế có thể tra cứu kết quả nộp thuế, giấy nộp tiền, nghĩa vụ thuế, thông báo từ cơ quan thuế để đảm bảo khôn…</t>
  </si>
  <si>
    <t>đổi tiền đô ở đâu</t>
  </si>
  <si>
    <t>3.3. Nộp thuế</t>
  </si>
  <si>
    <t>Sau khi xác nhận và thanh toán, chứng từ nộp thuế sẽ được lưu trữ điện tử để tra cứu</t>
  </si>
  <si>
    <t>Sau khi đã nộp hồ sơ tra cứu thông tin quyết toán, bạn có thể nộp thuế theo hướng dẫn dưới đây:</t>
  </si>
  <si>
    <t>Bài so sánh ngân hàng cho vay mua xe — lãi suất là tiêu chí chọn ngân hàng, người đọc cần bảng lãi suất cụ thể. (Theo title/meta, chưa đọc bài.)</t>
  </si>
  <si>
    <t>1. Đóng thuế đất qua ngân hàng có được không?</t>
  </si>
  <si>
    <t>Chưa đọc được nội dung</t>
  </si>
  <si>
    <t>Ngoài việc hỗ trợ tra cứu tiền thuế đất phải nộp thì kho bạc Nhà nước, ngân hàng thương mại, tổ chức tín dụng khác và t…</t>
  </si>
  <si>
    <t>—</t>
  </si>
  <si>
    <t>Bài chưa có trong file crawl: kiểm tra link cũ khi mở bài.</t>
  </si>
  <si>
    <t>3. Thủ tục thay đổi địa chỉ hộ kinh doanh</t>
  </si>
  <si>
    <t>TRA CỨU NGAY ĐỊA BÀN QUẢN LÝ CỦA CÁC THUẾ CƠ SỞ CÁC TỈNH/THÀNH PHỐ</t>
  </si>
  <si>
    <t>Bài tư vấn mua ô tô trả góp; quyết định mua trả góp phụ thuộc trực tiếp vào mức lãi suất vay. (Theo title/meta, chưa đọc bài.)</t>
  </si>
  <si>
    <t>Bên cạnh đó, hãy chủ động theo dõi tỷ giá, kiểm tra phí giao dịch ngoại tệ, chuẩn bị đầy đủ chứng từ nếu có nhu cầu hoà…</t>
  </si>
  <si>
    <t>4.1. Kiểm tra thuế thu nhập cá nhân (TNCN) 2026 ở đâu?</t>
  </si>
  <si>
    <t>Để biết tra cứu thông tin quyết toán thuế thu nhập cá nhân nhanh, bạn nên truy cập eTax Mobile và thực hiện các bước sa…</t>
  </si>
  <si>
    <t>Bài hướng dẫn hồ sơ, thủ tục mua xe trả góp — bước sau khi người đọc so sánh lãi suất. (Theo title/meta, chưa đọc bài.)</t>
  </si>
  <si>
    <t>So sánh trả góp và trả thẳng — phần chi phí trả góp cần dẫn sang lãi suất vay mua ô tô. (Theo title/meta, chưa đọc bài.)</t>
  </si>
  <si>
    <t>3. Lựa chọn các cách bảo vệ tài khoản ngân hàng</t>
  </si>
  <si>
    <t>Bạn có thể nhận thấy đơn giản nhất khi đăng nhập sai mật khẩu, nhập mật khẩu chuyển tiền sai quá số lần quy định (3 - 5…</t>
  </si>
  <si>
    <t>tên đăng nhập</t>
  </si>
  <si>
    <t>Phần E: Đăng ký chữ ký, dấu và ủy quyền khi sử dụng TK…</t>
  </si>
  <si>
    <t>Tên đăng nhập Khách hàng đăng ký (Sử dụng tên đăng nhập có 6 - 16 ký…</t>
  </si>
  <si>
    <t>4. Hướng dẫn các bước đăng ký và sử dụng Techcombank M…</t>
  </si>
  <si>
    <t>Khởi tạo tên đăng nhập và mật khẩu để sẵn sàng sử dụng</t>
  </si>
  <si>
    <t>Chủ đề vay thế chấp mua xe cũ; chèn được ở đoạn nói về chi phí/lãi vay. (Theo title/meta, chưa đọc bài.)</t>
  </si>
  <si>
    <t>3.1. Cách 1: Mở tài khoản ngân hàng online</t>
  </si>
  <si>
    <t>Màn hình hiển thị tên đăng nhập là số điện thoại của bạn &gt; Cài đặt mật khẩu &gt; Mở tài khoản thành công.</t>
  </si>
  <si>
    <t>vay ngân hàng 1 tỷ mỗi tháng trả bao nhiêu</t>
  </si>
  <si>
    <t>3.4. Quản lý nhân viên</t>
  </si>
  <si>
    <t>…dùng có thể tìm kiếm và xem thông tin về nhân viên như tên đăng nhập, email, trạng thái, nhóm quyền…Dưới đây là hướng…</t>
  </si>
  <si>
    <t>4.1. Techcombank ePOS</t>
  </si>
  <si>
    <t>Chủ cửa hàng có thể chỉnh sửa thông tin nhân viên như tên đăng nhập, số điện thoại, vị trí nhân viên…</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</si>
  <si>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</si>
  <si>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</si>
  <si>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1.4. Thiết lập đăng nhập</t>
  </si>
  <si>
    <t>Màn hình hiển thị tên đăng nhập là số điện thoại của bạn, sau đó bạn Cài đặt mật khẩu …</t>
  </si>
  <si>
    <t>Bài hướng dẫn nộp thuế online chung — có thể dẫn sang trường hợp cụ thể là thuế đất. (Theo title/meta, chưa đọc bài.)</t>
  </si>
  <si>
    <t>2.2. Cách 2: Sao kê ngân hàng online qua Internet Banki…</t>
  </si>
  <si>
    <t>Mở ứng dụng Techcombank Mobile, Chọn “ Đăng nhập ” &gt; Nhập tên đăng nhập và mật khẩu/Mã mở khoá.</t>
  </si>
  <si>
    <t>Bài liên kết tài khoản với eTax Mobile — người đọc làm xong sẽ cần bước nộp thuế. (Theo title/meta, chưa đọc bài.)</t>
  </si>
  <si>
    <t>4.1. Sử dụng Username (tên đăng nhập) và mật khẩu</t>
  </si>
  <si>
    <t>Tên đăng nhập tài khoản ngân hàng thường sẽ là số điện thoại hoặc một tên đăng nhập bất …</t>
  </si>
  <si>
    <t>1. Mã QR thanh toán làm giả được không?</t>
  </si>
  <si>
    <t>Tại đây, người dùng sẽ phải nhập thông tin như tên đăng nhập tài khoản ngân hàng, mật khẩu đăng nhập, mã OTP hoặc thậm chí là số CCCD/C…</t>
  </si>
  <si>
    <t>Sau khi lấy lại được sim và đăng ký chính chủ, tài khoản ngân hàng của bạn hoàn toàn có thể đăng nhập và thực hiện giao…</t>
  </si>
  <si>
    <t>2.1. Tra cứu trên website</t>
  </si>
  <si>
    <t>Điền tên đăng nhập và mật khẩu để truy cập vào tài khoản Internet Banking.</t>
  </si>
  <si>
    <t>1. Lộ số tài khoản, thông tin ngân hàng có sao không?</t>
  </si>
  <si>
    <t>Quyết toán TNCN online → nếu còn thiếu thuế phải nộp qua cổng thuế điện tử. (Theo title/meta, chưa đọc bài.)</t>
  </si>
  <si>
    <t>…ng thông tin chi tiết khác liên quan đến tài khoản như tên đăng nhập, mật khẩu, mã PIN, mã OTP...</t>
  </si>
  <si>
    <t>nộp thuế điện tử</t>
  </si>
  <si>
    <t>Title/URL còn năm cũ (2025): nên cập nhật; câu chèn không ghi năm. Bài chưa có trong file crawl: kiểm tra link cũ khi mở bài. Bài nhận 3 link mới: đặt ở các mục khác nhau.</t>
  </si>
  <si>
    <t>1. Lộ mã QR ngân hàng có sao không?</t>
  </si>
  <si>
    <t>…n nhạy cảm hoặc thông tin cá nhân như số dư tài khoản, tên đăng nhập, mật khẩu đăng nhập, mã PIN sẽ được bảo mật hoàn…</t>
  </si>
  <si>
    <t>voucher Traveloka</t>
  </si>
  <si>
    <t>3.1. Các bước đăng ký Techcombank Mobile</t>
  </si>
  <si>
    <t>1.2. Rủi ro lộ OTP, mật khẩu khi thực hiện giao dịch o…</t>
  </si>
  <si>
    <t>…ười dùng cần lưu ý bảo vệ kỹ các thông tin cá nhân như tên đăng nhập, mật khẩu, mã OTP… Các thông tin này chỉ có thể b…</t>
  </si>
  <si>
    <t>1. Kích hoạt thẻ thanh toán qua Mobile Banking</t>
  </si>
  <si>
    <t>Điền Tên đăng nhập (là số điện thoại đăng ký dịch vụ) và Mật khẩu cho Mobile Banking</t>
  </si>
  <si>
    <t>Kê khai thuế HKD online, sau khi kê khai là bước nộp thuế điện tử. (Theo title/meta, chưa đọc bài.)</t>
  </si>
  <si>
    <t>hướng dẫn nộp thuế điện tử</t>
  </si>
  <si>
    <t>1. Bước 1: Đăng nhập và tìm biểu tượng mã QR</t>
  </si>
  <si>
    <t>Người dùng đăng nhập ngân hàng số trên điện thoại, sau đó tìm kiếm biểu tượng mã QR.</t>
  </si>
  <si>
    <t>Bài chưa có trong file crawl: kiểm tra link cũ khi mở bài. Bài nhận 2 link mới: đặt ở các mục khác nhau.</t>
  </si>
  <si>
    <t>2.1. Mobile Banking</t>
  </si>
  <si>
    <t>Đăng nhập Techcombank Mobile, chọn Chuyển tiền &amp; thanh toán</t>
  </si>
  <si>
    <t>1. Mã OTP là gì?</t>
  </si>
  <si>
    <t>Đây là một dãy gồm 4 - 6 ký tự hoặc chữ số được tạo ra ngẫu nhiên, chỉ có giá trị sử dụng cho một lần đăng nhập hoặc mộ…</t>
  </si>
  <si>
    <t>1. Khoá thẻ tạm thời qua điện thoại Mobile Banking</t>
  </si>
  <si>
    <t>Đăng nhập Techcombank Mobile, chọn Tài khoản &amp; Thẻ</t>
  </si>
  <si>
    <t>1. Thanh toán tiền nước hàng tháng trên Mobile Banking</t>
  </si>
  <si>
    <t>Đăng nhập Techcombank Mobile , chọn Chuyển tiền &amp; thanh toán</t>
  </si>
  <si>
    <t>Làm thủ tục hoàn thuế trên eTax Mobile — cùng công cụ, chèn ở đoạn giới thiệu eTax. (Theo title/meta, chưa đọc bài.)</t>
  </si>
  <si>
    <t>2. Cách 2: Thanh toán cước trả sau qua My Viettel</t>
  </si>
  <si>
    <t>Đăng nhập ứng dụng My Viettel → Tại trang chủ chọn Thanh toán</t>
  </si>
  <si>
    <t>Quên hạn đóng tiền điện, phải ghi nhớ hàng loạt mã hóa đơn, tốn thời gian đăng nhập từng ứng dụng riêng biệt… những bất…</t>
  </si>
  <si>
    <t>2. 6 thông tin cần điền khi chuyển tiền qua Mobile Ban…</t>
  </si>
  <si>
    <t>Sau khi điền số tài khoản người nhận và ngân hàng thụ hưởng, tên của người nhận tiền sẽ tự động hiển thị.</t>
  </si>
  <si>
    <t>Bài nộp thuế hải quan online — có thể dẫn sang hướng dẫn nộp thuế điện tử nội địa. (Theo title/meta, chưa đọc bài.)</t>
  </si>
  <si>
    <t>2. Cách 2: Gửi tiết kiệm online cho người chưa có tài…</t>
  </si>
  <si>
    <t>Sau khi mở tài khoản ngân hàng, khách hàng cần đăng nhập lại và bắt đầu chọn sản phẩm gửi tiết kiệm online.</t>
  </si>
  <si>
    <t>3. Nạp tiền vào thẻ ghi nợ qua ứng dụng tài chính</t>
  </si>
  <si>
    <t>Chọn ngân hàng cần chuyển tiền &gt; Nhập số tài khoản và tên người nhận &gt; Nhập số tiền cần chuyển &gt; Chọn nguồn trích tiền.</t>
  </si>
  <si>
    <t>1.1. Tài khoản ngân hàng bị khóa khi nhập sai mật khẩu…</t>
  </si>
  <si>
    <t>Bài về chi phí không được trừ khi tính thuế TNDN — nhắc trực tiếp TNDN, người đọc cần biết thuế suất. (Theo title/meta, chưa đọc bài.)</t>
  </si>
  <si>
    <t>Quyết toán thuế DN gồm quyết toán TNDN — đoạn liệt kê loại thuế phải quyết toán chèn được. (Theo title/meta, chưa đọc bài.)</t>
  </si>
  <si>
    <t>thuế TNDN</t>
  </si>
  <si>
    <t>2.1. Người thụ hưởng kiều hối (cá nhân hoặc tổ chức tro…</t>
  </si>
  <si>
    <t>Bài ưu đãi thuế cho DN mới — ưu đãi chủ yếu là miễn/giảm thuế TNDN. (Theo title/meta, chưa đọc bài.)</t>
  </si>
  <si>
    <t>thuế suất thuế TNDN</t>
  </si>
  <si>
    <t>Bài lợi nhuận và công thức tính — đoạn lợi nhuận sau thuế chèn được link thuế TNDN. (Theo title/meta, chưa đọc bài.)</t>
  </si>
  <si>
    <t>mô hình kinh doanh là gì</t>
  </si>
  <si>
    <t>Hoàn thuế DN; có thể nhắc trường hợp nộp thừa thuế TNDN. (Theo title/meta, chưa đọc bài.)</t>
  </si>
  <si>
    <t>khi bán lại, nhà đầu tư nhận về giá trị tương ứng theo NAV mới, sau khi trừ các khoản phí và thuế thu nhập cá nhân (nếu có).</t>
  </si>
  <si>
    <t>thuế TNCN</t>
  </si>
  <si>
    <t>2.3. Cách tính thuế TNCN</t>
  </si>
  <si>
    <t>Thuế TNCN của hộ kinh doanh, cá nhân kinh doanh được xác định theo một trong hai phương pháp sau:</t>
  </si>
  <si>
    <t>Miễn thuế TNCN trong 2 năm và giảm 50% trong 4 năm tiếp theo đối với …</t>
  </si>
  <si>
    <t>Kê khai thuế DN — thuế GTGT là loại kê khai định kỳ phổ biến nhất. (Theo title/meta, chưa đọc bài.)</t>
  </si>
  <si>
    <t>Bài viết tổng hợp cách kê khai thuế thu nhập cá nhân online, cách đăng ký nộp thuế điện tử online cho doanh…</t>
  </si>
  <si>
    <t>Hoàn thuế DN chủ yếu là hoàn thuế GTGT — người đọc cần hiểu VAT là gì. (Theo title/meta, chưa đọc bài.)</t>
  </si>
  <si>
    <t>5. Cách tính thuế TNCN</t>
  </si>
  <si>
    <t>… hộ kinh doanh nhỏ sẽ được miễn hoàn toàn thuế GTGT và thuế TNCN, tạo điều kiện để các hộ kinh doanh siêu nhỏ, hộ cá t…</t>
  </si>
  <si>
    <t>2.2. MISA AMIS Tiền lương</t>
  </si>
  <si>
    <t>Kết nối dữ liệu giữa các phân hệ nhân sự, chấm công, kế toán, BHXH và thuế TNCN trong hệ sinh thái MISA AMIS.</t>
  </si>
  <si>
    <t>Cuối năm, thực hiện quyết toán thuế TNCN tổng hợp.</t>
  </si>
  <si>
    <t>Hóa đơn điện tử thể hiện thuế GTGT — chèn ở đoạn nói về nội dung hóa đơn. (Theo title/meta, chưa đọc bài.)</t>
  </si>
  <si>
    <t>mức đóng thuế thu nhập cá nhân</t>
  </si>
  <si>
    <t>gửi mã QR ngân hàng</t>
  </si>
  <si>
    <t>Thuế TMĐT cho HKD gồm thuế GTGT + TNCN — chèn khi nhắc thuế GTGT. (Theo title/meta, chưa đọc bài.)</t>
  </si>
  <si>
    <t>1.1. Thuế đối với hộ kinh doanh, cá nhân kinh doanh tr…</t>
  </si>
  <si>
    <t>Sàn TMĐT sẽ khấu trừ và nộp thuế thay (GTGT, TNCN) cho hộ kinh doanh, cá nhân kinh doanh</t>
  </si>
  <si>
    <t>Bài tra mã số thuế DN — tra nợ thuế dùng chính mã số thuế, nhu cầu nối tiếp. (Theo title/meta, chưa đọc bài.)</t>
  </si>
  <si>
    <t>Thuế thu nhập cá nhân (TNCN) là nghĩa vụ tài chính phản ánh trực tiếp quyền …</t>
  </si>
  <si>
    <t>Bài viết dưới đây hướng dẫn chi tiết cách quyết toán thuế TNCN 2025 trên eTax Mobile , giúp bạn chủ động quản lý nghĩ…</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</si>
  <si>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</si>
  <si>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</si>
  <si>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rút tiền không cần thẻ</t>
  </si>
  <si>
    <t>Trước/sau quyết toán DN cần kiểm tra số thuế còn nợ. (Theo title/meta, chưa đọc bài.)</t>
  </si>
  <si>
    <t>1.2. Thẻ ATM bị hỏng hoặc hết hạn</t>
  </si>
  <si>
    <t>Khách hàng có thể sử dụng tính năng Rút tiền không cần thẻ (tuỳ ngân hàng và cây ATM) hoặc đến trực tiếp phòng gi…</t>
  </si>
  <si>
    <t>Một số cây ATM đã tích hợp thêm tính năng rút tiền bằng mã QR giúp người dùng rút tiền mặt nhanh chóng ngay cả khi k…</t>
  </si>
  <si>
    <t>Sau kê khai, DN kiểm tra nghĩa vụ/nợ thuế. (Theo title/meta, chưa đọc bài.)</t>
  </si>
  <si>
    <t>3. VCB Digibank</t>
  </si>
  <si>
    <t>Thanh toán, chuyển tiền, rút tiền bằng mã QR</t>
  </si>
  <si>
    <t>1.3. Rút tiền</t>
  </si>
  <si>
    <t>Ngoài ra, tại cây ATM của một số ngân hàng, khách hàng hoàn toàn có thể rút tiền không cần thẻ.</t>
  </si>
  <si>
    <t>2.2. Rút tiền tại cây ATM</t>
  </si>
  <si>
    <t>…có trang bị các cây ATM thông minh cho phép người dùng rút tiền không cần thẻ như Techcombank, TPBank… giúp khách hàng…</t>
  </si>
  <si>
    <t>Bài anh em (HKD); chèn ở đoạn so sánh nếu có nhắc doanh nghiệp. (Theo title/meta, chưa đọc bài.)</t>
  </si>
  <si>
    <t>Tuy nhiên, một số ngân hàng hiện nay cung cấp dịch vụ rút tiền không cần thẻ, ví dụ như Techcombank.</t>
  </si>
  <si>
    <t>2. Sự khác nhau giữa số tài khoản ngân hàng và số thẻ…</t>
  </si>
  <si>
    <t>…n, nhận chuyển khoản, rút tiền mặt (tại cây ATM hỗ trợ rút tiền không cần thẻ), thanh toán hóa đơn, liên kết ví điện t…</t>
  </si>
  <si>
    <t>mở tài khoản hộ kinh doanh</t>
  </si>
  <si>
    <t>Bài giải đáp về thuế DN nói chung — đúng chủ đề tổng quan. (Theo title/meta, chưa đọc bài.)</t>
  </si>
  <si>
    <t>1.5. Phân loại theo hình thức thẻ</t>
  </si>
  <si>
    <t>… của ngân hàng phát hành thẻ (nếu cây ATM có tính năng rút tiền không cần thẻ).</t>
  </si>
  <si>
    <t>Tuân thủ thuế cho DN khởi nghiệp — cần biết DN phải nộp những khoản thuế nào. (Theo title/meta, chưa đọc bài.)</t>
  </si>
  <si>
    <t>2.2. Cách tạo thẻ Visa Debit phi vật lý</t>
  </si>
  <si>
    <t>…ó thể sử dụng các tính năng như thanh toán trực tuyến, rút tiền không cần thẻ tại cây ATM, liên kết ví Apple/Google/Samsung để thanh…</t>
  </si>
  <si>
    <t>cách rút tiền bằng mã QR</t>
  </si>
  <si>
    <t>1.1. Cách lấy mã QR Techcombank cho khách hàng cá nhân</t>
  </si>
  <si>
    <t>Về cách thanh toán bằng quét mã QR Techcombank, người dùng chỉ cần đăng nhập vào Techcombank Mobile, chọn Quét mã QR và…</t>
  </si>
  <si>
    <t>Bài các khoản thuế, phí khi lên DN — liên kết tự nhiên sang danh sách thuế DN. (Theo title/meta, chưa đọc bài.)</t>
  </si>
  <si>
    <t>2. Bước 2: Lấy mã QR từ app ngân hàng</t>
  </si>
  <si>
    <t>Người dùng có thể tham khảo ví dụ bằng hình ảnh về cách lấy mã QR ngân hàng trên Techcombank Mobile dưới đây:</t>
  </si>
  <si>
    <t>2. Hướng dẫn cách tạo mã QR ngân hàng cho hộ kinh doanh</t>
  </si>
  <si>
    <t>Mã QR cửa hàng của Techcombank giúp chủ hộ kinh doanh, chủ cửa hàng, chủ shop online dễ dàng phân tách, theo dõi, quản…</t>
  </si>
  <si>
    <t>3. Mã QR ngân hàng bị lỗi/hỏng</t>
  </si>
  <si>
    <t>Mã QR được thiết kế bằng cách sắp xếp các điểm, dòng đen trắng và các dấu ổn định ở bốn góc theo một mô hình cụ thể.</t>
  </si>
  <si>
    <t>3. Một số lưu ý khi sử dụng mã QR thanh toán</t>
  </si>
  <si>
    <t>Hướng dẫn cách gửi mã QR ngân hàng nhận tiền đơn giản .</t>
  </si>
  <si>
    <t>1.1. Đối với khách hàng cá nhân</t>
  </si>
  <si>
    <t>Hướng dẫn cách chuyển tiền qua mã QR Techcombank.</t>
  </si>
  <si>
    <t>Bài tin chính sách thuế phí có lợi cho DN — dẫn sang bài tổng hợp các khoản thuế. (Theo title/meta, chưa đọc bài.)</t>
  </si>
  <si>
    <t>2. Lợi ích của việc thanh toán bằng mã QR Code</t>
  </si>
  <si>
    <t>Cách thanh toán bằng mã QR giúp người dùng không cần mang theo tiền mặt hay thẻ tín dụng hoặc nếu thẻ tín dụng hết hạn…</t>
  </si>
  <si>
    <t>cách tính thuế hộ kinh doanh nhỏ lẻ</t>
  </si>
  <si>
    <t>1. Làm mã QR ngân hàng có mất phí không?</t>
  </si>
  <si>
    <t>Mã QR Cửa hàng giúp hộ kinh doanh quản lý dòng tiền kinh doanh một cách thuận tiện hơn.</t>
  </si>
  <si>
    <t>Tạo mã QR riêng cho giao dịch bằng cách chọn Bổ sung số tiền , nhập chính xác số tiền cần nhận (1)</t>
  </si>
  <si>
    <t>1.1. Tạo mã QR với tính năng quét QR</t>
  </si>
  <si>
    <t>Khách hàng tạo mã QR nhận tiền qua Techcombank Mobile chỉ với 2 bước thực hiện.</t>
  </si>
  <si>
    <t>Bài tài khoản DN là gì — câu hỏi 'có dùng TK cá nhân thay được không' là nhu cầu kế tiếp. (Theo title/meta, chưa đọc bài.)</t>
  </si>
  <si>
    <t>2.3. Thanh toán đơn giản, an toàn</t>
  </si>
  <si>
    <t>Thanh toán bằng quét mã QR Code qua các ứng dụng ngân hàng</t>
  </si>
  <si>
    <t>1. Mã QR doanh nghiệp và lợi ích khi sử dụng</t>
  </si>
  <si>
    <t>Bên cạnh hình thức thanh toán tiền mặt, quẹt thẻ, khách hàng hiện nay đang ưu tiên lựa chọn chuyển khoản bằng mã QR.</t>
  </si>
  <si>
    <t>Lưu ý chuyển tiền vào TK công ty — liên quan trực tiếp quy định dùng TK cá nhân. (Theo title/meta, chưa đọc bài.)</t>
  </si>
  <si>
    <t>3. Lợi ích khi sử dụng mã QR động nhận thanh toán tại…</t>
  </si>
  <si>
    <t>Với mã QR động, toàn bộ thông tin giao dịch như số tiền, nội dung chuyển khoản, tài khoản thụ hưởng được tự động điền t…</t>
  </si>
  <si>
    <t>1. Thanh toán qua mã QR đang trở thành phương thức tất…</t>
  </si>
  <si>
    <t>Hình thức thanh toán bằng mã QR ngày càng được ưa chuộng nhờ sở hữu những ưu điểm như:</t>
  </si>
  <si>
    <t>6. Hướng dẫn đăng ký SoftPOS Techcombank</t>
  </si>
  <si>
    <t>Đối với các chủ hộ kinh doanh mới làm quen với ngân hàng, việc mở tài khoản thường đi kèm nhu cầu phát hành thẻ ghi nợ…</t>
  </si>
  <si>
    <t>Cách dùng TK công ty cho giao dịch — đối lập tự nhiên với dùng TK cá nhân. (Theo title/meta, chưa đọc bài.)</t>
  </si>
  <si>
    <t>1. Cách rút tiền mặt từ tài khoản doanh nghiệp bằng séc</t>
  </si>
  <si>
    <t>Trong quá trình thực hiện rút tiền mặt từ tài khoản doanh nghiệp , khách hàng cần lưu ý về thủ tục cũng như cách điền s…</t>
  </si>
  <si>
    <t>3. In mã QR ngân hàng có mất phí không?</t>
  </si>
  <si>
    <t>Tương tự, khi sử dụng thẻ tín dụng để rút tiền mặt, bạn cũng cần lưu ý về phí rút tiền thẻ tín dụng Techcombank , vì ph…</t>
  </si>
  <si>
    <t>1. MM/YY là gì?</t>
  </si>
  <si>
    <t>Trong đa số trường hợp, MM/YY thể hiện ngày hết hạn (Expiration Date) - thời điểm thẻ không còn giá trị sử dụng để rút…</t>
  </si>
  <si>
    <t>Tiền vào TK cá nhân có bị tính thuế — rủi ro khi công ty dùng TK cá nhân nhận tiền. (Theo title/meta, chưa đọc bài.)</t>
  </si>
  <si>
    <t>2.1. Cần phải trả bao nhiêu khoản phí khi sử dụng thẻ…</t>
  </si>
  <si>
    <t>Phí phát hành thẻ, phí thường niên, phí rút tiền.</t>
  </si>
  <si>
    <t>7. Kiểm tra trực tiếp tại ngân hàng</t>
  </si>
  <si>
    <t>Ưu điểm của hình thức này là kiểm tra nhanh, chính xác và thuận tiện nếu khách hàng còn cần làm thêm các giao dịch khác…</t>
  </si>
  <si>
    <t>cách quét NFC căn cước</t>
  </si>
  <si>
    <t>6. Những câu hỏi thường gặp khi đăng ký định danh mức 2</t>
  </si>
  <si>
    <t>Bố/mẹ đưa trẻ đến cơ quan Công an để quét/xác thực Căn cước của bố/mẹ và của trẻ.</t>
  </si>
  <si>
    <t>quét NFC CCCD</t>
  </si>
  <si>
    <t>cách tính lãi vay ngân hàng</t>
  </si>
  <si>
    <t>5.2. Cách 2: Quét Thẻ căn cước gắn chip</t>
  </si>
  <si>
    <t>Bạn cần chuẩn bị CCCD gắn chip khi mở tài khoản ngân hàng online và bật tính năng quét NFC trên thiết bị di động.</t>
  </si>
  <si>
    <t>1.2. Điền thông tin cá nhân để đăng ký</t>
  </si>
  <si>
    <t>Tham khảo chỉ dẫn, nhấn Xác nhận &gt; Chụp ảnh khuôn mặt &gt; Bật kết nối NFC trên điện thoại, chạm mặt chip trên CCCD vào mặ…</t>
  </si>
  <si>
    <t>5.2. Cách làm thẻ MasterCard online</t>
  </si>
  <si>
    <t>Xác nhận Căn cước công dân, ấn Tiếp tục , chọn Mức thu nhập hàng tháng , chia sẻ tình trạng vay bằng cách ấn Có/Không ,…</t>
  </si>
  <si>
    <t>Title/URL còn năm cũ (2025): nên cập nhật; câu chèn không ghi năm. Bài chưa có trong file crawl: kiểm tra link cũ khi mở bài. Bài nhận 2 link mới: đặt ở các mục khác nhau.</t>
  </si>
  <si>
    <t>3. Khoá thẻ tại phòng giao dịch/chi nhánh ngân hàng</t>
  </si>
  <si>
    <t>Khi đến ngân hàng, bạn cần đem theo CCCD/thẻ căn cước còn hiệu lực để thực hiện thủ tục một cách nhanh chóng, đồng thời…</t>
  </si>
  <si>
    <t>Do đó, để vay tiền nhanh qua app tài chính/ngân hàng, khách hàng cần cập nhật sinh trắc học trên app vay tiền bằng cách…</t>
  </si>
  <si>
    <t>3. Chọn số tài khoản dễ ghi nhớ</t>
  </si>
  <si>
    <t>Một số cách thường được sử dụng để chọn số tài khoản dễ ghi nhớ là chọn số chứa ngày sinh, số điện thoại, số thẻ căn cư…</t>
  </si>
  <si>
    <t>2. Độ tuổi cần mở tài khoản thông qua người giám hộ</t>
  </si>
  <si>
    <t>Thẻ căn cước công dân, Thẻ căn cước hoặc Căn cước điện tử (thông qua việc truy cập vào tài khoản định danh điện tử mức độ 02) c…</t>
  </si>
  <si>
    <t>Chi phí không được trừ ảnh hưởng trực tiếp công thức tính TNDN. (Theo title/meta, chưa đọc bài.)</t>
  </si>
  <si>
    <t>Thẻ CCCD, Thẻ căn cước hoặc Căn cước điện tử (thông qua việc truy cập vào tài khoản định danh điện tử mức độ 02) hoặc CMND còn …</t>
  </si>
  <si>
    <t>https://techcombank.com/thong-tin/blog/phong-cho-san-bay-noi-bai</t>
  </si>
  <si>
    <t>Khấu hao TSCĐ là chi phí được trừ khi tính thu nhập chịu thuế TNDN. (Theo title/meta, chưa đọc bài.)</t>
  </si>
  <si>
    <t>1.3. Hướng dẫn các bước check-in để trải nghiệm phòng c…</t>
  </si>
  <si>
    <t>Khách hàng có thể xuất trình giấy tờ tùy thân còn hiệu lực đã đăng ký với ngân hàng (Căn cước/CCCD điện tử trên VNeID/ Hộ chiếu…</t>
  </si>
  <si>
    <t>lãi suất vay thế chấp sổ đỏ</t>
  </si>
  <si>
    <t>Lợi nhuận ròng = lợi nhuận trước thuế − thuế TNDN; chèn ở công thức. (Theo title/meta, chưa đọc bài.)</t>
  </si>
  <si>
    <t>4. Hồ sơ sang ngang thẻ tín dụng</t>
  </si>
  <si>
    <t>CCCD/Thẻ căn cước/Tài khoản định danh mức 2 còn hiệu lực</t>
  </si>
  <si>
    <t>https://techcombank.com/thong-tin/blog/cach-doc-bao-cao-tai-chinh</t>
  </si>
  <si>
    <t>https://techcombank.com/thong-tin/blog/bib-techcombank</t>
  </si>
  <si>
    <t>Báo cáo tài chính có dòng chi phí thuế TNDN. (Theo title/meta, chưa đọc bài.)</t>
  </si>
  <si>
    <t>3.2. Kiểm tra chính sách đổi cự ly, chuyển nhượng và ho…</t>
  </si>
  <si>
    <t>Một số thông tin như số thẻ Căn cước/CCCD/hộ chiếu, ngày sinh và giới tính chỉ được điều chỉnh theo giấy tờ tùy thân đã dùng để…</t>
  </si>
  <si>
    <t>Bài nạp thẻ cho các nhà mạng — mục Viettel nên dẫn sang bài chi tiết. (Theo title/meta, chưa đọc bài.)</t>
  </si>
  <si>
    <t>3.1. Trường hợp người dùng chưa kích hoạt Ví ShopeePay</t>
  </si>
  <si>
    <t>Quét mã QR trên CCCD gắn chip hoặc chụp ảnh 2 mặt CCCD.</t>
  </si>
  <si>
    <t>Thanh toán không chạm đang ngày càng trở nên phổ biến, từ việc quét mã QR đến sử dụng NFC, mỗi phương thức đều đáp ứng…</t>
  </si>
  <si>
    <t>Nạp tiền điện thoại online — chèn ở đoạn ví dụ nhà mạng Viettel. (Theo title/meta, chưa đọc bài.)</t>
  </si>
  <si>
    <t>nạp thẻ Viettel</t>
  </si>
  <si>
    <t>1.4. Cách mở thẻ debit</t>
  </si>
  <si>
    <t>Mở online qua ngân hàng số , dễ dàng xác thực qua Thẻ Căn cước/CCCD gắn chip/VneID, sử dụng thẻ phi vật lý ngay sau khi hoàn tấ…</t>
  </si>
  <si>
    <t>Chưa có cụm anchor → thêm 1 câu ngay sau câu này, ví dụ: "Xem thêm: quét NFC CCCD." rồi gắn link vào cụm anchor.</t>
  </si>
  <si>
    <t>3.2. Liên kết tính năng Tài khoản cho con thuộc dịch vụ…</t>
  </si>
  <si>
    <t>Tải lên hình ảnh Giấy khai sinh của con &gt; nhập số tài khoản và Căn cước công dân gắn chip hoặc căn cước gắn chip của con để tiế…</t>
  </si>
  <si>
    <t>Cùng nhà mạng Viettel (trả sau) — dẫn sang nạp thẻ trả trước. (Theo title/meta, chưa đọc bài.)</t>
  </si>
  <si>
    <t>thủ tục xóa thế chấp</t>
  </si>
  <si>
    <t>nạp thẻ cào Viettel</t>
  </si>
  <si>
    <t>Thẻ CCCD, thẻ căn cước hoặc Căn cước điện tử (thông qua việc truy cập vào tài khoản định danh điện tử mức độ 02) hoặc CMND còn …</t>
  </si>
  <si>
    <t>Ngân hàng sẽ không phê duyệt khoản vay nếu khách hàng chỉ sử dụng căn cước công dân (CCCD).</t>
  </si>
  <si>
    <t>Chưa có cụm anchor → thêm 1 câu ngay sau câu này, ví dụ: "Xem thêm: quét NFC CCCD trên iPhone." rồi gắn link vào cụm anchor.</t>
  </si>
  <si>
    <t>Bài anh em nhà mạng khác; chèn câu ngắn so sánh/xem thêm Viettel. (Theo title/meta, chưa đọc bài.)</t>
  </si>
  <si>
    <t>2. Hướng dẫn Tiểu thương mở tài khoản Hộ kinh doanh Tec…</t>
  </si>
  <si>
    <t>Thực hiện định danh điện tử với Căn cước công dân gắn chip hoặc VNeID</t>
  </si>
  <si>
    <t>5. Cách xử lý khi quên mã PIN thẻ ATM</t>
  </si>
  <si>
    <t>Khi đến ngân hàng, hãy nhớ mang theo thẻ ATM và căn cước công dân (CCCD) để xác minh thông tin và hoàn tất thủ tục cấp lại mã PIN.</t>
  </si>
  <si>
    <t>Như trên, nhà mạng MobiFone. (Theo title/meta, chưa đọc bài.)</t>
  </si>
  <si>
    <t>4. Mua vé xem phim tại quầy</t>
  </si>
  <si>
    <t>Do đó, bạn đừng quên mang theo Căn cước công dân (CCCD) hoặc thẻ sinh viên để tận hưởng những ưu đãi này.</t>
  </si>
  <si>
    <t>2. Hướng dẫn mở tài khoản ngân hàng với VNeID</t>
  </si>
  <si>
    <t>Chọn liên kết với ứng dụng VNeID, nhấn chụp ảnh CCCD/thẻ Căn cước mặt trước - mặt sau và nhấn Xác nhận</t>
  </si>
  <si>
    <t>Bài giá điện bậc thang — người đọc cần cách tính ra hóa đơn. (Theo title/meta, chưa đọc bài.)</t>
  </si>
  <si>
    <t>4. Hướng dẫn các bước đăng ký và sử dụng Techcombank Mo…</t>
  </si>
  <si>
    <t>Xác minh danh tính với CCCD/thẻ căn cước gắn chip hoặc VNeID</t>
  </si>
  <si>
    <t>Tra hóa đơn tiền điện — muốn đối chiếu số tiền cần biết cách tính. (Theo title/meta, chưa đọc bài.)</t>
  </si>
  <si>
    <t>1. Cách đăng ký thẻ Visa Debit</t>
  </si>
  <si>
    <t>Để đăng ký thẻ Visa Debit, khách hàng cần đủ 15 tuổi trở lên và có Thẻ CCCD/Thẻ căn cước/Căn cước điện tử (thông qua việc truy …</t>
  </si>
  <si>
    <t>cách tính tiền điện</t>
  </si>
  <si>
    <t>1. Điều kiện và thủ tục đăng ký thẻ Visa online</t>
  </si>
  <si>
    <t>lãi suất tiết kiệm</t>
  </si>
  <si>
    <t>https://techcombank.com/thong-tin/blog/phong-cho-san-bay-tan-son-nhat</t>
  </si>
  <si>
    <t>Đóng tiền điện — trước khi đóng người đọc hay kiểm tra số tiền. (Theo title/meta, chưa đọc bài.)</t>
  </si>
  <si>
    <t>giá điện bậc thang</t>
  </si>
  <si>
    <t>App đóng tiền điện; chèn ở đoạn mở đầu/lưu ý. (Theo title/meta, chưa đọc bài.)</t>
  </si>
  <si>
    <t>Thanh toán tiền điện bằng thẻ tín dụng; chèn ở đoạn về số tiền hóa đơn. (Theo title/meta, chưa đọc bài.)</t>
  </si>
  <si>
    <t>4.1. Cách 1: Chuyển đổi tại phòng giao dịch/chi nhánh n…</t>
  </si>
  <si>
    <t>Khách hàng mang theo thẻ Căn cước/Căn cước công dân còn hiệu lực tới phòng giao dịch/chi nhánh ngân hàng gần nhất, tại đây nhân…</t>
  </si>
  <si>
    <t>5.1. Thẻ ngân hàng xanh (Eco Card)</t>
  </si>
  <si>
    <t>Thẻ ngân hàng xanh (Eco Card) là loại thẻ được thiết kế nhằm giảm thiểu tác động đến môi trường trong suốt vòng đời sản…</t>
  </si>
  <si>
    <t>Techcombank Eco</t>
  </si>
  <si>
    <t>3.1. Bù đắp lượng CO₂ đã phát thải</t>
  </si>
  <si>
    <t>Không chỉ theo dõi CO₂ qua chi tiêu, Techcombank Eco còn giúp bạn hành động thiết thực để bù đắp dấu chân carbon của mì…</t>
  </si>
  <si>
    <t>3. Lưu ý trước khi rút tiền mặt từ thẻ tín dụng</t>
  </si>
  <si>
    <t>…thẻ phù hợp với nhu cầu chi tiêu và ưu đãi, bao gồm cả Eco Card , trước khi liên hệ đội ngũ chuyên viên của ngân hàng …</t>
  </si>
  <si>
    <t>3.1. Đối với mã QR tài khoản thanh toán doanh nghiệp</t>
  </si>
  <si>
    <t>&gt;&gt;&gt; Tìm hiểu về Eco Card - Thẻ tín dụng Techcombank Visa Eco - Sống xanh, Tiêu sành</t>
  </si>
  <si>
    <t>cách tính lãi suất tiền gửi tiết kiệm</t>
  </si>
  <si>
    <t>Quyết toán TNCN cần tính lại số thuế cả năm. (Theo title/meta, chưa đọc bài.)</t>
  </si>
  <si>
    <t>Visa Debit Eco Card - Thẻ xanh đầu tiên tại Việt Nam theo dõi dấu chân Carbon.</t>
  </si>
  <si>
    <t>2. Rút tiền tiết kiệm trước kỳ hạn có được nhận tiền l…</t>
  </si>
  <si>
    <t>&gt;&gt;&gt; Khách hàng cũng có thể sử dụng eco card để quản lý thanh toán và liên kết với tài khoản tiết k…</t>
  </si>
  <si>
    <t>6. Thẻ tín dụng Techcombank Visa Eco</t>
  </si>
  <si>
    <t>…o của Techcombank, mức phí thường niên áp dụng cho thẻ Techcombank Eco là 599,000 VND/năm/thẻ.</t>
  </si>
  <si>
    <t>Hoàn thuế TNCN xuất phát từ việc tính ra số thuế nộp thừa. (Theo title/meta, chưa đọc bài.)</t>
  </si>
  <si>
    <t>cách tính thuế TNCN</t>
  </si>
  <si>
    <t>thẻ Eco</t>
  </si>
  <si>
    <t>1. Cập nhật danh sách voucher Starbucks từ Techcombank</t>
  </si>
  <si>
    <t>Giảm 25,000 VND khi mang bình cá nhân và thanh toán Xpays với thẻ Eco (xem thể lệ chi tiết )</t>
  </si>
  <si>
    <t>7.2. Đối với khách hàng cá nhân</t>
  </si>
  <si>
    <t>Ưu tiên sử dụng thẻ Eco phiên bản phi vật lý để thanh toán online, thêm thẻ và…</t>
  </si>
  <si>
    <t>2.2. Tính năng theo dõi dấu chân Carbon trên Techcomba…</t>
  </si>
  <si>
    <t>…n uống, mua sắm...) và giá trị của từng giao dịch trên thẻ Eco.</t>
  </si>
  <si>
    <t>Quá nhiều ngân hàng phát hành thẻ Visa khiến khách hàng phân vân không biết nên làm thẻ Visa ở đâu hay nên mở thẻ Visa ngân hàn…</t>
  </si>
  <si>
    <t>Chưa có cụm anchor → thêm 1 câu ngay sau câu này, ví dụ: "Xem thêm: eco card." rồi gắn link vào cụm anchor.</t>
  </si>
  <si>
    <t>Đăng ký MST cá nhân để kê khai, tính thuế TNCN. (Theo title/meta, chưa đọc bài.)</t>
  </si>
  <si>
    <t>tính thuế TNCN</t>
  </si>
  <si>
    <t>1. Làm thẻ ATM bao lâu thì có?</t>
  </si>
  <si>
    <t>Với đa số ngân hàng hiện nay, để làm thẻ ATM (hay còn gọi là thẻ thanh toán/thẻ ghi nợ) thì khách hàng sẽ mất từ 3 đến 7 ngày k…</t>
  </si>
  <si>
    <t>Thẻ ATM (hay còn gọi là thẻ thanh toán/thẻ ghi nợ) gồm 2 loại là thẻ thanh toán quốc tế và thẻ thanh toán nội địa, mức phí để m…</t>
  </si>
  <si>
    <t>Trước khi đăng ký làm thẻ thanh toán quốc tế , khách hàng cần đảm bảo mình đã đủ điều kiện để mở thẻ và chuẩn bị đầy đủ các giấ…</t>
  </si>
  <si>
    <t>Số TK là gì &amp; cách kiểm tra — trùng nhu cầu, dẫn sang bài chi tiết 3 cách. (Theo title/meta, chưa đọc bài.)</t>
  </si>
  <si>
    <t>1.1. Thẻ ghi nợ là gì?</t>
  </si>
  <si>
    <t>Thẻ ghi nợ hay còn gọi là thẻ thanh toán/thẻ ATM/thẻ debit là loại thẻ được ngân hàng phát hành để thanh toán thay thế cho tiền…</t>
  </si>
  <si>
    <t>Số dư khả dụng — người đọc cần cách kiểm tra số dư. (Theo title/meta, chưa đọc bài.)</t>
  </si>
  <si>
    <t>rút tiền tiết kiệm trước thời hạn</t>
  </si>
  <si>
    <t>kiểm tra số dư tài khoản</t>
  </si>
  <si>
    <t>2.6. Thẻ tín dụng Techcombank Visa Eco</t>
  </si>
  <si>
    <t>Thẻ tín dụng Techcombank Visa Eco, mở ra hành trình sống xanh đầy hứng khởi với cả “bầu trời” ưu đãi dành cho chủ thẻ:</t>
  </si>
  <si>
    <t>Hiểu được nhu cầu duy trì lối sống cân bằng – năng động của khách hàng, Techcombank hợp tác cùng Mr.Eco Healthy Food ma…</t>
  </si>
  <si>
    <t>3. Thanh toán học phí, nhận điểm U-Point với thẻ tín d…</t>
  </si>
  <si>
    <t>Ưu đãi dành cho chủ thẻ tín dụng Techcombank Visa Eco :</t>
  </si>
  <si>
    <t>Kiểm tra mã giao dịch — chèn ở đoạn kiểm tra lịch sử giao dịch. (Theo title/meta, chưa đọc bài.)</t>
  </si>
  <si>
    <t>kiểm tra tài khoản ngân hàng</t>
  </si>
  <si>
    <t>7. Thẻ tín dụng Techcombank Visa Eco</t>
  </si>
  <si>
    <t>SMS Banking là một kênh kiểm tra biến động số dư. (Theo title/meta, chưa đọc bài.)</t>
  </si>
  <si>
    <t>3. Hướng dẫn chọn thẻ tín dụng Techcombank phù hợp</t>
  </si>
  <si>
    <t>– Chọn Techcombank Visa Eco :</t>
  </si>
  <si>
    <t>4.2. Giao dịch qua thẻ thanh toán</t>
  </si>
  <si>
    <t>Techcombank Visa Eco;</t>
  </si>
  <si>
    <t>1. Mở thẻ ngân hàng - thẻ ATM online thông qua Mobile B…</t>
  </si>
  <si>
    <t>Thẻ ngân hàng - thẻ ATM hay còn gọi là thẻ thanh toán/thẻ ghi nợ, thường được sử dụng phổ biến trong chi tiêu hiện nay.</t>
  </si>
  <si>
    <t>Chưa có cụm anchor → thêm 1 câu ngay sau câu này, ví dụ: "Xem thêm: Techcombank Eco." rồi gắn link vào cụm anchor.</t>
  </si>
  <si>
    <t>Bài anh em cho TK công ty; chèn câu dẫn cho TK cá nhân. (Theo title/meta, chưa đọc bài.)</t>
  </si>
  <si>
    <t>1. Điều kiện và thủ tục đăng ký mở thẻ ghi nợ</t>
  </si>
  <si>
    <t>Trước khi đăng ký làm thẻ ghi nợ, khách hàng cần nắm rõ các điều kiện và thủ tục để quá trình mở thẻ diễn ra nhanh chóng và hiệ…</t>
  </si>
  <si>
    <t>5.2. Lựa chọn ngân hàng và dịch vụ tài chính xanh</t>
  </si>
  <si>
    <t>Phát hành khoảng 1 triệu thẻ thanh toán và thẻ tín dụng Techcombank Visa Eco tích hợp công nghệ theo dõi dấu chân carbon</t>
  </si>
  <si>
    <t>3.3. Trở thành khách hàng hội viên của ngân hàng</t>
  </si>
  <si>
    <t>Miễn phí thường niên trọn đời với thẻ thanh toán nội địa và thẻ thanh toán quốc tế (trừ Thẻ thanh toán Techcombank Visa…</t>
  </si>
  <si>
    <t>Bài định nghĩa TK ngân hàng, kết thúc tự nhiên bằng cách mở. (Theo title/meta, chưa đọc bài.)</t>
  </si>
  <si>
    <t>5.6. Thẻ tín dụng Techcombank Visa Eco</t>
  </si>
  <si>
    <t>Thẻ tín dụng Techcombank Visa Eco , mở ra hành trình sống xanh đầy hứng khởi với cả “bầu trời” ưu đãi dành cho chủ thẻ:</t>
  </si>
  <si>
    <t>4.6. Thẻ tín dụng Techcombank Visa Eco tích tới 800,00…</t>
  </si>
  <si>
    <t>Thẻ tín dụng Techcombank Visa Eco , mở ra hành trình sống xanh đầy hứng khởi với cả bầu trời ưu đãi dành cho chủ thẻ mớ…</t>
  </si>
  <si>
    <t>Có mục điều kiện, thủ tục mở TK thanh toán. (Theo title/meta, chưa đọc bài.)</t>
  </si>
  <si>
    <t>1. Xu hướng tiêu dùng bền vững</t>
  </si>
  <si>
    <t>Một sản phẩm nổi bật trong xu hướng này là thẻ thanh toán Techcombank Visa Eco của Techcombank - giải pháp hoàn hảo giú…</t>
  </si>
  <si>
    <t>sổ tiết kiệm ngân hàng</t>
  </si>
  <si>
    <t>2.2. Tàu điện Metro - Đường sắt đô thị</t>
  </si>
  <si>
    <t>Sáng đi làm, đi học đúng giờ, không lo kẹt xe giờ cao điểm cùng ưu đãi đi Metro cho chủ thẻ thanh toán (thẻ ghi nợ) T…</t>
  </si>
  <si>
    <t>Nhiều khách hàng muốn mở thẻ Visa để thanh toán tiện lợi hơn nhưng bị hạn chế về thời gian mà không rõ làm thẻ Visa mất bao lâu .</t>
  </si>
  <si>
    <t>Chưa có cụm anchor → thêm 1 câu ngay sau câu này, ví dụ: "Xem thêm: thẻ Eco." rồi gắn link vào cụm anchor.</t>
  </si>
  <si>
    <t>Vậy điểm tín dụng CIC là gì, điểm CIC bao nhiêu là tốt?</t>
  </si>
  <si>
    <t>Băn khoăn an toàn khi mở online → dẫn sang hướng dẫn mở. (Theo title/meta, chưa đọc bài.)</t>
  </si>
  <si>
    <t>tạo tài khoản ngân hàng</t>
  </si>
  <si>
    <t>4. Lời khuyên quản lý tài chính để tránh nợ nhóm 3</t>
  </si>
  <si>
    <t>Kiểm tra CIC định kỳ:</t>
  </si>
  <si>
    <t>4. Kiểm tra lịch sử tín dụng như thế nào?</t>
  </si>
  <si>
    <t>Truy cập website tra cứu CIC:</t>
  </si>
  <si>
    <t>Hỏi phí mở TK → nhu cầu kế tiếp là cách mở. Bài cach-mo-tai-khoan đã link sang bài này (chiều ngược lại). (Theo title/meta, chưa đọc bài.)</t>
  </si>
  <si>
    <t>5. Nợ chú ý khi nào hay bao lâu thì được xóa?</t>
  </si>
  <si>
    <t>Nợ chú ý khi nào được xóa khỏi hệ thống tín dụng là câu hỏi được nhiều khách hàng quan tâm.Theo quy định của CIC, nợ ch…</t>
  </si>
  <si>
    <t>1. Nợ nhóm 2 là gì?</t>
  </si>
  <si>
    <t>Người vay có thể tra cứu tình trạng nợ của mình bao gồm nhóm nợ, lịch sử thanh toán và điểm tín dụng thông qua website…</t>
  </si>
  <si>
    <t>3. Kiểm tra lịch sử tín dụng trước khi nộp hồ sơ</t>
  </si>
  <si>
    <t>&gt;&gt;&gt; Đọc thêm bài viết CIC là gì?</t>
  </si>
  <si>
    <t>Quy định số TK/CCCD; chèn ở đoạn hướng dẫn đăng ký thêm TK. (Theo title/meta, chưa đọc bài.)</t>
  </si>
  <si>
    <t>1. Kiểm tra nợ xấu trong 1 phút trên website CIC</t>
  </si>
  <si>
    <t>Đăng nhập vào website CIC và kiểm tra CIC cá nhân tại phần thông tin cá nhân</t>
  </si>
  <si>
    <t>3.1. Tra cứu qua website CIC</t>
  </si>
  <si>
    <t>3.1. Tra cứu nợ xấu qua website CIC</t>
  </si>
  <si>
    <t>5. Kiểm tra xếp hạng tín dụng ở đâu?</t>
  </si>
  <si>
    <t>Top app ngân hàng uy tín — anh em chủ đề, người đọc muốn biết ngân hàng nào uy tín. (Theo title/meta, chưa đọc bài.)</t>
  </si>
  <si>
    <t>2. Điều kiện vay không thế chấp doanh nghiệp</t>
  </si>
  <si>
    <t>Ngân hàng sử dụng điểm tín dụng (CIC) - một chỉ số đo lường độ uy tín và khả năng trả nợ của doanh nghiệp.</t>
  </si>
  <si>
    <t>1. Quá hạn thanh toán tín dụng 1 ngày có sao không?</t>
  </si>
  <si>
    <t>Khi chậm thanh toán dư nợ thẻ tín dụng, khách hàng sẽ bị hệ thống CIC liệt kê vào danh sách những khách hàng nợ quá hạn…</t>
  </si>
  <si>
    <t>Gửi tiền có an toàn không → chọn ngân hàng uy tín. (Theo title/meta, chưa đọc bài.)</t>
  </si>
  <si>
    <t>2. Nợ xấu làm thẻ Visa Credit được không?</t>
  </si>
  <si>
    <t>Đồng thời, lịch sử nợ của khách hàng phải được xoá khỏi hệ thống CIC (Trung tâm Thông tin Tín dụng) thì mới được xem xé…</t>
  </si>
  <si>
    <t>7. Giải đáp các thắc mắc khác về SPayLater</t>
  </si>
  <si>
    <t>Ngược lại, nếu thanh toán trễ, thông tin sẽ được cập nhật vào CIC, ảnh hưởng điểm tín dụng cá nhân.</t>
  </si>
  <si>
    <t>Có lịch sử tín dụng tốt, không có nợ xấu trên CIC và các hệ thống tín dụng khác</t>
  </si>
  <si>
    <t>Tiêu chí chọn ngân hàng — uy tín là một tiêu chí. (Theo title/meta, chưa đọc bài.)</t>
  </si>
  <si>
    <t>Hướng dẫn chuyển tiền — phần lưu ý/xử lý sự cố chèn được. (Theo title/meta, chưa đọc bài.)</t>
  </si>
  <si>
    <t>Chuyển liên ngân hàng là trường hợp hay bị chậm nhận tiền. (Theo title/meta, chưa đọc bài.)</t>
  </si>
  <si>
    <t>1.3. Phải chịu trách nhiệm pháp lý</t>
  </si>
  <si>
    <t>Đồng thời, khi trường hợp này xảy ra, thông tin khoản nợ của khách hàng sẽ bị chuyển thành nợ xấu trên hệ thống CIC, bị…</t>
  </si>
  <si>
    <t>Mã giao dịch dùng để tra soát khi chuyển thành công mà chưa nhận. (Theo title/meta, chưa đọc bài.)</t>
  </si>
  <si>
    <t>1. Thanh toán dư nợ đúng hạn và đầy đủ để có lịch sử t…</t>
  </si>
  <si>
    <t>Nếu thường xuyên thanh toán dư nợ đầy đủ và đúng hạn, điểm tín dụng tích lũy trên CIC của khách hàng sẽ tăng lên.</t>
  </si>
  <si>
    <t>2. Lời khuyên khi người vay thế chấp phát sinh nợ có v…</t>
  </si>
  <si>
    <t>Lịch sử thuộc các nhóm nợ có vấn đề của người vay (nếu có) lưu trữ trên cổng thông tin của Trung tâm Thông tin Tín Dụng…</t>
  </si>
  <si>
    <t>Sự cố chuyển tiền tương tự, người đọc quan tâm cả hai tình huống. (Theo title/meta, chưa đọc bài.)</t>
  </si>
  <si>
    <t>cách tiết kiệm tiền</t>
  </si>
  <si>
    <t>1. Vay tín chấp không trả được có sao không?</t>
  </si>
  <si>
    <t>Lịch sử thanh toán sẽ được cập nhật trên hệ thống CIC.</t>
  </si>
  <si>
    <t>Cách 1: Kiểm tra dư nợ tín dụng trên website của CIC</t>
  </si>
  <si>
    <t>Truy cập vào website của Trung tâm Thông tin Tín dụng Quốc gia (CIC):</t>
  </si>
  <si>
    <t>Sai thông tin ngân hàng thụ hưởng là một nguyên nhân không nhận được tiền. (Theo title/meta, chưa đọc bài.)</t>
  </si>
  <si>
    <t>2.8. Dư nợ quá hạn</t>
  </si>
  <si>
    <t>Dư nợ quá hạn là dấu hiệu cảnh báo rủi ro tín dụng, có thể ảnh hưởng trực tiếp đến điểm tín dụng cá nhân (CIC), cũng nh…</t>
  </si>
  <si>
    <t>3. Điều kiện để doanh nghiệp được cấp cam kết tín dụng</t>
  </si>
  <si>
    <t>Không có nợ xấu tại các tổ chức tín dụng (thông tin kiểm tra qua hệ thống CIC).</t>
  </si>
  <si>
    <t>5.1. Điều kiện vay hạn mức</t>
  </si>
  <si>
    <t>Không có dư nợ xấu trên hệ thống CIC (Trung tâm Tín dụng Quốc gia Việt Nam)</t>
  </si>
  <si>
    <t>2. 4 lợi ích khi vay trả góp</t>
  </si>
  <si>
    <t>Việc thanh toán đúng hạn mỗi tháng sẽ giúp bạn xây dựng lịch sử tín dụng tốt và cải thiện điểm tín dụng (CIC), qua đó t…</t>
  </si>
  <si>
    <t>Tài khoản cho con — phụ huynh cần biết quy định độ tuổi. (Theo title/meta, chưa đọc bài.)</t>
  </si>
  <si>
    <t>3. Quy trình xét duyệt vay vốn</t>
  </si>
  <si>
    <t>Khi xét duyệt khoản vay, ngân hàng sẽ đánh giá lịch sử điểm tín dụng (CIC) - chỉ số đánh giá độ uy tín và khả năng trả…</t>
  </si>
  <si>
    <t>1. Hạn mức thấu chi là gì?</t>
  </si>
  <si>
    <t>HSSV chọn thẻ — câu hỏi bao nhiêu tuổi được làm thẻ đi kèm. (Theo title/meta, chưa đọc bài.)</t>
  </si>
  <si>
    <t>Bạn có thể kiểm tra hạn mức thấu chi qua tài khoản được cấp trên ngân hàng số hoặc xem trên hợp đồng ký kết với ngân hà…</t>
  </si>
  <si>
    <t>Làm thẻ ATM; chèn ở mục điều kiện (độ tuổi). (Theo title/meta, chưa đọc bài.)</t>
  </si>
  <si>
    <t>2. Cách kiểm tra nợ xấu tín dụng trên hệ thống CIC</t>
  </si>
  <si>
    <t>Khi kiểm tra lịch sử tín dụng trên CIC, khách hàng sẽ biết được điểm tín dụng cá nhân và cấp độ nợ xấu của bản thân để…</t>
  </si>
  <si>
    <t>Thẻ Debit cho con — mở TK cho con dưới 18 tuổi là bước đi kèm. (Theo title/meta, chưa đọc bài.)</t>
  </si>
  <si>
    <t>1.2. Hướng dẫn kiểm tra nợ xấu</t>
  </si>
  <si>
    <t>Kiểm tra các khoản nợ xấu trên website của CIC</t>
  </si>
  <si>
    <t>1. Yêu cầu về hạn mức thẻ tín dụng khi thanh toán trả…</t>
  </si>
  <si>
    <t>Khách hàng có thể kiểm tra hạn mức thẻ tín dụng bằng một trong các cách sau:</t>
  </si>
  <si>
    <t>2. 5 yếu tố xác định hạn mức thẻ tín dụng</t>
  </si>
  <si>
    <t>Khi đăng ký làm thẻ tín dụng, ngân hàng sẽ tiến hành kiểm tra lịch sử tín dụng của khách hàng cùng với các yếu tố khác…</t>
  </si>
  <si>
    <t>Mở TK tiết kiệm cho con — liên quan trực tiếp. (Theo title/meta, chưa đọc bài.)</t>
  </si>
  <si>
    <t>3. Những lưu ý khi sử dụng top ngân hàng số doanh nghi…</t>
  </si>
  <si>
    <t>rủi ro khi gửi tiết kiệm online</t>
  </si>
  <si>
    <t>Kiểm tra điều khoản &amp; phí dịch vụ:</t>
  </si>
  <si>
    <t>3. Quy trình giải ngân của ngân hàng</t>
  </si>
  <si>
    <t>Kiểm tra và hoàn tất hồ sơ:</t>
  </si>
  <si>
    <t>2. 4 chức năng của thẻ ghi nợ quốc tế - Visa Debit</t>
  </si>
  <si>
    <t>Kiểm tra số dư trong thẻ:</t>
  </si>
  <si>
    <t>Mở TK online; chèn câu lưu ý cho người dưới 18 tuổi. (Theo title/meta, chưa đọc bài.)</t>
  </si>
  <si>
    <t>2. 5 bước mua trả góp Lazada bằng thẻ tín dụng</t>
  </si>
  <si>
    <t>Kiểm tra lại thông tin và hoàn tất thanh toán trên Lazada</t>
  </si>
  <si>
    <t>3.3. Hướng dẫn trả góp Shopee bằng SPayLater</t>
  </si>
  <si>
    <t>Kiểm tra lại thông tin đơn hàng, nhấn Đặt hàng</t>
  </si>
  <si>
    <t>2. Thanh toán trả góp thẻ tín dụng qua Mobile Banking</t>
  </si>
  <si>
    <t>Nhập số tiền tương ứng với yêu cầu trên màn hình &gt; Kiểm tra lại thông tin giao dịch &gt; Nhấn “ Hoàn tất ”.</t>
  </si>
  <si>
    <t>Máy CDM dùng để nộp tiền — một trong các cách nạp tiền vào TK. (Theo title/meta, chưa đọc bài.)</t>
  </si>
  <si>
    <t>3. Hướng dẫn sử dụng voucher TOUS les JOURS</t>
  </si>
  <si>
    <t>Khách hàng nên kiểm tra cửa hàng được áp dụng voucher trên Techcombank Mobile và app Techcombank OneU</t>
  </si>
  <si>
    <t>4. Thẻ Visa giao dịch thanh toán trực tuyến có cần mật…</t>
  </si>
  <si>
    <t>Bước 3 - Kiểm tra đơn hàng:</t>
  </si>
  <si>
    <t>Nạp tiền vào thẻ ghi nợ = nạp vào TK gắn thẻ. (Theo title/meta, chưa đọc bài.)</t>
  </si>
  <si>
    <t>2. Kích hoạt thẻ tín dụng Techcombank trực tiếp tại ph…</t>
  </si>
  <si>
    <t>Nếu khách hàng tự kích hoạt thẻ tín dụng qua Mobile Banking và không chắc chắn thẻ đã được kích hoạt hay chưa thì dưới…</t>
  </si>
  <si>
    <t>Hãy kiểm tra kỹ các thông tin trước khi xác nhận giao dịch.</t>
  </si>
  <si>
    <t>TK 0 đồng → giải pháp nạp thêm tiền. (Theo title/meta, chưa đọc bài.)</t>
  </si>
  <si>
    <t>3.2. Cách kiểm tra số tiền hoàn</t>
  </si>
  <si>
    <t>Tùy theo quy định của từng ngân hàng sẽ có cách thức kiểm tra số tiền hoàn khác nhau.</t>
  </si>
  <si>
    <t>5. Hướng dẫn 5 bước sang ngang thẻ tín dụng</t>
  </si>
  <si>
    <t>Ngân hàng kiểm tra các điều kiện để đáp ứng các yêu cầu nội bộ như:</t>
  </si>
  <si>
    <t>1.1. Thanh toán online qua website mua sắm điện tử</t>
  </si>
  <si>
    <t>Khách hàng sau khi quẹt thẻ online cần chú ý đến thời gian giao hàng và thường xuyên kiểm tra số điện thoại đã đăng ký…</t>
  </si>
  <si>
    <t>3. Cách làm thẻ tín dụng ảo/phi vật lý</t>
  </si>
  <si>
    <t>Kiểm tra điều kiện đăng ký thẻ tín dụng của ngân hàng.</t>
  </si>
  <si>
    <t>Tìm ATM/CDM gần đây để nộp tiền. (Theo title/meta, chưa đọc bài.)</t>
  </si>
  <si>
    <t>3. Thanh toán bằng thẻ tín dụng có cần mã PIN không?</t>
  </si>
  <si>
    <t>Khi lựa chọn thanh toán bằng hình thức này, khách hàng nên theo sát quá trình nhân viên quẹt thẻ, không để thẻ xa tầm m…</t>
  </si>
  <si>
    <t>3. Chi phí và các thông tin cần biết khi làm lại thẻ t…</t>
  </si>
  <si>
    <t>Sau khi nhận được thẻ tín dụng mới, khách hàng cần tiến hành kiểm tra thông tin thẻ tín dụng ngay tại ngân hàng, bao gồ…</t>
  </si>
  <si>
    <t>công cụ tính lãi vay</t>
  </si>
  <si>
    <t>Mỗi cuối tuần hoặc cuối tháng, bạn nên kiểm tra báo cáo tổng hợp của ứng dụng để:</t>
  </si>
  <si>
    <t>Sao kê lương là một dạng sao kê TK — dẫn sang hướng dẫn sao kê chung. (Theo title/meta, chưa đọc bài.)</t>
  </si>
  <si>
    <t>3. Hướng dẫn sử dụng voucher Highlands</t>
  </si>
  <si>
    <t>Khách hàng nên kiểm tra cửa hàng được áp dụng voucher trên Techcombank Mobile</t>
  </si>
  <si>
    <t>1. Điều kiện mở thẻ tín dụng</t>
  </si>
  <si>
    <t>Cách kiểm tra và cách tăng điểm tín dụng</t>
  </si>
  <si>
    <t>4. 5 Cách tận dụng tối đa thời gian miễn lãi 55 ngày</t>
  </si>
  <si>
    <t>Kiểm tra lịch sử giao dịch và khả năng chi trả để quản lý chi tiêu hiệu quả, tránh tình trạng chi tiêu quá tay gây ảnh…</t>
  </si>
  <si>
    <t>Bài anh em cho DN; chèn câu dẫn cho TK cá nhân. (Theo title/meta, chưa đọc bài.)</t>
  </si>
  <si>
    <t>2.4. Nhóm đặc quyền bảo vệ tài sản</t>
  </si>
  <si>
    <t>Quyền lợi chăm sóc sức khỏe, kiểm tra sức khỏe hoặc dịch vụ y tế cao cấp.</t>
  </si>
  <si>
    <t>4. 5 lợi ích khi sử dụng thẻ tín dụng là gì?</t>
  </si>
  <si>
    <t>Mọi chi tiêu bằng thẻ tín dụng đều được ghi lại vào bảng sao kê, nên chủ thẻ có thể dễ dàng kiểm tra lại và quản lý dòn…</t>
  </si>
  <si>
    <t>2. Hướng dẫn cách huỷ thẻ tín dụng chỉ với 3 bước</t>
  </si>
  <si>
    <t>Giao dịch viên kiểm tra tình trạng thanh toán dư nợ thẻ tín dụng của chủ thẻ</t>
  </si>
  <si>
    <t>4. Kinh nghiệm giúp chuyển tiền Hàn sang Việt Nam</t>
  </si>
  <si>
    <t>Kiểm tra thông tin người nhận và lưu biên lai</t>
  </si>
  <si>
    <t>Hồ sơ vay qua lương cần sao kê TK. (Theo title/meta, chưa đọc bài.)</t>
  </si>
  <si>
    <t>4. Cần lưu ý gì khi tự in mã QR ngân hàng ra giấy?</t>
  </si>
  <si>
    <t>Kiểm tra chất lượng mã QR sau khi in để đảm bảo khả năng thanh toán.</t>
  </si>
  <si>
    <t>4.1. Mở thẻ tín dụng trực tuyến qua Techcombank Mobile</t>
  </si>
  <si>
    <t>Kiểm tra thông tin mở thẻ, ấn Xác nhận</t>
  </si>
  <si>
    <t>2. Hướng dẫn gửi tiền du học trên Techcombank</t>
  </si>
  <si>
    <t>Lựa chọn loại ngoại tệ, kiểm tra hạn mức được chuyển và điền số tiền bạn muốn chuyển, kiểm tra tỷ giá ưu đãi</t>
  </si>
  <si>
    <t>2.2. Hướng dẫn dành cho khách hàng chủ hộ kinh doanh</t>
  </si>
  <si>
    <t>Chọn Lĩnh vực kinh doanh , kiểm tra lại thông tin đăng ký và tiến hành Xác thực để hoàn tất đăng ký mã QR cửa hàng</t>
  </si>
  <si>
    <t>3.2. Hiểu đúng về tỷ giá hối đoái và phí chuyển tiền</t>
  </si>
  <si>
    <t>Hãy kiểm tra kỹ biểu phí tại ngân hàng ở Mỹ trước khi thực hiện lệnh giao dịch.</t>
  </si>
  <si>
    <t>4. Thanh toán quảng cáo Facebook với ưu đãi hấp dẫn tạ…</t>
  </si>
  <si>
    <t>Thanh toán không chạm tại các cửa hàng khi liên kết thẻ với Apple Pay/Google Pay/Samsung Pay, kiểm tra tài khoản ngân h…</t>
  </si>
  <si>
    <t>1. Blockchain là gì?</t>
  </si>
  <si>
    <t>Ý nghĩa số 88 — một dãy số phát lộc; dẫn sang bài tổng hợp. (Theo title/meta, chưa đọc bài.)</t>
  </si>
  <si>
    <t>Điều này cho phép người dùng dễ dàng truy cập và kiểm tra thông tin của mình một cách an toàn và minh bạch.</t>
  </si>
  <si>
    <t>4. Giải đáp thắc mắc khác về cách viết tắt ngày, tháng…</t>
  </si>
  <si>
    <t>Việc hiểu đúng và kiểm tra thường xuyên thông tin này sẽ giúp bạn sử dụng thẻ thuận tiện, tránh bị gián đoạn trong các…</t>
  </si>
  <si>
    <t>3. Điều kiện đăng ký tín dụng doanh nghiệp</t>
  </si>
  <si>
    <t>Quá trình này bao gồm việc kiểm tra tính chính xác của các thông tin cung cấp và đánh giá khả năng tài chính của doanh…</t>
  </si>
  <si>
    <t>Ý nghĩa 6868 — cùng chủ đề con số lộc phát. (Theo title/meta, chưa đọc bài.)</t>
  </si>
  <si>
    <t>công cụ tính lãi tiết kiệm</t>
  </si>
  <si>
    <t>Hãy truy cập Techcombank Mobile để kiểm tra voucher đang áp dụng, đổi ưu đãi và sử dụng trong thời hạn quy định.</t>
  </si>
  <si>
    <t>1. Sai thông tin người thụ hưởng</t>
  </si>
  <si>
    <t>Người dùng có thể gặp sai sót tại bước nhập số tài khoản và không kiểm tra lại thông tin tên người thụ hưởng trước khi…</t>
  </si>
  <si>
    <t>Gợi ý dãy số TK đẹp phát tài phát lộc — sát chủ đề. (Theo title/meta, chưa đọc bài.)</t>
  </si>
  <si>
    <t>1. Thanh toán quốc tế là gì?</t>
  </si>
  <si>
    <t>chứng từ thanh toán có thể được lập bằng nhiều ngôn ngữ, nhưng tiếng Anh thường được sử dụng phổ biến trong các giao dị…</t>
  </si>
  <si>
    <t>Kiểm tra thông tin nhận thẻ và chọn Xác nhận để hoàn tất</t>
  </si>
  <si>
    <t>Cách chọn số TK phát tài — dẫn sang danh sách dãy số. (Theo title/meta, chưa đọc bài.)</t>
  </si>
  <si>
    <t>4. Kinh nghiệm mua bán và bảo quản trang sức vàng 14K</t>
  </si>
  <si>
    <t>Kiểm tra thông tin đơn vị bán, đối chiếu tên người nhận trước khi chuyển khoản và lưu lại chứng từ giao dịch.</t>
  </si>
  <si>
    <t>Chờ máy đếm tiền &gt; Kiểm tra số tiền đúng với số đã nộp &gt; Bấm Xác nhận để hoàn tất nộp tiền.</t>
  </si>
  <si>
    <t>Lì xì số đẹp phát tài — chèn ở đoạn ý nghĩa con số. (Theo title/meta, chưa đọc bài.)</t>
  </si>
  <si>
    <t>5. Những lưu ý quan trọng trước khi mua nhà trả góp đư…</t>
  </si>
  <si>
    <t>Với nhà ở hoặc công trình hình thành trong tương lai, người mua cần kiểm tra điều kiện mở bán, quy định đặt cọc và tiến…</t>
  </si>
  <si>
    <t>1. Hộ chiếu và giấy tờ cá nhân</t>
  </si>
  <si>
    <t>Do đó, việc kiểm tra kỹ lưỡng là vô cùng cần thiết.</t>
  </si>
  <si>
    <t>Tuy nhiên, bạn nên kiểm tra lại trước khi thực hiện bước tiếp theo</t>
  </si>
  <si>
    <t>3. Lỗi do người dùng khi thanh toán thẻ Visa</t>
  </si>
  <si>
    <t>Nhập lại và kiểm tra thông tin trước khi giao dịch.</t>
  </si>
  <si>
    <t>Tra cứu nợ thuế TNCN — cùng nhóm tra cứu. (Theo title/meta, chưa đọc bài.)</t>
  </si>
  <si>
    <t>3. Cách lập kế hoạch tài chính với phương pháp 6 chiếc…</t>
  </si>
  <si>
    <t>Sử dụng Google Calendar hoặc các ứng dụng tương tự như Evernote hoặc Notion để thiết lập lịch kiểm tra tài chính định k…</t>
  </si>
  <si>
    <t>Có MST rồi thì kiểm tra thuế TNCN theo MST. (Theo title/meta, chưa đọc bài.)</t>
  </si>
  <si>
    <t>2.1. Cách tạo thẻ Visa Debit vật lý và phi vật lý</t>
  </si>
  <si>
    <t>Nhập Địa chỉ nhận thẻ, kiểm tra địa chỉ trước khi Xác nhận , đọc lưu ý và kiểm tra lại thông tin, Xác thực khuôn mặt/dấ…</t>
  </si>
  <si>
    <t>eTax Mobile là kênh kiểm tra thuế TNCN. (Theo title/meta, chưa đọc bài.)</t>
  </si>
  <si>
    <t>1. Đặt vé máy bay tại website hãng hàng không</t>
  </si>
  <si>
    <t>Kiểm tra thông tin chuyến bay và ấn Tiếp tục/Đăng nhập và tiếp tục</t>
  </si>
  <si>
    <t>4. Quy trình trong giao dịch chuyển tiền thanh toán qu…</t>
  </si>
  <si>
    <t>Sau khi kiểm tra chứng từ hoặc hàng hóa, nếu đồng ý thanh toán, nhà nhập khẩu gửi lệnh chuyển tiền (bằng M/T hoặc T/T)…</t>
  </si>
  <si>
    <t>Trước khi hoàn thuế cần kiểm tra số thuế đã nộp. (Theo title/meta, chưa đọc bài.)</t>
  </si>
  <si>
    <t>Tiếp tục chọn Lĩnh vực kinh doanh của cửa hàng, Kiểm tra thông tin cửa hàng bao gồm tên cửa hàng, tài khoản liên kết, c…</t>
  </si>
  <si>
    <t>Kiểm tra số thuế đã khấu trừ trước khi quyết toán. (Theo title/meta, chưa đọc bài.)</t>
  </si>
  <si>
    <t>2.2. Dùng thẻ Visa để thanh toán hóa đơn quốc tế online</t>
  </si>
  <si>
    <t>Sau khi chọn được sản phẩm ưng ý, khách hàng điền thông tin sản phẩm &gt; Kiểm tra lại danh sách sản phẩm &gt; Chọn Thêm địa…</t>
  </si>
  <si>
    <t>5. Lưu ý khi vay 15 triệu online</t>
  </si>
  <si>
    <t>Để cập nhật chính xác nhất, hãy kiểm tra tại techcombank.com hoặc liên hệ hotline 1800 588822 trước khi đăng ký</t>
  </si>
  <si>
    <t>3. Hướng dẫn chuyển tiền quốc tế trên Techcombank Mobi…</t>
  </si>
  <si>
    <t>Chủ cửa hàng có thể theo dõi trạng thái QR giao dịch, kiểm tra đơn hàng tương ứng đã thanh toán/khả dụng/hết hạn, từ đó…</t>
  </si>
  <si>
    <t>5.2. Trên hợp đồng bảo hiểm xe ô tô cần quan tâm đến n…</t>
  </si>
  <si>
    <t>Kiểm tra xem giá trị xe được bảo hiểm và tỷ lệ phí có đúng như thỏa thuận ban đầu hay không</t>
  </si>
  <si>
    <t>3. Nộp hồ sơ và chờ kết quả xét duyệt</t>
  </si>
  <si>
    <t>Sau khi nộp hồ sơ, bạn sẽ chờ ngân hàng/công ty tài chính kiểm tra và xác định các thông tin cơ bản bao gồm:</t>
  </si>
  <si>
    <t>Mật khẩu đi cùng tên đăng nhập — bài anh em trực tiếp. (Theo title/meta, chưa đọc bài.)</t>
  </si>
  <si>
    <t>2. Thủ tục mở tài khoản ngân hàng - Cần giấy tờ gì?</t>
  </si>
  <si>
    <t>Kiểm tra, chú ý đến các yêu cầu và hướng dẫn cụ thể từ ngân hàng để đảm bảo thủ tục mở tài khoản được thực hiện đúng qu…</t>
  </si>
  <si>
    <t>2. 5 lưu ý cần kiểm tra trước khi chọn mua bảo hiểm sứ…</t>
  </si>
  <si>
    <t>Trước khi tham gia bảo hiểm sức khỏe bổ sung (hay bảo hiểm sức khỏe bù đắp viện phí), người tham gia nên kiểm tra kỹ cá…</t>
  </si>
  <si>
    <t>https://techcombank.com/thong-tin/blog/internet-banking</t>
  </si>
  <si>
    <t>1.2.1. Với mặt trước của séc</t>
  </si>
  <si>
    <t>Ngân hàng sẽ kiểm tra các thông tin quan trọng trên phần này để trích tiền từ tài khoản của bạn.</t>
  </si>
  <si>
    <t>Bên nhận thế chấp</t>
  </si>
  <si>
    <t>Kiểm tra tài sản thế chấp mà không gây cản trở việc sử dụng tài sản của bên thế chấp.</t>
  </si>
  <si>
    <t>1. Quy định chuyển đổi tài khoản thu phí hiện tại sang…</t>
  </si>
  <si>
    <t>Kiểm tra số dư, lịch sử giao dịch minh bạch, tiện lợi</t>
  </si>
  <si>
    <t>5. Lưu ý khi sử dụng tài khoản thanh toán</t>
  </si>
  <si>
    <t>Đăng nhập Internet Banking cần tên đăng nhập. (Theo title/meta, chưa đọc bài.)</t>
  </si>
  <si>
    <t>Kiểm tra số dư tài khoản thường xuyên và thông báo biến động số dư, liên hệ ngay ngân hàng khi có giao dịch lạ</t>
  </si>
  <si>
    <t>2.2. Cân nhắc tổng thể chi phí giao dịch</t>
  </si>
  <si>
    <t>Đừng quên kiểm tra và so sánh tỷ giá bán ra tại thời điểm thực hiện giao dịch để chọn được thời điểm giao dịch có lợi c…</t>
  </si>
  <si>
    <t>2.2. Bước 2 – Kiểm tra tỷ giá và phí chuyển đổi</t>
  </si>
  <si>
    <t>Trước khi giao dịch, người mua nên kiểm tra tỷ giá USD/VND và các loại phí liên quan.</t>
  </si>
  <si>
    <t>Nếu đăng nhập bị lỗi, bạn có thể kiểm tra lại thông tin đăng nhập của mình hoặc liên hệ ngay tới hotline của Techcomban…</t>
  </si>
  <si>
    <t>1.1. Thẻ thanh toán (thẻ ghi nợ) &amp; thẻ tín dụng quốc tế</t>
  </si>
  <si>
    <t>Du khách nên kiểm tra biểu tượng Visa, Mastercard hoặc JCB tại quầy trước khi thanh toán.</t>
  </si>
  <si>
    <t>7. Lưu ý khi giao dịch liên quan đến tỷ giá hối đoái</t>
  </si>
  <si>
    <t>Kiểm tra các loại phí liên quan:</t>
  </si>
  <si>
    <t>Tình trạng giao dịch được thông báo về thiết bị ngay khi giao dịch thành công, người nhận kiểm tra số tiền ngay trên ứn…</t>
  </si>
  <si>
    <t>2. Vấn đề có thể gặp phải khi tài khoản ngân hàng dưới…</t>
  </si>
  <si>
    <t>Bảo vệ TK — giữ bí mật tên đăng nhập/mật khẩu. (Theo title/meta, chưa đọc bài.)</t>
  </si>
  <si>
    <t>Vì thế, bạn cần kiểm tra kỹ thông tin quy định của ngân hàng để lưu ý trong quá trình sử dụng.</t>
  </si>
  <si>
    <t>Đối với hộ kinh doanh, việc truy thu thuế thường phát sinh khi cơ quan thuế kiểm tra, thanh tra hoặc đối chiếu dữ liệu…</t>
  </si>
  <si>
    <t>Kiểm tra kỹ thông tin:</t>
  </si>
  <si>
    <t>Đăng nhập + OTP; chèn ở đoạn bước đăng nhập. (Theo title/meta, chưa đọc bài.)</t>
  </si>
  <si>
    <t>4.1. Nguyên tắc sử dụng</t>
  </si>
  <si>
    <t>Kiểm tra các thông tin được in trên thẻ ngay sau khi nhận thẻ vật lý từ ngân hàng .</t>
  </si>
  <si>
    <t>2. Cấu trúc mã IBAN</t>
  </si>
  <si>
    <t>Mã kiểm tra (2 ký tự):</t>
  </si>
  <si>
    <t>2.3. Cách 3: Thanh toán quảng cáo TikTok với ví điện tử</t>
  </si>
  <si>
    <t>Kiểm tra thông tin thanh toán tại màn hình thanh toán an toàn → Nhấp Xác nhận</t>
  </si>
  <si>
    <t>Mất SĐT ảnh hưởng lấy lại thông tin đăng nhập. (Theo title/meta, chưa đọc bài.)</t>
  </si>
  <si>
    <t>Sao kê tài khoản ngân hàng giúp bạn kiểm tra và xác nhận tính toàn vẹn của các giao dịch thanh toán.</t>
  </si>
  <si>
    <t>1. Cách nạp thẻ cào Viettel trả trước, trả sau</t>
  </si>
  <si>
    <t>Sau khi nạp tiền, bạn có thể kiểm tra số dư tài khoản bằng cách bấm cú pháp *101# và nhấn Gọi.</t>
  </si>
  <si>
    <t>4. Lưu ý khi sử dụng thẻ ngân hàng</t>
  </si>
  <si>
    <t>Kiểm tra thông tin trước giao dịch:</t>
  </si>
  <si>
    <t>Hỏi tiền vào TK có bị tính thuế — liên quan trực tiếp thuế TNCN. (Theo title/meta, chưa đọc bài.)</t>
  </si>
  <si>
    <t>2. Bảo hiểm sức khỏe cao cấp Global Prime</t>
  </si>
  <si>
    <t>Mở rộng quyền lợi kiểm tra sức khỏe định kỳ, tiêm vacxin</t>
  </si>
  <si>
    <t>3. WACC được ứng dụng như thế nào trong đầu tư và quản…</t>
  </si>
  <si>
    <t>Doanh nghiệp có thể dùng chỉ tiêu này để thẩm định dự án, định giá dòng tiền, xem xét hiệu quả sử dụng vốn và nhận diện…</t>
  </si>
  <si>
    <t>Nợ thuế TNCN — người đọc cần hiểu thuế TNCN là gì. (Theo title/meta, chưa đọc bài.)</t>
  </si>
  <si>
    <t>2.3. Quản lý nhà nước và các hành vi bị cấm</t>
  </si>
  <si>
    <t>ban hành chính sách phát triển TMĐT, xây dựng và vận hành hệ thống quản lý hoạt động TMĐT, kiểm tra và xử lý vi phạm, h…</t>
  </si>
  <si>
    <t>4. Lưu ý khi sử dụng thẻ NAPAS</t>
  </si>
  <si>
    <t>Kiểm tra số dư thường xuyên để phát hiện sớm các giao dịch bất thường</t>
  </si>
  <si>
    <t>6. Nạp thẻ VinaPhone trả trước, trả sau bằng ví điện t…</t>
  </si>
  <si>
    <t>Kiểm tra lại thông tin và nhấn Xác nhận</t>
  </si>
  <si>
    <t>2. 8 đặc sản Nha Trang nên mua về làm quà</t>
  </si>
  <si>
    <t>Nên kiểm tra kỹ hạn sử dụng, nguồn gốc xuất xứ và quy cách đóng gói trước khi mua</t>
  </si>
  <si>
    <t>6. 3 lưu ý khi sử dụng thẻ ghi nợ</t>
  </si>
  <si>
    <t>Kiểm tra hạn mức chi tiêu thẻ :</t>
  </si>
  <si>
    <t>Bài anh em — người đọc cần hướng dẫn rút tiền QR cơ bản. (Theo title/meta, chưa đọc bài.)</t>
  </si>
  <si>
    <t>Truy cập ứng dụng VNeID và tiến hành đăng nhập theo thông báo trên màn hình, kiểm tra thông tin và nhấn Xác nhận chia s…</t>
  </si>
  <si>
    <t>4.1. Quy trình gửi tiền tiết kiệm tại quầy</t>
  </si>
  <si>
    <t>Bạn nên kiểm tra lại thông tin sổ/thẻ tiết kiệm và các chứng từ giao dịch để đảm bảo chính xác thông tin.</t>
  </si>
  <si>
    <t>Các cách rút tiền ATM — QR là một cách. (Theo title/meta, chưa đọc bài.)</t>
  </si>
  <si>
    <t>Đọc ngay bài viết dưới đây để hiểu khái niệm, vai trò, cách kiểm tra mã PIN của thẻ ngân hàng và cách đổi mã PIN thẻ AT…</t>
  </si>
  <si>
    <t>5. Kinh nghiệm mua bảo hiểm sức khỏe phù hợp</t>
  </si>
  <si>
    <t>Kiểm tra các quyền lợi mở rộng như thai sản, nha khoa, bệnh hiểm nghèo hoặc tai nạn</t>
  </si>
  <si>
    <t>Thẻ lỗi không rút được → giải pháp rút bằng QR. (Theo title/meta, chưa đọc bài.)</t>
  </si>
  <si>
    <t>Qua SMS Banking, khách hàng có thể dễ dàng kiểm tra các thông tin sau:</t>
  </si>
  <si>
    <t>2. Quy định về ngừng chấp nhận giao dịch thẻ ATM từ tr…</t>
  </si>
  <si>
    <t>Các ngân hàng đang khuyến cáo khách hàng chủ động kiểm tra lại loại thẻ ATM mình đang sử dụng.</t>
  </si>
  <si>
    <t>Bị nuốt thẻ → vẫn rút được tiền bằng QR. (Theo title/meta, chưa đọc bài.)</t>
  </si>
  <si>
    <t>2. Hạn mức vay thế chấp sổ đỏ không chỉ dựa trên tài s…</t>
  </si>
  <si>
    <t>Để được tư vấn cụ thể về hạn mức vay thông thường hay sổ đỏ hộ gia đình có vay thế chấp được không cũng như các tiêu ch…</t>
  </si>
  <si>
    <t>6. Duy trì lịch sử tín dụng tốt</t>
  </si>
  <si>
    <t>Tìm ATM; chèn ở đoạn ATM hỗ trợ rút QR. (Theo title/meta, chưa đọc bài.)</t>
  </si>
  <si>
    <t>Để đánh giá được mức độ uy tín của từng khách hàng, các ngân hàng sẽ tra cứu thông tin về lịch sử tín dụng trên Trung t…</t>
  </si>
  <si>
    <t>3. Lấy sao kê thẻ tín dụng ở đâu?</t>
  </si>
  <si>
    <t>Lấy sao kê thẻ tín dụng trên ứng dụng ngân hàng số, tiện lợi, có thể tra cứu 24/7, hoàn toàn có thể tải bản PDF</t>
  </si>
  <si>
    <t>1. Lợi ích của việc thanh toán tiền Internet online</t>
  </si>
  <si>
    <t>Bạn có thể tra cứu lịch sử thanh toán, lập kế hoạch chi tiêu cho các hóa đơn hàng tháng.</t>
  </si>
  <si>
    <t>2.2. Thanh toán cước qua trang website/app các kênh tr…</t>
  </si>
  <si>
    <t>Hầu hết các đơn vị truyền hình như K+, VTVCab, SCTV, hay VNPT MyTV đều đã phát triển nền tảng website và ứng dụng riêng…</t>
  </si>
  <si>
    <t>Xác thực sinh trắc học yêu cầu quét NFC chip CCCD. (Theo title/meta, chưa đọc bài.)</t>
  </si>
  <si>
    <t>3. Cách kiểm tra đầy đủ số thẻ tín dụng, số CVV/CVC</t>
  </si>
  <si>
    <t>Khách hàng có thể tra cứu thông tin thẻ trên Mobile Banking.</t>
  </si>
  <si>
    <t>2. Cách đăng ký sử dụng Merchant Portal Techcombank</t>
  </si>
  <si>
    <t>Khách hàng có thể tra cứu danh sách các phòng giao dịch, chi nhánh Techcombank gần nhất tại đây.</t>
  </si>
  <si>
    <t>2. Lợi ích khi sử dụng SoftPOS</t>
  </si>
  <si>
    <t>Liên kết VNeID cần quét chip CCCD. (Theo title/meta, chưa đọc bài.)</t>
  </si>
  <si>
    <t>Chủ cửa hàng có thể theo dõi doanh thu, tra cứu lịch sử giao dịch, tra cứu thông tin giao dịch… chỉ với vài thao tác đơ…</t>
  </si>
  <si>
    <t>2. Hình thức phát hành bảo lãnh thực hiện hợp đồng</t>
  </si>
  <si>
    <t>Doanh nghiệp có thể yêu cầu cấp bảo lãnh qua các kênh điện tử , tiện lợi trong việc tiếp nhận, tra cứu và lưu trữ hồ sơ.</t>
  </si>
  <si>
    <t>5.3. Che mã CVV2/CVC2 trên thẻ</t>
  </si>
  <si>
    <t>eKYC dùng NFC CCCD để định danh. (Theo title/meta, chưa đọc bài.)</t>
  </si>
  <si>
    <t>Để tra cứu mã CVV2/CVC2 thẻ, bạn sẽ cần truy cập mục Quản lý thẻ trên Mobile Banking.</t>
  </si>
  <si>
    <t>Dùng thẻ để tra cứu số dư, lịch sử giao dịch và thông tin tài khoản ngay tại máy</t>
  </si>
  <si>
    <t>kiểm tra nợ xấu</t>
  </si>
  <si>
    <t>2. Thủ tục mở lại tài khoản ngân hàng bị khóa tại chi…</t>
  </si>
  <si>
    <t>Sau khi hoàn tất thủ tục, bạn có thể tra cứu thêm mã qr techcombank ở đâu để sử dụng các tiện ích ngân hàng điện tử hiệ…</t>
  </si>
  <si>
    <t>Định danh mức 2 cần quét CCCD gắn chip. (Theo title/meta, chưa đọc bài.)</t>
  </si>
  <si>
    <t>Trong bài viết này, hãy cùng tìm hiểu định nghĩa, cấu trúc, chức năng và cách tra cứu mã SWIFT/BIC ngân hàng nhanh chón…</t>
  </si>
  <si>
    <t>3. Tra cứu mã MCC ở đâu?</t>
  </si>
  <si>
    <t>Khách hàng có thể tra cứu mã MCC (Merchant Category Code) bằng nhiều cách khác nhau, tùy theo nhu cầu và kênh sử dụng:</t>
  </si>
  <si>
    <t>Mở TK online có bước quét NFC CCCD. (Theo title/meta, chưa đọc bài.)</t>
  </si>
  <si>
    <t>4. Cách tra cứu số thẻ Visa khi không có thẻ</t>
  </si>
  <si>
    <t>Số thẻ Visa được dùng để tra cứu nhanh số dư khả dụng của thẻ và chuyển tiền vào thẻ.</t>
  </si>
  <si>
    <t>6. Hướng dẫn cách tìm cửa hàng tiện lợi gần nhất trên…</t>
  </si>
  <si>
    <t>Cách tra cứu cửa hàng tiện lợi gần bạn nhất trên bản đồ.</t>
  </si>
  <si>
    <t>2. Thanh toán tiền điện bằng ứng dụng EVN</t>
  </si>
  <si>
    <t>Hiện nay, Tập đoàn Điện lực Việt Nam (EVN) đã triển khai các ứng dụng chăm sóc khách hàng theo từng khu vực để giúp ngư…</t>
  </si>
  <si>
    <t>3. Cách xử lý khi quên tên đăng nhập vào tài khoản ngâ…</t>
  </si>
  <si>
    <t>Tra cứu tên đăng nhập trên Mobile Banking</t>
  </si>
  <si>
    <t>3.1. Hướng dẫn tra cứu vé máy bay</t>
  </si>
  <si>
    <t>Sau khi thanh toán thành công, việc tra cứu và kiểm tra vé máy bay là rất quan trọng.</t>
  </si>
  <si>
    <t>Bài dấu chân carbon nhắc lợi ích xanh của thẻ Visa Eco. (Theo title/meta, chưa đọc bài.)</t>
  </si>
  <si>
    <t>3. Số thẻ ngân hàng nằm ở đâu?</t>
  </si>
  <si>
    <t>Chuyển đổi sang</t>
  </si>
  <si>
    <t>&gt;&gt;&gt; Để theo dõi tỷ giá chính xác và cập nhật, bạn có thể tra cứu trực tiếp trên trang tỷ giá Techcombank .</t>
  </si>
  <si>
    <t>Nên tra cứu lịch và suất chiếu trên website hoặc ứng dụng của rạp để tránh hết vé, đặc biệt vào các khung “giờ vàng”, c…</t>
  </si>
  <si>
    <t>Điểm danh sản phẩm xanh ngành ngân hàng — Eco Card là ví dụ. (Theo title/meta, chưa đọc bài.)</t>
  </si>
  <si>
    <t>4. Làm thế nào để cập nhật tỷ giá Yên Nhật (JPY/VND) c…</t>
  </si>
  <si>
    <t>Bạn có thể tra cứu trực tiếp trên website hoặc qua ứng dụng ngân hàng điện tử.</t>
  </si>
  <si>
    <t>https://techcombank.com/thong-tin/blog/xu-huong-song-xanh</t>
  </si>
  <si>
    <t>2.5. Loa bán hàng</t>
  </si>
  <si>
    <t>Với Loa bán hàng, Merchant có thể nhận thông báo tiền về ngay lập tức, quản lý giao dịch hiệu quả mà không cần tra cứu…</t>
  </si>
  <si>
    <t>1.3. Điều kiện về ngành, nghề kinh doanh khi thành lập…</t>
  </si>
  <si>
    <t>Để tra cứu nhanh chóng và chính xác danh mục ngành nghề kinh doanh có điều kiện, bạn có thể thực hiện theo các bước sau:</t>
  </si>
  <si>
    <t>2.1. Đổi đô la Hồng Kông tại các ngân hàng uy tín</t>
  </si>
  <si>
    <t>Lối sống xanh → thẻ xanh. (Theo title/meta, chưa đọc bài.)</t>
  </si>
  <si>
    <t>Ngân hàng công khai tỷ giá mua – bán tại quầy, trên website và các kênh số để khách hàng thuận tiện tra cứu.</t>
  </si>
  <si>
    <t>2.2. Kiểm tra tỷ giá và phí giao dịch quốc tế trước kh…</t>
  </si>
  <si>
    <t>Để chủ động kiểm soát chi phí và tối ưu ngân sách chi tiêu, bạn nên chủ động tra cứu trước tỷ giá quy đổi cùng biểu phí…</t>
  </si>
  <si>
    <t>Thẻ Visa Debit — Eco Card là một loại Visa Debit. (Theo title/meta, chưa đọc bài.)</t>
  </si>
  <si>
    <t>4. Nạp thẻ MobiFone trả trước, trả sau qua ứng dụng My…</t>
  </si>
  <si>
    <t>Ngoài tính năng nạp tiền, My MobiFone còn hỗ trợ người dùng tra cứu cước, kiểm tra lưu lượng data, đăng ký các gói khuy…</t>
  </si>
  <si>
    <t>2.2. Thông tin trên thẻ ATM</t>
  </si>
  <si>
    <t>Cả hai kênh đều cho phép tra cứu thuế cá nhân online miễn phí và trả kết quả ngay tại thời điểm thao tác;</t>
  </si>
  <si>
    <t>Điểm tín dụng CIC — cần hiểu CIC là gì. (Theo title/meta, chưa đọc bài.)</t>
  </si>
  <si>
    <t>nên vay tín chấp ở đâu</t>
  </si>
  <si>
    <t>2. Hướng dẫn 3 cách kiểm tra mã số thuế doanh nghiệp n…</t>
  </si>
  <si>
    <t>Bạn có thể dễ dàng kiểm tra hay tra cứu mã số thuế doanh nghiệp trực tuyến hoàn toàn miễn phí thông qua 3 kênh chính th…</t>
  </si>
  <si>
    <t>2. Kiểm tra bằng dịch vụ Mobile Banking</t>
  </si>
  <si>
    <t>Khách hàng có thể tra cứu hạn mức thẻ tín dụng mọi lúc mọi nơi, nhanh chóng và miễn phí qua Mobile Banking.</t>
  </si>
  <si>
    <t>Lịch sử tín dụng lưu tại CIC. (Theo title/meta, chưa đọc bài.)</t>
  </si>
  <si>
    <t>CIC</t>
  </si>
  <si>
    <t>Trong bài viết này, hãy cùng tìm hiểu về phí thường niên, thời điểm phát sinh, cách tra cứu và một số tips để miễn phí…</t>
  </si>
  <si>
    <t>Hiện nay, có nhiều khách hàng lầm tưởng rằng rút tiền thẻ tín dụng không mất phí, lạm dụng rút tiền từ thẻ tín dụng dẫn…</t>
  </si>
  <si>
    <t>Nợ nhóm 3 bao lâu xóa trên CIC. (Theo title/meta, chưa đọc bài.)</t>
  </si>
  <si>
    <t>Trung tâm Thông tin Tín dụng (CIC)</t>
  </si>
  <si>
    <t>1. Thẻ Visa có rút được tiền không?</t>
  </si>
  <si>
    <t>Tùy từng ngân hàng và loại thẻ Visa Credit mà hạn mức rút tiền mặt có thể dao động từ 50% - 80% tổng hạn mức tín dụng.</t>
  </si>
  <si>
    <t>Thẻ tín dụng có nhiều tính năng tương đương thẻ thanh toán như thanh toán trực tuyến, quẹt thẻ thanh toán trực tiếp, rú…</t>
  </si>
  <si>
    <t>…hẻ tín dụng để rút tiền mặt, bạn cũng cần lưu ý về phí rút tiền thẻ tín dụng Techcombank , vì phí này có thể ảnh hưởng…</t>
  </si>
  <si>
    <t>2. Các giải pháp để thúc đẩy thanh toán không tiền mặt…</t>
  </si>
  <si>
    <t>Nợ cần chú ý được ghi nhận trên CIC. (Theo title/meta, chưa đọc bài.)</t>
  </si>
  <si>
    <t>Bên cạnh đó, các bệnh viện nên cung cấp đa dạng các hình thức thanh toán không tiền mặt như quẹt thẻ, sử dụng thẻ thanh…</t>
  </si>
  <si>
    <t>tra cứu CIC cá nhân</t>
  </si>
  <si>
    <t>Nợ nhóm 2 — tra trên CIC. (Theo title/meta, chưa đọc bài.)</t>
  </si>
  <si>
    <t>kiểm tra CIC</t>
  </si>
  <si>
    <t>1. Máy POS quẹt thẻ là gì?</t>
  </si>
  <si>
    <t>Máy quẹt thẻ tín dụng POS cung cấp phương thức thanh toán không tiền mặt, giúp các giao dịch được thực hiện nhanh chóng và giảm…</t>
  </si>
  <si>
    <t>4. Cần phải làm gì khi quá hạn thanh toán thẻ tín dụng…</t>
  </si>
  <si>
    <t>Sau khi thanh toán xong nợ quá hạn, khách hàng nên chú ý sử dụng thẻ tín dụng đúng theo thỏa thuận với ngân hàng, không…</t>
  </si>
  <si>
    <t>3. Chi tiêu tiện lợi với đa dạng hình thức thanh toán</t>
  </si>
  <si>
    <t>Khách hàng cũng có thể rút tiền mặt từ thẻ tín dụng như các thẻ ATM thông thường, tuy nhiên mức phí sẽ cao hơn và tính…</t>
  </si>
  <si>
    <t>2.1. Ví điện tử là gì? Một số ví điện tử phổ biến hiện…</t>
  </si>
  <si>
    <t>Người dùng có thể nạp tiền từ tài khoản ngân hàng, thẻ tín dụng hoặc các kênh trực tuyến khác, sau đó dễ dàng thanh toá…</t>
  </si>
  <si>
    <t>Bài phí rút tiền — người đọc cần cách rút. (Theo title/meta, chưa đọc bài.)</t>
  </si>
  <si>
    <t>4. Hướng dẫn sử dụng thẻ tín dụng an toàn từ Techcomba…</t>
  </si>
  <si>
    <t>Nếu có nhu cầu rút tiền từ thẻ tín dụng, khách hàng nên lấy tay che lại các thao tác nhập mã PIN để bảo mật thông tin.</t>
  </si>
  <si>
    <t>2.3. Thẻ thanh toán/tín dụng</t>
  </si>
  <si>
    <t>Với thẻ thanh toán/tín dụng, Merchant có thể linh hoạt sử cho mục đích kinh doanh như quẹt thẻ thanh toán, rút tiền, ch…</t>
  </si>
  <si>
    <t>Hiện nay, có 2 cách để rút tiền mặt từ tài khoản doanh nghiệp là sử dụng séc hoặc giấy rút tiền.</t>
  </si>
  <si>
    <t>Thẻ Visa rút tiền được không — dẫn sang hướng dẫn rút từ thẻ tín dụng. (Theo title/meta, chưa đọc bài.)</t>
  </si>
  <si>
    <t>cách rút tiền thẻ tín dụng</t>
  </si>
  <si>
    <t>Bài viết dưới đây sẽ giải thích chi tiết CDM là gì, cách sử dụng để nộp và rút tiền, cũng như cách tìm CDM gần nhất, gi…</t>
  </si>
  <si>
    <t>nợ xấu là gì</t>
  </si>
  <si>
    <t>2. 8+ ngân hàng hỗ trợ rút tiền bằng mã QR khác ngân h…</t>
  </si>
  <si>
    <t>Theo công bố của NAPAS tại sự kiện "Lễ ra mắt dịch vụ VietQRCash" diễn ra ngày 7/8/2023, hiện đã có 8 ngân hàng áp dụng…</t>
  </si>
  <si>
    <t>Nhu cầu lấy tiền mặt từ thẻ tín dụng tương tự. (Theo title/meta, chưa đọc bài.)</t>
  </si>
  <si>
    <t>Khách hàng có thể sử dụng thẻ Visa để thanh toán trực tuyến, thanh toán quẹt thẻ, nạp tiền, rút tiền...</t>
  </si>
  <si>
    <t>2. Lưu ý khi rút tiền tại cây ATM</t>
  </si>
  <si>
    <t>Việc chủ động kiểm tra thẻ và tài khoản thường xuyên sẽ giúp bạn có những trải nghiệm giao dịch thuận lợi và an toàn hơ…</t>
  </si>
  <si>
    <t>2. Hướng dẫn rút tiền bằng mã QR nhanh, không cần thẻ…</t>
  </si>
  <si>
    <t>Trên màn hình điện thoại, người dùng lần lượt chọn Loại thẻ (thẻ tín dụng/thẻ ghi nợ), Số thẻ , Tài khoản rút tiền và S…</t>
  </si>
  <si>
    <t>Ở thời điểm hiện tại, thẻ ngân hàng không chỉ phục vụ mục đích rút tiền mà còn dùng để giao dịch thanh toán trực tiếp t…</t>
  </si>
  <si>
    <t>Hạn mức rút tiền mặt là một phần hạn mức thẻ. (Theo title/meta, chưa đọc bài.)</t>
  </si>
  <si>
    <t>5. Câu hỏi thường gặp</t>
  </si>
  <si>
    <t>Tùy thuộc vào hình thức vay tín dụng, trong một số trường hợp bạn có thể rút tiền mặt từ thẻ tín dụng hoặc tài khoản tí…</t>
  </si>
  <si>
    <t>1.2. Phân biệt thẻ tín dụng quốc tế và thẻ tín dụng nộ…</t>
  </si>
  <si>
    <t>Thẻ tín dụng quốc tế và thẻ tín dụng nội địa đều có đầy đủ các chức năng như thanh toán trực tiếp qua máy POS, thanh to…</t>
  </si>
  <si>
    <t>4.5. Thẻ Visa phi vật lý có rút tiền được không?</t>
  </si>
  <si>
    <t>Chủ thẻ có thể rút tiền từ tài khoản thanh toán liên kết với thẻ ghi nợ phi vật lý, tuy nhiên không thể rút tiền từ tài…</t>
  </si>
  <si>
    <t>Rút tiền mặt phát sinh lãi ngay — chèn ở đoạn khi nào phát sinh lãi. (Theo title/meta, chưa đọc bài.)</t>
  </si>
  <si>
    <t>2.2. Sử dụng thẻ tín dụng để rút tiền</t>
  </si>
  <si>
    <t>Ngoài thanh toán hóa đơn mua sắm, thẻ tín dụng còn được sử dụng để rút tiền mặt.</t>
  </si>
  <si>
    <t>5. So sánh tiền gửi không kỳ hạn và tiền gửi có kỳ hạn</t>
  </si>
  <si>
    <t>Song song với việc gửi tiền, nhiều khách hàng cũng chú ý đến yếu tố bảo mật trong giao dịch, chẳng hạn như thắc mắc thẻ…</t>
  </si>
  <si>
    <t>1. Thói quen thanh toán không dùng tiền mặt đang ngày…</t>
  </si>
  <si>
    <t>Người dùng có thể dễ dàng sử dụng thẻ tín dụng, thẻ ghi nợ, chuyển khoản, quét mã QR...</t>
  </si>
  <si>
    <t>2. Cách rút tiền ATM bằng mã QR</t>
  </si>
  <si>
    <t>Nhập thông tin rút tiền, bao gồm Loại thẻ (thẻ tín dụng/thẻ ghi nợ), Số thẻ , Tài khoản rút tiền và Số tiền cần rút , c…</t>
  </si>
  <si>
    <t>2. Phải đóng những phí gì khi sử dụng thẻ tín dụng?</t>
  </si>
  <si>
    <t>Khi phát sinh giao dịch rút tiền mặt từ thẻ tín dụng, chủ thẻ sẽ phải chi trả phí rút tiền.</t>
  </si>
  <si>
    <t>Định nghĩa thẻ tín dụng → nhu cầu làm thẻ. (Theo title/meta, chưa đọc bài.)</t>
  </si>
  <si>
    <t>2. Cách sử dụng thẻ Visa Credit Techcombank</t>
  </si>
  <si>
    <t>Sau khi kích hoạt thẻ vật lý thành công, khách hàng có thể sử dụng thẻ để thanh toán, rút tiền, trả góp và trả dư nợ th…</t>
  </si>
  <si>
    <t>2. Rút tiền bằng thẻ tín dụng cần sử dụng mã PIN không?</t>
  </si>
  <si>
    <t>Rút tiền bằng thẻ tín dụng bắt buộc sử dụng mã PIN .</t>
  </si>
  <si>
    <t>Một cách mở thẻ — dẫn sang hướng dẫn đầy đủ. (Theo title/meta, chưa đọc bài.)</t>
  </si>
  <si>
    <t>mở thẻ tín dụng</t>
  </si>
  <si>
    <t>1.1. Khái niệm thẻ Visa (Visa Card)</t>
  </si>
  <si>
    <t>Chủ yếu người dùng thường sử dụng thẻ Visa để mua sắm, thanh toán dịch vụ, chuyển/nạp/rút tiền mặt, trả góp, vay tín dụ…</t>
  </si>
  <si>
    <t>3. Tìm cây ATM gần đây nhất qua ngân hàng số</t>
  </si>
  <si>
    <t>Việc tìm ATM qua ứng dụng ngân hàng không chỉ nhanh chóng mà còn đảm bảo thông tin chính xác, kèm theo các dịch vụ liên…</t>
  </si>
  <si>
    <t>Khách hàng vẫn có thể sử dụng thẻ ghi nợ để rút tiền tại các cây ATM thuộc ngân hàng khác, tuy nhiên khách hàng sẽ cần…</t>
  </si>
  <si>
    <t>Phí làm thẻ — đi kèm thủ tục làm thẻ. (Theo title/meta, chưa đọc bài.)</t>
  </si>
  <si>
    <t>vay tín chấp không trả được có sao không</t>
  </si>
  <si>
    <t>Nhiều người mới sử dụng thẻ ghi nợ (thẻ thanh toán) thường không rõ thẻ ghi nợ có rút tiền được không.</t>
  </si>
  <si>
    <t>Khi thanh toán trả góp, khách hàng cần đảm bảo hạn mức còn lại của thẻ tín dụng tại thời điểm mua hàng phải lớn hơn hoặ…</t>
  </si>
  <si>
    <t>Điều kiện mở thẻ — sát chủ đề. (Theo title/meta, chưa đọc bài.)</t>
  </si>
  <si>
    <t>Sử dụng thẻ tín dụng mang lại nhiều tiện ích, nhưng để trở thành người chi tiêu thông thái, bạn nên trang bị các kiến t…</t>
  </si>
  <si>
    <t>5. Gửi tiết kiệm ngân hàng</t>
  </si>
  <si>
    <t>Bên cạnh đó, nếu bạn có thẻ tín dụng, đừng quên lưu ý về phí rút tiền mặt thẻ tín dụng , vì đây có thể là một chi phí k…</t>
  </si>
  <si>
    <t>Quyết định dùng thẻ → bước làm thẻ. (Theo title/meta, chưa đọc bài.)</t>
  </si>
  <si>
    <t>2.2. Mở thẻ hạn mức cao thông qua số tiền lưu động tro…</t>
  </si>
  <si>
    <t>Đối với nhóm khách hàng là chủ doanh nghiệp, hộ kinh doanh có lợi nhuận tốt, số tiền giao dịch qua thẻ thường xuyên đạt…</t>
  </si>
  <si>
    <t>Nếu như sử dụng thẻ tín dụng quốc tế (Visa, MasterCard, JCB…) , khách hàng có thể quẹt thẻ/rút tiền tại hơn 200 quốc gi…</t>
  </si>
  <si>
    <t>1. Trả góp qua thẻ tín dụng là gì?</t>
  </si>
  <si>
    <t>Trả góp qua thẻ tín dụng là việc sử dụng thẻ tín dụng để thanh toán số tiền cần trả khi mua hàng, sau đó chia nhỏ tổng…</t>
  </si>
  <si>
    <t>So sánh thẻ tín dụng Techcombank — Everyday nên được nhắc. (Theo title/meta, chưa đọc bài.)</t>
  </si>
  <si>
    <t>Người dùng có thể dùng thẻ ghi nợ Visa để thanh toán các dịch vụ mua sắm online và offline, chuyển tiền, rút tiền tại A…</t>
  </si>
  <si>
    <t>1. Nên chọn trả góp điện thoại qua hình thức nào?</t>
  </si>
  <si>
    <t>Dùng thẻ tín dụng để thanh toán tiền mua điện thoại trên sàn thương mại điện tử/cửa hàng có hỗ trợ, sau đó chuyển đổi g…</t>
  </si>
  <si>
    <t>2.3. Hướng dẫn trả góp Shopee bằng thẻ tín dụng</t>
  </si>
  <si>
    <t>tích điểm - hoàn tiền khi chi tiêu qua chương trình khách hàng thân thiết Techcombank OneU… Khám phá ngay tại trang thẻ…</t>
  </si>
  <si>
    <t>Chương trình hoàn tiền thẻ tín dụng Techcombank. (Theo title/meta, chưa đọc bài.)</t>
  </si>
  <si>
    <t>Techcombank Everyday</t>
  </si>
  <si>
    <t>Top ưu đãi thẻ tín dụng; chèn ở mục Techcombank. (Theo title/meta, chưa đọc bài.)</t>
  </si>
  <si>
    <t>3.3. Ứng dụng chia tiền Venmo</t>
  </si>
  <si>
    <t>phương pháp đầu tư chứng chỉ quỹ</t>
  </si>
  <si>
    <t>Với những người sử dụng thẻ ảo để giao dịch quốc tế, việc nắm rõ cách rút tiền từ thẻ visa ảo cũng là yếu tố quan trọng để đảm …</t>
  </si>
  <si>
    <t>Phân loại thẻ — chèn ví dụ thẻ hoàn tiền. (Theo title/meta, chưa đọc bài.)</t>
  </si>
  <si>
    <t>2. Các ngân hàng và các dịch vụ thanh toán cùng “chung…</t>
  </si>
  <si>
    <t>Tại Hàn Quốc, người dân thường sử dụng các thẻ này để phục vụ hoạt động thanh toán trực tiếp tại các điểm bán hàng, thanh toán …</t>
  </si>
  <si>
    <t>Lợi ích thẻ tín dụng — hoàn tiền là một lợi ích. (Theo title/meta, chưa đọc bài.)</t>
  </si>
  <si>
    <t>2.1. Linh hoạt lựa chọn phiên bản thẻ vật lý hoặc phi v…</t>
  </si>
  <si>
    <t>Khách hàng có thể sử dụng thẻ phi vật lý trên ứng dụng ngân hàng số Techcombank để thanh toán trực tuyến trên các nền tảng một …</t>
  </si>
  <si>
    <t>Title nhắc 'hoàn tiền' khi trả tiền điện bằng thẻ tín dụng. (Theo title/meta, chưa đọc bài.)</t>
  </si>
  <si>
    <t>Bên cạnh đó, trong quá trình sử dụng thẻ, khách hàng sẽ cần chi trả thêm các khoản biểu phí khác để đảm bảo sự hoạt động của th…</t>
  </si>
  <si>
    <t>Với thẻ phi vật lý, bạn hoàn toàn có thể sử dụng các tính năng như thanh toán trực tuyến, rút tiền không cần thẻ tại cây ATM, l…</t>
  </si>
  <si>
    <t>Cashback thẻ thanh toán (ghi nợ) — so sánh với thẻ tín dụng hoàn tiền. (Theo title/meta, chưa đọc bài.)</t>
  </si>
  <si>
    <t>thẻ hoàn tiền</t>
  </si>
  <si>
    <t>1.Tổng quan về tính năng Tài khoản cho con thuộc dịch v…</t>
  </si>
  <si>
    <t>Tùy chọn các chức năng của tài khoản mà con có thể sử dụng bao gồm chuyển tiền, thanh toán hóa đơn, rút tiền không cần thẻ,...</t>
  </si>
  <si>
    <t>Ưu đãi mở thẻ — hoàn tiền là ưu đãi phổ biến. (Theo title/meta, chưa đọc bài.)</t>
  </si>
  <si>
    <t>thẻ cashback</t>
  </si>
  <si>
    <t>1. Gửi tiết kiệm online có thật sự rủi ro không?</t>
  </si>
  <si>
    <t>“Có thể nói, các quy trình nghiệp vụ liên quan đến giao dịch gửi tiền và rút tiền tại quầy cũng như giao dịch điện tử hiện nay …</t>
  </si>
  <si>
    <t>1.1. Số dư khả dụng là gì?</t>
  </si>
  <si>
    <t>Số dư khả dụng (Available Balance) là số tiền trong tài khoản mà chủ thẻ có thể sử dụng để thực hiện các giao dịch chuyển/rút t…</t>
  </si>
  <si>
    <t>Top thẻ đáng mở — chèn ở tiêu chí chọn thẻ. (Theo title/meta, chưa đọc bài.)</t>
  </si>
  <si>
    <t>1.2. So sánh số dư tài khoản và số dư tài khoản khả dụn…</t>
  </si>
  <si>
    <t>Làm thẻ tín dụng có mất phí không là thắc mắc của nhiều người dùng khi có mong muốn mở thẻ.</t>
  </si>
  <si>
    <t>Dùng thẻ tiết kiệm — tận dụng hoàn tiền. (Theo title/meta, chưa đọc bài.)</t>
  </si>
  <si>
    <t>5. Câu hỏi thường gặp về nợ xấu có mở được thẻ tín dụn…</t>
  </si>
  <si>
    <t>… nợ thuộc các nhóm nợ xấu 1 và 2, nợ xấu FE vẫn có thể làm thẻ tín dụng tùy theo quy định của từng ngân hàng.</t>
  </si>
  <si>
    <t>Tùy theo quy định của từng ngân hàng, điều kiện, giấy tờ thủ tục và quy trình làm thẻ tín dụng ảo/phi vật lý sẽ khác nh…</t>
  </si>
  <si>
    <t>Làm cách nào để mở thẻ tín dụng hạn mức cao là mối quan tâm của nhiều người dùng có nh…</t>
  </si>
  <si>
    <t>…i tiết về định nghĩa, ưu nhược điểm cũng như hướng dẫn mở thẻ tín dụng phụ chính xác nhất cho khách hàng.</t>
  </si>
  <si>
    <t>1. 9 ưu điểm của thẻ tín dụng</t>
  </si>
  <si>
    <t>Vì vậy, để quyết định có nên mở thẻ tín dụng không, trước tiên hãy tìm hiểu 9 lợi ích sau đây của thẻ tín dụng:</t>
  </si>
  <si>
    <t>Nếu muốn mở thẻ tín dụng , khách hàng cần phải hoàn trả tất cả các khoản nợ còn lại.</t>
  </si>
  <si>
    <t>Không muốn trả phí thường niên → hủy thẻ. (Theo title/meta, chưa đọc bài.)</t>
  </si>
  <si>
    <t>Mở thẻ tín dụng của ngân hàng nào dễ và tốt nhất?</t>
  </si>
  <si>
    <t>…ùng về từng trường hợp sẽ mất phí và không mất phí khi mở thẻ tín dụng nhưng không dùng cùng với biểu phí nếu cần phải…</t>
  </si>
  <si>
    <t>2. Hướng dẫn mở thẻ tín dụng Techcombank</t>
  </si>
  <si>
    <t>Để đăng ký làm thẻ tín dụng, khách hàng có thể lựa chọn 1 trong 2 hình thức sau:</t>
  </si>
  <si>
    <t>Không dùng thẻ vẫn mất phí → nên hủy. (Theo title/meta, chưa đọc bài.)</t>
  </si>
  <si>
    <t>hủy thẻ tín dụng</t>
  </si>
  <si>
    <t>4. Trả góp mua sắm trong và ngoài nước</t>
  </si>
  <si>
    <t>Khách hàng đăng ký làm thẻ tín dụng để mua trả góp cần phải tìm hiểu về lãi suất trả góp, phí thu hộ, phí chuyển đổi tr…</t>
  </si>
  <si>
    <t>Để mở thẻ tín dụng/thẻ ghi nợ ngân hàng cho doanh nghiệp, bạn cần thực hiện một số bước cơ bản sau đây:</t>
  </si>
  <si>
    <t>1. Ưu đãi phát hành thẻ</t>
  </si>
  <si>
    <t>Khi mở thẻ tín dụng Techcombank Visa Signature, khách hàng sẽ nhận được ưu đãi miễn/hoàn phí khi đạt các điều kiện như…</t>
  </si>
  <si>
    <t>Biểu phí sử dụng là vấn đề quan tâm đầu tiên với những người đang có ý định mở thẻ tín dụng.</t>
  </si>
  <si>
    <t>Khóa vs hủy thẻ — đối chiếu trực tiếp. (Theo title/meta, chưa đọc bài.)</t>
  </si>
  <si>
    <t>Ngoài ra, khách hàng nên ưu tiên mở thẻ tín dụng tại các ngân hàng lớn, uy tín để được hưởng hệ thống b…</t>
  </si>
  <si>
    <t>Nếu bạn đang có nhu cầu mở thẻ tín dụng Techcombank, không biết nên mở thẻ tín dụng nào nhiều …</t>
  </si>
  <si>
    <t>1. Các trường hợp cần kiểm tra hạn mức thẻ tín dụng</t>
  </si>
  <si>
    <t>&gt;&gt;&gt; Cách mở thẻ tín dụng không cần chứng minh thu nhập tại Techcombank</t>
  </si>
  <si>
    <t>Thẻ bị khóa — chèn ở đoạn phân biệt khóa/hủy. (Theo title/meta, chưa đọc bài.)</t>
  </si>
  <si>
    <t>4. Một số lỗi thường gặp &amp; cách khắc phục khi nhập mã…</t>
  </si>
  <si>
    <t>Tra cứu và nhập đúng mã bưu chính của tỉnh/thành phố bạn khai báo khi đăng ký mở thẻ tín dụng</t>
  </si>
  <si>
    <t>Để mở thẻ tín dụng quốc tế, khách hàng cần đáp ứng điều kiện thu nhập và …</t>
  </si>
  <si>
    <t>MM/YY là định dạng ngày tháng được in trên thẻ ngân hàng (bao gồm thẻ ATM, thẻ tín dụng, thẻ Visa, Mastercard, JCB...)…</t>
  </si>
  <si>
    <t>Thẻ hết hạn: gia hạn hoặc hủy. (Theo title/meta, chưa đọc bài.)</t>
  </si>
  <si>
    <t>Thẻ tín dụng liên kết với hãng hàng không thường có nhiều ưu đãi hấp dẫn, giúp chủ thẻ có hành trình công tác, du lịch……</t>
  </si>
  <si>
    <t>2.2. Làm thẻ ngân hàng ở đâu không mất phí?</t>
  </si>
  <si>
    <t>Hiện nay, nhiều ngân hàng đều có chính sách làm thẻ atm miễn phí , phát hành và giao thẻ ATM tại nhà giúp khách hàng ti…</t>
  </si>
  <si>
    <t>Bài viết dưới đây sẽ hướng dẫn cách t hanh toán quảng cáo Facebook bằng thẻ thanh toán (thẻ ghi nợ)/ thẻ tín dụng, ví đ…</t>
  </si>
  <si>
    <t>2.4. Các ưu đãi khác</t>
  </si>
  <si>
    <t>Tặng Bảo hiểm du lịch quốc tế trị giá đến 10,5 tỷ VND, dành tặng miễn phí cho các chủ thẻ thanh toán và thẻ tín dụng qu…</t>
  </si>
  <si>
    <t>Lịch sử tín dụng quyết định xếp hạng tín dụng. (Theo title/meta, chưa đọc bài.)</t>
  </si>
  <si>
    <t>3. 5 câu hỏi thường gặp khi làm thẻ ATM</t>
  </si>
  <si>
    <t>Như vậy, bài viết đã hướng dẫn khách hàng 2 cách làm thẻ ATM online tại nhà thông dụng và dễ dàng nhất hiện nay.</t>
  </si>
  <si>
    <t>1. Thẻ Visa có cần mật khẩu không?</t>
  </si>
  <si>
    <t>Hiện nay, cả 2 loại thẻ Visa Debit (thẻ thanh toán) và Visa Credit (thẻ tín dụng) đều cần mật khẩu và chủ thẻ có quyền…</t>
  </si>
  <si>
    <t>5. Mua trước trả sau lãi suất từ 0%, nhận loạt ưu đãi…</t>
  </si>
  <si>
    <t>Nếu thường xuyên mua sắm và có nhu cầu chia nhỏ khoản thanh toán, chủ thẻ tín dụng Techcombank có thể chọn 1 trong 3 cá…</t>
  </si>
  <si>
    <t>Điều kiện vay — xếp hạng tín dụng là một yếu tố. (Theo title/meta, chưa đọc bài.)</t>
  </si>
  <si>
    <t>xếp hạng tín dụng cá nhân</t>
  </si>
  <si>
    <t>2. 5 câu hỏi thường gặp về thẻ tín dụng/ thẻ ngân hàng…</t>
  </si>
  <si>
    <t>Thẻ tín dụng hết hạn nhưng vẫn còn dư nợ thì phải làm gì?</t>
  </si>
  <si>
    <t>2. Phân loại thẻ NAPAS</t>
  </si>
  <si>
    <t>Thẻ NAPAS có 4 loại, bao gồm thẻ thanh toán nội địa, thẻ tín dụng nội địa, thẻ trả trước nội địa và thẻ kép nội địa.</t>
  </si>
  <si>
    <t>3. Gợi ý ngân hàng mở thẻ ATM nhanh, giao thẻ tận nhà</t>
  </si>
  <si>
    <t>Khách hàng chỉ cần tải và thao tác đơn giản trên ứng dụng Mobile Banking chưa tới 3 phút là đã có thể mở thẻ ATM online…</t>
  </si>
  <si>
    <t>Nợ xấu làm giảm xếp hạng. (Theo title/meta, chưa đọc bài.)</t>
  </si>
  <si>
    <t>6. Techcombank - Nhà Đồng Đầu Tư concert Anh Trai Vượt…</t>
  </si>
  <si>
    <t>Hoàn điểm thưởng U-Point khi thanh toán vé qua thẻ Techcombank Everyday:</t>
  </si>
  <si>
    <t>Trong bài viết dưới đây, Techcombank sẽ bật mí tới khách hàng 8 lợi ích tuyệt vời của thẻ tín dụng hỗ trợ người dùng tr…</t>
  </si>
  <si>
    <t>Với chủ thẻ tín dụng Techcombank, khách hàng có thể Trả góp linh hoạt - Lãi suất 0%, tại các thương hiệu lớn trên toàn…</t>
  </si>
  <si>
    <t>Thanh toán tối thiểu — liên quan trực tiếp cách trả dư nợ. (Theo title/meta, chưa đọc bài.)</t>
  </si>
  <si>
    <t>4.3. Trải nghiệm đặc quyền dành cho từng phân hạng Hội…</t>
  </si>
  <si>
    <t>Lãi suất tiết kiệm cao hơn, lợi suất Sinh Lời Tự Động cao hơn, ưu đãi vay tín chấp vào ngày Inspire Day, ưu đãi voucher…</t>
  </si>
  <si>
    <t>1. Thẻ tín dụng có rút tiền được không?</t>
  </si>
  <si>
    <t>Tại Techcombank, khách hàng sẽ được hoàn 100% phí rút tiền mặt nếu đăng ký chuyển đổi trả góp giao dịch rút tiền mặt từ…</t>
  </si>
  <si>
    <t>Bài viết sau đây sẽ tổng hợp toàn bộ ưu đãi mua vé máy bay bằng thẻ tín dụng của Techcombank mà khách hàng có thể tận d…</t>
  </si>
  <si>
    <t>Quá hạn → hướng dẫn các kênh thanh toán để không trễ. (Theo title/meta, chưa đọc bài.)</t>
  </si>
  <si>
    <t>thanh toán dư nợ thẻ tín dụng</t>
  </si>
  <si>
    <t>Trong bài viết sau đây, Techcombank sẽ hướng dẫn khách hàng cách xử lý nhanh chóng khi bị mất thẻ tín dụng và cách bảo…</t>
  </si>
  <si>
    <t>2. Vị trí của mã CVV/CVC</t>
  </si>
  <si>
    <t>Truy cập Techcombank Mobile, chọn Tài khoản &amp; Thẻ, chọn Thẻ tín dụng</t>
  </si>
  <si>
    <t>Techcombank mang đến loạt ưu đãi hấp dẫn cho khách hàng sở hữu thẻ thanh toán và thẻ tín dụng khi mua iPhone 17 tại kên…</t>
  </si>
  <si>
    <t>Sao kê ghi số tiền và hạn thanh toán. (Theo title/meta, chưa đọc bài.)</t>
  </si>
  <si>
    <t>trả nợ thẻ tín dụng</t>
  </si>
  <si>
    <t>5. 2 câu hỏi thường gặp về thẻ ghi nợ và thẻ tín dụng</t>
  </si>
  <si>
    <t>Khách hàng có thể tham khảo các ưu đãi thẻ tín dụng techcombank hiện hành để tận dụng tối đa các quyền lợi và chương tr…</t>
  </si>
  <si>
    <t>&gt;&gt;&gt; Đăng ký thẻ tín dụng online nhanh chóng, nhận thẻ mới sau 3 - 7 ngày tại Techcombank</t>
  </si>
  <si>
    <t>4.3. Huỷ thẻ tín dụng có mở lại được giống như khóa th…</t>
  </si>
  <si>
    <t>Nợ quá hạn — cần cách trả nợ thẻ. (Theo title/meta, chưa đọc bài.)</t>
  </si>
  <si>
    <t>&gt;&gt;&gt; Mở thẻ tín dụng Techcombank ngay hôm nay để nhận được nhiều ưu đãi hấp dẫn!</t>
  </si>
  <si>
    <t>Techcombank hiện đang phát hành 9 dòng thẻ tín dụng với nhiều đặc quyền hấp dẫn dành cho chủ thẻ như mua trước trả sau…</t>
  </si>
  <si>
    <t>4. Lưu ý khi thanh toán trả góp hàng tháng qua thẻ tín…</t>
  </si>
  <si>
    <t>Trong quá trình thanh toán trả góp qua thẻ tín dụng , nếu có nhu cầu tư vấn thêm thông tin, khách hàng vui lòng liên hệ…</t>
  </si>
  <si>
    <t>&gt;&gt;&gt; Để hiểu rõ hơn về những điều khách hàng cần phải làm khi chậm thanh toán thẻ tín dụng, bạn có thể tham khảo bài viế…</t>
  </si>
  <si>
    <t>Miễn lãi khi thanh toán đúng hạn. (Theo title/meta, chưa đọc bài.)</t>
  </si>
  <si>
    <t>2.1. Thanh toán qua thẻ ngân hàng</t>
  </si>
  <si>
    <t>Techcombank là một trong những ngân hàng tiên phong phát hành thẻ tích hợp công nghệ 3D Secure 1.0 (bao gồm cả thẻ than…</t>
  </si>
  <si>
    <t>Chi tiết hãy cùng Techcombank tìm hiểu 7 cách thanh toán thẻ tín dụng trong bài viết dưới đây.</t>
  </si>
  <si>
    <t>1. Thẻ đen là gì? Đặc điểm của thẻ đen</t>
  </si>
  <si>
    <t>Tại Techcombank có các loại thẻ đen bao gồm thẻ tín dụng Techcombank Visa Infinite , thẻ tín dụng Techcombank Priority…</t>
  </si>
  <si>
    <t>4. Làm thế nào để không nợ thẻ tín dụng?</t>
  </si>
  <si>
    <t>Lời khuyên của Techcombank để tránh nợ thẻ tín dụng quá hạn khi dùng:</t>
  </si>
  <si>
    <t>Nhiều khách hàng lựa chọn cách thanh toán tiền điện nước bằng thẻ tín dụng, thẻ visa vì được chi tiêu trước, trả tiền s…</t>
  </si>
  <si>
    <t>Techcombank gia tăng lợi ích và trải nghiệm cho chủ thẻ với tính năng tự động hoàn tiền cùng nhiều chương trình cashbac…</t>
  </si>
  <si>
    <t>So sánh CD và tiết kiệm — cần định nghĩa CD. (Theo title/meta, chưa đọc bài.)</t>
  </si>
  <si>
    <t>3. Thẻ tín dụng Techcombank Visa Signature</t>
  </si>
  <si>
    <t>Techcombank Visa Signature là dòng thẻ tín dụng cao cấp tại Techcombank, nổi bật với chính sách hoàn tiền tới 10% khi c…</t>
  </si>
  <si>
    <t>Trong bài viết này, Techcombank sẽ cùng bạn so sánh thẻ tín dụng của 8 ngân hàng có nhiều ưu đãi mở thẻ tín dụng nhất,…</t>
  </si>
  <si>
    <t>Nhận tiền và thẻ tín dụng từ cây ATM để hoàn tất quá trình</t>
  </si>
  <si>
    <t>Doanh nghiệp hoàn toàn có thể mở thẻ ngân hàng đi kèm tài khoản thanh toán để tối ưu hóa quản trị tài chính.</t>
  </si>
  <si>
    <t>Câu hỏi bản chất CD. (Theo title/meta, chưa đọc bài.)</t>
  </si>
  <si>
    <t>chứng chỉ tiền gửi</t>
  </si>
  <si>
    <t>1. Ưu đãi mua vé máy bay cho tất cả chủ thẻ tín dụng T…</t>
  </si>
  <si>
    <t>Chủ thẻ có thể tận dụng các chương trình hoàn tiền, giảm giá khi đặt vé máy bay qua Traveloka, Trip.com hoặc mua vé trự…</t>
  </si>
  <si>
    <t>Là mã bảo mật được lưu trữ trong dải từ tính hoặc chip của thẻ và được sử dụng khi chủ thẻ thực hiện các giao dịch qua…</t>
  </si>
  <si>
    <t>1. Cách 1: Thanh toán quảng cáo Facebook với thẻ thanh…</t>
  </si>
  <si>
    <t>Tên trên thẻ, Số thẻ, MM/YY, CVV và nhấn Lưu để hoàn tất</t>
  </si>
  <si>
    <t>2. Quẹt thẻ Visa có cần mật khẩu không?</t>
  </si>
  <si>
    <t>Lý do nên mua CD → dẫn về bài tổng quan. (Theo title/meta, chưa đọc bài.)</t>
  </si>
  <si>
    <t>Chủ thẻ chỉ cần chạm/quẹt thẻ trực tiếp tại các máy POS và ký tên vào hóa đơn là hoàn tất thanh toán.</t>
  </si>
  <si>
    <t>3. Ưu - nhược điểm của thẻ ghi nợ khác gì thẻ tín dụng?</t>
  </si>
  <si>
    <t>Thẻ được tích hợp đa dạng chương trình ưu đãi như giảm giá tới 50%, hoàn tiền tới 5%, tích điểm đổi thưởng và các đặc q…</t>
  </si>
  <si>
    <t>3. Lưu ý khi huỷ thẻ tín dụng</t>
  </si>
  <si>
    <t>Một số giao dịch trực tuyến có thể vẫn đang “treo”, cần chờ ngân hàng cập nhật hoàn tất trước khi khóa thẻ</t>
  </si>
  <si>
    <t>1.1. Thoải mái chi tiêu</t>
  </si>
  <si>
    <t>Khi dùng thẻ tín dụng, ngân hàng sẽ cho khách hàng “mượn” 1 khoản tiền để chi tiêu, khi đến hạn thanh toán, khách hàng…</t>
  </si>
  <si>
    <t>Tính an toàn của CD. (Theo title/meta, chưa đọc bài.)</t>
  </si>
  <si>
    <t>Người dùng thẻ tín dụng quốc tế được hưởng nhiều tiện ích và ưu đãi hơn , từ thanh toán toàn cầu đến hoàn tiền, tích đi…</t>
  </si>
  <si>
    <t>1. Rút tiền mặt từ thẻ tín dụng có mất phí!</t>
  </si>
  <si>
    <t>Do đó, thông tin rút tiền mặt từ thẻ tín dụng không bị mất phí là hoàn toàn sai.</t>
  </si>
  <si>
    <t>2.1. Ưu đãi thanh toán vé máy bay với thẻ Techcombank</t>
  </si>
  <si>
    <t>Hiện nay khi giao dịch thanh toán vé máy bay bằng thẻ Techcombank, khách hàng có thể hưởng ưu đãi nhận điểm hoàn tiền n…</t>
  </si>
  <si>
    <t>Kênh sinh lời cho tiền nhàn rỗi — CD là một kênh. (Theo title/meta, chưa đọc bài.)</t>
  </si>
  <si>
    <t>https://techcombank.com/thong-tin/blog/4p-pizza</t>
  </si>
  <si>
    <t>Mỗi giao dịch bằng thẻ Techcombank đều được tích điểm U-Point hoặc điểm hoàn tiền (*)</t>
  </si>
  <si>
    <t>Tính lợi nhuận CD cần mức lãi suất. (Theo title/meta, chưa đọc bài.)</t>
  </si>
  <si>
    <t>5. Nạp thẻ MobiFone trả trước, trả sau qua website Mobi…</t>
  </si>
  <si>
    <t>Đặc biệt, website thường có thêm ưu đãi hoàn tiền hoặc khuyến mãi nạp thẻ định kỳ cho thuê bao MobiFone.</t>
  </si>
  <si>
    <t>Tất toán ảnh hưởng lợi suất — chèn ở đoạn lãi suất. (Theo title/meta, chưa đọc bài.)</t>
  </si>
  <si>
    <t>lãi suất chứng chỉ tiền gửi</t>
  </si>
  <si>
    <t>2. Nạp thẻ VinaPhone trả trước, trả sau bằng Techcomban…</t>
  </si>
  <si>
    <t>Đối với những khách hàng sở hữu tài khoản ngân hàng Techcombank, Techcombank Mobile mang đến giải pháp nạp tiền VinaPhone nhanh…</t>
  </si>
  <si>
    <t>2. Ưu đãi khi thanh toán/chi tiêu</t>
  </si>
  <si>
    <t>Hoàn 100% phí rút tiền mặt nếu đăng ký chuyển đổi trả góp giao dịch rút tiền mặt từ thẻ tín dụng trên Techcombank Mobile</t>
  </si>
  <si>
    <t>Rút trước hạn mất lãi suất — chèn ở đoạn lãi. (Theo title/meta, chưa đọc bài.)</t>
  </si>
  <si>
    <t>lợi suất chứng chỉ tiền gửi</t>
  </si>
  <si>
    <t>Cùng một khoản chi tiêu, nếu chọn đúng thẻ tín dụng Techcombank, bạn có thể tích được nhiều U-Point hoặc hoàn tiền nhiề…</t>
  </si>
  <si>
    <t>2.3. Thẻ tín dụng Techcombank Visa Signature</t>
  </si>
  <si>
    <t>Thẻ tín dụng Techcombank Visa Signature là thẻ đen quyền lực của Techcombank với ưu đãi hoàn tiền lên tới 10% khi chi t…</t>
  </si>
  <si>
    <t>Giá chuyển nhượng phụ thuộc lãi suất. (Theo title/meta, chưa đọc bài.)</t>
  </si>
  <si>
    <t>1. Cách gia hạn thẻ tín dụng hết hạn</t>
  </si>
  <si>
    <t>Nếu thẻ tín dụng đạt đủ điều kiện, nhân viên ngân hàng sẽ liên hệ, xác nhận nhu cầu gia hạn và các thông tin liên quan…</t>
  </si>
  <si>
    <t>tích điểm - hoàn tiền khi chi tiêu qua chương trình khách hàng thân thiết Techcombank OneU … Khám phá ngay tại trang th…</t>
  </si>
  <si>
    <t>Bài tổng quan tiền Trung Quốc — dẫn sang quy đổi 1 tệ. (Theo title/meta, chưa đọc bài.)</t>
  </si>
  <si>
    <t>1.1.1. Cách thanh toán thẻ tín dụng qua Internet Banki…</t>
  </si>
  <si>
    <t>Nhập số tiền cần thanh toán thẻ tín dụng và nhấn “Thực hiện” để hoàn tất thanh toán.</t>
  </si>
  <si>
    <t>Techcombank hiện phát hành thẻ thanh toán và thẻ tín dụng với nhiều ưu đãi về phí, hoàn tiền, tích điểm (theo chính sách từng t…</t>
  </si>
  <si>
    <t>Bài anh em mệnh giá 1 vạn tệ. (Theo title/meta, chưa đọc bài.)</t>
  </si>
  <si>
    <t>tỷ giá Nhân dân tệ</t>
  </si>
  <si>
    <t>khoản phí duy trì dịch vụ và tiện ích thẻ ngân hàng (ATM, ghi nợ, tín dụng), thu theo năm.</t>
  </si>
  <si>
    <t>3. Cách để không mất phí khi không sử dụng thẻ tín dụng</t>
  </si>
  <si>
    <t>Khi khách hàng không có nhu cầu sử dụng thẻ tín dụng và chắc chắn không sử dụng chiếc thẻ tín dụng này trong tương lai…</t>
  </si>
  <si>
    <t>Bài anh em mệnh giá 1000 tệ. (Theo title/meta, chưa đọc bài.)</t>
  </si>
  <si>
    <t>Trong trường hợp khách hàng có nhu cầu gia tăng tiện ích thanh toán, các lựa chọn mở thẻ tín dụng cũng có thể được xem…</t>
  </si>
  <si>
    <t>4. Đóng thẻ tín dụng có mất phí không?</t>
  </si>
  <si>
    <t>Khách hàng cần liên hệ với ngân hàng hủy thẻ tín dụng nếu không có nhu cầu tiếp tục sử dụng để tránh những k…</t>
  </si>
  <si>
    <t>Du lịch Trung Quốc cần quy đổi tệ. (Theo title/meta, chưa đọc bài.)</t>
  </si>
  <si>
    <t>hay “thẻ tín dụng bị khóa do nợ xấu không?" Để giúp khách hàng nhanh chóng mở khóa thẻ, bài viết dưới đây đã tổng hợp n…</t>
  </si>
  <si>
    <t>Thẻ tín dụng/thẻ ATM hết hạn có được hủy thẻ không?</t>
  </si>
  <si>
    <t>2.3. Cách 3: Đến trực tiếp ngân hàng yêu cầu khóa thẻ/…</t>
  </si>
  <si>
    <t>…giao dịch của ngân hàng và yêu cầu giao dịch viên khóa/hủy thẻ tín dụng đã bị mất.</t>
  </si>
  <si>
    <t>2. Tính năng của thẻ doanh nghiệp</t>
  </si>
  <si>
    <t>Bằng cách sử dụng thẻ tín dụng hoặc thẻ ghi nợ doanh nghiệp, công ty có thể tận dụng các tính năng sau:</t>
  </si>
  <si>
    <t>Xu hướng tỷ giá USD — người đọc cần tỷ giá hiện tại. (Theo title/meta, chưa đọc bài.)</t>
  </si>
  <si>
    <t>Trong bài viết này, hãy cùng tìm hiểu cách phân biệt các loại thẻ tín dụng và cập nhật ưu đãi cho chủ thẻ tại Techcomba…</t>
  </si>
  <si>
    <t>4. Ưu đãi đổi điểm nhận dặm thưởng</t>
  </si>
  <si>
    <t>&gt;&gt;&gt; Tìm hiểu cách tích điểm U-Point với thẻ tín dụng Techcombank trong bài viết Chương trình Khách hàng Thân Thiết Tech…</t>
  </si>
  <si>
    <t>3. Tư vấn chọn loại thẻ tín dụng theo ưu đãi</t>
  </si>
  <si>
    <t>Ngoài ra, khách hàng có thể chọn thẻ tín dụng dựa theo mức thu nhập của bản thân để đảm bảo khả năng chi tiêu và thanh…</t>
  </si>
  <si>
    <t>Mua USD cần biết 1 USD bằng bao nhiêu VND. (Theo title/meta, chưa đọc bài.)</t>
  </si>
  <si>
    <t>1 đô bằng bao nhiêu tiền Việt</t>
  </si>
  <si>
    <t>&gt;&gt;&gt; Truy cập bài viết Điều kiện, thủ tục và cách mở thẻ tín dụng tại ngân hàng chi tiết để đọc hướng dẫn mở thẻ tín dụn…</t>
  </si>
  <si>
    <t>Bài anh em (cent = 1/100 USD). (Theo title/meta, chưa đọc bài.)</t>
  </si>
  <si>
    <t>Hiện tại, khách hàng có thể tra cứu hạn mức thẻ tín dụng bằng các cách như:</t>
  </si>
  <si>
    <t>tỷ giá USD/VND</t>
  </si>
  <si>
    <t>4. Nên mở thẻ ghi nợ hay thẻ tín dụng?</t>
  </si>
  <si>
    <t>Điều kiện, thủ tục và cách làm thẻ tín dụng .</t>
  </si>
  <si>
    <t>3. Nợ thẻ tín dụng quá hạn phải làm sao?</t>
  </si>
  <si>
    <t>Khách hàng có thể tùy chọn cách thanh toán thẻ tín dụng thuận tiện và phù hợp với bản thân nhưng cần tìm hiểu kỹ các bư…</t>
  </si>
  <si>
    <t>Do đó, để tận dụng thẻ tín dụng một cách thông minh và hiệu quả, người dùng cần phải hiểu rõ cách thanh toán bằng thẻ t…</t>
  </si>
  <si>
    <t>9. Lưu ý khi sử dụng thẻ tín dụng để tận dụng tối đa ư…</t>
  </si>
  <si>
    <t>Khách hàng nên lựa chọn ưu đãi phù hợp và chú ý thời hạn áp dụng để tận dụng đúng cách và tối ưu các ưu đãi thẻ tín dụn…</t>
  </si>
  <si>
    <t>Tiết kiệm USD — quy đổi sang VND. (Theo title/meta, chưa đọc bài.)</t>
  </si>
  <si>
    <t>1. Thẻ tín dụng có chuyển khoản được không?</t>
  </si>
  <si>
    <t>Cách sử dụng thẻ tín dụng hiệu quả</t>
  </si>
  <si>
    <t>Khi vừa hoàn thành một chuyến xe và thanh toán bằng thẻ tín dụng Techcombank Visa Eco, lượng phát thải CO₂ sẽ được ước…</t>
  </si>
  <si>
    <t>Làm cách nào để mở thẻ tín dụng hạn mức cao là mối quan tâm của nhiều người dùng có nhu cầu sử dụng thẻ để thực hiện cá…</t>
  </si>
  <si>
    <t>10. Lưu ý khi sử dụng thẻ tín dụng để tận dụng nhiều ư…</t>
  </si>
  <si>
    <t>Khách hàng cần đọc kỹ các quy định về ưu đãi thẻ tín dụng của mỗi ngân hàng trong từng thời kỳ để biết cách tận dụng cá…</t>
  </si>
  <si>
    <t>Chuyển tiền từ Mỹ — quy đổi USD. (Theo title/meta, chưa đọc bài.)</t>
  </si>
  <si>
    <t>Cùng tìm hiểu sâu hơn về lãi suất thẻ tín dụng cùng Techcombank trong bài viết dưới đây, bao gồm khái niệm, thời điểm p…</t>
  </si>
  <si>
    <t>Để giúp bạn hiểu đúng về loại thẻ này, bài viết này sẽ giải đáp định nghĩa, tính năng, cách làm và cách sử dụng thẻ tín…</t>
  </si>
  <si>
    <t>Trong bài viết này, Techcombank sẽ giải đáp chi tiết các vấn đề xoay quanh thanh toán tối thiểu, bao gồm khái niệm, ưu…</t>
  </si>
  <si>
    <t>Trong bài viết dưới đây, hãy cùng tìm hiểu điều kiện, cách mua trả góp trên Shopee và ưu đãi dành cho chủ thẻ tín dụng…</t>
  </si>
  <si>
    <t>Du lịch Nhật cần biết mệnh giá tiền Nhật. (Theo title/meta, chưa đọc bài.)</t>
  </si>
  <si>
    <t>Dưới đây là hướng dẫn chi tiết về 3 cách thanh toán trả góp qua thẻ tín dụng.</t>
  </si>
  <si>
    <t>Để nhanh chóng được trải nghiệm những “đặc quyền” hấp dẫn, hãy cùng Techcombank tìm hiểu chi tiết về cách làm thẻ tín d…</t>
  </si>
  <si>
    <t>5. Thanh toán dư nợ thẻ tín dụng như thế nào?</t>
  </si>
  <si>
    <t>Có 4 cách thanh toán dư nợ thẻ tín dụng:</t>
  </si>
  <si>
    <t>Chuyển tiền từ Nhật — liên quan tiền Yên. (Theo title/meta, chưa đọc bài.)</t>
  </si>
  <si>
    <t>tiền Yên Nhật</t>
  </si>
  <si>
    <t>Khi liên kết thẻ thanh toán/thẻ tín dụng quốc tế để thanh toán trực tuyến, khách hàng thường được yêu cầu điền mã số CV…</t>
  </si>
  <si>
    <t>Khi thanh toán bằng thẻ tín dụng trên các website hoặc ứng dụng quốc tế, nhiều người dùng được yêu cầu nhập mã bưu chín…</t>
  </si>
  <si>
    <t>Nhiều người dùng thường nghe nói về thẻ tín dụng đen với những đặc quyền vượt trội, nhưng không phải ai cũng nắm rõ thẻ…</t>
  </si>
  <si>
    <t>Bài quy đổi 1 Yên dẫn về tổng quan tiền Nhật. (Theo title/meta, chưa đọc bài.)</t>
  </si>
  <si>
    <t>4. Công nghệ 3D Secure ứng dụng trong ngân hàng Techco…</t>
  </si>
  <si>
    <t>1. Điều kiện mua trả góp trên Lazada</t>
  </si>
  <si>
    <t>Để đăng ký mua trả góp 0% lãi suất trên Lazada bằng thẻ tín dụng, khách hàng cần đáp ứng một số điều kiện sau:</t>
  </si>
  <si>
    <t>Thẻ tín dụng có mã PIN không là vấn đề thắc mắc của nhiều người khi tìm hiểu về thẻ tín dụng.</t>
  </si>
  <si>
    <t>2. CIC hoạt động như thế nào?</t>
  </si>
  <si>
    <t>Khi bị liệt vào nhóm 3 trở lên, khách hàng sẽ gặp khó khăn trong việc vay vốn, mở thẻ tín dụng, hoặc tiếp cận các sản p…</t>
  </si>
  <si>
    <t>Bài 1 Man dẫn về mệnh giá tiền Nhật. (Theo title/meta, chưa đọc bài.)</t>
  </si>
  <si>
    <t>Thẻ tín dụng nội địa là dòng thẻ cho phép chủ thẻ chi tiêu trước, trả tiền sau trong phạm vi lãnh thổ Việt Nam và một s…</t>
  </si>
  <si>
    <t>3. Điều kiện làm hồ sơ trả góp điện thoại với thẻ tín…</t>
  </si>
  <si>
    <t>Đặc biệt, trong thời gian trả góp , thẻ tín dụng của khách hàng không bị đóng/khóa/hủy</t>
  </si>
  <si>
    <t>Bài anh em mệnh giá 1000 Yên. (Theo title/meta, chưa đọc bài.)</t>
  </si>
  <si>
    <t>Bài tổng quan tiền Nhật — đoạn tỷ giá dẫn sang quy đổi 1 Yên. (Theo title/meta, chưa đọc bài.)</t>
  </si>
  <si>
    <t>tỷ giá Yên Nhật</t>
  </si>
  <si>
    <t>2.3. Phương thức tín dụng chứng từ L/C</t>
  </si>
  <si>
    <t>Tín dụng chứng từ (L/C) là một cam kết chắc chắn và không hủy ngang của ngân hàng phát hành về việc thanh toán ( hoặc chấp nhận…</t>
  </si>
  <si>
    <t>1 Man = 10.000 Yên — dẫn sang tỷ giá 1 Yên. (Theo title/meta, chưa đọc bài.)</t>
  </si>
  <si>
    <t>Lịch sử tín dụng đóng vai trò như một “bản lý lịch tài chính”, ghi lại toàn bộ quá trình vay và trả nợ của một cá nhân.</t>
  </si>
  <si>
    <t>Khách hàng nên cố gắng gia tăng điểm tín dụng, xếp hạng tín dụng nhằm xây dựng uy tín để dự trù cho những khoản vay và …</t>
  </si>
  <si>
    <t>Ngoài ra, các thông tin khác về lịch sử nợ xấu, điểm tín dụng, xếp hạng tín dụng của bạn cũng được thể hiện trong báo c…</t>
  </si>
  <si>
    <t>Chuyển tiền từ Nhật — quy đổi JPY/VND. (Theo title/meta, chưa đọc bài.)</t>
  </si>
  <si>
    <t>3. Những lưu ý quan trọng khi đáo hạn khoản vay</t>
  </si>
  <si>
    <t>…g, có thể dẫn đến khóa thẻ, giảm hạn mức tín dụng hoặc xếp hạng tín dụng thấp – gây ảnh hưởng đến khả năng vay vốn tro…</t>
  </si>
  <si>
    <t>6.1. Cải thiện điểm tín dụng cá nhân</t>
  </si>
  <si>
    <t>Việc mở quá nhiều thẻ tín dụng có thể khiến xếp hạng tín dụng của bạn bị đánh giá không tốt.</t>
  </si>
  <si>
    <t>Một giải pháp giúp những người thuộc nhóm nợ có vấn đề có thể vay thế chấp đó là tìm người bảo lãnh vay có lịch sử tín…</t>
  </si>
  <si>
    <t>Trong lĩnh vực tài chính, tín dụng là một yếu tố quan trọng giúp cá nhân và doanh nghiệp giải quyết các vấn đề liên qua…</t>
  </si>
  <si>
    <t>7.3. Chậm trả góp bao lâu thì bị nợ xấu?</t>
  </si>
  <si>
    <t>Thường vẫn được xếp vào nhóm nợ đủ tiêu chuẩn (nhóm 1) hoặc nợ cần chú ý (nhóm 2) nếu tổ chức tín dụng đánh giá bạn vẫn…</t>
  </si>
  <si>
    <t>Bài anh em mệnh giá 1 triệu Won. (Theo title/meta, chưa đọc bài.)</t>
  </si>
  <si>
    <t>“Săn” trái phiếu vàng, dù lãi suất thấp hơn 0.5 – 1% s…</t>
  </si>
  <si>
    <t>Cụ thể, là việc áp dụng xếp hạng tín nhiệm tự nguyện, với mục tiêu đồng hành nhằm góp phần xây dựng thị trường trái phi…</t>
  </si>
  <si>
    <t>Việc mở quá nhiều tài khoản tín dụng hoặc khoản vay mới trong một thời gian ngắn có thể là dấu hiệu của rủi ro, làm giả…</t>
  </si>
  <si>
    <t>Trong quá trình vay vốn hoặc sử dụng thẻ tín dụng, việc chậm thanh toán gốc hoặc lãi dù chỉ vài ngày cũng có thể khiến…</t>
  </si>
  <si>
    <t>3. Câu hỏi thường gặp khi nợ thẻ tín dụng quá hạn</t>
  </si>
  <si>
    <t>Trả nợ thẻ tín dụng là trách nhiệm của mỗi người, khách hàng nên thu xếp tài chính hợp lý để thanh toán nợ đầy đủ và đú…</t>
  </si>
  <si>
    <t>Bài anh em 1000 Won. (Theo title/meta, chưa đọc bài.)</t>
  </si>
  <si>
    <t>Yếu tố lãi suất không còn là “then chốt” để chọn mua t…</t>
  </si>
  <si>
    <t>Còn hiện nay, nhà đầu tư đã quan tâm hơn về các quy định của pháp luật, tìm hiểu kỹ thông tin và tình hình hoạt động ki…</t>
  </si>
  <si>
    <t>tỷ giá Won</t>
  </si>
  <si>
    <t>https://techcombank.com/thong-tin/blog/bi-quyet-lua-chon-trai-phieu-an-toan-cho-nha-dau-tu</t>
  </si>
  <si>
    <t>Thông thường, một số công ty chứng khoán lớn như TCBS khi tư vấn phát hành sẽ phối hợp với bên xếp hạng tín nhiệm để từ đó hỗ t…</t>
  </si>
  <si>
    <t>Du lịch Hàn Quốc cần quy đổi Won. (Theo title/meta, chưa đọc bài.)</t>
  </si>
  <si>
    <t>2.1. Lợi ích nổi bật</t>
  </si>
  <si>
    <t>Sau khi thống nhất các điều kiện vay với ngân hàng đầu mối thu xếp, khách hàng không cần làm việc riêng lẻ với từng tổ chức tín…</t>
  </si>
  <si>
    <t>https://techcombank.com/thong-tin/blog/co-nen-mua-bao-hiem-nhan-tho</t>
  </si>
  <si>
    <t>3. Nên mua bảo hiểm nhân thọ nào? Kinh nghiệm tham gia…</t>
  </si>
  <si>
    <t>Bạn có thể kiểm tra xếp hạng tín nhiệm, hoặc tham khảo đánh giá từ khách hàng cũ để yên tâm hơn</t>
  </si>
  <si>
    <t>Chuyển tiền Hàn về VN — tỷ giá Won. (Theo title/meta, chưa đọc bài.)</t>
  </si>
  <si>
    <t>3. Khám phá chương trình THE NEXTX 2026 - Đấu Trường AI…</t>
  </si>
  <si>
    <t>Trong đó, ông Damien Joseph – Phó Giáo sư Công nghệ Thông tin, Trường Kinh doanh Nanyang, Đại học Công nghệ Nanyang (NTU Singap…</t>
  </si>
  <si>
    <t>So sánh tỷ giá các ngân hàng — chèn ở mục KRW. (Theo title/meta, chưa đọc bài.)</t>
  </si>
  <si>
    <t>Thị trường hồi phục chậm nhưng theo hướng tích cực</t>
  </si>
  <si>
    <t>Theo đó, nhà đầu tư đã chú trọng hơn đến nhà tư vấn phát hành trái phiếu, tình hình hoạt động của doanh nghiệp, bao gồm các chỉ…</t>
  </si>
  <si>
    <t>2.2. Phát hành lại thẻ trực tiếp tại ngân hàng</t>
  </si>
  <si>
    <t>Nếu sắp xếp được thời gian, hãy đến các chi nhánh ngân hàng gần nhất để tiến hành phát hành lại thẻ tín dụng.</t>
  </si>
  <si>
    <t>Một trong những phương pháp để đánh giá độ uy tín của các ngân hàng đó là dựa vào báo cáo của Vietnam Report , đây là tổ chức c…</t>
  </si>
  <si>
    <t>Theo tổng hợp từ nhiều bảng xếp hạng uy tín và báo cáo tài chính năm 2026, dưới đây là TOP 10 ngân hàng uy tín tại Việt Nam năm…</t>
  </si>
  <si>
    <t>Bài anh em 1 vạn Đài tệ. (Theo title/meta, chưa đọc bài.)</t>
  </si>
  <si>
    <t>https://techcombank.com/thong-tin/blog/nha-dau-tu-giao-dich-trai-phieu-truc-tuyen-tang-manh-tro-lai</t>
  </si>
  <si>
    <t>Nhà đầu tư ưa trái phiếu từ tổ chức phát hành tin cậy</t>
  </si>
  <si>
    <t>Những TCPH có mức độ xếp hạng tín nhiệm cao hơn sẽ an toàn hơn cho nhà đầu tư.</t>
  </si>
  <si>
    <t>1.3. Bị ảnh hưởng tới lịch sử tín dụng cá nhân</t>
  </si>
  <si>
    <t>Không hoàn trả khoản vay thế chấp sẽ ảnh hưởng tới lịch sử tín dụng cá nhân và cơ hội được vay ngân hàng trong tương la…</t>
  </si>
  <si>
    <t>Định nghĩa ngoại tệ; chèn ví dụ Đài tệ. (Theo title/meta, chưa đọc bài.)</t>
  </si>
  <si>
    <t>CIC có nhiệm vụ thu thập, lưu trữ, phân tích và quản lý thông tin tín dụng của cá nhân và tổ chức tại Việt Nam.</t>
  </si>
  <si>
    <t>Tân Đài tệ</t>
  </si>
  <si>
    <t>2.1. Thanh toán khoản vay đúng hạn</t>
  </si>
  <si>
    <t>Khách hàng nên sắp xếp thanh toán khoản vay đúng hạn để không ảnh hưởng tới lịch sử tín dụng cá nhân và khả năng vay vố…</t>
  </si>
  <si>
    <t>Bảng tỷ giá — chèn ở mục TWD. (Theo title/meta, chưa đọc bài.)</t>
  </si>
  <si>
    <t>4.1. Có thể chi tiêu vượt hạn mức thẻ tín dụng không?</t>
  </si>
  <si>
    <t>Có thể tiêu vượt định mức hạng thẻ trong các trường hợp ngoại lệ được ngân hàng cho phép và phải đạt các điều kiện nhấ…</t>
  </si>
  <si>
    <t>tỷ giá Đài tệ</t>
  </si>
  <si>
    <t>Khi mới sử dụng thẻ tín dụng, nhiều người thường lo lắng bản thân sử dụng không đúng cách và có thể ảnh hưởng tới tài c…</t>
  </si>
  <si>
    <t>Trong phần "Thông tin cá nhân", chọn mục "Lịch sử tín dụng".</t>
  </si>
  <si>
    <t>Mua ngoại tệ đi du lịch — chèn ví dụ Đài Loan. (Theo title/meta, chưa đọc bài.)</t>
  </si>
  <si>
    <t>… quá tay gây ảnh hưởng đến khả năng thực hiện nghĩa vụ thanh toán dư nợ thẻ tín dụng</t>
  </si>
  <si>
    <t>Do đó, bạn nên chủ động thanh toán dư nợ thẻ tín dụng đúng hạn để duy trì lịch sử tín dụng tích cực, đồng th…</t>
  </si>
  <si>
    <t>5. VietinBank iPay</t>
  </si>
  <si>
    <t>thanh toán dư nợ thẻ tín dụng cùng hàng trăm ưu đãi lên đến 50%++ tại các đối tác khi thực hiện thanh toán bằng thẻ</t>
  </si>
  <si>
    <t>Tổng quan tiền Nhật — đoạn mệnh giá 10.000 Yên dẫn sang 1 Man. (Theo title/meta, chưa đọc bài.)</t>
  </si>
  <si>
    <t>2.2. Tài khoản &amp; Thẻ</t>
  </si>
  <si>
    <t>…ch hàng có thể theo dõi lịch sử giao dịch, tải sao kê, thanh toán dư nợ thẻ tín dụng… Các tính năng này không chỉ giúp…</t>
  </si>
  <si>
    <t>Bài 1 Yên — chèn ở đoạn quy đổi mệnh giá lớn. (Theo title/meta, chưa đọc bài.)</t>
  </si>
  <si>
    <t>1 Man Nhật</t>
  </si>
  <si>
    <t>4. Linh hoạt lựa chọn giải pháp chi tiêu cá nhân</t>
  </si>
  <si>
    <t>…ch hàng có thể theo dõi lịch sử giao dịch, tải sao kê, thanh toán dư nợ thẻ tín dụng,… Các tính năng này không chỉ giú…</t>
  </si>
  <si>
    <t>5.1. Thanh toán đúng hạn</t>
  </si>
  <si>
    <t>Để đảm bảo thanh toán đúng hạn dư nợ thẻ tín dụng, bạn cần nắm được quy tắc trả nợ thẻ tín dụng và các mốc:</t>
  </si>
  <si>
    <t>Bài 1000 Yên — dẫn sang 1 Man. (Theo title/meta, chưa đọc bài.)</t>
  </si>
  <si>
    <t>Sao kê tài khoản doanh nghiệp liệt kê tất cả các giao dịch, thanh toán tín dụng mỗi lần thu, chi trong tài khoản.</t>
  </si>
  <si>
    <t>Người lao động Nhật hay tính lương theo 'man'. (Theo title/meta, chưa đọc bài.)</t>
  </si>
  <si>
    <t>2. Ưu đãi mở thẻ tín dụng Techcombank</t>
  </si>
  <si>
    <t>Tích điểm U-Point khi chi tiêu qua thẻ tín dụng, sử dụng điểm U-Point để đổi thành quà tặng dưới dạng voucher, tiền thư…</t>
  </si>
  <si>
    <t>Du lịch Nhật; chèn ở đoạn chuẩn bị tiền mặt. (Theo title/meta, chưa đọc bài.)</t>
  </si>
  <si>
    <t>8. Thẻ tín dụng Vietnam Airlines Techcombank Visa Gold</t>
  </si>
  <si>
    <t>Thẻ tín dụng Vietnam Airlines Techcombank Visa Gold nổi bật với chương trình Tích dặm bay Bông Sen Vàng, phù hợp với nh…</t>
  </si>
  <si>
    <t>3.1. Nâng hạng hội viên Bông Sen Vàng hạng Titan</t>
  </si>
  <si>
    <t>Áp dụng cho chủ thẻ thanh toán hoặc thẻ tín dụng Vietnam Airlines Techcombank Visa , với các trường hợp sau:</t>
  </si>
  <si>
    <t>Bạn nên đảm bảo thẻ tín dụng nằm trong tầm kiểm soát khi thanh toán tại các cửa hàng và yêu cầu nhân viên xuất hóa đơn…</t>
  </si>
  <si>
    <t>Du lịch Thái cần biết tiền Thái. (Theo title/meta, chưa đọc bài.)</t>
  </si>
  <si>
    <t>Trải nghiệm đặc quyền xứng tầm phong cách sống với thẻ tín dụng Techcombank Visa Infinite/thẻ thanh toán Techcombank Pr…</t>
  </si>
  <si>
    <t>Một số ưu đãi độc quyền mà chủ nhân thẻ tín dụng đen sẽ được trải nghiệm khi thanh toán hoặc mua sắm như:</t>
  </si>
  <si>
    <t>Thanh toán QR ở Thái — liên quan quy đổi Baht. (Theo title/meta, chưa đọc bài.)</t>
  </si>
  <si>
    <t>tiền Baht Thái</t>
  </si>
  <si>
    <t>Mua ngoại tệ đi du lịch — ví dụ Baht. (Theo title/meta, chưa đọc bài.)</t>
  </si>
  <si>
    <t>1.1. Phân loại theo nguồn tài chính đảm bảo cho việc sử…</t>
  </si>
  <si>
    <t>Theo cách phân loại này, thẻ ngân hàng được chia làm 3 loại là thẻ thanh toán, thẻ tín dụng và thẻ trả trước, cụ thể:</t>
  </si>
  <si>
    <t>tiền Baht</t>
  </si>
  <si>
    <t>2.3. Có đổi mật khẩu (mã PIN) thẻ ATM trên Mobile Banki…</t>
  </si>
  <si>
    <t>Tại Techcombank, khách hàng hoàn toàn có thể thiết lập mã PIN mới cho thẻ thanh toán và thẻ tín dụng trên Techcombank Mobile bằ…</t>
  </si>
  <si>
    <t>4. Ưu đãi về lãi suất thẻ tín dụng</t>
  </si>
  <si>
    <t>Thẻ tín dụng Techcombank Visa Signature được miễn lãi lên tới 55 ngày, giúp chủ thẻ thoải mái chi tiêu và chủ động thu…</t>
  </si>
  <si>
    <t>Checklist du lịch — mục đổi tiền. (Theo title/meta, chưa đọc bài.)</t>
  </si>
  <si>
    <t>1. Mã số CVV/CVC là gì?</t>
  </si>
  <si>
    <t>Mã số CVV/CVC trên thẻ tín dụng hay thẻ ghi nợ là mã bảo mật của thẻ thanh toán và thẻ tín dụng được phát hành bởi ngân…</t>
  </si>
  <si>
    <t>Thẻ ghi nợ và thẻ tín dụng đều là các phương thức thanh toán không cần tiền mặt được sử dụng phổ biến hiện nay.</t>
  </si>
  <si>
    <t>2.3. Dư nợ tín dụng</t>
  </si>
  <si>
    <t>Dư nợ tín dụng là số tiền khách hàng đã sử dụng từ hạn mức tín dụng được ngân hàng cấp nhưng chưa hoàn trả, thường áp d…</t>
  </si>
  <si>
    <t>Vậy thẻ ghi nợ doanh nghiệp (thẻ Visa Business Debit) là gì, thẻ tín dụng là gì, chi tiết về tính năng, các loại giấy t…</t>
  </si>
  <si>
    <t>Với những khách hàng đang sử dụng thêm các sản phẩm tín dụng khác, chẳng hạn như vay ngân hàng chính sách xây nhà , việ…</t>
  </si>
  <si>
    <t>Thanh toán thẻ quốc tế khi du lịch — chèn ở đoạn tiền mặt. (Theo title/meta, chưa đọc bài.)</t>
  </si>
  <si>
    <t>2.4. Chủ động quản lý tài chính khi sử dụng thẻ tín dụ…</t>
  </si>
  <si>
    <t>Những khách hàng không có khả năng tự quản lý tài chính tốt khi sử dụng thẻ tín dụng sẽ dễ nảy sinh chi tiêu vượt mức d…</t>
  </si>
  <si>
    <t>5. Kinh nghiệm giúp nâng hạn mức thẻ tín dụng</t>
  </si>
  <si>
    <t>Việc mở quá nhiều thẻ tín dụng cùng một ngân hàng sẽ dẫn đến có nhiều dư nợ cần phải trả hàng tháng.</t>
  </si>
  <si>
    <t>Chứng chỉ tiền gửi và tiền gửi tiết kiệm/tiền gửi có kỳ hạn đều là những …</t>
  </si>
  <si>
    <t>Bài 1 USD — chèn ở đoạn quy đổi số tiền lớn. (Theo title/meta, chưa đọc bài.)</t>
  </si>
  <si>
    <t>Chứng chỉ tiền gửi là một giải pháp tài chính hiệu quả để tối ưu số tiền …</t>
  </si>
  <si>
    <t>https://techcombank.com/thong-tin/blog/high-net-worth-client-va-ultra-high-net-worth-client</t>
  </si>
  <si>
    <t>Bạn muốn mua chứng chỉ tiền gửi nhưng không biết mình sẽ nhận được lợi nhuận bao nhiêu?</t>
  </si>
  <si>
    <t>Lãi suất là một trong những tiêu chí được nhiều người quan tâm khi nắm giữ chứng chỉ tiền gửi tại ngân hàng.</t>
  </si>
  <si>
    <t>3. Mua chứng chỉ tiền gửi</t>
  </si>
  <si>
    <t>Chứng chỉ tiền gửi (CCTG) là giấy tờ có giá do ngân hàng hoặc tổ chức tín…</t>
  </si>
  <si>
    <t>Ngưỡng tài sản 'triệu đô' của HNWI. (Theo title/meta, chưa đọc bài.)</t>
  </si>
  <si>
    <t>3. Đầu tư thông minh</t>
  </si>
  <si>
    <t>Chứng chỉ tiền gửi Bảo Lộc Online trên Techcombank Mobile.</t>
  </si>
  <si>
    <t>1.2. Phân biệt tài sản thanh khoản cao và thanh khoản…</t>
  </si>
  <si>
    <t>Tiền mặt, tiền gửi thanh toán, chứng chỉ tiền gửi ngắn hạn, cổ phiếu/trái phiếu của các doanh nghiệp có khối lượng giao…</t>
  </si>
  <si>
    <t>Tỷ giá USD — ví dụ quy đổi 1 triệu đô. (Theo title/meta, chưa đọc bài.)</t>
  </si>
  <si>
    <t>3.2. Tất toán chứng chỉ tiền gửi</t>
  </si>
  <si>
    <t>Tất toán chứng chỉ tiền gửi là hành động chấm dứt quyền sở hữu chứng chỉ tiền gửi của khách hàng tại ngân hàng phát hàn…</t>
  </si>
  <si>
    <t>… bổ dòng vốn vào các tài sản như cổ phiếu, trái phiếu, chứng chỉ tiền gửi...</t>
  </si>
  <si>
    <t>Bài 1 Won có bảng quy đổi 1.000 Won (theo meta). (Theo title/meta, chưa đọc bài.)</t>
  </si>
  <si>
    <t>1. Đầu tư tài chính cá nhân là gì? Tại sao người trẻ c…</t>
  </si>
  <si>
    <t>…hàn rỗi vào các kênh sinh lời như tiết kiệm có kỳ hạn, chứng chỉ tiền gửi, trái phiếu, cổ phiếu hoặc chứng chỉ quỹ, nh…</t>
  </si>
  <si>
    <t>2.2. Phương thức mở sổ tiết kiệm/tài khoản tiền gửi</t>
  </si>
  <si>
    <t>Một số khách hàng cũng tìm hiểu thêm về chuyển nhượng chứng chỉ tiền gửi để linh hoạt hơn trong việc quản lý nguồn vốn…</t>
  </si>
  <si>
    <t>Bài anh em mệnh giá. (Theo title/meta, chưa đọc bài.)</t>
  </si>
  <si>
    <t>1,000 won</t>
  </si>
  <si>
    <t>2.3. Chiếc lọ 3: Đầu tư (10%)</t>
  </si>
  <si>
    <t>…thông qua các hình thức đầu tư khác nhau như cổ phiếu, chứng chỉ tiền gửi, bất động sản hay quỹ đầu tư.</t>
  </si>
  <si>
    <t>4.2 Cổ phiếu và chứng khoán</t>
  </si>
  <si>
    <t>Các lựa chọn đầu tư như cổ phiếu, chứng khoán, chứng chỉ tiền gửi ,...</t>
  </si>
  <si>
    <t>Du lịch Hàn — giá món đồ thường tính nghìn Won. (Theo title/meta, chưa đọc bài.)</t>
  </si>
  <si>
    <t>2.3. Quỹ cân bằng</t>
  </si>
  <si>
    <t>Quỹ cân bằng là quỹ đầu tư kết hợp cả cổ phiếu, trái phiếu và đôi khi là các tài sản khác (tiền gửi, chứng chỉ tiền gửi…</t>
  </si>
  <si>
    <t>2.2. Thẻ tín dụng nội địa NAPAS</t>
  </si>
  <si>
    <t>…tài chính khác ngoài thẻ NAPAS, bạn có thể tham khảo “ chứng chỉ tiền gửi có an toàn không ” để đánh giá độ bảo mật và…</t>
  </si>
  <si>
    <t>Chuyển tiền Hàn — quy đổi. (Theo title/meta, chưa đọc bài.)</t>
  </si>
  <si>
    <t>“Đối với các giải pháp tiền gửi, chứng chỉ tiền gửi, những sản phẩm truyền thống của ngân hàng thì gần như…</t>
  </si>
  <si>
    <t>2. Lời khuyên giúp bạn vay thế chấp với hạn mức vay cao</t>
  </si>
  <si>
    <t>Phân biệt chứng chỉ tiền gửi và sổ tiết kiệm .</t>
  </si>
  <si>
    <t>Gửi tiết kiệm, tích lũy, chứng chỉ tiền gửi</t>
  </si>
  <si>
    <t>3. Hướng dẫn cách gửi tiền tiết kiệm hàng tháng</t>
  </si>
  <si>
    <t>…cũng có thể cân nhắc các sản phẩm tích lũy an toàn như chứng chỉ tiền gửi Techcombank để đa dạng hóa danh mục và tối ư…</t>
  </si>
  <si>
    <t>6. Techcombank Mobile - ngân hàng số với nhiều tính năn…</t>
  </si>
  <si>
    <t>Chứng chỉ tiền gửi Bảo Lộc , Tiền gửi rút gốc linh hoạt , Tích lũy Như Ý ,...</t>
  </si>
  <si>
    <t>Kiều hối là tiền từ nước ngoài về. (Theo title/meta, chưa đọc bài.)</t>
  </si>
  <si>
    <t>3. Cung cấp sản phẩm phù hợp với thói quen tiêu dùng</t>
  </si>
  <si>
    <t>Chứng chỉ tiền gửi Bảo Lộc:</t>
  </si>
  <si>
    <t>2. So sánh lãi suất gửi tiết kiệm online và gửi tiết k…</t>
  </si>
  <si>
    <t>…ản phẩm đầu tư an toàn tương tự tiền gửi, việc hiểu rõ chứng chỉ tiền gửi khác gì trái phiếu cũng sẽ giúp đưa ra lựa c…</t>
  </si>
  <si>
    <t>Một kênh nhận tiền từ nước ngoài. (Theo title/meta, chưa đọc bài.)</t>
  </si>
  <si>
    <t>nhận tiền từ nước ngoài</t>
  </si>
  <si>
    <t>Chứng chỉ tiền gửi là loại giấy tờ có giá được bảo hiểm theo quy định tại…</t>
  </si>
  <si>
    <t>3.1. Tối ưu dòng tiền nhàn rỗi mà vẫn đảm bảo chi tiêu…</t>
  </si>
  <si>
    <t>… giải pháp sinh lời an toàn như Tiền gửi không kỳ hạn, Chứng chỉ tiền gửi Bảo Lộc, Tài sản khác,...</t>
  </si>
  <si>
    <t>…suất hấp dẫn và đa dạng giải pháp tiền gửi (bao gồm cả chứng chỉ tiền gửi Techcombank ) phù hợp với nhu cầu tài chính</t>
  </si>
  <si>
    <t>Khi tất toán chứng chỉ tiền gửi đúng thời gian đáo hạn, khách hàng sẽ nhận được tiền gốc và lợi suất đầu tư như kỳ vọng.</t>
  </si>
  <si>
    <t>Nhận tiền quốc tế cần mã SWIFT. (Theo title/meta, chưa đọc bài.)</t>
  </si>
  <si>
    <t>nhận kiều hối</t>
  </si>
  <si>
    <t>2. Lợi ích và lưu ý khi gửi tiết kiệm tiền</t>
  </si>
  <si>
    <t>Gửi tiết kiệm tiền trực tiếp tại phòng giao dịch/chi nhánh ngân hàng và sở hữu cuốn sổ tiết kiệm - “chứng chỉ” xác nhận…</t>
  </si>
  <si>
    <t>Trường hợp cụ thể từ Mỹ. (Theo title/meta, chưa đọc bài.)</t>
  </si>
  <si>
    <t>1. Hiểu rõ về gửi tiết kiệm thông thường và gửi tích l…</t>
  </si>
  <si>
    <t>Bù lại, hình thức gửi tiết kiệm tích lũy chỉ cần gửi vốn định kỳ hàng tháng nhỏ và tiền lãi sẽ tăng dần đều khi gửi thê…</t>
  </si>
  <si>
    <t>1. Gửi tiết kiệm ngân hàng vẫn tiếp tục tăng trưởng</t>
  </si>
  <si>
    <t>Cụ thể, số liệu trong báo cáo mới nhất của Ngân hàng Nhà nước chỉ ra rằng, lượng tiền gửi của người dân vào hệ thống ng…</t>
  </si>
  <si>
    <t>Ngoài ra, với xu hướng lãi suất tiền gửi đang lùi về mức rất thấp chỉ 4%-5%/năm, đầu tư trái phiếu cũng đảm bảo có lợi…</t>
  </si>
  <si>
    <t>Remittance = chuyển tiền quốc tế. (Theo title/meta, chưa đọc bài.)</t>
  </si>
  <si>
    <t>1. Công cụ tính lợi nhuận chứng chỉ tiền gửi nhanh, đơ…</t>
  </si>
  <si>
    <t>Dự phóng lợi suất Chứng chỉ tiền gửi Bảo Lộc trên Techcombank Mobile.</t>
  </si>
  <si>
    <t>1. Tất toán chứng chỉ tiền gửi là gì?</t>
  </si>
  <si>
    <t>Lãi suất chứng chỉ tiền gửi tiền gửi có sự thay đổi tùy theo thời điểm tất toán chứng chỉ tiền gửi.</t>
  </si>
  <si>
    <t>Điều kiện mua USD → nơi mua. (Theo title/meta, chưa đọc bài.)</t>
  </si>
  <si>
    <t>1. Quy định về rút chứng chỉ tiền gửi trước hạn</t>
  </si>
  <si>
    <t>Thông thường, khách hàng sẽ hưởng lãi suất không kỳ hạn khi thực hiện tất toán chứng chỉ tiền gửi trước hạn .</t>
  </si>
  <si>
    <t>3. Thủ tục chuyển nhượng</t>
  </si>
  <si>
    <t>Chuyển nhượng chứng chỉ tiền gửi là giải pháp tối ưu để nhận lợi suất hấp dẫn theo thời gian sở hữu thực tế, đặc biệt t…</t>
  </si>
  <si>
    <t>Hạn mức mua ngoại tệ → nơi đổi. (Theo title/meta, chưa đọc bài.)</t>
  </si>
  <si>
    <t>đổi USD ở đâu</t>
  </si>
  <si>
    <t>Vì vậy, khách hàng sở hữu chứng chỉ tiền gửi có thể yên tâm về quyền lợi của mình.</t>
  </si>
  <si>
    <t>So sánh tỷ giá → chọn nơi đổi. (Theo title/meta, chưa đọc bài.)</t>
  </si>
  <si>
    <t>1.2. Tối ưu sinh lời cho nguồn tiền nhàn rỗi trong ngắ…</t>
  </si>
  <si>
    <t>Lợi suất Chứng chỉ tiền gửi Bảo Lộc được tính theo số ngày nắm giữ thực tế.</t>
  </si>
  <si>
    <t>Checklist đi nước ngoài — đổi tiền. (Theo title/meta, chưa đọc bài.)</t>
  </si>
  <si>
    <t>5. Trải nghiệm tài khoản Techcombank Business chuyên b…</t>
  </si>
  <si>
    <t>Chứng chỉ tiền gửi Bảo Lộc và tiền gửi có kỳ hạn lãi suất cạnh tranh.</t>
  </si>
  <si>
    <t>Bài quy đổi USD — chèn ở đoạn đổi tiền. (Theo title/meta, chưa đọc bài.)</t>
  </si>
  <si>
    <t>1. Số tiết kiệm ngân hàng là gì?</t>
  </si>
  <si>
    <t>Số sổ, số tiền đã gửi, đơn vị tiền tệ, ngày gửi, ngày đáo hạn, kỳ hạn gửi, lãi suất, phương thức trả lãi...</t>
  </si>
  <si>
    <t>2. Ưu điểm của giải pháp Tích lũy Như Ý so với gửi tiế…</t>
  </si>
  <si>
    <t>Người dùng có tạm thời bỏ qua kỳ gửi tiền nào đó mà không phải lo lắng về việc ảnh hưởng đến lãi suất</t>
  </si>
  <si>
    <t>Cách tính lãi suất tiền gửi tiết kiệm chính xác, đơn giản</t>
  </si>
  <si>
    <t>3.2. Với hình thức gửi tiết kiệm có kỳ hạn</t>
  </si>
  <si>
    <t>Tuy nhiên, khách hàng sẽ chỉ nhận được mức lãi suất không kỳ hạn với số tiền đã rút ra và sẽ phải hoàn trả số tiền lãi…</t>
  </si>
  <si>
    <t>Cân nhắc vay mua nhà — ví dụ khoản vay 1 tỷ. (Theo title/meta, chưa đọc bài.)</t>
  </si>
  <si>
    <t>1. Cập nhật lãi suất chứng chỉ quỹ hiện nay</t>
  </si>
  <si>
    <t>Lãi suất của chứng chỉ quỹ không cố định như lãi suất tiền gửi ngân hàng.</t>
  </si>
  <si>
    <t>Thủ tục vay mua nhà — câu hỏi trả mỗi tháng bao nhiêu. (Theo title/meta, chưa đọc bài.)</t>
  </si>
  <si>
    <t>vay 1 tỷ mỗi tháng trả bao nhiêu</t>
  </si>
  <si>
    <t>Kinh nghiệm tránh áp lực trả nợ hàng tháng. (Theo title/meta, chưa đọc bài.)</t>
  </si>
  <si>
    <t>vay 1 tỷ trong 20 năm mỗi tháng trả bao nhiêu</t>
  </si>
  <si>
    <t>5. Tối ưu quản trị tài chính toàn diện với Techcombank…</t>
  </si>
  <si>
    <t>Chứng chỉ tiền gửi Bảo Lộc và tiền gửi có kỳ hạn với lãi suất cạnh tranh, giao dịch online tiện lợi, minh bạch, an toàn .</t>
  </si>
  <si>
    <t>Vay mua chung cư thường ở mức ~1 tỷ. (Theo title/meta, chưa đọc bài.)</t>
  </si>
  <si>
    <t>&gt;&gt;&gt; Tìm hiểu về chứng chỉ tiền gửi techcombank - Sinh lãi mỗi ngày, thanh khoản linh hoạt</t>
  </si>
  <si>
    <t>Lãi suất thế chấp → số tiền trả hàng tháng. (Theo title/meta, chưa đọc bài.)</t>
  </si>
  <si>
    <t>Meta description bài đích (vay-ngan-hang-1-ty) đang lệch nội dung — nên sửa. Bài chưa có trong file crawl: kiểm tra link cũ khi mở bài.</t>
  </si>
  <si>
    <t>4. Điểm vượt trội và lưu ý khi mua chứng chỉ tiền gửi</t>
  </si>
  <si>
    <t>Nhiều ngân hàng đang đẩy mạnh phát hành chứng chỉ tiền gửi với lãi suất cao hơn lãi suất tiền gửi kỳ hạn dưới 6 tháng</t>
  </si>
  <si>
    <t>Mối lo lạm phát</t>
  </si>
  <si>
    <t>Tuy vậy, lựa chọn kênh gửi tiền vào ngân hàng lại ngày càng bớt hấp dẫn, khi đà giảm lãi suất kéo dài hai tháng gần đây…</t>
  </si>
  <si>
    <t>1. Chứng chỉ tiền gửi không phải là trái phiếu</t>
  </si>
  <si>
    <t>Với những ai chưa biết tới khái niệm chứng chỉ tiền gửi là gì , theo Thông tư 02/2025/TT-NHNN , chứng chỉ tiền gửi là m…</t>
  </si>
  <si>
    <t>Đặt vé máy bay online — Traveloka là kênh đặt vé. (Theo title/meta, chưa đọc bài.)</t>
  </si>
  <si>
    <t>1. Tiền gửi có kỳ hạn là gì?</t>
  </si>
  <si>
    <t>Có thể tất toán trước hạn nhưng cần thông báo với ngân hàng và khoản tiền rút ra sẽ chỉ được hưởng lãi suất không kỳ hạ…</t>
  </si>
  <si>
    <t>Cơ hội đầu tư trái phiếu</t>
  </si>
  <si>
    <t>Hiện nay, một điểm tích cực nhìn thấy ở kênh đầu tư trái phiếu là mặt bằng lãi suất tiết kiệm ngân hàng đã xuống rất th…</t>
  </si>
  <si>
    <t>Bước 3: Xây dựng một chiến lược đầu tư</t>
  </si>
  <si>
    <t>Gửi tiết kiệm ngân hàng, mua trái phiếu chính phủ, hoặc chứng chỉ tiền gửi.</t>
  </si>
  <si>
    <t>Săn vé rẻ — dùng voucher Traveloka. (Theo title/meta, chưa đọc bài.)</t>
  </si>
  <si>
    <t>cách lấy voucher Traveloka</t>
  </si>
  <si>
    <t>https://techcombank.com/thong-tin/blog/techcombank-oneu</t>
  </si>
  <si>
    <t>4. Vai trò của ESG đối với doanh nghiệp</t>
  </si>
  <si>
    <t>Song song đó, ngân hàng cũng cung cấp đa dạng các sản phẩm tích lũy, chẳng hạn như tìm hiểu chứng chỉ tiền gửi là gì để tối ưu …</t>
  </si>
  <si>
    <t>Đổi điểm U-Point trên OneU — voucher Traveloka là quà đổi. (Theo title/meta, chưa đọc bài.)</t>
  </si>
  <si>
    <t>2. Cách tính NIM và các yếu tố ảnh hưởng đến chỉ số này</t>
  </si>
  <si>
    <t>Tài sản sinh lời bình quân là giá trị bình quân của các tài sản có khả năng tạo thu nhập lãi, thường gồm dư nợ cho vay, chứng k…</t>
  </si>
  <si>
    <t>https://techcombank.com/thong-tin/blog/tich-diem-doi-qua</t>
  </si>
  <si>
    <t>Tích điểm đổi quà — ví dụ voucher Traveloka. (Theo title/meta, chưa đọc bài.)</t>
  </si>
  <si>
    <t>3. Phân loại tài sản theo tính thanh khoản</t>
  </si>
  <si>
    <t>Tiền gửi không kỳ hạn tại ngân hàng, chứng chỉ tiền gửi ngắn hạn, tín phiếu kho bạc.</t>
  </si>
  <si>
    <t>Chứng chỉ tiền gửi Bảo Lộc có lợi suất hấp dẫn.</t>
  </si>
  <si>
    <t>Ngân hàng số Techcombank phát hành Chứng chỉ tiền gửi Bảo Lộc với lợi suất lên tới 4.1%/năm(*) và cho phép khách hàng c…</t>
  </si>
  <si>
    <t>3.2.2. Chứng chỉ tiền gửi</t>
  </si>
  <si>
    <t>&gt;&gt;&gt; Khách hàng vui lòng tham khảo bảng lợi suất mới nhất để biết thêm chi tiết tại trang Chứng chỉ tiền gửi Bảo Lộc .</t>
  </si>
  <si>
    <t>Có mục 'mức thuế phải đóng' (theo title). (Theo title/meta, chưa đọc bài.)</t>
  </si>
  <si>
    <t>2.6. MB Bank</t>
  </si>
  <si>
    <t>Bên cạnh đó, để cân nhắc các phương án tiết kiệm, bạn cũng có thể tham khảo Chứng chỉ tiền gửi bảo lộc lợi suất tính theo ngày …</t>
  </si>
  <si>
    <t>…iền Trung Quốc , đổi tiền Trung Quốc ở đâu và cập nhật tỷ giá Nhân dân tệ hôm nay (RMB/VND) mới nhất.</t>
  </si>
  <si>
    <t>Tỷ giá Nhân dân tệ (CNY) so với Việt Nam đồng (VND) thay đổi theo thị trư…</t>
  </si>
  <si>
    <t>Thuế khoán là cách đóng thuế của HKD. (Theo title/meta, chưa đọc bài.)</t>
  </si>
  <si>
    <t>hộ kinh doanh đóng thuế</t>
  </si>
  <si>
    <t>Khi giao dịch ngoại tệ, một trong những câu hỏi phổ biến mà nhiều người quan tâm là "1 vạn tệ bằng bao nhiêu tiền Việt?…</t>
  </si>
  <si>
    <t>2.2. Tìm hiểu về tỷ giá chuyển đổi và phí giao dịch qu…</t>
  </si>
  <si>
    <t>Mọi giao dịch phát sinh bằng đồng Nhân dân tệ (CNY) sẽ được chuyển đổi sang đồng Việt Nam (VND) dựa trên tỷ giá áp dụng…</t>
  </si>
  <si>
    <t>4.2. Gửi tiền Man Nhật về nước nhanh chóng</t>
  </si>
  <si>
    <t>Hiểu rõ về các đơn vị tiền tệ Nhật Bản, đặc biệt là việc quy đổi 1 Man, 3 Man hay thậm chí là 10 Man bằng bao nhiêu tiề…</t>
  </si>
  <si>
    <t>Miễn thuế — đối lập với nghĩa vụ đóng thuế. (Theo title/meta, chưa đọc bài.)</t>
  </si>
  <si>
    <t>1. Quy định về hạn mức mua ngoại tệ tiền mặt tại tổ ch…</t>
  </si>
  <si>
    <t>Cá nhân là công dân Việt Nam được quyền mua ngoại tệ tiền mặt tại tổ chức tín dụng được phép để đáp ứng các nhu cầu ngo…</t>
  </si>
  <si>
    <t>2.2. Tài khoản tiết kiệm</t>
  </si>
  <si>
    <t>Để mở tài khoản tiết kiệm bằng đồng ngoại tệ, khách hàng cần là công dân Việt Nam, đang cư trú tại Việt Nam.</t>
  </si>
  <si>
    <t>Hiểu rõ cách quy đổi tiền tệ giúp bạn chủ động hơn trong việc chuyển tiền từ Đức về Việt Nam.</t>
  </si>
  <si>
    <t>2.2. Nhận chuyển khoản từ nước ngoài về Việt Nam bằng…</t>
  </si>
  <si>
    <t>Nhận tiền bằng nhiều loại ngoại tệ khác nhau tương ứng với loại ngoại tệ của tài khoản mở tại ngân hàng</t>
  </si>
  <si>
    <t>Truy thu khi đóng thuế sai. (Theo title/meta, chưa đọc bài.)</t>
  </si>
  <si>
    <t>nghĩa vụ thuế hộ kinh doanh</t>
  </si>
  <si>
    <t>1. Phí chuyển đổi ngoại tệ là gì?</t>
  </si>
  <si>
    <t>Currency Conversion Fee hoặc Foreign Transaction Fee ) là khoản phí mà một tổ chức tài chính (như ngân hàng, công ty th…</t>
  </si>
  <si>
    <t>1. Chuyển đổi tiền Hàn Quốc</t>
  </si>
  <si>
    <t>Dễ dàng ước tính 1000 Won bằng bao nhiêu tiền Việt cũng như giá trị giao dịch mua, bán ngoại tệ của bạn theo tỷ giá mới…</t>
  </si>
  <si>
    <t>Cập nhật quy định HKD — chèn ở đoạn thuế. (Theo title/meta, chưa đọc bài.)</t>
  </si>
  <si>
    <t>1. Chuyển đổi tỷ giá Đài tệ hôm nay</t>
  </si>
  <si>
    <t>Dễ dàng ước tính giá trị giao dịch mua, bán tiền Đài Loan của bạn như 1 hay 1000 Đài tệ bằng bao nhiêu tiền Việt theo t…</t>
  </si>
  <si>
    <t>Do đó, tỷ giá 1 Đô Mỹ bằng bao nhiêu tiền Việt luôn được nhiều người quan tâm, dù mức quy đổi này thay đổi liên tục the…</t>
  </si>
  <si>
    <t>Tuy nhiên, 1000 Yên bằng bao nhiêu tiền Việt Nam không phải là con số cố định, mà thay đổi liên tục theo biến động của…</t>
  </si>
  <si>
    <t>Vậy 1 Won bằng bao nhiêu tiền Việt?</t>
  </si>
  <si>
    <t>Việc nắm rõ 1 Dollar Úc bằng bao nhiêu tiền Việt Nam giúp cá nhân và doanh nghiệp chủ động hơn trong giao dịch, thanh t…</t>
  </si>
  <si>
    <t>Việc nắm rõ 1 cent tương đương bao nhiêu tiền Việt giúp bạn tính toán chi phí chính xác khi đổi ngoại tệ, thanh toán qu…</t>
  </si>
  <si>
    <t>Nhượng quyền là một mô hình kinh doanh. (Theo title/meta, chưa đọc bài.)</t>
  </si>
  <si>
    <t>1. Chuyển đổi tỷ giá Euro</t>
  </si>
  <si>
    <t>Dễ dàng ước tính 1 Euro bằng bao nhiêu tiền Việt cũng như giá trị giao dịch mua, bán ngoại tệ của bạn theo tỷ giá mới nhất với …</t>
  </si>
  <si>
    <t>Kinh doanh online — chọn mô hình. (Theo title/meta, chưa đọc bài.)</t>
  </si>
  <si>
    <t>mô hình kinh doanh</t>
  </si>
  <si>
    <t>1. Chuyển đổi tiền tệ</t>
  </si>
  <si>
    <t>Dễ dàng ước tính giá trị giao dịch mua, bán ngoại tệ của bạn như 1 triệu Won, 5 triệu Won bằng bao nhiêu tiền Việt Nam theo tỷ …</t>
  </si>
  <si>
    <t>Mô hình One-Stop Shop. (Theo title/meta, chưa đọc bài.)</t>
  </si>
  <si>
    <t>1. Công cụ chuyển đổi tỷ giá Kip Lào</t>
  </si>
  <si>
    <t>Dễ dàng ước tính 1 Kip Lào bằng bao nhiêu tiền Việt Nam, giá trị giao dịch mua, bán tiền Lào của bạn theo tỷ giá mới nhất với c…</t>
  </si>
  <si>
    <t>3.2. Nắm rõ biểu phí khi sử dụng thẻ thanh toán quốc tế</t>
  </si>
  <si>
    <t>Tạo xong mã QR → gửi cho người khác. (Theo title/meta, chưa đọc bài.)</t>
  </si>
  <si>
    <t>Vì tài khoản thanh toán của bạn là tiền Việt (VND), nên khi bạn chi tiêu bằng USD, EUR hay JPY, ngân hàng sẽ cần thực hiện quy …</t>
  </si>
  <si>
    <t>2. Các tiêu chí của ngoại tệ mạnh</t>
  </si>
  <si>
    <t>Tỷ lệ lạm phát thấp và ổn định là một yếu tố quan trọng trong việc đánh giá sức mạnh của ngoại tệ.</t>
  </si>
  <si>
    <t>6. Ngoại tệ và thẻ tín dụng</t>
  </si>
  <si>
    <t>Để tránh những biến động về tỷ giá và phí chuyển đổi, việc mua ngoại tệ trước chuyến đi là điều cần thiết.</t>
  </si>
  <si>
    <t>3. Quy định về tỷ giá và giao dịch ngoại tệ</t>
  </si>
  <si>
    <t>Theo quy định tại điều 5 Thông tư 02/2021/TT-NHNN , tỷ giá mua bán ngoại tệ được xác định là tỷ giá hối đoái.</t>
  </si>
  <si>
    <t>In mã QR — dạng chia sẻ khác. (Theo title/meta, chưa đọc bài.)</t>
  </si>
  <si>
    <t>cách gửi mã QR ngân hàng</t>
  </si>
  <si>
    <t>3.4. Các thành phần tham gia thị trường ngoại hối</t>
  </si>
  <si>
    <t>Thực hiện các chính sách tiền tệ, can thiệp để ổn định tỷ giá và kiểm soát lạm phát.</t>
  </si>
  <si>
    <t>Trong bối cảnh nhu cầu giao dịch ngoại tệ ngày càng tăng, việc so sánh tỷ giá các ngân hàng trở thành bước bắt buộc để…</t>
  </si>
  <si>
    <t>Gửi mã QR có an toàn không. (Theo title/meta, chưa đọc bài.)</t>
  </si>
  <si>
    <t>Tỷ giá là gì và tại sao tỷ giá lại quan trọng trong các giao dịch ngoại tệ?</t>
  </si>
  <si>
    <t>Dễ dàng ước tính giá trị giao dịch mua, bán ngoại tệ của bạn theo tỷ giá mới nhất với công cụ chuyển đổi tiền tệ của Te…</t>
  </si>
  <si>
    <t>Phí làm mã QR — dẫn sang cách lấy/gửi. (Theo title/meta, chưa đọc bài.)</t>
  </si>
  <si>
    <t>4. Dịch vụ mua bán ngoại tệ kỳ hạn cho khách hàng doanh…</t>
  </si>
  <si>
    <t>Đây là một công cụ hữu ích cho doanh nghiệp và cá nhân có kế hoạch ngoại tệ dài hạn, giúp chủ động tài chính, giảm thiểu rủi ro…</t>
  </si>
  <si>
    <t>Lỗi mã QR khi gửi/nhận. (Theo title/meta, chưa đọc bài.)</t>
  </si>
  <si>
    <t>Khi thực hiện chuyển tiền trợ cấp thân nhân ở nước ngoài, chi phí giao dịch không chỉ bao gồm phí chuyển tiền mà còn chịu tác đ…</t>
  </si>
  <si>
    <t>Trong bối cảnh kinh tế toàn cầu liên tục biến động, tỷ giá USD/VND đang là mối quan tâm lớn không chỉ với doanh nghiệp…</t>
  </si>
  <si>
    <t>HKD cần gì ở TK — sát chủ đề. (Theo title/meta, chưa đọc bài.)</t>
  </si>
  <si>
    <t>2. 1 Cent bằng bao nhiêu tiền Việt Nam?</t>
  </si>
  <si>
    <t>Số tiền (cent) × 0.01 USD × Tỷ giá USD/VND = Số tiền VND</t>
  </si>
  <si>
    <t>Thành lập HKD xong → mở TK. (Theo title/meta, chưa đọc bài.)</t>
  </si>
  <si>
    <t>cách mở tài khoản hộ kinh doanh</t>
  </si>
  <si>
    <t>2. Cập nhật tỉ giá USD to VND mới nhất hôm nay</t>
  </si>
  <si>
    <t>Số tiền (USD) x Tỷ giá USD/VND = Số tiền (VND)</t>
  </si>
  <si>
    <t>2.2. Yếu tố trong nước</t>
  </si>
  <si>
    <t>Tỷ giá USD/VND trên thị trường tự do cũng là một yếu tố tác động đến giá vàng quy đổi trong nước.</t>
  </si>
  <si>
    <t>Khai báo TK với thuế — cần có TK HKD. (Theo title/meta, chưa đọc bài.)</t>
  </si>
  <si>
    <t>tài khoản hộ kinh doanh</t>
  </si>
  <si>
    <t>3. Các yếu tố tác động trực tiếp đến giá vàng 14K</t>
  </si>
  <si>
    <t>Tỷ giá USD/VND cũng ảnh hưởng đến mức quy đổi từ giá vàng thế giới sang đồng Việt Nam.</t>
  </si>
  <si>
    <t>5. Công thức quy đổi giá vàng thế giới (USD/oz) sang g…</t>
  </si>
  <si>
    <t>Giá vàng Việt Nam (VND/lượng) = {[(Giá thế giới + Phí) x (1 + Thuế nhập khẩu)]/0.82945 x Tỷ giá USD/VND} + Phí gia công</t>
  </si>
  <si>
    <t>Định nghĩa HKD cá thể. (Theo title/meta, chưa đọc bài.)</t>
  </si>
  <si>
    <t>2. Các yếu tố tác động trực tiếp đến giá vàng 16K</t>
  </si>
  <si>
    <t>… hưởng bởi động thái lãi suất của các ngân hàng lớn và tỷ giá USD/VND.</t>
  </si>
  <si>
    <t>1. Lãi suất gửi tiết kiệm USD - Cập nhật 2026</t>
  </si>
  <si>
    <t>Gửi tiết kiệm USD không mang lại lãi suất cho khoản tiền gửi của khách hàng mà chỉ đảm bảo được tính an toàn và ổn định…</t>
  </si>
  <si>
    <t>Đăng ký MST HKD — bước liền kề. (Theo title/meta, chưa đọc bài.)</t>
  </si>
  <si>
    <t>1.1. Ưu điểm khi gửi tiết kiệm USD</t>
  </si>
  <si>
    <t>Bạn có thể gửi tiết kiệm USD tại ngân hàng và chờ tỷ giá USD/VND tăng để bán ra lấy lời.</t>
  </si>
  <si>
    <t>2. 1 triệu Đô bằng bao nhiêu tiền Việt?</t>
  </si>
  <si>
    <t>Kê khai cần tính số thuế trước. (Theo title/meta, chưa đọc bài.)</t>
  </si>
  <si>
    <t>Bạn đang có kế hoạch du lịch Trung Quốc, kinh doanh hàng hóa từ đất nước tỷ dân, hay đơn giản chỉ muốn biết 1 Nhân dân…</t>
  </si>
  <si>
    <t>4. Tỷ giá Nhân dân tệ (CNY) so với tiền Việt Nam (VND)…</t>
  </si>
  <si>
    <t>Trả lời cho câu hỏi 1 tệ bằng bao nhiêu tiền Việt cũng như tỷ giá tiền Trung Quốc thì hiện nay 1 Nhân dân tệ Trung Quốc…</t>
  </si>
  <si>
    <t>Kiểm tra số thuế → đối chiếu cách tính. (Theo title/meta, chưa đọc bài.)</t>
  </si>
  <si>
    <t>cách tính thuế hộ kinh doanh</t>
  </si>
  <si>
    <t>Thuế TMĐT cho HKD — tính theo tỷ lệ doanh thu. (Theo title/meta, chưa đọc bài.)</t>
  </si>
  <si>
    <t>Chính sách thuế mới cho HKD. (Theo title/meta, chưa đọc bài.)</t>
  </si>
  <si>
    <t>Tổng quan HKD — chèn ở đoạn nghĩa vụ thuế. (Theo title/meta, chưa đọc bài.)</t>
  </si>
  <si>
    <t>2. Cập nhật tỷ giá Đô Úc mới nhất hôm nay</t>
  </si>
  <si>
    <t>Dựa trên tỷ giá tham khảo là 1,000 VND = 0.05 AUD , một số mức quy đổi phổ biến như sau:</t>
  </si>
  <si>
    <t>Bài viết này sẽ giới thiệu chi tiết về đơn vị tiền, các mệnh giá tiền Singapore phổ biến và cập nhật tỷ giá SGD/VND mới…</t>
  </si>
  <si>
    <t>Dư nợ là cơ sở tính lãi. (Theo title/meta, chưa đọc bài.)</t>
  </si>
  <si>
    <t>Bài viết dưới đây sẽ giúp bạn cập nhật tỷ giá KRW/VND mới nhất, các mệnh giá tiền Hàn Quốc, cách quy đổi đơn giản và nh…</t>
  </si>
  <si>
    <t>Bài viết tổng hợp 2 cách chuyển tiền từ Nhật về Việt Nam an toàn, minh bạch, chi phí tối ưu, đồng thời cập nhật tỷ giá…</t>
  </si>
  <si>
    <t>Ân hạn gốc thay đổi cách tính lãi. (Theo title/meta, chưa đọc bài.)</t>
  </si>
  <si>
    <t>Tỷ giá Nhân dân tệ (CNY) so với Việt Nam đồng (VND) thay đổi theo thị trường, vì vậy việc cập nhật tỷ giá mới nhất sẽ g…</t>
  </si>
  <si>
    <t>2. 100 Riel tiền Campuchia bằng bao nhiêu tiền Việt Na…</t>
  </si>
  <si>
    <t>100 Riel Campuchia (100 KHR) đổi sang tiền Việt Nam hiện tương đương khoảng 652.32 VND(*) , dựa trên tỷ giá tham khảo g…</t>
  </si>
  <si>
    <t>3. Tỷ giá Rupiah Indonesia (IDR) sang Việt Nam đồng (V…</t>
  </si>
  <si>
    <t>Tỷ giá Indonesia IDR/VND biến động liên tục theo điều kiện thị trường.</t>
  </si>
  <si>
    <t>Lãi thả nổi/cố định → cách tính khác nhau. (Theo title/meta, chưa đọc bài.)</t>
  </si>
  <si>
    <t>công thức tính lãi vay</t>
  </si>
  <si>
    <t>3. Hướng dẫn nộp tiền du học trên Flywire</t>
  </si>
  <si>
    <t>Đồng tiền thanh toán bằng VND mặc định trên Flywire được cố định mức tỷ giá quy đổi cao.</t>
  </si>
  <si>
    <t>4. Tỷ giá Yên Nhật (JPY) so với tiền Việt Nam (VND) hô…</t>
  </si>
  <si>
    <t>Số tiền (JPY) × Tỷ giá JPY/VND = Số tiền (VND)</t>
  </si>
  <si>
    <t>Công thức lãi suất thực — cùng chủ đề tính lãi. (Theo title/meta, chưa đọc bài.)</t>
  </si>
  <si>
    <t>3.1. Lập kế hoạch tài chính rõ ràng</t>
  </si>
  <si>
    <t>Phí ngân hàng hoặc chênh lệch tỷ giá khi chuyển tiền từ VND sang USD, EUR, GBP,...</t>
  </si>
  <si>
    <t>tính lãi vay theo dư nợ giảm dần</t>
  </si>
  <si>
    <t>Bài viết này sẽ cung cấp cho bạn những thông tin chi tiết và cập nhật nhất về tiền Malaysia, bao gồm các mệnh giá tiền…</t>
  </si>
  <si>
    <t>Vay trả góp — chèn ở đoạn chi phí lãi. (Theo title/meta, chưa đọc bài.)</t>
  </si>
  <si>
    <t>https://techcombank.com/thong-tin/blog/1-chi-vang-bao-nhieu-tien</t>
  </si>
  <si>
    <t>3. Cập nhật giá vàng thế giới hôm nay 28/09/2026</t>
  </si>
  <si>
    <t>Giá vàng thế giới ngày 24/09/2026 giao dịch quanh ngưỡng 4,800 USD/ounce (tương đương khoảng 124,922,400 VND/lượng quy đổi theo…</t>
  </si>
  <si>
    <t>Hạn mức vay sổ đỏ — anh em trực tiếp. (Theo title/meta, chưa đọc bài.)</t>
  </si>
  <si>
    <t>5. Cách quy đổi tiền Lào sang tiền Việt Nam</t>
  </si>
  <si>
    <t>Bạn nên đổi từ USD hoặc Bath Thái sang Kip để có tỷ giá tốt hơn là đổi trực tiếp từ VND</t>
  </si>
  <si>
    <t>Sổ hồng ~ sổ đỏ, cùng nhu cầu. (Theo title/meta, chưa đọc bài.)</t>
  </si>
  <si>
    <t>1. Tỷ giá hối đoái là gì?</t>
  </si>
  <si>
    <t>Nếu tỷ giá hối đoái giữa USD và VND là 1 USD = 25.000 VND, bạn sẽ cần 25.000 Đồng Việt Nam để mua 1 Đô la Mỹ.</t>
  </si>
  <si>
    <t>vay thế chấp sổ đỏ</t>
  </si>
  <si>
    <t>… vị tiền tệ phổ biến của Nhật Bản, cách đọc và quy đổi tiền Nhật sang tiền Việt, cũng như tỷ giá hiện tại để bạn dễ dà…</t>
  </si>
  <si>
    <t>2. Cập nhật tỷ giá Yên Nhật mới nhất hôm nay</t>
  </si>
  <si>
    <t>Từ đó, ta có công thức quy đổi từ tiền Yên Nhật sang tiền Việt (JPY to VND) như sau:</t>
  </si>
  <si>
    <t>Kinh nghiệm vay lãi tối ưu. (Theo title/meta, chưa đọc bài.)</t>
  </si>
  <si>
    <t>Nhật Bản hiện nay đang đẩy mạnh hình thức thanh toán không tiền mặt, đặc biệt tại các thành phố lớn như Tokyo, Osaka ha…</t>
  </si>
  <si>
    <t>lãi suất vay thế chấp sổ hồng</t>
  </si>
  <si>
    <t>Người Nhật nổi tiếng với khả năng quản lý tài chính, trong đó cách tiết kiệm tiền của người Nhật được đánh giá là hiệu…</t>
  </si>
  <si>
    <t>3. Công thức đổi tiền Yên Nhật (JPY) sang VND</t>
  </si>
  <si>
    <t>Việc quy đổi tiền Yên Nhật sang tiền Việt rất đơn giản, dưới đây là công thức giú…</t>
  </si>
  <si>
    <t>2. Cách tính lãi suất ngân hàng tiền tiết kiệm chính x…</t>
  </si>
  <si>
    <t>Lãi suất gửi tiết kiệm tại Techcombank được cập nhật trong bảng là lãi suất áp dụng với khách hàng thường với số tiền g…</t>
  </si>
  <si>
    <t>4. Đổi ngoại tệ dễ dàng, sẵn sàng đi du lịch cùng Tech…</t>
  </si>
  <si>
    <t>Chọn ngân hàng — lãi suất là tiêu chí. (Theo title/meta, chưa đọc bài.)</t>
  </si>
  <si>
    <t>Việc nắm rõ quy định về hạn mức mua và mang ngoại tệ khi đi du lịch giúp bạn tránh được các rủi ro về pháp lý và chủ độ…</t>
  </si>
  <si>
    <t>vay thế chấp sổ đỏ ngân hàng</t>
  </si>
  <si>
    <t>5. Làm thế nào để cập nhật tỷ giá USD/VND chính xác nh…</t>
  </si>
  <si>
    <t>Chỉ cần nhập từ khóa như:“tỷ giá USD/VND hôm nay”, “1 đô bằng bao nhiêu tiền việt”, “100 đô là bao nhiêu tiền việt”, “1…</t>
  </si>
  <si>
    <t>Bài viết này sẽ cập nhật tỷ giá Nhân Dân tệ mới nhất và cung cấp những thông tin cần thiết giúp bạn hiểu rõ hơn về cách…</t>
  </si>
  <si>
    <t>Bài viết dưới đây sẽ giải thích rõ khái niệm, các mệnh giá tiền Trung Quốc , đổi tiền Trung Quốc ở đâu và cập nhật tỷ g…</t>
  </si>
  <si>
    <t>2. Mức lãi suất gửi tiết kiệm lấy lãi hàng tháng của c…</t>
  </si>
  <si>
    <t>Định nghĩa — chèn ở đoạn tài sản là sổ đỏ. (Theo title/meta, chưa đọc bài.)</t>
  </si>
  <si>
    <t>Lãi suất gửi tiết kiệm tại Techcombank được cập nhật trong bảng là lãi suất áp dụng với khách hàng Private với số tiền…</t>
  </si>
  <si>
    <t>2.2. Điện SWIFT</t>
  </si>
  <si>
    <t>&gt;&gt;&gt; Liên hệ Techcombank qua hotline 24/7 1800 588822 (trong nước) hoặc +84 24 39446699 (quốc tế) để được cập nhật thông…</t>
  </si>
  <si>
    <t>4. Nhận và chuyển tiền Trung Quốc - Việt Nam dễ dàng v…</t>
  </si>
  <si>
    <t>Để giúp khách hàng giao dịch quốc tế thuận tiện, Techcombank đã “thiết kế” Dịch vụ nhận và chuyển tiền quốc tế đến hơn…</t>
  </si>
  <si>
    <t>Tất toán xong → xóa thế chấp. (Theo title/meta, chưa đọc bài.)</t>
  </si>
  <si>
    <t>1. Chuyển đổi tiền Campuchia</t>
  </si>
  <si>
    <t>6.2. Chuyển tiền từ Việt Nam sang Indonesia</t>
  </si>
  <si>
    <t>Bài viết trên đã tổng hợp đầy đủ thông tin về các mệnh giá tiền Indonesia, từ tiền giấy đến tiền xu, đồng thời cập nhật…</t>
  </si>
  <si>
    <t>3.1. Cách 1: Đóng thuế nhập khẩu online qua cổng thông…</t>
  </si>
  <si>
    <t>Sau khi nhận được tiền, hệ thống hải quan sẽ xóa nợ và cập nhật trạng thái cho phép thông quan hàng hóa.</t>
  </si>
  <si>
    <t>Tất toán khoản vay → bước giải chấp. (Theo title/meta, chưa đọc bài.)</t>
  </si>
  <si>
    <t>hồ sơ thủ tục xóa thế chấp</t>
  </si>
  <si>
    <t>Bài viết này sẽ tổng hợp 4 lưu ý quan trọng khi chuyển tiền tới đất nước “xứ sở chuột túi”, cập nhật thông tin tỷ giá Đ…</t>
  </si>
  <si>
    <t>4. 1 Tân Đài Tệ bằng bao nhiêu tiền Việt?</t>
  </si>
  <si>
    <t>&gt;&gt;&gt; Cập nhật tỷ giá tiền Đài hôm nay mới nhất tại Techcombank.</t>
  </si>
  <si>
    <t>2.3. Lưu ý khi gửi tiết kiệm tại ngân hàng</t>
  </si>
  <si>
    <t>Với lãi suất gửi tiết kiệm online lên đến 6.1%/năm (cập nhật 16/12/2025 áp dụng với khách hàng Private với số tiền gửi…</t>
  </si>
  <si>
    <t>Định nghĩa thế chấp; chèn ở đoạn kết thúc thế chấp. (Theo title/meta, chưa đọc bài.)</t>
  </si>
  <si>
    <t>xóa thế chấp sổ đỏ</t>
  </si>
  <si>
    <t>4. Cách cập nhật tỷ giá Won hôm nay nhanh và chính xác</t>
  </si>
  <si>
    <t>Hầu hết các ngân hàng đều cập nhật tỷ giá liên tục theo thời gian giao dịch trên thị trường ngoại hối quốc tế, bạn nên…</t>
  </si>
  <si>
    <t>Bài viết dưới đây sẽ cập nhật tỷ giá Đô Úc hôm nay mới nhất, các mệnh giá tiền Úc kèm bảng quy đổi và gợi ý địa điểm đổ…</t>
  </si>
  <si>
    <t>5. Hướng dẫn tra cứu mã SWIFT/BIC code ngân hàng</t>
  </si>
  <si>
    <t>1. Gửi tiết kiệm online an toàn, bảo mật cao</t>
  </si>
  <si>
    <t>Các ngân hàng luôn cập nhật những chương trình bảo mật theo quy chuẩn quốc tế, đồng thời phát triển nhiều chính sách dự…</t>
  </si>
  <si>
    <t>So kỳ hạn để lãi cao — cần bảng lãi suất. (Theo title/meta, chưa đọc bài.)</t>
  </si>
  <si>
    <t>Bài viết này sẽ cập nhật tỷ giá mới nhất và cung cấp những kinh nghiệm thực tế khi đổi tiền và chi tiêu tại Malaysia.</t>
  </si>
  <si>
    <t>Bài viết này sẽ giúp bạn hiểu đầy đủ và cập nhật về cách thực hiện thủ tục chuyển tiền ra nước ngoài nhanh, an toàn và…</t>
  </si>
  <si>
    <t>Dù là chuyển tiền hay nhận tiền từ Trung Quốc, Nhật Bản, hay thậm chí là Úc, Pháp, Đức… đều đã trở nên dễ dàng hơn bao…</t>
  </si>
  <si>
    <t>So lãi online/quầy. (Theo title/meta, chưa đọc bài.)</t>
  </si>
  <si>
    <t>lãi suất gửi tiết kiệm</t>
  </si>
  <si>
    <t>Quyết định gửi dựa trên lãi suất hiện tại. (Theo title/meta, chưa đọc bài.)</t>
  </si>
  <si>
    <t>lãi suất tiết kiệm các ngân hàng</t>
  </si>
  <si>
    <t>Để trả lời câu hỏi "1 chỉ vàng bao nhiêu tiền?" , hãy cùng cập nhật bảng giá vàng chi tiết hôm nay ngày 24/09/2026 từ các thươn…</t>
  </si>
  <si>
    <t>1. Chuyển đổi tiền Yên Nhật sang tiền Việt</t>
  </si>
  <si>
    <t>… tính giá trị giao dịch mua, bán ngoại tệ của bạn theo tỷ giá Yên Nhật hôm nay với công cụ chuyển đổi tiền tệ của Tech…</t>
  </si>
  <si>
    <t>Top ngân hàng lãi suất hấp dẫn. (Theo title/meta, chưa đọc bài.)</t>
  </si>
  <si>
    <t>Vậy cụ thể 1 Man bằng bao nhiêu Yên và 1 Man bằng bao nhiêu tiền Việt ?</t>
  </si>
  <si>
    <t>5.3. Đổi tiền Việt sang Yên Nhật online, nhận nhiều ưu…</t>
  </si>
  <si>
    <t>Tỷ giá 1000 Yên Nhật bằng bao nhiêu tiền Việt luôn thay đổi và có ảnh hưởng trực tiếp đến quyết định giao dịch của bạn.</t>
  </si>
  <si>
    <t>So sánh lãi suất, kỳ hạn hôm nay. (Theo title/meta, chưa đọc bài.)</t>
  </si>
  <si>
    <t>Để tiện cho việc quy đổi, trước hết chúng ta tham khảo tỷ giá Yên Nhật sang tiền Việt:</t>
  </si>
  <si>
    <t>Cách rút tiền bằng mã QR tại cây ATM là 1 hình thức rút tiền không cần thẻ, được Công ty cổ phần Thanh toán Quốc gia Vi…</t>
  </si>
  <si>
    <t>Lãi kép và công thức tính. (Theo title/meta, chưa đọc bài.)</t>
  </si>
  <si>
    <t>Bài viết này sẽ giúp bạn trả lời câu hỏi “ 1 vạn tiền Đài Loan bằng bao nhiêu tiền Việt?</t>
  </si>
  <si>
    <t>Nhận lãi hàng tháng — cách tính khác lãi cuối kỳ. (Theo title/meta, chưa đọc bài.)</t>
  </si>
  <si>
    <t>công thức tính lãi tiết kiệm</t>
  </si>
  <si>
    <t>Trong bài viết này, hãy cùng kiểm tra 1 triệu Đô bằng bao nhiêu tiền Việt ở thời điểm hiện tại và công thức quy đổi đơn…</t>
  </si>
  <si>
    <t>Có mục cách tính lãi (theo title). (Theo title/meta, chưa đọc bài.)</t>
  </si>
  <si>
    <t>3. Làm thế nào để cập nhật tỷ giá USD/VND chính xác?</t>
  </si>
  <si>
    <t>Nếu cần tra cứu nhanh, bạn có thể nhập từ khóa như “1 cent bằng bao nhiêu tiền Việt” , “tỷ giá USD hôm nay” hoặc “USD t…</t>
  </si>
  <si>
    <t>Có mục cách tính lãi không kỳ hạn. (Theo title/meta, chưa đọc bài.)</t>
  </si>
  <si>
    <t>Đáo hạn và cách tính. (Theo title/meta, chưa đọc bài.)</t>
  </si>
  <si>
    <t>Để chuyến đi của bạn thêm phần trọn vẹn và chủ động trong mọi chi tiêu, việc tìm hiểu về đồng tiền của đất nước Triệu V…</t>
  </si>
  <si>
    <t>2.2. Chú ý về tỷ giá quy đổi và phí giao dịch quốc tế…</t>
  </si>
  <si>
    <t>&gt;&gt;&gt; Cập nhật tỷ giá ngoại tệ hôm nay trên Techcombank.</t>
  </si>
  <si>
    <t>2. Ngân hàng thương mại</t>
  </si>
  <si>
    <t>Tỷ giá mua – bán được niêm yết công khai tại quầy và trên website ngân hàng, cập nhật liên tục theo thị trường</t>
  </si>
  <si>
    <t>Tất toán trước hạn = rút trước hạn. (Theo title/meta, chưa đọc bài.)</t>
  </si>
  <si>
    <t>Cùng câu hỏi cho tiết kiệm online. (Theo title/meta, chưa đọc bài.)</t>
  </si>
  <si>
    <t>rút tiết kiệm trước hạn</t>
  </si>
  <si>
    <t>Để theo dõi tỷ giá Rupiah Indonesia (IDR) cập nhật theo thời gian thực, bạn có thể truy cập trang tỷ giá của Techcomban…</t>
  </si>
  <si>
    <t>4. 1000 Baht Thái bằng bao nhiêu tiền Việt?</t>
  </si>
  <si>
    <t>&gt;&gt;&gt; Cập nhật tỷ giá Bath Thái hôm nay trên Techcombank.</t>
  </si>
  <si>
    <t>Phương án thay cho rút trước hạn. (Theo title/meta, chưa đọc bài.)</t>
  </si>
  <si>
    <t>3. Cập nhật tỷ giá Won mới nhất ở đâu?</t>
  </si>
  <si>
    <t>Mất sổ — chèn ở đoạn rút tiền. (Theo title/meta, chưa đọc bài.)</t>
  </si>
  <si>
    <t>Để cập nhật tỷ giá Won Hàn Quốc (KRW) mới nhất, bạn có thể tham khảo từ nhiều nguồn đáng tin cậy như:</t>
  </si>
  <si>
    <t>2.1. Đổi tiền Won Hàn tại các ngân hàng uy tín</t>
  </si>
  <si>
    <t>Tỷ giá cạnh tranh, chi phí giao dịch công khai.</t>
  </si>
  <si>
    <t>Các thao tác với sổ tiết kiệm. (Theo title/meta, chưa đọc bài.)</t>
  </si>
  <si>
    <t>Trong bối cảnh tỷ giá biến động, việc chọn thời điểm quy đổi hợp lý là thách thức.</t>
  </si>
  <si>
    <t>Mở sổ cần bao nhiêu tiền. (Theo title/meta, chưa đọc bài.)</t>
  </si>
  <si>
    <t>TK tiết kiệm ~ sổ tiết kiệm. (Theo title/meta, chưa đọc bài.)</t>
  </si>
  <si>
    <t>sổ tiết kiệm</t>
  </si>
  <si>
    <t>Mất sổ — cần hiểu sổ. (Theo title/meta, chưa đọc bài.)</t>
  </si>
  <si>
    <t>Tuy nhiên, không phải ai cũng biết nên đổi tiền Đô ở đâu để đảm bảo an toàn, đúng quy định và có tỷ giá hợp lý.</t>
  </si>
  <si>
    <t>3. Bảo hiểm du lịch toàn cầu</t>
  </si>
  <si>
    <t>Hỗ trợ y tế trên toàn cầu, trị giá lên đến 2.5 tỷ đồng</t>
  </si>
  <si>
    <t>Gửi thêm vào sổ. (Theo title/meta, chưa đọc bài.)</t>
  </si>
  <si>
    <t>Bài viết này sẽ giải thích chi tiết về các mệnh giá của tiền Nhật, cách quy đổi, chuyển tiền từ Việt Nam sang Nhật cũng…</t>
  </si>
  <si>
    <t>Quy trình gửi tiết kiệm tại quầy. (Theo title/meta, chưa đọc bài.)</t>
  </si>
  <si>
    <t>Đối với những ai đang có kế hoạch du lịch Campuchia, kinh doanh, hoặc đơn giản là tò mò về tỷ giá giữa đồng tiền hai nư…</t>
  </si>
  <si>
    <t>Việc nắm rõ thông tin về đồng tiền địa phương và tỷ giá hối đoái Indonesia sẽ giúp chuyến đi của bạn thuận lợi hơn.</t>
  </si>
  <si>
    <t>Cách tiết kiệm theo tuần — dẫn sang 11 cách. (Theo title/meta, chưa đọc bài.)</t>
  </si>
  <si>
    <t>1. Đa dạng ngoại tệ</t>
  </si>
  <si>
    <t>Khi thực hiện giao dịch, hệ thống cho phép kiểm tra tỷ giá Dollar , Euro… và số tiền quy đổi theo thời gian thực, giúp…</t>
  </si>
  <si>
    <t>Dễ dàng tiếp cận nguồn ngoại tệ hợp pháp, an toàn với tỷ giá ưu đãi</t>
  </si>
  <si>
    <t>Tiết kiệm theo ngày. (Theo title/meta, chưa đọc bài.)</t>
  </si>
  <si>
    <t>cách tiết kiệm tiền hiệu quả</t>
  </si>
  <si>
    <t>2.3. Tối ưu chi phí chuyển đổi ngoại tệ</t>
  </si>
  <si>
    <t>Thực tế, khi giao dịch bằng thẻ thanh toán quốc tế, ngân hàng sẽ áp dụng tỷ giá hối đoái niêm yết tại thời điểm thanh t…</t>
  </si>
  <si>
    <t>Tiết kiệm tiền lương. (Theo title/meta, chưa đọc bài.)</t>
  </si>
  <si>
    <t>Tân Đài tệ (TWD, (ký hiệu NT$ hoặc đơn giản là $) là đơn vị tiền …</t>
  </si>
  <si>
    <t>Lợi ích tiết kiệm → cách làm. (Theo title/meta, chưa đọc bài.)</t>
  </si>
  <si>
    <t>Thực hành tiết kiệm. (Theo title/meta, chưa đọc bài.)</t>
  </si>
  <si>
    <t>Shang Chi – Lẩu Đài Loan Băng Chuyền Siêu Tốc là con tàu trải nghiệm và khám phá thiên đường lẩu đài loan đầy màu sắc v…</t>
  </si>
  <si>
    <t>Lý do nên gửi → đối chiếu rủi ro. (Theo title/meta, chưa đọc bài.)</t>
  </si>
  <si>
    <t>Dễ dàng ước tính giá trị giao dịch mua, bán ngoại tệ của bạn theo tỷ giá Yên Nhật hôm nay với công cụ chuyển đổi tiền t…</t>
  </si>
  <si>
    <t>Mất tiền gửi online — rủi ro cụ thể. (Theo title/meta, chưa đọc bài.)</t>
  </si>
  <si>
    <t>gửi tiết kiệm online có an toàn không</t>
  </si>
  <si>
    <t>Kinh nghiệm gửi an toàn. (Theo title/meta, chưa đọc bài.)</t>
  </si>
  <si>
    <t>1. Chuyển đổi tiền Indonesia</t>
  </si>
  <si>
    <t>4.1. Đổi USD đi du lịch</t>
  </si>
  <si>
    <t>Hướng dẫn gửi — chèn lưu ý rủi ro. (Theo title/meta, chưa đọc bài.)</t>
  </si>
  <si>
    <t>Bài anh em (rủi ro chung). (Theo title/meta, chưa đọc bài.)</t>
  </si>
  <si>
    <t>5.3. Khả năng trả nợ</t>
  </si>
  <si>
    <t>Một cách hiệu quả để tích lũy nguồn dự phòng này là gửi tiết kiệm ngoại tệ , giúp đa dạng hóa danh mục đầu tư và tận dụ…</t>
  </si>
  <si>
    <t>1. Giới thiệu dịch vụ Chuyển tiền quốc tế Techcombank</t>
  </si>
  <si>
    <t>Vay 100 triệu — dùng công cụ tính tiền trả. (Theo title/meta, chưa đọc bài.)</t>
  </si>
  <si>
    <t>2. Giới thiệu dịch vụ chuyển tiền quốc tế Techcombank</t>
  </si>
  <si>
    <t>Vay 200 triệu trả góp — người đọc cần tính số tiền trả hàng tháng. (Theo title/meta, chưa đọc bài.)</t>
  </si>
  <si>
    <t>công cụ tính lãi suất vay ngân hàng</t>
  </si>
  <si>
    <t>10,000 Yên Nhật (1 Man) ≈ 1,666,790 VND(*)</t>
  </si>
  <si>
    <t>Vay 300 triệu trả góp — người đọc cần tính số tiền trả hàng tháng. (Theo title/meta, chưa đọc bài.)</t>
  </si>
  <si>
    <t>3. Công thức đổi tiền Yên Nhật sang VND</t>
  </si>
  <si>
    <t>bảng tính lãi suất vay</t>
  </si>
  <si>
    <t>10,000 Yên Nhật (1 Man) ≈ 1,666,790VND(*)</t>
  </si>
  <si>
    <t>1 Yên Nhật (JPY) có giá trị tương đương khoảng 161.96 (*) Đồng Việt Nam (VND).</t>
  </si>
  <si>
    <t>Vay trả góp — tính số tiền trả. (Theo title/meta, chưa đọc bài.)</t>
  </si>
  <si>
    <t>Vay thêm → tính lại khả năng trả. (Theo title/meta, chưa đọc bài.)</t>
  </si>
  <si>
    <t>Việc biết chính xác 1 Euro to VND, tức 1 Euro bằng bao nhiêu tiền Việt Nam (VND) giúp cá nhân và doanh nghiệp chủ động…</t>
  </si>
  <si>
    <t>Vậy 1 triệu Won bằng bao nhiêu tiền Việt ?</t>
  </si>
  <si>
    <t>Mục tiêu 100 triệu — tính lãi tích lũy. (Theo title/meta, chưa đọc bài.)</t>
  </si>
  <si>
    <t>Trước khi đến Thái Lan, việc tìm hiểu về tiền Thái Lan như mệnh giá, tỷ giá Baht Thái sang VND từ đó biết được 1000 Bat…</t>
  </si>
  <si>
    <t>So sánh gửi tiết kiệm 50 triệu — cần tính lãi. (Theo title/meta, chưa đọc bài.)</t>
  </si>
  <si>
    <t>bảng tính lãi suất tiết kiệm</t>
  </si>
  <si>
    <t>3. Hướng dẫn mở thẻ ATM</t>
  </si>
  <si>
    <t>Để mở thẻ ATM, khách hàng có thể truy cập 1 trong 2 bài viết dưới đây để cập nhật thông tin về điều kiện mở thẻ và đọc…</t>
  </si>
  <si>
    <t>2.1. Đổi Baht Thái tại ngân hàng lớn, uy tín</t>
  </si>
  <si>
    <t>Tỷ giá mua – bán tiền Baht Thái được niêm yết công khai và cập nhật thường xuyên trên các kênh, cập nhật liên tục.</t>
  </si>
  <si>
    <t>3. Thẻ Techcombank Visa - Trải nghiệm chi tiêu linh ho…</t>
  </si>
  <si>
    <t>Khách hàng nên chuẩn bị nhiều hình thức thanh toán như thẻ quốc tế, tiền mặt Baht hay ví điện tử/thanh toán không chạm…</t>
  </si>
  <si>
    <t>Tiết kiệm tích lũy — tính lãi. (Theo title/meta, chưa đọc bài.)</t>
  </si>
  <si>
    <t>FIFA World Cup 2026™- Một kỳ đại hội lịch sử không thể…</t>
  </si>
  <si>
    <t>Với sự tiếp sức từ Techcombank và hệ sinh thái, khán giả sẽ được chứng kiến những cột mốc lịch sử chưa từng có tiền lệ…</t>
  </si>
  <si>
    <t>Trước khi gửi, tính lãi dự kiến. (Theo title/meta, chưa đọc bài.)</t>
  </si>
  <si>
    <t>6. FAQ - Một số câu hỏi thường gặp về EBITDA</t>
  </si>
  <si>
    <t>Techcombank mang đến hệ sinh thái giải pháp tài chính toàn diện dành cho doanh nghiệp - từ Tài khoản thanh toán, các gó…</t>
  </si>
  <si>
    <t>7. Mua sắm thông minh</t>
  </si>
  <si>
    <t>Áp dụng 3 nguyên tắc dưới đây sẽ giúp bạn trở thành người tiêu dùng thông thái và tiết kiệm tiền hiệu quả cho gia đình:</t>
  </si>
  <si>
    <t>So sánh lãi — dùng công cụ. (Theo title/meta, chưa đọc bài.)</t>
  </si>
  <si>
    <t>3. Những lưu ý giúp hồ sơ đáp ứng điều kiện thành lập…</t>
  </si>
  <si>
    <t>Miễn phí tài khoản số đẹp phong thủy , phí quản lý, phí chuyển tiền nội địa/chi lương online, cùng đặc quyền tiếp cận n…</t>
  </si>
  <si>
    <t>1. Sự phát triển của chuyển đổi số trong ngành ngân hà…</t>
  </si>
  <si>
    <t>Cụ thể, tỷ trọng tiền gửi không kỳ hạn (CASA) đạt 33.6%, tỷ lệ khách hàng mới thông qua kênh số hóa đạt 44,4% và có đến…</t>
  </si>
  <si>
    <t>2. Techcombank - Một trong những thương hiệu Ngân hàng…</t>
  </si>
  <si>
    <t>“Ngân hàng giao dịch tốt nhất Việt Nam”, “Ngân hàng quản lý tiền tệ tốt nhất Việt Nam”, “Giải pháp thu hộ tích hợp tùy…</t>
  </si>
  <si>
    <t>Tối ưu quản trị tài chính toàn diện với Techcombank Bu…</t>
  </si>
  <si>
    <t>Để trải nghiệm trọn vẹn hệ sinh thái quản trị dòng tiền thông minh và nhận các đặc quyền ưu đãi tài chính, hãy đăng ký…</t>
  </si>
  <si>
    <t>Vay online — app là kênh chính. (Theo title/meta, chưa đọc bài.)</t>
  </si>
  <si>
    <t>2. Đầu tư lớn cho số hóa nhằm nâng cao năng lực và hiệ…</t>
  </si>
  <si>
    <t>Khi tham gia vào hệ sinh thái WinLife, khách hàng có thể sử dụng các hình thức thanh toán như thanh toán một chạm, quét…</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</si>
  <si>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</si>
  <si>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Chỉ với vài thao tác, khách hàng có thể thực hiện giao dịch đến hơn 190 quốc gia, theo dõi trạng thái chuyển tiền trực…</t>
  </si>
  <si>
    <t>2. Lợi ích vượt trội của vay siêu tốc online từ ngân h…</t>
  </si>
  <si>
    <t>Khi vay siêu tốc online trên nền tảng số của ngân hàng, khách hàng có thể chủ động theo dõi tiến độ phê duyệt, trạng th…</t>
  </si>
  <si>
    <t>Vay chỉ cần CCCD — trùng nhu cầu. (Theo title/meta, chưa đọc bài.)</t>
  </si>
  <si>
    <t>app vay tiền chỉ cần CCCD</t>
  </si>
  <si>
    <t>5.3. Đổi VND sang USD online, nhận nhiều ưu đãi</t>
  </si>
  <si>
    <t>Việc nắm rõ mệnh giá tiền Đô, tỷ giá quy đổi tiền Đô sang tiền Việt và các kênh đổi – chuyển tiền hợp pháp sẽ giúp bạn…</t>
  </si>
  <si>
    <t>2.1. Lợi ích</t>
  </si>
  <si>
    <t>sử dụng để rút tiền mặt tại các ATM ở Hàn Quốc, Thái Lan, Malaysia và Nga với chi phí hợp lý</t>
  </si>
  <si>
    <t>3. Cập nhật ưu đãi thanh toán quảng cáo TikTok với thẻ…</t>
  </si>
  <si>
    <t>Ưu đãi giảm giá di chuyển, mua sắm, ăn uống toàn cầu khi chi tiêu du lịch tại Paris, Italy, London, Thái Lan, Nhật Bản,…</t>
  </si>
  <si>
    <t>Vay nhanh 24/24. (Theo title/meta, chưa đọc bài.)</t>
  </si>
  <si>
    <t>vay tiền online</t>
  </si>
  <si>
    <t>2.3. Phân loại thẻ ATM</t>
  </si>
  <si>
    <t>Là thẻ của Công ty Cổ phần Thanh toán Quốc gia Việt Nam , được chấp nhận tại Việt Nam và 5 quốc gia khác gồm Hàn Quốc,…</t>
  </si>
  <si>
    <t>Gần 300 bệnh viện, phòng khám trong danh sách bảo lãnh, bao gồm cả bệnh viện quốc tế chất lượng cao và bệnh viện tuyến…</t>
  </si>
  <si>
    <t>Vay online 3 phút. (Theo title/meta, chưa đọc bài.)</t>
  </si>
  <si>
    <t>3.1. Nhận tiền Western Union qua tài khoản ngân hàng</t>
  </si>
  <si>
    <t>Theo dõi trạng thái giao dịch qua mã MTCN hoặc liên hệ ngân hàng để xác nhận tiền đã được chuyển thành công.</t>
  </si>
  <si>
    <t>Thời gian hoàn tiền phụ thuộc vào nguyên nhân lỗi, trạng thái giao dịch và quy trình xử lý của ngân hàng liên quan.</t>
  </si>
  <si>
    <t>Vay siêu tốc. (Theo title/meta, chưa đọc bài.)</t>
  </si>
  <si>
    <t>5.2. Thẻ debit có thanh toán quốc tế được không?</t>
  </si>
  <si>
    <t>Đối với thẻ nội địa NAPAS, khách hàng có thể thanh toán tại một số quốc gia trong mạng lưới liên kết như Hàn Quốc, Nga,…</t>
  </si>
  <si>
    <t>Hành động vòi thêm tiền hoặc tỏ thái độ thất vọng, so bì khi nhận được số tiền không như ý làm mất đi hoàn toàn ý nghĩa…</t>
  </si>
  <si>
    <t>Lãi suất là gì → lãi suất vay hiện nay. (Theo title/meta, chưa đọc bài.)</t>
  </si>
  <si>
    <t>Lãi vay tiêu dùng — một phần lãi vay ngân hàng. (Theo title/meta, chưa đọc bài.)</t>
  </si>
  <si>
    <t>lãi suất vay ngân hàng mới nhất</t>
  </si>
  <si>
    <t>Bạn đang chuẩn bị cho chuyến du lịch Nhật Bản mơ ước, có kế hoạch nhập khẩu hàng hóa từ xứ sở hoa anh đào, hay đơn giản…</t>
  </si>
  <si>
    <t>Lãi vay tín chấp — anh em. (Theo title/meta, chưa đọc bài.)</t>
  </si>
  <si>
    <t>Với thẻ quốc tế (logo Visa, MasterCard...), chủ thẻ cần nhập mã PIN khi thanh toán bằng thẻ tại một số quốc gia trên th…</t>
  </si>
  <si>
    <t>Điều kiện vay — chèn ở đoạn chi phí vay. (Theo title/meta, chưa đọc bài.)</t>
  </si>
  <si>
    <t>Lãi quá hạn so với lãi vay thông thường. (Theo title/meta, chưa đọc bài.)</t>
  </si>
  <si>
    <t>2. 1 Đô Úc bằng bao nhiêu tiền Việt Nam? Tỷ giá đô Úc…</t>
  </si>
  <si>
    <t>Dựa trên tỷ giá tham khảo là 1 AUD = 18,372 VND , một số mức quy đổi phổ biến như 10, 50 hay 100 đô Úc bằng bao nhiêu t…</t>
  </si>
  <si>
    <t>Nhu cầu đổi tiền Đô la Mỹ (USD) thường phát sinh trong nhiều tình huống như du lịch, công tác, du học hay đầu tư nước ngoài.</t>
  </si>
  <si>
    <t>Chưa có cụm anchor → thêm 1 câu ngay sau câu này, ví dụ: "Xem thêm: 1 triệu đô bằng bao nhiêu tiền Việt." rồi gắn link vào cụm anchor.</t>
  </si>
  <si>
    <t>5.1. Cách đổi tiền hiệu quả</t>
  </si>
  <si>
    <t>Nếu bạn chưa kịp đổi tiền, hãy mang theo Đô la Mỹ (USD) để có tỷ giá tốt khi đổi sang Ringgit tại các quầy đổi tiền được cấp ph…</t>
  </si>
  <si>
    <t>Hạn mức thấu chi. (Theo title/meta, chưa đọc bài.)</t>
  </si>
  <si>
    <t>6. Kinh nghiệm đổi tiền Dinar Kuwait</t>
  </si>
  <si>
    <t>Bạn nên mang theo Đô la Mỹ (USD) để đổi sang Dinar Kuwait sẽ thuận tiện và có tỷ giá tốt hơn.</t>
  </si>
  <si>
    <t>3.2. Đặc điểm của thị trường ngoại hối</t>
  </si>
  <si>
    <t>Đồng tiền sử dụng nhiều frong giao dịch của thị trường ngoại hối là đồng Đô la Mỹ (USD), tiếp đến là các ngoại tệ mạnh khác như…</t>
  </si>
  <si>
    <t>Lãi suất thấu chi. (Theo title/meta, chưa đọc bài.)</t>
  </si>
  <si>
    <t>1. Ngoại tệ là gì?</t>
  </si>
  <si>
    <t>Nó bao gồm các đồng tiền của các quốc gia khác nhau, chẳng hạn như USD (đô la Mỹ), EUR (euro), JPY (yên Nhật) và nhiều loại tiề…</t>
  </si>
  <si>
    <t>Thời hạn thấu chi. (Theo title/meta, chưa đọc bài.)</t>
  </si>
  <si>
    <t>Tại thời điểm hiện tại, 1 Đô la Mỹ (USD) có giá trị tương đương khoảng 26,26 Đồng Việt Nam (VND) .</t>
  </si>
  <si>
    <t>4. Kinh nghiệm đổi tiền Malaysia ở đâu tốt?</t>
  </si>
  <si>
    <t>Vì vậy, bạn có thể mua USD/EUR trước tại ngân hàng, sau đó đổi tại Malaysia để có tỷ giá tốt hơn.</t>
  </si>
  <si>
    <t>Trả nợ thấu chi. (Theo title/meta, chưa đọc bài.)</t>
  </si>
  <si>
    <t>Trong bối cảnh kinh tế toàn cầu liên tục biến động, tỷ giá USD/VND đang là mối quan tâm lớn không chỉ với doanh nghiệp xuất nhập…</t>
  </si>
  <si>
    <t>Vay hạn mức — gần với thấu chi. (Theo title/meta, chưa đọc bài.)</t>
  </si>
  <si>
    <t>Là mức giá mà ngân hàng áp dụng để quy đổi từ tiền Việt (VND) sang đồng ngoại tệ mà người thân của bạn nhận (như USD, EUR, AUD,…</t>
  </si>
  <si>
    <t>Trước khi làm thẻ cần kiểm tra nợ xấu. (Theo title/meta, chưa đọc bài.)</t>
  </si>
  <si>
    <t>2. Có nên gửi tiết kiệm USD không?</t>
  </si>
  <si>
    <t>Du lịch nước ngoài, mua sắm, kinh doanh, đầu tư ngoại tệ… thì nên gửi tiết kiệm bằng USD, tránh việc đổi tiền qua lại nhiều lần.</t>
  </si>
  <si>
    <t>Nợ xấu có mở thẻ tín dụng được không — cần kiểm tra nợ xấu trước khi mở thẻ. (Theo title/meta, chưa đọc bài.)</t>
  </si>
  <si>
    <t>tra cứu nợ xấu</t>
  </si>
  <si>
    <t>Có mục cách kiểm tra (theo title). (Theo title/meta, chưa đọc bài.)</t>
  </si>
  <si>
    <t>5. Công thức quy đổi giá vàng thế giới (USD/oz) sang gi…</t>
  </si>
  <si>
    <t>Tỷ giá đô la Mỹ bán ra tại các ngân hàng</t>
  </si>
  <si>
    <t>Kiểm tra trước khi vay thế chấp. (Theo title/meta, chưa đọc bài.)</t>
  </si>
  <si>
    <t>Nợ nhóm 2 — kiểm tra nhóm nợ. (Theo title/meta, chưa đọc bài.)</t>
  </si>
  <si>
    <t>1.2. Chứng minh mục đích sử dụng ngoại tệ hợp pháp</t>
  </si>
  <si>
    <t>Mục đích sử dụng ngoại tệ là yếu tố cốt lõi trong điều kiện mua USD từ ngân hàng.</t>
  </si>
  <si>
    <t>Định nghĩa → chọn nơi vay. (Theo title/meta, chưa đọc bài.)</t>
  </si>
  <si>
    <t>2.1. Quy định pháp lý khi mang tiền mặt xuất-nhập cảnh</t>
  </si>
  <si>
    <t>Cá nhân được phép mang tối đa 5.000 USD hoặc các loại ngoại tệ khác có giá trị quy đổi tương đương (như EUR, GBP, CHF...) và 15…</t>
  </si>
  <si>
    <t>Hồ sơ vay → nơi nộp. (Theo title/meta, chưa đọc bài.)</t>
  </si>
  <si>
    <t>Hạn mức khác nhau giữa ngân hàng. (Theo title/meta, chưa đọc bài.)</t>
  </si>
  <si>
    <t>https://techcombank.com/thong-tin/blog/gia-ca-phe-hom-nay</t>
  </si>
  <si>
    <t>2.3. Tỷ giá và thị trường hàng hóa quốc tế</t>
  </si>
  <si>
    <t>Chọn hình thức → chọn nơi vay. (Theo title/meta, chưa đọc bài.)</t>
  </si>
  <si>
    <t>Cà phê quốc tế chủ yếu được giao dịch bằng USD, vì vậy biến động tỷ giá có thể ảnh hưởng đến giá trị quy đổi trong hoạt động mu…</t>
  </si>
  <si>
    <t>So lãi suất các ngân hàng. (Theo title/meta, chưa đọc bài.)</t>
  </si>
  <si>
    <t>4. Chính sách thuế phí đối với kiều hối</t>
  </si>
  <si>
    <t>Các giao dịch liên quan đến đổi ngoại tệ, đặc biệt với đồng USD, cũng chịu ảnh hưởng bởi tỷ giá USD tại thời điểm thực hiện, nê…</t>
  </si>
  <si>
    <t>Nợ nhóm 2 — giải thích nợ xấu. (Theo title/meta, chưa đọc bài.)</t>
  </si>
  <si>
    <t>4.1. Ưu đãi phí chuyển đổi ngoại tệ khi chuyển tiền quố…</t>
  </si>
  <si>
    <t>Khách hàng có thể chuyển tiền bằng nhiều loại ngoại tệ như USD, AUD, CAD, EUR, GBP, JPY, THB, NZD…</t>
  </si>
  <si>
    <t>Nợ nhóm 3 là nợ xấu. (Theo title/meta, chưa đọc bài.)</t>
  </si>
  <si>
    <t>nợ xấu</t>
  </si>
  <si>
    <t>6. Cách chuyển tiền từ nước ngoài về Việt Nam với Techc…</t>
  </si>
  <si>
    <t>Giao dịch hỗ trợ nhiều loại ngoại tệ như USD, EUR, AUD, CAD, GBP, JPY…</t>
  </si>
  <si>
    <t>Dư nợ — chèn ở đoạn chất lượng dư nợ. (Theo title/meta, chưa đọc bài.)</t>
  </si>
  <si>
    <t>2. 1 Won bằng bao nhiêu tiền Việt Nam?</t>
  </si>
  <si>
    <t>…ố mức quy đổi tiền Hàn đổi sang tiền Việt phổ biến như 1,000 won, 10,000 won, 100,000 won, 1,000,000 won bằng bao nhiê…</t>
  </si>
  <si>
    <t>Quá hạn thẻ có thể thành nợ xấu. (Theo title/meta, chưa đọc bài.)</t>
  </si>
  <si>
    <t>1.4. Tiền mặt</t>
  </si>
  <si>
    <t>Mặc dù thẻ và thanh toán điện tử được sử dụng rộng rãi, tiền mặt bằng Won Hàn Quốc vẫn cần thiết trong một số tình huốn…</t>
  </si>
  <si>
    <t>không quá 30 triệu Won/ngày, 50,000 USD/năm</t>
  </si>
  <si>
    <t>Mỗi khách hàng được nhận tối đa 1,000,000 U-Point trong toàn bộ chương trình.</t>
  </si>
  <si>
    <t>Bài anh em (thế chấp). (Theo title/meta, chưa đọc bài.)</t>
  </si>
  <si>
    <t>4. Hướng dẫn tích điểm lấy voucher trên Techcombank Mo…</t>
  </si>
  <si>
    <t>Lãi quá hạn khi không trả được. (Theo title/meta, chưa đọc bài.)</t>
  </si>
  <si>
    <t>Nợ quá hạn tương tự. (Theo title/meta, chưa đọc bài.)</t>
  </si>
  <si>
    <t>4. 3 Cách cập nhật tỷ giá Nhân dân tệ (CNY/VND) chính…</t>
  </si>
  <si>
    <t>Vì vậy, để biết 1000 Tệ bằng bao nhiêu tiền Việt Nam tại thời điểm hiện tại, bạn nên tham khảo từ các nguồn sau:</t>
  </si>
  <si>
    <t>Vì tài khoản thanh toán của bạn là tiền Việt (VND), nên khi bạn chi tiêu bằng USD, EUR hay JPY, ngân hàng sẽ cần thực h…</t>
  </si>
  <si>
    <t>Định nghĩa — chèn ở đoạn rủi ro. (Theo title/meta, chưa đọc bài.)</t>
  </si>
  <si>
    <t>…hà xuất khẩu, chủ nợ, người nhận vốn đầu tư hoặc người nhận kiều hối, được chỉ định bởi người chuyển tiền.</t>
  </si>
  <si>
    <t>Tại sao nó được nhiều người tin dùng và cách để nhận tiền từ nước ngoài một cách nhanh chóng?</t>
  </si>
  <si>
    <t>3. Chức năng của mã SWIFT/BIC code</t>
  </si>
  <si>
    <t>Với mã SWIFT/BIC, người gửi, người nhận và giao dịch viên có thể xác định được giao dịch chuyển/nhận tiền quốc tế đến t…</t>
  </si>
  <si>
    <t>Chứng chỉ quỹ là gì → phương pháp đầu tư. (Theo title/meta, chưa đọc bài.)</t>
  </si>
  <si>
    <t>6.2. Gửi tiền EURO về nước nhanh chóng</t>
  </si>
  <si>
    <t>…hận tiền quốc tế linh hoạt để người Việt trong nước có nhận kiều hối từ người thân ở nước ngoài một cách trọn vẹn.</t>
  </si>
  <si>
    <t>6. Cách nhận tiền từ Singapore về Việt Nam</t>
  </si>
  <si>
    <t>Để nhận kiều hối từ Singapore, khách hàng có thể chọn các kênh hợp pháp như:</t>
  </si>
  <si>
    <t>5.2. Gửi tiền Trung Quốc về nước nhanh chóng</t>
  </si>
  <si>
    <t>6.2. Gửi Đô Úc về nước nhanh chóng</t>
  </si>
  <si>
    <t>Nhận kiều hối từ Thái Lan với Techcombank</t>
  </si>
  <si>
    <t>Hướng dẫn mua → phương pháp. (Theo title/meta, chưa đọc bài.)</t>
  </si>
  <si>
    <t>cách đầu tư chứng chỉ quỹ</t>
  </si>
  <si>
    <t>Khi chuyển đổi ngoại tệ hoặc nhận kiều hối, nên theo dõi xu hướng thị trường để chọn thời điểm tỷ giá tốt;</t>
  </si>
  <si>
    <t>Đầu tư quỹ mở cho người mới. (Theo title/meta, chưa đọc bài.)</t>
  </si>
  <si>
    <t>1. Tỷ giá là gì? Tác động của tỷ giá đến giao dịch ngoạ…</t>
  </si>
  <si>
    <t>đầu tư chứng chỉ quỹ cho người mới</t>
  </si>
  <si>
    <t>ngoại tệ tăng giá khi bạn là người nhận kiều hối hoặc xuất khẩu) , bạn sẽ nhận được giá trị quy đổi cao…</t>
  </si>
  <si>
    <t>App theo dõi CCQ. (Theo title/meta, chưa đọc bài.)</t>
  </si>
  <si>
    <t>2. Tỷ giá USD thay đổi ảnh hưởng thế nào tới Việt Nam</t>
  </si>
  <si>
    <t>Người nhận kiều hối có thể thấy thu nhập quy đổi giảm, trong khi người tha…</t>
  </si>
  <si>
    <t>5.2. Gửi tiền USD về nước nhanh chóng</t>
  </si>
  <si>
    <t>Để đáp ứng nhu cầu nhận tiền từ nước ngoài, Techcombank đã cung cấp giải pháp Nhận tiền quốc tế l…</t>
  </si>
  <si>
    <t>So sánh CCQ với cổ phiếu. (Theo title/meta, chưa đọc bài.)</t>
  </si>
  <si>
    <t>6. Cách chuyển tiền từ Trung Quốc về Việt Nam</t>
  </si>
  <si>
    <t>4.2. Gửi tiền Trung Quốc về nước nhanh chóng</t>
  </si>
  <si>
    <t>Phí nhận tiền từ nước ngoài vào tài khoản ngoại tệ</t>
  </si>
  <si>
    <t>6.1. Chuyển tiền từ Malaysia về Việt Nam</t>
  </si>
  <si>
    <t>Nhận tiền từ nước ngoài với Western Union.</t>
  </si>
  <si>
    <t>4. Mã IBAN của các ngân hàng ở Việt Nam</t>
  </si>
  <si>
    <t>…ong các giao dịch chuyển tiền quốc tế từ Việt Nam hoặc nhận tiền từ nước ngoài về Việt Nam, khách hàng sẽ cần cung cấp…</t>
  </si>
  <si>
    <t>3.1. Đối tượng mua ngoại tệ</t>
  </si>
  <si>
    <t>Cá nhân là người nước ngoài có nguồn thu hợp pháp bằng đồng Việt Nam được mua ngoại tệ tiền mặt tại tổ chức tín dụng đư…</t>
  </si>
  <si>
    <t>Ngược lại, nếu một công ty tại Mỹ mua cà phê từ Việt Nam, tiền thanh toán bằng USD hoặc EUR sẽ được chuyển về ngân hàng…</t>
  </si>
  <si>
    <t>3. Cách đăng ký làm thẻ ATM nội địa</t>
  </si>
  <si>
    <t>Là công dân Việt Nam hoặc người nước ngoài được phép cư trú hợp pháp tại Việt Nam với thời hạn từ 12 tháng trở lên, có…</t>
  </si>
  <si>
    <t>Người nước ngoài đang sinh sống và làm việc tại Việt Nam với thời hạn cư trú từ 12 tháng (360 ngày) trở lên kể từ thời…</t>
  </si>
  <si>
    <t>3. Biểu phí khi sử dụng thẻ Visa thanh toán quốc tế</t>
  </si>
  <si>
    <t>Nếu đã rút tiền mặt từ thẻ tín dụng tại nước ngoài, khách hàng nên đăng ký chuyển đổi trả góp giao dịch rút tiền mặt.</t>
  </si>
  <si>
    <t>Bên cạnh việc đổi ngoại tệ tiền mặt, xu hướng thanh toán bằng thẻ quốc tế khi đi du lịch nước ngoài đang ngày càng trở…</t>
  </si>
  <si>
    <t>Khi lãi suất của một quốc gia cao hơn so với các quốc gia khác, nó thường thu hút các nhà đầu tư nước ngoài tìm kiếm lợ…</t>
  </si>
  <si>
    <t>2.2. 6 điểm khác biệt giữa thẻ Visa và thẻ nội địa</t>
  </si>
  <si>
    <t>Khách hàng nhận được nhiều chương trình ưu đãi giảm giá, tích điểm từ các thương hiệu trong nước và quốc tế.</t>
  </si>
  <si>
    <t>Ngoài tiền đầu tư, nhà đầu tư cần dự trù thêm thuế chuyển nhượng bất động sản (khoảng 3% – 10% tùy nước), phí thẩm định…</t>
  </si>
  <si>
    <t>2.4. Các yêu cầu bổ sung theo quy định quản lý ngoại h…</t>
  </si>
  <si>
    <t>Ngân hàng có thể yêu cầu thêm tài liệu liên quan đến kiểm soát rửa tiền hoặc chứng từ xác minh nguồn tiền để đảm bảo th…</t>
  </si>
  <si>
    <t>1. Quy định về chuyển tiền một chiều ra nước ngoài</t>
  </si>
  <si>
    <t>Hoạt động chuyển tiền một chiều từ Việt Nam ra nước ngoài cần được tuân thủ các quy định sau:</t>
  </si>
  <si>
    <t>Thay vì đổi tiền ở sân bay hay các quầy du lịch – nơi tỷ giá thường cao hơn thị trường và kèm phí dịch vụ, bạn nên chọn…</t>
  </si>
  <si>
    <t>1.2. Cách điền thông tin trên séc để rút tiền mặt từ t…</t>
  </si>
  <si>
    <t>Hiện nay, cách viết séc để rút tiền mặt từ ngân hàng ở Việt Nam đều có các quy định tương tự nhau, khách hàng chỉ cần t…</t>
  </si>
  <si>
    <t>Khi thực hiện chuyển tiền trợ cấp thân nhân ở nước ngoài, chi phí giao dịch không chỉ bao gồm phí chuyển tiền mà còn ch…</t>
  </si>
  <si>
    <t>Đồng thời, giải đáp các thắc mắc thường gặp như bảo hiểm sức khỏe bao nhiêu tiền, nên mua bảo hiểm sức khỏe nào, mua bả…</t>
  </si>
  <si>
    <t>2. Tại sao nên nhận chuyển tiền bằng Western Union?</t>
  </si>
  <si>
    <t>Với hàng trăm nghìn đại lý trên toàn thế giới, việc gửi và nhận tiền trở nên cực kỳ thuận tiện, bất kể bạn đang ở đâu.</t>
  </si>
  <si>
    <t>4.1. Ưu điểm</t>
  </si>
  <si>
    <t>Dễ dàng mua bán, chuyển đổi thành tiền mặt ở hầu hết cửa hàng vàng và ngân hàng.</t>
  </si>
  <si>
    <t>3. Vì sao nhiều người chọn bảo hiểm liên kết đầu tư th…</t>
  </si>
  <si>
    <t>Người tham gia có thể điều chỉnh phí, thay đổi số tiền bảo hiểm, rút tiền hoặc chuyển đổi quỹ đầu tư theo nhu cầu ở từn…</t>
  </si>
  <si>
    <t>1. Techcombank Sinh Lời Tự Động định nghĩa lại cách qu…</t>
  </si>
  <si>
    <t>Với sự thay đổi trong tư duy tài chính cá nhân, ngày càng nhiều nhân viên công sở nhận ra rằng việc quản lý tài chính h…</t>
  </si>
  <si>
    <t>3. Các yếu tố ảnh hưởng đến phí chuyển đổi ngoại tệ</t>
  </si>
  <si>
    <t>Tỷ giá tại ngân hàng, các công ty công nghệ tài chính và quầy đổi tiền ở sân bay/trung tâm du lịch sẽ khác nhau</t>
  </si>
  <si>
    <t>1. Tiết kiệm tiền lẻ mỗi ngày</t>
  </si>
  <si>
    <t>Các đồng tiền có mệnh giá nhỏ như 1,000 VND, 2,000 VND, 5,000 VND thường bị lãng quên trong túi áo, túi quần hoặc ở đâu…</t>
  </si>
  <si>
    <t>2. Gợi ý các cách thanh toán tối ưu khi mua sắm tại Th…</t>
  </si>
  <si>
    <t>Nên đổi ngoại tệ tại ngân hàng/điểm được cấp phép, giữ tiền mặt ở mức vừa đủ và bảo quản cẩn thận</t>
  </si>
  <si>
    <t>Việc quy đổi Đô la Mỹ sang tiền Việt rất đơn giản với công thức:</t>
  </si>
  <si>
    <t>2.1 Công thức tính NPV</t>
  </si>
  <si>
    <t>Bản chất của công thức là quy đổi toàn bộ dòng tiền tương lai về giá trị hiện tại (do tiền ở các thời điểm khác nhau có…</t>
  </si>
  <si>
    <t>Nếu bạn chưa kịp đổi tiền, hãy mang theo Đô la Mỹ (USD) để có tỷ giá tốt khi đổi sang Ringgit tại các quầy đổi tiền đượ…</t>
  </si>
  <si>
    <t>1. Lợi ích của việc vay ngân hàng mua nhà</t>
  </si>
  <si>
    <t>Ngược lại, vay ngân hàng mua nhà giúp bạn có tài sản cố định riêng, và chi phí thuê nhà có thể bù đắp được một phần vào…</t>
  </si>
  <si>
    <t>Nắm rõ về lãi suất vay thế chấp và cách tính lãi của ngân hàng giúp khách hàng xác định được số tiền gốc và lãi cần trả…</t>
  </si>
  <si>
    <t>Meta description bài đích (vay-ngan-hang-1-ty) đang lệch nội dung — nên sửa.</t>
  </si>
  <si>
    <t>4.1. Vay 20 triệu VND mỗi tháng trả bao nhiêu tiền lãi?</t>
  </si>
  <si>
    <t>Bạn sẽ trả một khoản tiền cố định mỗi tháng, ngoại trừ tháng cuối trong thời hạn vay.</t>
  </si>
  <si>
    <t>Dành cho khách hàng không có tài sản đảm bảo, với hạn mức lên đến 1 tỷ VND và thời gian vay linh hoạt từ 12 đến 60 thán…</t>
  </si>
  <si>
    <t>Vay dễ dàng không cần tài sản đảm bảo, đăng ký trực tuyến trên Techcombank Mobile, phê duyệt trong 3 phút, hạn mức lên…</t>
  </si>
  <si>
    <t>3. Khi xảy ra sự kiện bảo hiểm, bảo hiểm trùng bồi thư…</t>
  </si>
  <si>
    <t>Khi xảy ra sự cố chập điện khiến kho bị thiệt hại 1 tỷ VND, anh Dũng ban đầu nghĩ rằng có thể được nhận bồi thường 2 tỷ…</t>
  </si>
  <si>
    <t>4. Hướng dẫn trả góp khoản vay trên Techcombank Mobile</t>
  </si>
  <si>
    <t>Bạn sẽ trả một khoản tiền cố định mỗi tháng, ngoại trừ tháng cuối cùng trong thời hạn vay.</t>
  </si>
  <si>
    <t>2.2. Đối với lao động nam</t>
  </si>
  <si>
    <t>tỷ lệ hưởng là 40% tương ứng 15 năm đầu, sau đó cứ thêm mỗi năm đóng được tính thêm 1% (đây là điểm mới của Luật Bảo hi…</t>
  </si>
  <si>
    <t>2. Trả góp cùng lúc 2 ngân hàng được không?</t>
  </si>
  <si>
    <t>Có khả năng trả nợ vì các ngân hàng thường xem xét tỷ lệ nợ trên thu nhập (DTI - Debt-to-Income ratio), trong đó, tổng…</t>
  </si>
  <si>
    <t>Khách hàng mua một chiếc điện thoại có giá 6,000,000 VND , phí chuyển đổi trả góp thẻ tín dụng là 90,000 VND (khoảng 1,…</t>
  </si>
  <si>
    <t>Tuy nhiên, điều kiện vay, hồ sơ và thủ tục mua xe trả góp tại mỗi ngân hàng sẽ có sự khác nhau.</t>
  </si>
  <si>
    <t>2.1. Cách 1: Nhận voucher The Pizza Company trên Techc…</t>
  </si>
  <si>
    <t>Cách lấy voucher The Pizza Company trên Techcombank Mobile.</t>
  </si>
  <si>
    <t>Khám phá ngay danh sách ưu đãi cùng cách lấy và sử dụng voucher trong bài viết dưới đây!</t>
  </si>
  <si>
    <t>Khám phá ngay cách đổi điểm U-Point lấy voucher Jollibee và các tuyệt chiêu tích điểm siêu tốc trong bài viết dưới đây!</t>
  </si>
  <si>
    <t>2. Hướng dẫn lấy voucher Be trên Techcombank Mobile và…</t>
  </si>
  <si>
    <t>Ngoài lấy voucher trên Techcombank Mobile, khách hàng có thể lấy voucher Be trên app OneU bằng cách:</t>
  </si>
  <si>
    <t>2.1. Cách 1: Đổi U-Point nhận voucher trên Techcombank…</t>
  </si>
  <si>
    <t>Cách lấy voucher Katinat trên Techcombank Mobile.</t>
  </si>
  <si>
    <t>Cập nhật ngay danh sách ưu đãi mới nhất, cách lấy mã và hướng dẫn sử dụng voucher trong bài viết dưới đây.</t>
  </si>
  <si>
    <t>2. Cách lấy voucher Kichi Kichi trên Techcombank Mobil…</t>
  </si>
  <si>
    <t>Ngoài lấy voucher trên Techcombank Mobile, khách hàng có thể lấy voucher Kichi Kichi trên app OneU bằng cách:</t>
  </si>
  <si>
    <t>2. Hướng dẫn lấy mã giảm giá Shopee trên Techcombank M…</t>
  </si>
  <si>
    <t>Ngoài lấy voucher trên Techcombank Mobile, khách hàng có thể lấy mã giảm giá Shopee trên app OneU bằng cách:</t>
  </si>
  <si>
    <t>3.1. Hướng dẫn lấy voucher Starbucks</t>
  </si>
  <si>
    <t>Ngoài lấy voucher trên Techcombank Mobile, khách hàng có thể lấy voucher Starbucks trên app Techcombank OneU bằng cách:</t>
  </si>
  <si>
    <t>7. Nhận ngay voucher mua hàng cửa hàng tiện lợi trên T…</t>
  </si>
  <si>
    <t>Ngoài lấy voucher trên Techcombank Mobile, khách hàng có thể lấy voucher trên app OneU bằng cách:</t>
  </si>
  <si>
    <t>2. Hướng dẫn lấy mã giảm giá Green SM trên Techcombank…</t>
  </si>
  <si>
    <t>Ngoài lấy voucher trên Techcombank Mobile, khách hàng có thể lấy voucher Green SM trên app OneU bằng cách:</t>
  </si>
  <si>
    <t>2. Hướng dẫn lấy voucher KFC trên Techcombank Mobile v…</t>
  </si>
  <si>
    <t>Ngoài lấy voucher trên Techcombank Mobile, khách hàng có thể lấy voucher KFC trên app OneU bằng cách:</t>
  </si>
  <si>
    <t>2. Cách thu thập voucher Mr.Eco trên Techcombank Mobil…</t>
  </si>
  <si>
    <t>Ngoài lấy voucher trên Techcombank Mobile, khách hàng có thể lấy voucher Mr.Eco trên app OneU bằng cách:</t>
  </si>
  <si>
    <t>2. Hướng dẫn lấy voucher Phúc Long trên Techcombank Mo…</t>
  </si>
  <si>
    <t>Ngoài lấy voucher trên Techcombank Mobile, khách hàng có thể lấy voucher Phúc Long trên app OneU bằng cách:</t>
  </si>
  <si>
    <t>3. Hướng dẫn sử dụng voucher Grab</t>
  </si>
  <si>
    <t>Sau khi đổi U-Point lấy voucher, khách hàng sử dụng mã giảm giá trên app Grab bằng cách:</t>
  </si>
  <si>
    <t>1. Đặt Xanh SM trên app Xanh SM với voucher từ Techcom…</t>
  </si>
  <si>
    <t>Sau khi đổi U-Point lấy voucher trên Xanh SM, khách hàng có thể sử dụng voucher bằng cách:</t>
  </si>
  <si>
    <t>Cách lấy voucher TOUS les JOURS trên Techcombank Mobile.</t>
  </si>
  <si>
    <t>2. Cách lấy voucher Xanh SM trên Techcombank Mobile và…</t>
  </si>
  <si>
    <t>Ngoài lấy voucher trên Techcombank Mobile, khách hàng có thể lấy voucher Xanh SM trên app OneU bằng cách:</t>
  </si>
  <si>
    <t>2.2. Đặc quyền tích điểm, đổi thưởng, nhận ưu đãi từ h…</t>
  </si>
  <si>
    <t>Đặc biệt, vào 12:00 trưa ngày 28 hàng tháng, chương trình Flash Deal sẽ diễn ra với số lượng giới hạn các voucher trị g…</t>
  </si>
  <si>
    <t>4. Đặt vé máy bay qua nền tảng du lịch trực tuyến</t>
  </si>
  <si>
    <t>Đặt vé qua nền tảng du lịch trực tuyến (OTA) như Agoda, Traveloka, Booking.com, Trip.com… giúp người dùng dễ dàng so sánh giá v…</t>
  </si>
  <si>
    <t>Chưa có cụm anchor → thêm 1 câu ngay sau câu này, ví dụ: "Xem thêm: voucher Traveloka." rồi gắn link vào cụm anchor.</t>
  </si>
  <si>
    <t>2. Mua vé máy bay giá rẻ từ các nền tảng du lịch trực t…</t>
  </si>
  <si>
    <t>Bên cạnh website của hãng hàng không, các nền tảng du lịch trực tuyến (OTA) như Traveloka, Klook, Agoda, Trip.com… cũng thường …</t>
  </si>
  <si>
    <t>2.4. Kiểm tra các ưu đãi du lịch của thẻ ngân hàng</t>
  </si>
  <si>
    <t>Trước chuyến đi, hãy dành vài phút truy cập website hoặc ứng dụng ngân hàng để kiểm tra danh sách ưu đãi hiện hành, với hàng lo…</t>
  </si>
  <si>
    <t>3. Mua vé xem phim qua ngân hàng số</t>
  </si>
  <si>
    <t>Việc tích hợp này mang đến trải nghiệm liền mạch, giúp khách hàng vừa thanh toán an toàn, vừa dễ dàng tận dụng điểm thưởng, mã …</t>
  </si>
  <si>
    <t>1. Bản đồ khám phá Việt Nam rực rỡ trên app Techcombank…</t>
  </si>
  <si>
    <t>Nhờ đó, khách hàng có thể dễ dàng lựa chọn địa điểm phù hợp với hành trình, đồng thời theo dõi voucher và ưu đãi ngay trên ứng …</t>
  </si>
  <si>
    <t>Ưu đãi đa lĩnh vực như du lịch, thời trang, giải trí, mua sắm online, mua sắm tại cửa hàng… tại nhiều thương hiệu lớn như Shope…</t>
  </si>
  <si>
    <t>https://techcombank.com/thong-tin/blog/chuong-trinh-khach-hang-than-thiet</t>
  </si>
  <si>
    <t>2.1. Lợi ích cho khách hàng</t>
  </si>
  <si>
    <t>Mỗi giao dịch đủ điều kiện đều có thể được quy đổi thành điểm thưởng để đổi quà, voucher hoặc các ưu đãi khác theo chính sách c…</t>
  </si>
  <si>
    <t>https://techcombank.com/thong-tin/blog/dac-san-hai-phong</t>
  </si>
  <si>
    <t>3. Khám phá đặc sản Hải Phòng với voucher từ Techcomban…</t>
  </si>
  <si>
    <t>Chỉ cần truy cập Techcombank OneU , khách hàng có thể khám phá ngay kho ưu đãi ẩm thực Hải Phòng và săn voucher bằng điểm U-Point:</t>
  </si>
  <si>
    <t>3. Hướng dẫn sử dụng voucher Shang Chi</t>
  </si>
  <si>
    <t>Khách hàng xuất trình voucher cho thu ngân trước khi thanh toán để sử dụng ưu đãi</t>
  </si>
  <si>
    <t>Khám phá ngay danh sách ưu đãi cùng cách đổi và sử dụng voucher trong bài viết dưới đây!</t>
  </si>
  <si>
    <t>5. Cách tính thuế hộ kinh doanh 2026</t>
  </si>
  <si>
    <t>&gt;&gt;&gt; Tìm hiểu chi tiết cách tính thuế hộ kinh doanh trong bài viết Cách tính thuế Hộ kinh doanh nhỏ lẻ năm 2026 mới nhất…</t>
  </si>
  <si>
    <t>…viết sau sẽ tổng hợp các quy định MỚI NHẤT về truy thu thuế hộ kinh doanh.</t>
  </si>
  <si>
    <t>Đóng mã số thuế hộ kinh doanh là thủ tục cần thực hiện khi chấm dứt hoạt động hoặc t…</t>
  </si>
  <si>
    <t>…i nhất về thời hạn đăng ký thuế, mức phạt chậm đăng ký thuế hộ kinh doanh và hướng xử lý khi phát sinh vi phạm.</t>
  </si>
  <si>
    <t>2.1. Đăng ký tài khoản thuế điện tử và eTax Mobile</t>
  </si>
  <si>
    <t>&gt;&gt;&gt; Tìm hiểu thêm Thông tin cần tra cứu &amp; cách kiểm tra thuế hộ kinh doanh.</t>
  </si>
  <si>
    <t>… viết dưới đây hướng dẫn chi tiết cách cách tra cứu nợ thuế hộ kinh doanh online và cách xử lý khi kiểm tra nợ thuế hộ…</t>
  </si>
  <si>
    <t>Kiểm tra thông tin thuế hộ kinh doanh giúp chủ hộ kịp thời cập nhật tình trạng đăng ký thuế,…</t>
  </si>
  <si>
    <t>Bài viết dưới đây hướng dẫn hồ sơ, thủ tục cách đăng ký mã số thuế hộ kinh doanh online theo quy định mới nhất.</t>
  </si>
  <si>
    <t>Cùng tìm hiểu 3 cách tra cứu mã số thuế hộ kinh doanh online nhanh chóng, chính xác qua hệ thống của Tổng cụ…</t>
  </si>
  <si>
    <t>Cuốn cẩm nang dưới đây sẽ hướng dẫn đầy đủ cách đăng ký thuế hộ kinh doanh cá thể online một cách dễ dàng nhất.</t>
  </si>
  <si>
    <t>1.1. Barcode là gì?</t>
  </si>
  <si>
    <t>Đối với một chủ hộ kinh doanh, barcode thường đóng vai trò như “mã nhận diện” của sản phẩm.</t>
  </si>
  <si>
    <t>1.3. Lo ngại chi phí đóng thuế tăng vọt</t>
  </si>
  <si>
    <t>Nhiều hộ kinh doanh lo ngại phải đóng thuế cao.</t>
  </si>
  <si>
    <t>Cơ sở kinh doanh nộp thuế GTGT theo phương pháp khấu trừ có dự án đầu tư mới tại cùng tỉnh, thành phố hoặc khác tỉnh, t…</t>
  </si>
  <si>
    <t>1. Địa điểm đăng ký kinh doanh cho hộ/cá nhân kinh doa…</t>
  </si>
  <si>
    <t>Cá nhân hoặc hộ gia đình nộp hồ sơ một lần sẽ được cấp cả Giấy chứng nhận đăng ký kinh doanh và mã số thuế .</t>
  </si>
  <si>
    <t>Trong bài viết này, Techcombank sẽ hướng dẫn cách tạo mã QR tài khoản ngân hàng nhanh chóng, dễ dàng cho các nhóm khách…</t>
  </si>
  <si>
    <t>1. Từ 1/7/2025, số căn cước công dân (CCCD) là mã số t…</t>
  </si>
  <si>
    <t>Từ ngày 1/7/2025, theo quy định mới của Luật Quản lý thuế, số Căn cước công dân (CCCD) gồm 12 chữ số sẽ thay thế hoàn t…</t>
  </si>
  <si>
    <t>Một trong những rào cản lớn nhất khiến hộ kinh doanh ngần ngại chuyển đổi là thủ tục pháp lý và gánh nặng thuế phí.</t>
  </si>
  <si>
    <t>1. Cân nhắc lại mô hình kinh doanh trong bối cảnh mới</t>
  </si>
  <si>
    <t>Thay đổi cách thức quản lý thuế với hộ kinh doanh có doanh thu từ 1 tỷ VND/năm trở lên .</t>
  </si>
  <si>
    <t>Bài viết dưới đây sẽ hướng dẫn bạn 3 cách tra cứu hóa đơn điện tử Tổng cục thuế theo quy định mới nhất năm 2026 , bao g…</t>
  </si>
  <si>
    <t>4. Techcombank đồng hành cùng hộ kinh doanh trên hành…</t>
  </si>
  <si>
    <t>Để hỗ trợ Hộ kinh doanh chuyển đổi số và phát triển kinh doanh bền vững, Techcombank cung cấp gói giải pháp Quản lý tài…</t>
  </si>
  <si>
    <t>2.1. Giải pháp quản lý doanh thu All-In-One</t>
  </si>
  <si>
    <t>T-Shop là ứng dụng quản lý bán hàng đột phá đến từ Techcombank, giúp các chủ hộ kinh doanh cùng doanh nghiệp vừa và nhỏ…</t>
  </si>
  <si>
    <t>3.1. Nộp thuế đất online trên eTax Mobile</t>
  </si>
  <si>
    <t>eTax mobile là ứng dụng thuế điện tử chính thức do Tổng cục Thuế Việt Nam phát hành, nhằm hỗ trợ cá nhân, hộ kinh doanh…</t>
  </si>
  <si>
    <t>2.1. Hồ sơ cần chuẩn bị khi vay tín chấp hộ kinh doanh</t>
  </si>
  <si>
    <t>Để chứng minh khả năng trả nợ, người vay cần cung cấp các giấy tờ chứng minh thu nhập như báo cáo tài chính, sổ sách kế…</t>
  </si>
  <si>
    <t>Theo Thông tư 18/2026/TT-BTC (được sửa đổi, bổ sung bởi Thông tư 50/2026/TT-BTC ), 100% hộ kinh doanh, cá nhân kinh doa…</t>
  </si>
  <si>
    <t>Một sai lầm phổ biến là nhiều chủ hộ kinh doanh vẫn nghĩ nghĩa vụ thuế khi lên doanh nghiệp tương tự như trước đây.</t>
  </si>
  <si>
    <t>1. Giấy phép kinh doanh là gì? Tại sao bắt buộc phải c…</t>
  </si>
  <si>
    <t>Giấy phép kinh doanh là văn bản pháp lý do cơ quan nhà nước có thẩm quyền cấp cho cá nhân, hộ gia đình hoặc tổ chức, ch…</t>
  </si>
  <si>
    <t>5. Trường hợp được xóa nợ thuế thu nhập cá nhân</t>
  </si>
  <si>
    <t>Tiền thuế, tiền chậm nộp, tiền phạt đối với các trường hợp bị ảnh hưởng do thiên tai, thảm họa, dịch bệnh có phạm vi rộ…</t>
  </si>
  <si>
    <t>Từ 01/01/2026 , Hộ kinh doanh sẽ không còn áp dụng thuế khoán .</t>
  </si>
  <si>
    <t>Theo quy định mới nhất của Bộ Tài chính, việc khai báo tài khoản ngân hàng hoặc ví điện tử dùng cho hoạt động kinh doan…</t>
  </si>
  <si>
    <t>Tuy nhiên, nhiều cá nhân và tổ chức vẫn băn khoăn không biết nên đăng ký dưới hình thức hộ kinh doanh hay doanh nghiệp.</t>
  </si>
  <si>
    <t>Việc thay đổi địa chỉ hộ kinh doanh không chỉ liên quan đến thông tin đăng ký kinh doanh, mà trong một số trường hợp cò…</t>
  </si>
  <si>
    <t>Từ hộ kinh doanh lên doanh nghiệp sẽ có những thay đổi rõ rệt về nghĩa vụ thuế.</t>
  </si>
  <si>
    <t>3. Khám phá các giải pháp dành cho Merchant tại Techco…</t>
  </si>
  <si>
    <t>Về nghĩa vụ thuế, hộ kinh doanh, cá nhân kinh doanh trên nền tảng TMĐT có trách nhiệm cung cấp đầy đủ, chính xác mã số…</t>
  </si>
  <si>
    <t>Việc triển khai hóa đơn điện tử hộ kinh doanh (*) , cá nhân kinh doanh là một trong những bước đi quan trọng trong lộ trình chu…</t>
  </si>
  <si>
    <t>Khi mở Tài khoản Hộ kinh doanh Techcombank, chủ hộ sẽ nhận được vô vàn ưu đãi liên quan đến thuế, phí và hoá đơn điện tử:</t>
  </si>
  <si>
    <t>6. Phương pháp tính thuế VAT</t>
  </si>
  <si>
    <t>Tùy theo loại hình kinh doanh và quy mô, doanh nghiệp hoặc hộ kinh doanh sẽ áp dụng 1 trong 2 phương pháp tính thuế sau:</t>
  </si>
  <si>
    <t>1. Techcombank T-Shop - Phần mềm bán hàng, xuất hóa đơn…</t>
  </si>
  <si>
    <t>3. Những lưu ý giúp hồ sơ đáp ứng điều kiện thành lập d…</t>
  </si>
  <si>
    <t>Dù không có quy định mức tối thiểu cho các ngành thông thường, nhưng mức vốn nên phản ánh đúng quy mô kinh doanh và khả năng tà…</t>
  </si>
  <si>
    <t>https://techcombank.com/thong-tin/blog/khau-hao-la-gi</t>
  </si>
  <si>
    <t>7. Ứng dụng khấu hao trong quản lý tài sản cá nhân</t>
  </si>
  <si>
    <t>Với người kinh doanh nhỏ lẻ, việc tính khấu hao còn giúp đưa chi phí vào sổ sách, giảm gánh nặng thuế và phản ánh đúng lợi nhuận.</t>
  </si>
  <si>
    <t>Lợi nhuận ròng (còn gọi là lãi ròng hoặc lợi nhuận sau thuế) là phần thu nhập cuối cùng mà doanh nghiệp giữ lại sau khi đã trừ …</t>
  </si>
  <si>
    <t>6. Câu hỏi thường gặp</t>
  </si>
  <si>
    <t>Việc tách bạch giúp chủ doanh nghiệp xác định chính xác hiệu quả kinh doanh, thuận tiện khi quyết toán thuế, và tăng tính minh …</t>
  </si>
  <si>
    <t>từ ngày 17/5/2025 , doanh nghiệp nhỏ và vừa mới thành lập, bao gồm cả doanh nghiệp chuyển đổi từ hộ kinh doanh, được mi…</t>
  </si>
  <si>
    <t>4.2. Cách 2: Qua ngân hàng số Techcombank Business</t>
  </si>
  <si>
    <t>Việc tận dụng ngân hàng số uy tín như Techcombank Business giúp doanh nghiệp chủ động kiểm soát dòng tiền, giảm thiểu s…</t>
  </si>
  <si>
    <t>1. Nhượng quyền là gì?</t>
  </si>
  <si>
    <t>Nhượng quyền thương mại (Franchise) là một mô hình kinh doanh mà trong đó một bên (gọi là bên nhượng quyền - Franchi…</t>
  </si>
  <si>
    <t>Năm 2025 tiếp tục là năm bùng nổ của kinh doanh online tại Việt Nam với hàng loạt mô hình và nền tảng mới xuất hiện, tạ…</t>
  </si>
  <si>
    <t>1.3. Tích lũy kinh nghiệm thực chiến</t>
  </si>
  <si>
    <t>Việc tiếp cận sớm với các mô hình kinh doanh giả lập hoặc các sân chơi thực tế giúp con có cơ hội "…</t>
  </si>
  <si>
    <t>…ao hay thấp cần được xem xét cùng đặc điểm ngành nghề, mô hình kinh doanh và các yếu tố tài chính liên quan.</t>
  </si>
  <si>
    <t>3. Giải pháp SoftPOS của Techcombank có gì?</t>
  </si>
  <si>
    <t>Giải pháp SoftPOS của Techcombank sẽ phù hợp với mô hình kinh doanh dưới 5 cửa hàng với biểu phí hấp dẫn.</t>
  </si>
  <si>
    <t>1. SmartPOS là gì?</t>
  </si>
  <si>
    <t>SmartPOS - Giải pháp nhận thanh toán tiện lợi, phù hợp với mô hình kinh doanh nhiều hơn 5 cửa hàng.</t>
  </si>
  <si>
    <t>3. NIM cao hay thấp nói lên điều gì về ngân hàng?</t>
  </si>
  <si>
    <t>…g pháp tính, cùng kỳ so sánh và cùng nhóm ngân hàng có mô hình kinh doanh tương đồng.</t>
  </si>
  <si>
    <t>Đây là lợi thế rõ rệt nếu mô hình kinh doanh có nhiều chi phí phát sinh.</t>
  </si>
  <si>
    <t>Phù hợp với mọi mô hình kinh doanh dù online hay offline:</t>
  </si>
  <si>
    <t>3. Nên lựa chọn hình thức vay ngắn hạn nào?</t>
  </si>
  <si>
    <t>Dành cho doanh nghiệp có mô hình kinh doanh ngắn, như bán lẻ theo ngày hoặc tuần.</t>
  </si>
  <si>
    <t>2. Xu hướng chuyển đổi xanh trong tiêu dùng</t>
  </si>
  <si>
    <t>Điều này không chỉ giúp bảo vệ môi trường mà còn thúc đẩy các doanh nghiệp chuyển đổi sang mô hình kinh doanh bền vững…</t>
  </si>
  <si>
    <t>4. Giá cao su tác động như thế nào đến ngành cao su và…</t>
  </si>
  <si>
    <t>Tuy nhiên, mức độ ảnh hưởng còn phụ thuộc vào mô hình kinh doanh, cơ cấu doanh thu, chi phí nguyên liệu và tình hình ho…</t>
  </si>
  <si>
    <t>Để mô hình kinh doanh vận hành một cách hợp pháp và bền vững, hoàn thiện thủ tục thuế ban đầu là bước đi bắt buộc.</t>
  </si>
  <si>
    <t>4.1. Khám phá tính năng bán hàng bằng Barcode cho kinh…</t>
  </si>
  <si>
    <t>Tính năng này phù hợp với nhiều mô hình kinh doanh như:</t>
  </si>
  <si>
    <t>3. Giá cà phê phản ánh điều gì về thị trường và tác độn…</t>
  </si>
  <si>
    <t>…óm ngành còn phụ thuộc vào vị trí trong chuỗi giá trị, mô hình kinh doanh và các yếu tố vận hành liên quan.</t>
  </si>
  <si>
    <t>1.1. Định nghĩa</t>
  </si>
  <si>
    <t>…ệt trong các cửa hàng nhỏ, quán ăn, tiệm cà phê và các mô hình kinh doanh truyền thống.</t>
  </si>
  <si>
    <t>1.1. Loa Ting Ting là gì?</t>
  </si>
  <si>
    <t>Là một trợ thủ đắc lực, loa ting ting phù hợp với mọi mô hình kinh doanh và hỗ trợ kết nối linh hoạt thông qua cả 4G và Wi-Fi, …</t>
  </si>
  <si>
    <t>Đây cũng là lý do mô hình One-Stop Shop ngày càng được nhiều ngân hàng theo đuổi nhằm mang đến trải nghiệm quản lý kinh…</t>
  </si>
  <si>
    <t>Bạn đang ấp ủ dự định khởi nghiệp hay muốn mở rộng kinh doanh nhưng còn băn khoăn về việc lựa chọn mô hình pháp lý phù…</t>
  </si>
  <si>
    <t>Dưới đây là danh sách phần mềm quản lý bán hàng an toàn, uy tín, dễ sử dụng và phù hợp với nhiều mô hình kinh doanh:</t>
  </si>
  <si>
    <t>Hộ kinh doanh cá thể là mô hình kinh doanh được nhiều cá nhân và gia đình lựa chọn để khởi nghiệp.</t>
  </si>
  <si>
    <t>…h thuế và kế toán thường xuyên thay đổi, việc lựa chọn mô hình kinh doanh phù hợp ngay từ đầu trở nên đặc biệt quan tr…</t>
  </si>
  <si>
    <t>4. Những lưu ý "vàng" để hồ sơ được duyệt ngay lần đầu</t>
  </si>
  <si>
    <t>Tuy không quy định mức tối thiểu cho ngành thông thường, nhưng cần cân đối với quy mô kinh doanh và khả năng tài chính…</t>
  </si>
  <si>
    <t>Theo dõi tình hình kinh doanh ngay trên Techcombank Mobile:</t>
  </si>
  <si>
    <t>1.1. Tiêu dùng bền vững là gì?</t>
  </si>
  <si>
    <t>Trong bối cảnh nền kinh tế toàn cầu đang dịch chuyển từ mô hình kinh tế tuyến tính truyền thống (Khai thác - Sản xuất -…</t>
  </si>
  <si>
    <t>3. Các khoản phí phục vụ hoạt động kinh doanh khác</t>
  </si>
  <si>
    <t>Việc chuyển đổi từ hộ kinh doanh sang doanh nghiệp mang lại cơ hội mở rộng quy mô, nâng cao uy tín và tiếp cận nhiều ưu…</t>
  </si>
  <si>
    <t>Những quy định mới này được kỳ vọng sẽ nâng cao tính minh bạch trong quản lý, đồng thời tạo môi trường kinh doanh công…</t>
  </si>
  <si>
    <t>tiếp tục duy trì mô hình hộ kinh doanh, hay chuyển đổi sang mô hình doanh nghiệp siêu nhỏ để tận dụng các chính sách mớ…</t>
  </si>
  <si>
    <t>Là văn bản do Cơ quan đăng ký kinh doanh cấp nhằm ghi nhận sự hình thành hợp pháp của một doanh nghiệp/hộ kinh doanh.</t>
  </si>
  <si>
    <t>2. So sánh thủ tục đăng ký hộ kinh doanh cá thể và doa…</t>
  </si>
  <si>
    <t>Thủ tục đăng ký giữa hộ kinh doanh cá thể (HKD) và doanh nghiệp (DN) có sự khác biệt rõ rệt, chủ yếu phản ánh quy mô và…</t>
  </si>
  <si>
    <t>Tuy nhiên, không phải ai cũng biết cách lấy và in mã QR Code ngân hàng như thế nào.</t>
  </si>
  <si>
    <t>Do đó, nếu đang dán hoặc trưng bày mã QR ngân hàng tại cơ sở kinh doanh, chủ cửa hàng hoặc nhân viên nên thường xuyên k…</t>
  </si>
  <si>
    <t>Làm mã QR ngân hàng có mất phí không là băn khoăn của nhiều người dùng khi muốn sử dụng hình thức thanh toán này.</t>
  </si>
  <si>
    <t>Trong bài viết này, hãy cùng tìm hiểu 6 nguyên nhân phổ biến khiến bạn không quét được mã QR ngân hàng và cách xử lý để…</t>
  </si>
  <si>
    <t>3. Hướng dẫn cách xử lý sự cố khi quét mã QR Techcomba…</t>
  </si>
  <si>
    <t>Trên đây là hướng dẫn chi tiết cách quét mã QR Techcombank dành cho cá nhân, chủ cửa hàng, Doanh nghiệp Bán lẻ và cách…</t>
  </si>
  <si>
    <t>5. Cách tạo mã QR nhận tiền cho cửa hàng qua VietQR</t>
  </si>
  <si>
    <t>Trên đây là các cách tạo mã QR thanh toán cho cửa hàng qua ứng dụng ngân hàng số, VNPAY, VietQR.net, ví MoMo và ví Zalo…</t>
  </si>
  <si>
    <t>3.1. Hướng dẫn tạo mã QR nhận thanh toán</t>
  </si>
  <si>
    <t>Tạo mã QR qua ứng dụng ngân hàng là cách tạo mã thuận tiện nhất cho khách hàng cá nhân.</t>
  </si>
  <si>
    <t>2.4. Thanh toán bằng mã Ví điện tử</t>
  </si>
  <si>
    <t>Các dịch vụ ví điện tử như Momo, ZaloPay, ShopeePay, PayPal và nhiều ví điện tử khác cho phép người dùng thanh toán trự…</t>
  </si>
  <si>
    <t>Tương tự như cây ATM, mỗi ngân hàng số cũng sẽ có giao diện và cách đặt tên tính năng quét mã QR khác nhau.</t>
  </si>
  <si>
    <t>1. Cách thanh toán QR Thái Lan</t>
  </si>
  <si>
    <t>Thanh toán QR Thái Lan thường được thực hiện bằng cách quét mã Thai QR/PromptPay tại điểm bán bằng ứng dụng ngân hàng c…</t>
  </si>
  <si>
    <t>2. Tài khoản Hộ kinh doanh - Giải pháp ứng dụng mô hìn…</t>
  </si>
  <si>
    <t>Tap to Pay - Thanh toán nhanh chóng bằng cách chạm vào chip NFC trên mã QR Cửa hàng được trưng bày tại quầy thu ngân</t>
  </si>
  <si>
    <t>Loa thông báo chuyển khoản, còn được gọi là “loa ting ting” hay "loa bán hàng", là thiết bị công nghệ nhỏ gọn hỗ trợ cá…</t>
  </si>
  <si>
    <t>Với Techcombank Mobile - ngân hàng số cung cấp các tính năng thông minh như thanh toán không tiền mặt với mã QR, quản lý tài kh…</t>
  </si>
  <si>
    <t>Thanh toán nhanh chóng bằng cách chạm vào chip NFC trên mã QR Cửa hàng được trưng bày tại quầy thu ngân</t>
  </si>
  <si>
    <t>2.4. Mã QR Cửa hàng</t>
  </si>
  <si>
    <t>Với mã QR Cửa hàng, Merchant có thể in và trưng bày tại quầy thu ngân để tối ưu trải nghiệm thanh toán cho khách hàng;</t>
  </si>
  <si>
    <t>1.2. Đối với khách hàng hộ kinh doanh và Doanh nghiệp…</t>
  </si>
  <si>
    <t>Mã QR Techcombank đã lưu trữ thông tin cơ bản của tài khoản ngân hàng, bao gồm số tài khoản, tên người thụ hưởng và ngâ…</t>
  </si>
  <si>
    <t>1. So sánh mã QR và mã vạch chi tiết nhất</t>
  </si>
  <si>
    <t>Xét về tính ứng dụng, mã QR Code đang cho thấy có nhiều ưu thế hơn hẳn và được sử dụng nhiều trong các hoạt động hàng n…</t>
  </si>
  <si>
    <t>Mã QR doanh nghiệp là mã QR chứa thông tin cơ bản của tài khoản doanh nghiệp, bao gồm số tài khoản, tên ngân hàng và tê…</t>
  </si>
  <si>
    <t>1. QR động là gì?</t>
  </si>
  <si>
    <t>Tại hệ thống cửa hàng Winmart trên toàn quốc, nếu khách hàng chọn thanh toán qua mã QR, nhân viên thu ngân sẽ tạo 1 mã…</t>
  </si>
  <si>
    <t>Một số cây ATM đã tích hợp thêm tính năng rút tiền bằng mã QR giúp người dùng rút tiền mặt nhanh chóng ngay cả khi khôn…</t>
  </si>
  <si>
    <t>Theo thống kê từ Ngân hàng Nhà nước, tính đến quý II/2023, giao dịch thanh toán qua phương thức mã QR tăng tương ứng 15…</t>
  </si>
  <si>
    <t>1.1. Khu vực Châu Á - Thái Bình Dương</t>
  </si>
  <si>
    <t>Để khuyến khích thanh toán kỹ thuật số, bao gồm thanh toán bằng mã QR, chính phủ Ấn Độ đã khởi động nhiều dự án như Bha…</t>
  </si>
  <si>
    <t>2. Chuyển khoản qua Mobile Banking với tính năng Quét…</t>
  </si>
  <si>
    <t>Ngoài chuyển khoản qua tính năng Chuyển tiền, hầu hết ngân hàng số/Mobile Banking hiện đều có tính năng Quét mã QR giúp…</t>
  </si>
  <si>
    <t>2. Bước 2: Sử dụng camera để quét mã QR cần thanh toán</t>
  </si>
  <si>
    <t>Sau khi quét mã QR thành công, màn hình tự động hiển thị thông tin tài khoản thụ hưởng, bao gồm tên chủ tài khoản, số t…</t>
  </si>
  <si>
    <t>8. Kinh nghiệm lựa chọn phần mềm bán hàng phù hợp</t>
  </si>
  <si>
    <t>Giải pháp lý tưởng liên kết trực tiếp với tài khoản ngân hàng, tự động đối soát, sinh mã QR và xuất hóa đơn thuế nhanh…</t>
  </si>
  <si>
    <t>4.2. QR code của loa bán hàng Techcombank hỗ trợ thanh…</t>
  </si>
  <si>
    <t>Mã QR của loa bán hàng hỗ trợ nhận tiền chuyển khoản từ tất cả các ngân hàng trong nước và các ngân hàng nước ngoài tại…</t>
  </si>
  <si>
    <t>6. Khám phá trọn bộ công cụ quản lý kinh doanh dành ch…</t>
  </si>
  <si>
    <t>Chỉ cần mở Tài khoản Hộ kinh doanh Techcombank , chủ hộ kinh doanh tiết kiệm từng đồng với đặc quyền MIỄN HOÀN TOÀN CÁC…</t>
  </si>
  <si>
    <t>Tài khoản Hộ kinh doanh Techcombank tự hào mang đến bộ giải pháp toàn diện giú…</t>
  </si>
  <si>
    <t>Bước sang năm 2026, áp lực cạnh tranh buộc các hộ kinh doanh phải tối ưu hóa triệt để từng đồng vốn, không thể tiếp tục…</t>
  </si>
  <si>
    <t>5. Quy định về địa điểm kinh doanh của hộ kinh doanh c…</t>
  </si>
  <si>
    <t>Khi mở Tài khoản Hộ kinh doanh Techcombank, chủ hộ sẽ nhận được vô vàn ưu đãi liên quan đến thuế, phí và hoá đơn điện t…</t>
  </si>
  <si>
    <t>5. Vững nền tảng pháp lý, bứt tốc đà kinh doanh với gi…</t>
  </si>
  <si>
    <t>Khi mở Tài khoản Hộ kinh doanh Techcombank, chủ cửa hàng sẽ có cơ hội tiếp cận hệ sinh thái “trợ thủ” kinh doanh đắc lự…</t>
  </si>
  <si>
    <t>1.1. Tài khoản Hộ kinh doanh</t>
  </si>
  <si>
    <t>Khi mở Tài khoản Hộ kinh doanh, chủ cửa hàng sẽ nhận được:</t>
  </si>
  <si>
    <t>8. FPT eInvoice</t>
  </si>
  <si>
    <t>M ở tài khoản hộ kinh doanh nhanh chóng tại Techcombank</t>
  </si>
  <si>
    <t>7. Hộ kinh doanh quản lý kinh doanh dễ dàng, đóng thuế…</t>
  </si>
  <si>
    <t>&gt;&gt;&gt; Tiết kiệm chi phí và tối ưu lợi nhuận bằng cách mở tài khoản hộ kinh doanh trên Techcombank Mobile ngay hôm nay!</t>
  </si>
  <si>
    <t>5. Thu tiền dễ, tính thuế gọn cùng bộ giải pháp từ Tec…</t>
  </si>
  <si>
    <t>Theo đó, chỉ cần mở Tài khoản Hộ kinh doanh Techcombank, chủ cửa hàng sẽ có cơ hội tiếp cận hệ sin…</t>
  </si>
  <si>
    <t>3. Thu tiền dễ, tính thuế gọn, thực hiện đúng nghĩa vụ…</t>
  </si>
  <si>
    <t>Khi mở Tài khoản Hộ kinh doanh Techcombank, chủ hộ sẽ có cơ hội tiếp cận hệ sinh thái “trợ thủ” kinh doanh đắc lực:</t>
  </si>
  <si>
    <t>8. Hộ kinh doanh quản lý kinh doanh dễ dàng, đóng thuế…</t>
  </si>
  <si>
    <t>Đăng ký tài khoản Hộ Kinh doanh và kê khai tài khoản với cơ quan thuế</t>
  </si>
  <si>
    <t>3. Thủ tục cho vay vốn kinh doanh tại các ngân hàng</t>
  </si>
  <si>
    <t>Khoản vay sẽ được giải ngân vào tài khoản hộ kinh doanh sau khi hồ sơ vay vốn bằng giấy phép kinh doanh được xét duyệt.</t>
  </si>
  <si>
    <t>6. Hộ kinh doanh nên làm gì để tránh truy thu thuế?</t>
  </si>
  <si>
    <t>Bên cạnh T-Shop, Techcombank còn cung cấp Tài khoản Hộ kinh doanh - giải pháp giúp chủ hộ tách bạch dòng tiền kinh doan…</t>
  </si>
  <si>
    <t>5. Techcombank đồng hành cùng hộ kinh doanh tối ưu vận…</t>
  </si>
  <si>
    <t>Tài khoản Hộ kinh doanh Techcombank, giao dịch 0 phí, vận hành 0 VND.</t>
  </si>
  <si>
    <t>4. Hộ kinh doanh ứng dụng công nghệ để thích nghi tron…</t>
  </si>
  <si>
    <t>Loa bán hàng - Thông báo biến động số dư qua thiết bị loa kết nối với tài khoản Hộ kinh doanh</t>
  </si>
  <si>
    <t>4.2. T-Shop - Phần mềm bán hàng, xuất hóa đơn ngay trê…</t>
  </si>
  <si>
    <t>Tài khoản hộ kinh doanh với tính năng tiện ích đa dạng</t>
  </si>
  <si>
    <t>5. Quản lý thuế bằng phần mềm dễ dàng, hộ kinh doanh t…</t>
  </si>
  <si>
    <t>3. Mở rộng cơ hội kinh doanh và nâng cao uy tín</t>
  </si>
  <si>
    <t>Việc chuyển đổi sang mô hình doanh nghiệp mở ra những cơ hội vượt trội mà hộ kinh doanh khó có được:</t>
  </si>
  <si>
    <t>7. Không cập nhật quy định pháp luật mới</t>
  </si>
  <si>
    <t>Việc chuyển đổi từ hộ kinh doanh lên doanh nghiệp mang lại nhiều cơ hội để mở rộng quy mô, nâng cao uy tín và tiếp cận…</t>
  </si>
  <si>
    <t>Bước 3: Nhận kết quả từ cơ quan thẩm quyền</t>
  </si>
  <si>
    <t>Khi mở tài khoản doanh nghiệp tại Techcombank, quý khách hàng không chỉ nhận được ưu đãi miễn phí trọn gói thủ tục thàn…</t>
  </si>
  <si>
    <t>4. Các chi phí khác khi vay vốn kinh doanh</t>
  </si>
  <si>
    <t>Để có cơ hội tiếp cận các gói vay với mức lãi cạnh tranh, hộ kinh doanh có thể duy trì lịch sử tín dụng minh bạch, xây…</t>
  </si>
  <si>
    <t>1. Đối tượng và điều kiện vay tín chấp hộ kinh doanh l…</t>
  </si>
  <si>
    <t>Hộ kinh doanh cung cấp các giấy tờ như báo cáo tài chính, sổ sách kế toán, giấy đăng ký hộ kinh doanh hoặc giấy tờ pháp…</t>
  </si>
  <si>
    <t>Việc lưu trữ và đối soát chặt chẽ giúp hộ kinh doanh bảo vệ quyền lợi trong trường hợp thanh kiểm tra thuế, đồng thời n…</t>
  </si>
  <si>
    <t>2. Quản lý tài chính khi từ hộ kinh doanh lên doanh ng…</t>
  </si>
  <si>
    <t>Khi chuyển đổi từ hộ kinh doanh sang doanh nghiệp, quy mô hoạt động và nghĩa vụ quản lý tài chính đều tăng lên.</t>
  </si>
  <si>
    <t>5. Hộ kinh doanh quản lý kinh doanh dễ dàng, đóng thuế…</t>
  </si>
  <si>
    <t>Kê khai thuế là một trong những nghĩa vụ quan trọng mà hộ kinh doanh cần thực hiện trong quá trình hoạt động.</t>
  </si>
  <si>
    <t>1. Kiểm tra thông tin đăng ký thuế hộ kinh doanh</t>
  </si>
  <si>
    <t>Để kiểm tra thông tin đăng ký thuế, hộ kinh doanh có thể chọn 2 cách:</t>
  </si>
  <si>
    <t>Dưới đây là 4 bước quan trọng giúp hộ kinh doanh thích ứng chính sách thuế mới một cách chủ động và hiệu quả.</t>
  </si>
  <si>
    <t>1. Hộ kinh doanh cá thể là gì?</t>
  </si>
  <si>
    <t>Hộ kinh doanh không có tư cách pháp nhân, nhưng được cấp mã số thuế, con dấu và giấy chứng nhận đăng ký hộ kinh doanh.</t>
  </si>
  <si>
    <t>Nhưng hộ kinh doanh là gì , đăng ký hay đóng thuế thế nào?</t>
  </si>
  <si>
    <t>Bài viết dưới đây hướng dẫn chi tiết cách cách tra cứu nợ thuế hộ kinh doanh online và cách xử lý khi kiểm tra nợ thuế…</t>
  </si>
  <si>
    <t>Bảng tổng hợp quy định kê khai &amp; cách tính thuế theo mức doanh thu hộ kinh doanh:</t>
  </si>
  <si>
    <t>Thời gian gần đây, vấn đề truy thu thuế hộ kinh doanh đang nhận được nhiều sự quan tâm vì tâm lý lo ngại doanh thu tính…</t>
  </si>
  <si>
    <t>Thay đổi địa chỉ hộ kinh doanh mở ra cơ hội phát triển mới nhưng cũng đi kèm không ít đầu việc hành chính như rà soát t…</t>
  </si>
  <si>
    <t>1.2. Bán hàng bằng barcode hoạt động như thế nào?</t>
  </si>
  <si>
    <t>Nhờ cơ chế này, chủ hộ kinh doanh loại bỏ hoàn toàn bước nhập giá thủ công, đảm bảo độ chính xác cao khi tính tiền và q…</t>
  </si>
  <si>
    <t>Bảng giá LPTB ô tô, xe máy, Tra cứu thông tin NNT, Địa chỉ CQT, Tra cứu hộ kinh doanh, Công cụ tính thuế, Tra cứu Người phụ thu…</t>
  </si>
  <si>
    <t>Bài viết này sẽ giải đáp cách tính thuế GTGT, cách kê khai thuế hộ kinh doanh nhỏ lẻ đúng luật năm 2026.</t>
  </si>
  <si>
    <t>3. Tầm quan trọng của việc quản lý dư nợ</t>
  </si>
  <si>
    <t>Hiểu rõ cách tính lãi suất, chẳng hạn như dư nợ giảm dần, giúp bạn lập kế hoạch trả nợ hợp lý, tối ưu dòng tiền và giảm…</t>
  </si>
  <si>
    <t>3. Công thức tính lãi suất thả nổi hiện tại</t>
  </si>
  <si>
    <t>Ngoài ra, cách tính tiền lãi vay hàng tháng theo lãi suất thả nổi được áp dụng như sau:</t>
  </si>
  <si>
    <t>3. Ví dụ về cách tính tiền lãi khi ân hạn nợ gốc</t>
  </si>
  <si>
    <t>Bạn vay ngân hàng 700,000,000 VND với lãi suất là 10%/năm, tính lãi trên dư nợ giảm dần.</t>
  </si>
  <si>
    <t>2.2. Ví dụ minh họa</t>
  </si>
  <si>
    <t>Giả sử (số liệu dưới đây chỉ mang tính minh họa cho cách tính, không phải mức lãi suất thực tế của bất kỳ ngân hàng nào…</t>
  </si>
  <si>
    <t>4. Phí đăng ký giao dịch bảo đảm</t>
  </si>
  <si>
    <t>…tìm hiểu về các loại phí, khách hàng cũng cần nắm được cách tính lãi suất vay thế chấp , vì đây là yếu tố quan trọng ả…</t>
  </si>
  <si>
    <t>3. Ưu đãi về chi phí sử dụng thẻ</t>
  </si>
  <si>
    <t>Đặc biệt, khách hàng cần nắm được cách tính lãi suất vay ngân hàng theo tháng để chủ động quản lý các khoản phí…</t>
  </si>
  <si>
    <t>2. Tìm hiểu về kỳ hạn gửi tiết kiệm 12 tháng</t>
  </si>
  <si>
    <t>… trực quan và dễ lựa chọn hơn, khách hàng nên tìm hiểu cách tính lãi suất vay ngân hàng theo tháng và tham khảo mức lã…</t>
  </si>
  <si>
    <t>4. 4 lưu ý sử dụng và quản lý thẻ tín dụng phụ hợp lý</t>
  </si>
  <si>
    <t>…ể quản lý tài chính hiệu quả, chủ thẻ chính nên nắm rõ cách tính lãi suất vay ngân hàng theo tháng và áp dụng nguyên t…</t>
  </si>
  <si>
    <t>2. Cách tính tiền trả nợ 1 tỷ mỗi tháng kèm ví dụ (5 n…</t>
  </si>
  <si>
    <t>…oán để tìm được số tiền dự kiến cần trả hàng tháng với cách tính lãi suất vay ngân hàng theo năm phù hợp.</t>
  </si>
  <si>
    <t>4. Bí quyết gửi tiền tiết kiệm với lãi suất sinh lời h…</t>
  </si>
  <si>
    <t>Tìm hiểu về cách tính lãi suất vay ngân hàng theo tháng để có cái nhìn tổng quan về lãi suất và kế hoạch tài chính.</t>
  </si>
  <si>
    <t>3. 2 phương thức thanh toán phổ biến theo hình thức tr…</t>
  </si>
  <si>
    <t>Khi vay theo hình thức trả góp, có hai phương thức thanh toán chính thường được áp dụng, mỗi phương thức có đặc điểm và…</t>
  </si>
  <si>
    <t>4. Hạn mức cho vay mua nhà ở xã hội trả góp</t>
  </si>
  <si>
    <t>Song song với đó, việc hiểu rõ cách tính lãi suất vay thế chấp ngân hàng cũng hỗ trợ người vay chủ động hơn …</t>
  </si>
  <si>
    <t>… như Techcombank, Agribank, ACB, Vietcombank… cũng như cách tính lãi suất vay tiền ngân hàng trong bài viết dưới đây.</t>
  </si>
  <si>
    <t>1.4. Vay thấu chi</t>
  </si>
  <si>
    <t>Do tính chất linh hoạt của khoản vay, lãi suất vay thấu chi thường cao hơn các hình thức vay khác.</t>
  </si>
  <si>
    <t>5. Giải đáp thắc mắc khác về lợi nhuận</t>
  </si>
  <si>
    <t>Hiểu rõ lợi nhuận gộp, lợi nhuận ròng, lợi nhuận trước thuế và lãi vay (EBIT), lợi tức là gì cũng như nắm vững cách tín…</t>
  </si>
  <si>
    <t>5.1. Bảng tính dư nợ giảm dần</t>
  </si>
  <si>
    <t>Tiền lãi kỳ đầu = Số tiền vay x Lãi suất kỳ tính lãi / 12</t>
  </si>
  <si>
    <t>Bài viết này sẽ giúp bạn hiểu rõ hơn về lãi suất vay thấu chi, cách tính và một số chi phí cần thanh toán khi sử dụng h…</t>
  </si>
  <si>
    <t>4. Tính toán cụ thể số tiền phải thanh toán hàng tháng</t>
  </si>
  <si>
    <t>Với cách trả nợ niêm kim, người vay có thể dễ dàng tính toán được số tiền gốc và lãi cần trả hàng tháng.</t>
  </si>
  <si>
    <t>1. Giới thiệu gói vay 40 triệu chỉ cần CCCD trên Techc…</t>
  </si>
  <si>
    <t>Lãi suất vay chỉ từ 1.2%/tháng (*) - tính trên dư nợ giảm dần :</t>
  </si>
  <si>
    <t>Cùng tìm hiểu chi tiết cách vay 100 triệu trên Techcombank Mobile với lãi suất ưu đãi và thủ tục tối giản ngay trong bà…</t>
  </si>
  <si>
    <t>1. Vay tiêu dùng tín chấp trả góp online</t>
  </si>
  <si>
    <t>Lãi suất chỉ từ 1.2%/tháng (*) - tính trên dư nợ giảm dần:</t>
  </si>
  <si>
    <t>3.4. Lãi suất theo dư nợ giảm dần và dư nợ gốc</t>
  </si>
  <si>
    <t>Từ lãi suất cố định đến lãi suất thả nổi, hỗn hợp hay cách tính theo dư nợ – chọn đúng loại lãi suất vay giúp bạn chủ đ…</t>
  </si>
  <si>
    <t>2. Lợi ích khi vay 15 triệu nhanh trên Techcombank Mob…</t>
  </si>
  <si>
    <t>1. Techcombank cho vay 30 triệu trả góp 20 - 36 tháng</t>
  </si>
  <si>
    <t>Nhờ quy trình tinh gọn, lãi suất cạnh tranh và thời gian xử lý nhanh chóng, Techcombank Mobile trở thành lựa chọn phù h…</t>
  </si>
  <si>
    <t>2. Lưu ý về cách tính lãi khi vay ngân hàng xây/sửa nhà</t>
  </si>
  <si>
    <t>Tìm hiểu về cách tính lãi khi vay xây/sửa nhà sẽ giúp bạn xây dựng kế hoạch trả nợ chủ động hơn.</t>
  </si>
  <si>
    <t>4. Lưu ý quan trọng khi vay vốn ngân hàng</t>
  </si>
  <si>
    <t>Chú ý cách tính lãi suất, một số chi phí phát sinh và sự thay đổi trong thời hạn của lãi suất cho vay.</t>
  </si>
  <si>
    <t>2.1. Cách tính lãi vay tín chấp theo dư nợ giảm dần</t>
  </si>
  <si>
    <t>Theo cách tính này, lãi suất vay tín chấp sẽ được tính trên số tiền thực tế mà bạn còn nợ (sau khi đã trừ một phần tiền…</t>
  </si>
  <si>
    <t>4. 3 câu hỏi thường gặp khi mở thẻ ngân hàng cho học si…</t>
  </si>
  <si>
    <t>&gt;&gt;&gt; Nếu đang cân nhắc các kế hoạch tài chính dài hạn, bạn có thể tham khảo bảng tính lãi suất vay mua nhà để tính toán chi phí …</t>
  </si>
  <si>
    <t>5. Mở cơ hội dễ dàng tiếp cận các dịch vụ tài chính khá…</t>
  </si>
  <si>
    <t>Ví dụ gói vay BusinessOne Credit Plus của Techcombank là một giải pháp tối ưu cho doanh nghiệp, với tính năng có thể đề xuất va…</t>
  </si>
  <si>
    <t>4. Lưu ý cần biết trước khi xoay vốn từ tín dụng tiêu d…</t>
  </si>
  <si>
    <t>Bên cạnh lãi suất niêm yết, bạn nên tham khảo kỹ thông tin về các khoản phí khác như phí quản lý khoản vay, phí xử lý hồ sơ… để…</t>
  </si>
  <si>
    <t>3. Vay nhanh online 24/24 trên Techcombank Mobile - vay…</t>
  </si>
  <si>
    <t>4. Vay tiền online nhanh 24/24 trên Techcombank Mobile…</t>
  </si>
  <si>
    <t>1.1. Giảm áp lực và tối ưu nguồn tài chính cho người m…</t>
  </si>
  <si>
    <t>Hiện nay nhiều ngân hàng cung cấp các giải pháp vay với hạn mức vay cao, lãi suất ưu đãi, thời hạn vay dài để giúp khác…</t>
  </si>
  <si>
    <t>2. Hiểu rõ về cách tính lãi suất ngân hàng khi vay thế…</t>
  </si>
  <si>
    <t>Hiện nay, có nhiều cách tính lãi vay ngân hàng (theo dư nợ giảm dần, theo phương thức niên kim) và các loại lãi suất (c…</t>
  </si>
  <si>
    <t>Hiện nay, ngân hàng đang áp dụng các loại lãi suất (cố định, thả nổi và hỗn hợp) và có nhiều cách tính lãi khác nhau (t…</t>
  </si>
  <si>
    <t>4. Đọc hiểu sao kê thẻ tín dụng như thế nào?</t>
  </si>
  <si>
    <t>Việc chỉ thanh toán số tiền tối thiểu sẽ giúp bạn không bị phạt trả chậm, nhưng phần dư nợ còn lại sẽ bắt đầu bị tính l…</t>
  </si>
  <si>
    <t>1. Lãi suất vay tiêu dùng của ngân hàng hiện nay</t>
  </si>
  <si>
    <t>Tùy vào quy định và chính sách, mỗi ngân hàng sẽ có cách tính lãi riêng cho sản phẩm vay.</t>
  </si>
  <si>
    <t>1. Hồ sơ vay vốn ngân hàng để xây nhà</t>
  </si>
  <si>
    <t>Một bộ hồ sơ vay hợp lệ sẽ giúp ngân hàng thẩm định được tư cách pháp lý và năng lực thanh toán của người đi vay, từ đó…</t>
  </si>
  <si>
    <t>5. Đọc kỹ điều khoản hợp đồng</t>
  </si>
  <si>
    <t>Thời hạn vay, lãi suất cho vay, cách tính lãi, các dịch vụ hỗ trợ từ ngân hàng:</t>
  </si>
  <si>
    <t>Hiểu một cách đơn giản, với tính năng trả góp qua thẻ tín dụng, thay vì phải thanh toán toàn bộ hóa đơn mua sắm trong m…</t>
  </si>
  <si>
    <t>4.6. Thẻ tín dụng Techcombank Visa Eco tích tới 800,000…</t>
  </si>
  <si>
    <t>Song song với đó, khi có nhu cầu sử dụng thêm các sản phẩm vay vốn, khách hàng nên chủ động tính lãi suất vay ngân hàng theo th…</t>
  </si>
  <si>
    <t>2. Cách tính lãi kép đơn giản, chính xác</t>
  </si>
  <si>
    <t>&gt;&gt;&gt; Nếu khách hàng quan tâm đến các khoản vay, việc tìm hiểu cách tính tiền lãi vay ngân hàng sẽ giúp dự toán chi phí tài chính…</t>
  </si>
  <si>
    <t>4.5. Tối đa có thể nâng hạn mức lên bao nhiêu % so với…</t>
  </si>
  <si>
    <t>Khi cân nhắc chi tiêu hoặc vay thêm, khách hàng nên nắm rõ cách tính tiền lãi vay ngân hàng để quản lý tài chính hiệu quả hơn v…</t>
  </si>
  <si>
    <t>Hạn mức vay thế chấp sổ đỏ được ngân hàng đưa ra cho người vay dựa trên nhiều yếu…</t>
  </si>
  <si>
    <t>2. Hiểu rõ về mức lãi suất và cách tính của ngân hàng</t>
  </si>
  <si>
    <t>Khi vay thế chấp, người vay nên chú ý tới mức lãi suất và cách tính lãi suất của ngân hàng để chủ động trong việc tính…</t>
  </si>
  <si>
    <t>3. Vay thế chấp sổ hồng lãi suất bao nhiêu?</t>
  </si>
  <si>
    <t>Mức lãi suất khi vay thế chấp tài sản bảo đảm đã có sổ hồng sẽ phụ thuộc vào thỏa thuận giữa khách hàng và ngân hàng.</t>
  </si>
  <si>
    <t>Nếu bạn đang băn khoăn nên vay thế chấp ngân hàng nào , hãy tham khảo ngay bài viết dưới đây.</t>
  </si>
  <si>
    <t>…m đến kế hoạch tài chính dài hạn, việc hiểu rõ hạn mức vay thế chấp sổ đỏ cũng giúp tối ưu dòng tiền khi kết hợp sử dụ…</t>
  </si>
  <si>
    <t>Hiểu đúng về bản chất vay thế chấp là gì , nắm rõ điều kiện, thủ tục và quy trình vay thế chấp ngân hàng sẽ giúp bạn lự…</t>
  </si>
  <si>
    <t>1. Vay thế chấp sổ đỏ là cách gọi không chính thức tro…</t>
  </si>
  <si>
    <t>Trong lĩnh vực ngân hàng, vay thế chấp sổ đỏ là một cách gọi không chính xác về mặt pháp lý và được công nhận chính thứ…</t>
  </si>
  <si>
    <t>3.2. Quy trình vay</t>
  </si>
  <si>
    <t>Đây là giải pháp có sản phẩm vay tín chấp doanh nghiệp với hạn mức tín chấp lên tới 10 tỷ VND cùng lãi suất ưu đãi dành…</t>
  </si>
  <si>
    <t>Ngoài việc tìm hiểu về các loại phí, khách hàng cũng cần nắm được cách tính lãi suất vay thế chấp , vì đây là yếu tố qu…</t>
  </si>
  <si>
    <t>2.5 Vay thế chấp mua ô tô</t>
  </si>
  <si>
    <t>Bên cạnh tìm hiểu về điều kiện, bạn có thể đọc thêm bài viết 7 kinh nghiệm vay thế chấp ngân hàng hiệu quả, nhanh chóng…</t>
  </si>
  <si>
    <t>4. Lưu ý quan trọng khi thế chấp tài sản</t>
  </si>
  <si>
    <t>Với mong muốn hỗ trợ khách hàng nhanh chóng tiếp cận nguồn vốn để thực hiện các kế hoạch tài chính, Techcombank mang đế…</t>
  </si>
  <si>
    <t>4. Nên thận trọng khi bảo lãnh cho người khác vay ngân…</t>
  </si>
  <si>
    <t>Hình thức bảo lãnh phổ biến hiện này đó là chủ thể A đưa sổ đỏ cho chủ thể B đi vay thế chấp hoặc đứng tên trên hợp đồn…</t>
  </si>
  <si>
    <t>Bài viết dưới đây sẽ hướng dẫn quy trình, thủ tục giải chấp sổ đỏ theo quy định mới năm 2026 và giải đáp các câu hỏi th…</t>
  </si>
  <si>
    <t>1. Hạn mức vay thế chấp tối đa hiện nay</t>
  </si>
  <si>
    <t>Anh Nguyễn Văn A có nhu cầu vay thế chấp để mua căn hộ chung cư và thế chấp bằng chính sổ đỏ là căn hộ chung cư mua.</t>
  </si>
  <si>
    <t>2.3. Lưu ý khi thanh lý tài sản</t>
  </si>
  <si>
    <t>quyền sử dụng đất, sổ đỏ, chứng nhận sở hữu, giấy tờ phương tiện nếu là xe, máy móc,… Nếu tài sản đang trong tranh chấp thì việ…</t>
  </si>
  <si>
    <t>4. Quy trình vay vốn</t>
  </si>
  <si>
    <t>Ngoài ra, khả năng tài chính của doanh nghiệp/hộ kinh doanh và giá trị của tài sản thế chấp cũng được ngân hàng xem xét…</t>
  </si>
  <si>
    <t>Theo quy định của ngân hàng, người vay chưa thể sử dụng bảng lương làm tài sản bảo đảm để vay thế chấp.</t>
  </si>
  <si>
    <t>Giải ngân vay thế chấp chỉ có thể diễn ra khi ngân hàng phê duyệt và thực hiện ký hợp đồng với khách hàng.</t>
  </si>
  <si>
    <t>Theo quy định của Ngân hàng Nhà nước Việt Nam, các khoản vay thế chấp đều yêu cầu người vay chứng minh thu nhập.</t>
  </si>
  <si>
    <t>Khách hàng mang theo hồ sơ đến ngân hàng phát hành để làm thủ tục.</t>
  </si>
  <si>
    <t>4. Lưu ý khi tất toán khoản vay thế chấp</t>
  </si>
  <si>
    <t>Sau khi hoàn thành tất toán khoản vay, khách hàng sẽ được thông báo về thời gian đến nhận lại tài sản từ ngân hàng và c…</t>
  </si>
  <si>
    <t>4. Quy trình giải ngân vốn vay thế chấp của ngân hàng</t>
  </si>
  <si>
    <t>Như vậy, ngân hàng sẽ giải ngân vay thế chấp khi khách hàng hoàn thành đầy đủ hồ sơ và quy trình thủ tục.</t>
  </si>
  <si>
    <t>Thực hiện thủ tục xử lý tài sản thế chấp đúng quy định pháp luật trong trường hợp cần thiết.</t>
  </si>
  <si>
    <t>2.3. Thủ tục vay tín chấp tại phòng giao dịch Techcomb…</t>
  </si>
  <si>
    <t>Nhân viên ngân hàng hướng dẫn khách hàng làm các thủ tục vay tín chấp, khách hàng cung cấp hồ sơ theo hướng dẫn</t>
  </si>
  <si>
    <t>4. Các câu hỏi thường gặp khi vay doanh nghiệp không t…</t>
  </si>
  <si>
    <t>Để vay tín chấp thành công, việc nắm vững các thông tin cơ bản như hồ sơ, điều kiện vay, thủ tục vay… là rất quan trọng…</t>
  </si>
  <si>
    <t>2. Điều kiện, hồ sơ, thủ tục mua xe máy trả góp</t>
  </si>
  <si>
    <t>Dưới đây là điều kiện, hồ sơ và thủ tục vay trả góp không thế chấp online tại Techcombank:</t>
  </si>
  <si>
    <t>Ngoài ra, mọi thắc mắc về gói vay, thủ tục, điều kiện, hồ sơ, quy trình vay vốn cũng sẽ được giải đáp đầy đủ, chi tiết…</t>
  </si>
  <si>
    <t>4. Thủ tục vay 300 triệu VND không thế chấp tại Techco…</t>
  </si>
  <si>
    <t>2. 5 lưu ý cho Việt Kiều khi mở tài khoản ngân hàng</t>
  </si>
  <si>
    <t>Đây cũng là thói quen cần thiết khi khách hàng tìm hiểu các quy trình tài chính khác, chẳng hạn như thủ tục vay tín chấ…</t>
  </si>
  <si>
    <t>1.1. Kích hoạt thẻ tín dụng Techcombank thông qua tổng…</t>
  </si>
  <si>
    <t>Các thủ tục, hồ sơ và quy trình cho vay tín chấp.</t>
  </si>
  <si>
    <t>4. Thủ tục vay 200 triệu VND không thế chấp tại Techco…</t>
  </si>
  <si>
    <t>2.2. Thủ tục vay tín chấp theo lương</t>
  </si>
  <si>
    <t>Vay tín chấp theo lương có hồ sơ, thủ tục vay đơn giản.</t>
  </si>
  <si>
    <t>2.3. Lãi suất và hạn mức vay tiêu dùng thế chấp</t>
  </si>
  <si>
    <t>Phí làm hồ sơ/thủ tục (công chứng, đăng ký giao dịch đảm bảo), phí định giá tài sản đảm bảo, phí bảo hiểm tài sản thế c…</t>
  </si>
  <si>
    <t>Bài viết này sẽ là hướng dẫn chi tiết về thủ tục vay tín chấp cá nhân ngân hàng, điều kiện và danh sách đầy đủ giấy tờ…</t>
  </si>
  <si>
    <t>Hạn mức vay ngắn hạn và trung hạn lên đến 15 tỷ VND (*), lãi suất cạnh tranh chỉ từ 6.4%/năm (*) với khoản vay ngắn hạn…</t>
  </si>
  <si>
    <t>Hạn mức vay thế chấp sổ đỏ được ngân hàng đưa ra cho người vay dựa trên nhiều yếu tố, không chỉ nằm ở giá trị của bất đ…</t>
  </si>
  <si>
    <t>Hiện nay, nhiều ngân hàng áp dụng mức lãi suất gửi tiết kiệm online cao hơn 0.1 - 0.4%/năm so với gửi tiết kiệm tại phò…</t>
  </si>
  <si>
    <t>4. Lãi suất</t>
  </si>
  <si>
    <t>Cụ thể, trường hợp lãi suất ngân hàng cao hơn mức lãi suất bảo lãnh, chủ đầu tư sẽ hỗ trợ chi trả phần lãi suất chênh l…</t>
  </si>
  <si>
    <t>…ần theo dõi sát biến động giá vàng, tỷ giá ngoại tệ và lãi suất ngân hàng .</t>
  </si>
  <si>
    <t>1.2. Lãi suất</t>
  </si>
  <si>
    <t>Hầu hết tiền gửi tiết kiệm online thường có mức lãi suất cao hơn so với gửi tiết kiệm tại quầy khoảng 0.1 - 0.4%/năm (c…</t>
  </si>
  <si>
    <t>1. Lãi suất thực phản ánh điều gì khi gửi tiết kiệm ho…</t>
  </si>
  <si>
    <t>Lãi suất danh nghĩa (lãi suất công bố) là mức lãi suất ngân hàng niêm yết trên hợp đồng hoặc bảng biểu, chưa tính đến b…</t>
  </si>
  <si>
    <t>Việc tìm hiểu về lãi suất ngân hàng cho vay xây/sửa nhà là bước đầu tiên và vô cùng quan trọng.</t>
  </si>
  <si>
    <t>Mở sổ tiết kiệm ngân hàng có lãi suất thấp hơn gửi online nhưng nhận được sự hướng dẫn tận tình từ giao dịch viên tại q…</t>
  </si>
  <si>
    <t>3. Hướng dẫn tham gia gửi tiết kiệm Tích lũy Như Ý cùn…</t>
  </si>
  <si>
    <t>Giải pháp Tiền gửi Tích lũy Như Ý của Techcombank cho phép khách hàng gửi tiết kiệm theo ngày - tuần - tháng linh hoạt…</t>
  </si>
  <si>
    <t>3.1. Lãi suất mong muốn</t>
  </si>
  <si>
    <t>Lãi suất gửi tiết kiệm tích lũy có thể thay đổi theo kỳ hạn gửi tùy theo chính sách của từng ngân hàng.</t>
  </si>
  <si>
    <t>Chọn gửi tiết kiệm tại ngân hàng uy tín, có lãi suất hấp dẫn, phí dịch vụ thấp...</t>
  </si>
  <si>
    <t>Hưởng “trái ngọt” ngay cả khi thị trường rung lắc đầy…</t>
  </si>
  <si>
    <t>Đồng nghĩa với đó là 7.030 khách hàng nói riêng của năm 2023 và 26.000 khách hàng sở hữu trái phiếu Dòng tiền định sẵn…</t>
  </si>
  <si>
    <t>Tiết kiệm thêm lợi với đặc quyền lãi suất</t>
  </si>
  <si>
    <t>Đồng hành cùng khách hàng trong quá trình xây dựng nền tảng tài chính vững chắc, Techcombank mang đến chương trình cộng…</t>
  </si>
  <si>
    <t>2.1. Quản lý tài chính bằng góc nhìn dài hạn</t>
  </si>
  <si>
    <t>Thao tác nhanh gọn và dễ dàng trên ngân hàng số Techcombank Mobile , khách hàng có thể tự thực hiện các giao dịch gửi t…</t>
  </si>
  <si>
    <t>Khách hàng rút trước hạn tiền gửi tiết kiệm vẫn sẽ được nhận lãi suất theo quy định của ngân hàng.</t>
  </si>
  <si>
    <t>1. Gửi tiết kiệm</t>
  </si>
  <si>
    <t>Gửi tiết kiệm là hình thức đầu tư truyền thống, trong đó người gửi chuyển một khoản tiền gửi nhàn rỗi vào ngân hàng để…</t>
  </si>
  <si>
    <t>2. Lời khuyên để sở hữu chứng chỉ tiền gửi an toàn, si…</t>
  </si>
  <si>
    <t>&gt;&gt;&gt; Ngoài ra, việc trở thành khách hàng của các ngân hàng lớn còn giúp bạn tiếp cận thêm nhiều quyền lợi khác như các g…</t>
  </si>
  <si>
    <t>5.4. Không mở quá nhiều thẻ tín dụng trong khoảng thời…</t>
  </si>
  <si>
    <t>&gt;&gt;&gt; Để tối ưu lợi ích từ khoản tiết kiệm và kiểm soát dòng tiền, khách hàng nên tìm hiểu cách tính lãi suất tiết kiệm o…</t>
  </si>
  <si>
    <t>1. Ngân hàng điện tử là gì?</t>
  </si>
  <si>
    <t>Các dịch vụ ngân hàng điện tử bao gồm nhiều tính năng như chuyển tiền, thanh toán hóa đơn, gửi tiết kiệm, tra cứu thông…</t>
  </si>
  <si>
    <t>2.3. Đặt mục tiêu tiết kiệm rõ ràng</t>
  </si>
  <si>
    <t>Nếu quý khách hàng có nhu cầu gửi tiết kiệm lãi suất cao, vui lòng liên hệ Techcombank qua các phương thức sau để được…</t>
  </si>
  <si>
    <t>3. Ưu đãi dành cho chủ cửa hàng sử dụng Tài khoản Hộ k…</t>
  </si>
  <si>
    <t>Cộng thêm đến 1.2%/năm lãi suất khi gửi tiết kiệm từ 6 tháng</t>
  </si>
  <si>
    <t>1.4. Cơ hội đầu tư sinh lời</t>
  </si>
  <si>
    <t>Gửi tiết kiệm có kỳ hạn để hưởng lãi suất kép .</t>
  </si>
  <si>
    <t>2.3. Sinh lời và tăng trưởng tài sản</t>
  </si>
  <si>
    <t>Khi bạn gửi tiết kiệm ở ngân hàng, khoản tiền nhàn rỗi có thể tự động sinh lãi theo thời gian.</t>
  </si>
  <si>
    <t>1. Tài khoản thanh toán là gì? Chức năng của tài khoản…</t>
  </si>
  <si>
    <t>Khi gửi tiết kiệm vào ngân hàng, khách hàng sẽ nhận được một khoản lãi theo quy định</t>
  </si>
  <si>
    <t>Thì nay, điều này đã hoàn toàn thay đổi, nhà đầu tư đã sẵn sàng tìm mua các trái phiếu có lãi suất thấp hơn thị trường…</t>
  </si>
  <si>
    <t>3. Nên làm gì với 5 triệu để sinh lời ngoài mua vàng?</t>
  </si>
  <si>
    <t>Với số tiền 5 triệu VND, nếu bạn ưu tiên sự an toàn, ổn định và muốn sinh lời chắc chắn mà không cần lo lắng về biến độ…</t>
  </si>
  <si>
    <t>3.2. Ảnh hưởng đến khả năng thanh toán khi rút tiền th…</t>
  </si>
  <si>
    <t>Khách hàng nên cân nhắc rút tiền mặt bằng thẻ tín dụng vì sẽ cần trả phí rút tiền lên tới 4% trên tổng số tiền rút và l…</t>
  </si>
  <si>
    <t>2. Cách mua nhà trả góp thông minh: Lựa chọn ngân hàng…</t>
  </si>
  <si>
    <t>So sánh lãi suất của nhiều ngân hàng để chọn gói vay có mức lãi suất ưu đãi nhất.</t>
  </si>
  <si>
    <t>Ngân hàng sẽ thực hiện trả gốc, lãi trái phiếu cho trái chủ trong trường hợp tổ chức phát hành không thực hiện được ngh…</t>
  </si>
  <si>
    <t>2. Ý nghĩa của tỷ lệ CASA với ngân hàng</t>
  </si>
  <si>
    <t>Khi chi phí vốn (giá vốn huy động) giảm, trong khi lãi suất cho vay đầu ra giữ nguyên hoặc giảm ít hơn, biên độ chênh l…</t>
  </si>
  <si>
    <t>2. So sánh gửi tiết kiệm tích lũy với gửi tiết kiệm cố…</t>
  </si>
  <si>
    <t>Lãi suất trên chỉ có tính chất tham khảo và sẽ thay đổi tùy thuộc vào chính sách của ngân hàng tại từng thời điểm.</t>
  </si>
  <si>
    <t>Cụ thể, khách hàng có thể thực hiện trả góp với lãi suất từ 0 - 10%/năm tại các đối tác/ doanh nghiệp hợp tác cùng ngân…</t>
  </si>
  <si>
    <t>3. Lưu ý để tăng cơ hội vay vốn cho doanh nghiệp mới t…</t>
  </si>
  <si>
    <t>Mỗi ngân hàng có những chương trình cho vay với điều kiện và lãi suất khác nhau.</t>
  </si>
  <si>
    <t>ngân hàng tư nhân có lãi suất cạnh tranh, dịch vụ linh hoạt hơn.</t>
  </si>
  <si>
    <t>1. Tìm hiểu kỹ về ngân hàng cho vay</t>
  </si>
  <si>
    <t>Bên cạnh lãi suất, tùy theo hình thức vay và gói vay, một số chi phí khác có thể phát sinh như như phí thẩm định, phí b…</t>
  </si>
  <si>
    <t>2. Thẻ Visa Credit (Thẻ tín dụng quốc tế) là gì?</t>
  </si>
  <si>
    <t>Trong các loại thẻ thanh toán quốc tế, Thẻ Visa Credit là loại thẻ cho phép chủ thẻ ứng tiền từ ngân hàng để mua sắm và…</t>
  </si>
  <si>
    <t>2. Đơn vị tiền Singapore là gì?</t>
  </si>
  <si>
    <t>Không giống như hầu hết các ngân hàng trung ương khác sử dụng lãi suất, MAS điều hành chính sách tiền tệ thông qua tỷ g…</t>
  </si>
  <si>
    <t>3. Nên làm thẻ visa hay nội địa?</t>
  </si>
  <si>
    <t>Trong trường hợp cần xem xét tổng thể tài chính trước khi mở thêm các dịch vụ ngân hàng, khách hàng có thể tham khảo bả…</t>
  </si>
  <si>
    <t>2.1. Ưu điểm</t>
  </si>
  <si>
    <t>Có cơ hội hưởng chương trình trả góp 0% lãi suất theo chính sách của Shopee và ngân hàng phát hành thẻ</t>
  </si>
  <si>
    <t>3. Khám phá 10+ tính năng của ngân hàng số tại Techcom…</t>
  </si>
  <si>
    <t>*Lưu ý lãi suất trên chỉ mang tính chất tham khảo và có thể thay đổi theo từng thời kỳ tùy theo quyết định của ngân hàn…</t>
  </si>
  <si>
    <t>Hồ sơ này là căn cứ quan trọng giúp ngân hàng đánh giá sức khỏe tài chính của doanh nghiệp, từ đó quyết định có cho vay…</t>
  </si>
  <si>
    <t>2.1. Nhóm đặc quyền tài chính và tối ưu dòng tiền</t>
  </si>
  <si>
    <t>Nhóm quyền lợi này thường bao gồm các giải pháp vay vốn với lãi suất ưu đãi, thời hạn vay linh hoạt và quy trình phê du…</t>
  </si>
  <si>
    <t>4.3. Phí trả nợ trước hạn và cách thức trả nợ trước hạ…</t>
  </si>
  <si>
    <t>Nếu bạn đang tìm kiếm một giải pháp vay nhanh, lãi suất cạnh tranh và được bảo vệ bởi hệ thống ngân hàng uy tín, Techco…</t>
  </si>
  <si>
    <t>Năng lực tài chính cá nhân</t>
  </si>
  <si>
    <t>Điều này giúp bạn đảm bảo được nghĩa vụ thanh toán tiền vay và lãi suất cho ngân hàng mà không ảnh hưởng đến các chi ti…</t>
  </si>
  <si>
    <t>Không chạy đua lãi suất bằng mọi giá</t>
  </si>
  <si>
    <t>“Giải mã” cho nghịch lý này, bà Nguyễn Thị Hoạt – Phó Tổng Giám đốc TCBS lý giải “Chúng tôi không chạy đua lãi suất để…</t>
  </si>
  <si>
    <t>1. Vay ngắn hạn là gì?</t>
  </si>
  <si>
    <t>Theo quy định tại Khoản 1, Điều 1 Thông tư 08/2014/TT-NHNN , lãi suất vay ngắn hạn bằng đồng Việt Nam không vượt quá mứ…</t>
  </si>
  <si>
    <t>5. Lưu ý khi vay kinh doanh hộ gia đình</t>
  </si>
  <si>
    <t>Hộ kinh doanh nhỏ lẻ nên lựa chọn ngân hàng cung cấp sản phẩm vay có lãi suất ổn định, dịch vụ tốt và điều khoản hợp lý…</t>
  </si>
  <si>
    <t>6. Danh mục Hỏi - Đáp</t>
  </si>
  <si>
    <t>Lãi suất vay vốn ngân hàng cho doanh nghiệp nhỏ là bao nhiêu?</t>
  </si>
  <si>
    <t>2. Lãi suất vay mua chung cư</t>
  </si>
  <si>
    <t>Mỗi ngân hàng sẽ có chính sách lãi suất riêng hoặc mức lãi suất ưu đãi ở từng thời kỳ.</t>
  </si>
  <si>
    <t>Sau khi thanh toán học phí bằng thẻ tín dụng, khách hàng có thể đăng ký chuyển đổi trả góp lãi suất từ 0%, kỳ hạn linh…</t>
  </si>
  <si>
    <t>1.1. Vay tín chấp online</t>
  </si>
  <si>
    <t>Trước khi vay, khách hàng nên chọn ngân hàng hoặc tổ chức tài chính uy tín, kiểm tra kỹ lãi suất, phí liên quan và chỉ…</t>
  </si>
  <si>
    <t>Nếu đang phân vân không biết nên vay tín chấp ở đâu , cũng như lãi suất vay tín chấp ngân hàng nào thấp nhất, hãy tham…</t>
  </si>
  <si>
    <t>2. Lãi suất vay vốn tiêu dùng hiện nay</t>
  </si>
  <si>
    <t>Lãi suất vay tiêu dùng tại các ngân hàng/công ty tài chính thường phụ thuộc vào hình thức cho vay, cụ thể:</t>
  </si>
  <si>
    <t>1. Giới thiệu gói vay 15 triệu VND trên Techcombank Mo…</t>
  </si>
  <si>
    <t>Nhờ thủ tục tinh gọn và lãi suất cạnh tranh, đây là giải pháp tài chính linh hoạt dành cho người trẻ, nhân viên văn phò…</t>
  </si>
  <si>
    <t>Techcombank mang đến hai giải pháp vay linh hoạt – vay tín chấp trả góp và vay tiêu dùng thế chấp – giúp khách hàng dễ…</t>
  </si>
  <si>
    <t>4. Các yếu tố ảnh hưởng đến tỷ giá VND to MYR</t>
  </si>
  <si>
    <t>Quyết định về lãi suất của Ngân hàng Negara Malaysia (BNM) và chính sách điều hành của Ngân hàng Nhà nước Việt Nam (SBV…</t>
  </si>
  <si>
    <t>3. Cách tính lãi suất quá hạn như thế nào?</t>
  </si>
  <si>
    <t>Anh Nguyễn Văn A vay ngân hàng với số tiền là 200,000,000 VND trong 12 tháng, lãi suất vay là 12%/năm.</t>
  </si>
  <si>
    <t>Bài viết này sẽ tổng hợp 15 app vay tiền nhanh online chỉ cần CCCD uy tín, hỗ trợ 24/24 giải ngân nhanh với lãi suất cạ…</t>
  </si>
  <si>
    <t>Các bạn sinh viên và gia đình nên chủ động tìm hiểu kỹ thông tin vay tiền sinh viên có lãi cao không, mức lãi cụ thể củ…</t>
  </si>
  <si>
    <t>3. 1 CCCD lập được bao nhiêu tài khoản ngân hàng?</t>
  </si>
  <si>
    <t>Mở thêm tài khoản có thể giúp bạn tận dụng các chương trình khuyến mãi, lãi suất ưu đãi, hay các dịch vụ đặc biệt mà ng…</t>
  </si>
  <si>
    <t>5. Vay 300 triệu trong 3 năm lãi suất bao nhiêu?</t>
  </si>
  <si>
    <t>Khách hàng vay 300 triệu trong 3 năm với mức lãi suất dự kiến là 12.9%/năm, ngày giải ngân là ngày 11/11/2025.</t>
  </si>
  <si>
    <t>1. Tài sản bảo đảm khi vay thế chấp mua xe ô tô đã qua…</t>
  </si>
  <si>
    <t>Tài sản bảo đảm không phải là yếu tố duy nhất để ngân hàng đưa ra quyết định cho vay, hạn mức, lãi suất.</t>
  </si>
  <si>
    <t>Lãi suất thẻ tín dụng là số tiền mà chủ thẻ phải trả cho ngân hàng khi thực hiện các giao dịch đặc thù như:</t>
  </si>
  <si>
    <t>Sau khi thanh toán thành công, liên hệ ngân hàng phát hành thẻ để thực hiện chuyển đổi giao dịch sang trả góp 0% lãi su…</t>
  </si>
  <si>
    <t>Mức lãi suất sẽ ảnh hưởng tới số tiền mà khách hàng cần trả mỗi tháng cho ngân hàng bên cạnh khoản tiền gốc.</t>
  </si>
  <si>
    <t>1. Giải đáp: Nên mua xe trả góp hay trả thẳng?</t>
  </si>
  <si>
    <t>Giả sử anh A lựa chọn giải pháp vay mua ô tô của ngân hàng với lãi suất 10%/năm trong 84 tháng.</t>
  </si>
  <si>
    <t>5. Lưu ý quan trọng khi vay tín chấp</t>
  </si>
  <si>
    <t>TOP 7 ngân hàng cho vay tín chấp lãi suất tốt, giải ngân nhanh gọn để có thêm các thông tin tham khảo hữu ích.</t>
  </si>
  <si>
    <t>3. Lãi suất và hạn mức vay kinh doanh thế chấp</t>
  </si>
  <si>
    <t>Lãi suất vay thế chấp sẽ tùy thuộc vào từng gói vay, từng thời điểm cụ thể cũng như các chính sách cho vay của ngân hàn…</t>
  </si>
  <si>
    <t>3. Các yếu tố ảnh hưởng đến lãi suất vay kinh doanh</t>
  </si>
  <si>
    <t>Lãi suất vay kinh doanh tại các ngân hàng không cố định và thường thay đổi tùy theo nhiều yếu tố:</t>
  </si>
  <si>
    <t>Khách hàng nên tìm hiểu kỹ các quy định của ngân hàng về thủ tục, lãi suất, các khoản phí liên quan tới tất toán khoản…</t>
  </si>
  <si>
    <t>Lựa chọn ngân hàng phù hợp có lãi suất vay vốn ổn định, điều khoản và dịch vụ tốt để đáp ứng nhu cầu tiếp cận nguồn vốn…</t>
  </si>
  <si>
    <t>1. Cho vay từng lần là gì?</t>
  </si>
  <si>
    <t>Mỗi lần vay, khách hàng cần cung cấp hồ sơ chứng minh mục đích sử dụng vốn và ngân hàng sẽ thẩm định, phê duyệt một kho…</t>
  </si>
  <si>
    <t>4. Vì sao tỷ giá Nhân dân tệ (CNY) lại biến động?</t>
  </si>
  <si>
    <t>Các quyết định của Ngân hàng Nhân dân Trung Quốc (PBOC) như điều chỉnh lãi suất, thiết lập tỷ giá tham chiếu hằng ngày,…</t>
  </si>
  <si>
    <t>1. Hướng dẫn 7 cách thanh toán thẻ tín dụng đơn giản,…</t>
  </si>
  <si>
    <t>Khách hàng không thanh toán đúng hạn sẽ bị tính phí trả chậm với lãi suất cao, phí phạt quá hạn, bị liệt vào danh sách…</t>
  </si>
  <si>
    <t>Mức lãi suất này sẽ phụ thuộc vào từng ngân hàng cũng như các điều kiện cụ thể của gói vay.</t>
  </si>
  <si>
    <t>2. Tổng quan về Sinh Lời Tự Động 2.0</t>
  </si>
  <si>
    <t>Đến hiện tại, Sinh Lời Tự Động đã được hơn 5 triệu khách hàng tin dùng nhờ khả năng linh hoạt chi tiêu 24/7 mà vẫn được…</t>
  </si>
  <si>
    <t>3.1. Gửi tiết kiệm kỳ hạn ngắn</t>
  </si>
  <si>
    <t>Top các ngân hàng có lãi suất hấp dẫn .</t>
  </si>
  <si>
    <t>3.1. Bước 1: Trả hết nợ tín dụng và đóng đầy đủ các ph…</t>
  </si>
  <si>
    <t>Thông thường lãi suất sẽ rơi vào khoảng 20 - 40%/ năm tùy chính sách của từng ngân hàng.</t>
  </si>
  <si>
    <t>Khoản trả thực tế có thể thay đổi tùy giá xe, số tiền trả trước, lãi suất, thời hạn vay, phương thức trả nợ, phí phát s…</t>
  </si>
  <si>
    <t>5.1. Tiền để trong tài khoản thanh toán có được hưởng…</t>
  </si>
  <si>
    <t>Tại Techcombank, ngoài lãi suất không kỳ hạn, khi kích hoạt tính năng Sinh Lời Tự Động , số tiền nhàn rỗi trong tài kho…</t>
  </si>
  <si>
    <t>Ngoài ra, khách hàng có thể liên hệ trực tiếp đến ngân hàng cho vay để biết chính xác mức lãi suất tại thời điểm tra cứ…</t>
  </si>
  <si>
    <t>4. Lưu ý khi vay vốn kinh doanh tại các ngân hàng</t>
  </si>
  <si>
    <t>Ngoài ra, khi tìm hiểu gói vay, hộ kinh doanh nên tham khảo lãi suất, ưu đãi của các ngân hàng.</t>
  </si>
  <si>
    <t>2.3. Sinh Lời Tự Động</t>
  </si>
  <si>
    <t>8. Ngân hàng ACB</t>
  </si>
  <si>
    <t>Khách hàng có thể dựa theo các tiêu chí về độ uy tín của ngân hàng, biểu phí, lãi suất, tiện ích hỗ trợ, các chương trì…</t>
  </si>
  <si>
    <t>Ngân hàng có trách nhiệm thanh toán toàn bộ tiền gốc và trả đủ số tiền lãi theo đúng mức lãi suất đã cam kết ban đầu</t>
  </si>
  <si>
    <t>2. Các khái niệm liên quan đến tất toán</t>
  </si>
  <si>
    <t>Trường hợp này, ngân hàng thường áp dụng mức lãi suất hoặc phí khác so với tất toán đúng hạn.</t>
  </si>
  <si>
    <t>Để hiện thực hóa việc tách bạch và tối ưu hóa dòng tiền cho SMEs, Techcombank Business chính là giải pháp ngân hàng số…</t>
  </si>
  <si>
    <t>1. Thanh toán tối thiểu thẻ tín dụng là gì?</t>
  </si>
  <si>
    <t>Trong trường hợp khách hàng quá hạn thanh toán dư nợ theo quy định của ngân hàng (45 - 55 ngày), khoản thanh toán tối t…</t>
  </si>
  <si>
    <t>3.4. Cho vay ngang hàng (P2P Lending)</t>
  </si>
  <si>
    <t>Ngoài ra, P2P Lending còn mang đến cơ hội vay vốn với lãi suất hấp dẫn cùng khả năng giải ngân nhanh cho khách hàng.</t>
  </si>
  <si>
    <t>1. Tỷ giá là gì? Tác động của tỷ giá đến giao dịch ngo…</t>
  </si>
  <si>
    <t>Quyết định điều chỉnh lãi suất, mua vào hoặc bán ra ngoại tệ của Ngân hàng Trung ương các nước có thể thay đổi mạnh mẽ…</t>
  </si>
  <si>
    <t>5. Thanh toán khoản vay</t>
  </si>
  <si>
    <t>Cụ thể lãi suất vay tiêu dùng tín chấp từ 12.9%/năm và lãi suất vay tiêu dùng thế chấp chỉ từ 7.5%/năm (lãi suất có thể…</t>
  </si>
  <si>
    <t>1. Ưu điểm của vay kinh doanh online</t>
  </si>
  <si>
    <t>Ngân hàng thường đưa ra mức lãi suất cạnh tranh kèm nhiều ưu đãi hấp dẫn đi kèm sản phẩm vay vốn online.</t>
  </si>
  <si>
    <t>2. Những điểm khác biệt giữa chứng chỉ tiền gửi và trá…</t>
  </si>
  <si>
    <t>Lãi suất cố định hoặc thả nổi tùy theo quy định của từng ngân hàng phát hành</t>
  </si>
  <si>
    <t>Bạn vay ngân hàng 120,000,000 VND cho thời hạn 12 tháng, lãi suất 6.5%/năm trên dư nợ giảm dần.</t>
  </si>
  <si>
    <t>3. Lựa chọn thời điểm mua vàng tối ưu</t>
  </si>
  <si>
    <t>Trong giai đoạn kinh tế có dấu hiệu chững lại, lạm phát tăng cao hoặc khi các ngân hàng trung ương bắt đầu giảm lãi suấ…</t>
  </si>
  <si>
    <t>4. Vì sao tỷ giá JPY/VND lại biến động?</t>
  </si>
  <si>
    <t>Các quyết định về lãi suất, kiểm soát cung tiền của Ngân hàng Trung ương Nhật Bản (BOJ) và Ngân hàng Nhà nước Việt Nam…</t>
  </si>
  <si>
    <t>2. Dễ dàng rút tiền khi tham gia bảo hiểm nhân thọ tại…</t>
  </si>
  <si>
    <t>Dù khách hàng rút tiền một phần, phần giá trị tài khoản còn lại vẫn tiếp tục được hưởng lãi suất đầu tư thực tế, không…</t>
  </si>
  <si>
    <t>Song song với đó, khi có nhu cầu sử dụng thêm các sản phẩm vay vốn, khách hàng nên chủ động tính lãi suất vay ngân hàng…</t>
  </si>
  <si>
    <t>3. Quyền lợi khi tham gia bảo hiểm liên kết đầu tư</t>
  </si>
  <si>
    <t>Tùy loại hình tham gia, khách hàng được hưởng lãi suất ổn định hoặc lợi nhuận từ thị trường</t>
  </si>
  <si>
    <t>Để dễ dàng lên kế hoạch vay, bạn có thể sử dụng công cụ tính lãi suất vay ngân hàng online của Techcombank.</t>
  </si>
  <si>
    <t>4. Những lưu ý cho doanh nghiệp vừa và nhỏ khi vay vốn…</t>
  </si>
  <si>
    <t>Lựa chọn ngân hàng cho vay uy tín, an toàn, lãi suất ưu đãi:</t>
  </si>
  <si>
    <t>Bảo hiểm sinh kỳ giúp người tham gia tích lũy có kỷ luật với mức lãi suất cố định, trong khi bảo hiểm liên kết đầu tư g…</t>
  </si>
  <si>
    <t>1. Ân hạn nợ gốc là gì?</t>
  </si>
  <si>
    <t>Ân hạn nợ gốc là thời gian bạn tạm hoãn việc trả tiền gốc vay, chỉ cần thanh toán lãi suất (nếu có thỏa thuận với ngân hàng).</t>
  </si>
  <si>
    <t>Nếu khách hàng có thói quen tiết kiệm lâu dài, ngân hàng có thể giới thiệu các sản phẩm tiết kiệm hoặc đầu tư với lãi suất hấp …</t>
  </si>
  <si>
    <t>1.1. Giảm áp lực và tối ưu nguồn tài chính cho người mu…</t>
  </si>
  <si>
    <t>Hiện nay nhiều ngân hàng cung cấp các giải pháp vay với hạn mức vay cao, lãi suất ưu đãi, thời hạn vay dài để giúp khách hàng g…</t>
  </si>
  <si>
    <t>4. CPI ảnh hưởng thế nào đến lãi suất và thị trường tài…</t>
  </si>
  <si>
    <t>Khi áp lực giá kéo dài, Ngân hàng Trung ương có thể cân nhắc công cụ chính sách tiền tệ, trong đó có điều chỉnh lãi suất, để hư…</t>
  </si>
  <si>
    <t>https://techcombank.com/thong-tin/blog/dac-quyen-khach-hang-vip-ngan-hang</t>
  </si>
  <si>
    <t>Đứng trước nhu cầu tài chính và phong cách sống ngày càng đa dạng của khách hàng VIP, hiện nay các ngân hàng không chỉ mang lại…</t>
  </si>
  <si>
    <t>Giá vàng phụ thuộc vào đà tăng giảm của vàng nguyên liệu quốc tế và trong nước, chịu ảnh hưởng bởi động thái lãi suất của các n…</t>
  </si>
  <si>
    <t>Ngoài ra, nếu thẻ tín dụng của khách hàng chưa được thanh toán dư nợ đúng hạn, chủ thẻ sẽ phải thanh toán thêm lãi suất tín dụn…</t>
  </si>
  <si>
    <t>3.3. Cơ chế hoạt động của thị trường ngoại hối</t>
  </si>
  <si>
    <t>Ngân hàng trung ương (như Fed, ECB) điều chỉnh lãi suất hoặc in thêm tiền, ảnh hưởng trực tiếp đến giá trị tiền tệ.</t>
  </si>
  <si>
    <t>Trong khi đó, số dư trong tài khoản tiết kiệm có kỳ hạn sẽ được áp dụng mức lãi suất có kỳ hạn, dao động từ 5.7% - 6.1%/năm (Lã…</t>
  </si>
  <si>
    <t>3.1. Giá hấp dẫn hơn thị trường</t>
  </si>
  <si>
    <t>Một số ngân hàng có chính sách hỗ trợ vay lại khi mua tài sản thanh lý, như cấp tín dụng, lãi suất ưu đãi, hoặc ân hạn gốc.</t>
  </si>
  <si>
    <t>2. 6 lưu ý khi thanh toán online bằng thẻ tín dụng</t>
  </si>
  <si>
    <t>Thông thường, các ngân hàng sẽ miễn lãi từ 45 - 55 ngày, nếu quá thời gian này mà không thanh toán dư nợ người dùng sẽ phát sin…</t>
  </si>
  <si>
    <t>6. Lưu ý khi sử dụng thẻ tín dụng là gì?</t>
  </si>
  <si>
    <t>Hiểu rõ các loại chi phí khi sử dụng thẻ, nắm rõ về cách ngân hàng tính lãi suất.</t>
  </si>
  <si>
    <t>https://techcombank.com/thong-tin/blog/ung-dung-big-data-trong-ngan-hang</t>
  </si>
  <si>
    <t>2. Ứng dụng Big Data trong ngân hàng</t>
  </si>
  <si>
    <t>Ví dụ, ngân hàng có thể giới thiệu các khoản đầu tư có lãi suất hấp dẫn cho những khách hàng có tiền nhàn rỗi hoặc đề xuất các …</t>
  </si>
  <si>
    <t>1. Xếp hạng tín dụng là gì?</t>
  </si>
  <si>
    <t>Các ngân hàng và tổ chức tài chính dựa vào xếp hạng này để quyết định có duyệt khoản vay, mở thẻ tín dụng hay không, cũng như đ…</t>
  </si>
  <si>
    <t>3.2. Lựa chọn hình thức vay phù hợp</t>
  </si>
  <si>
    <t>để cập nhật lãi suất vay hiện nay của các ngân hàng.</t>
  </si>
  <si>
    <t>Doanh nghiệp nên tìm hiểu rõ về lãi suất doanh nghiệp vay ngân hàng hiện nay để tối ưu hóa nguồn vốn, nâng cao hiệu quả…</t>
  </si>
  <si>
    <t>Theo đó, tất cả các ngân hàng hiện nay đều áp dụng mức lãi suất 0% với tiền gửi USD của khách hàng, có thể kể đến như:</t>
  </si>
  <si>
    <t>Lãi suất gửi tiết kiệm VNĐ dao động từ 3 - 6%/năm (tuỳ theo chính sách của mỗi ngân hàng tại từng thời điểm), cao hơn r…</t>
  </si>
  <si>
    <t>Hiện nay, lãi suất cho vay mua nhà ở xã hội của ngân hàng chính sách xã hội là 6.6%/năm, cố định 5 năm (Thông tin cập n…</t>
  </si>
  <si>
    <t>Trái phiếu an toàn – giao dịch tiện lợi “lên ngôi”</t>
  </si>
  <si>
    <t>Hiện nay, lãi suất huy động của các ngân hàng thương mại đã xuống mức rất thấp, ở mức xung quanh 5%/năm tại hầu hết các…</t>
  </si>
  <si>
    <t>5. Hạn mức và lãi suất vay vốn lưu động</t>
  </si>
  <si>
    <t>Trong bối cảnh kinh tế hiện nay, lãi suất và hạn mức vay của ngân hàng đối với các doanh nghiệp vừa và nhỏ đang có nhiề…</t>
  </si>
  <si>
    <t>Hiện nay, với các giải pháp ngân hàng số, khách hàng có nhu cầu vay 50 triệu online hoàn toàn có cơ hội tiếp cận khoản…</t>
  </si>
  <si>
    <t>Bạn có thể tham khảo thêm bài viết Lãi suất vay thế chấp hiện nay và lưu ý quan trọng về mức lãi để hiểu kỹ về các quy…</t>
  </si>
  <si>
    <t>2. Lợi ích cho doanh nghiệp khi vay tín chấp</t>
  </si>
  <si>
    <t>Hiện nay, rất nhiều ngân hàng đang cung cấp các gói vay tín chấp với nhiều chương trình ưu đãi và lãi suất hấp dẫn để c…</t>
  </si>
  <si>
    <t>Hiện nay, nhiều ngân hàng đã và đang cung cấp giải pháp vay mua xe ô tô với mức lãi suất ưu đãi, thủ tục đơn giản.</t>
  </si>
  <si>
    <t>3. Lãi suất cho vay mua nhà ở xã hội trả góp</t>
  </si>
  <si>
    <t>Hiện nay, lãi suất cho vay mua nhà ở xã hội của ngân hàng chính sách xã hội là 6.5%/năm, cố định 5 năm.</t>
  </si>
  <si>
    <t>4.1. Lưu ý về 3 loại lãi suất vay</t>
  </si>
  <si>
    <t>Hiện nay có 3 loại lãi suất vay phổ biến được nhiều ngân hàng sử dụng đó là:</t>
  </si>
  <si>
    <t>1. Lãi suất vay thấu chi hiện nay</t>
  </si>
  <si>
    <t>Mức lãi suất vay thấu chi của các ngân hàng hiện nay đang dao động từ 5% - 18%/năm, phụ thuộc vào sản phẩm và hạn mức đ…</t>
  </si>
  <si>
    <t>4. Những ưu đãi/hỗ trợ của Techcombank khi vay tiêu dù…</t>
  </si>
  <si>
    <t>Hiện nay, mức lãi suất vay tiêu dùng tại các ngân hàng và công ty tài chính được hỗ trợ tương đối hấp dẫn.</t>
  </si>
  <si>
    <t>Bài viết này sẽ hướng dẫn chi tiết 2 cách tính lãi suất vay ngân hàng phổ biến hiện nay, bao gồm:</t>
  </si>
  <si>
    <t>1. So sánh vay tín chấp và vay thế chấp</t>
  </si>
  <si>
    <t>Bài viết dưới đây sẽ cung cấp thông tin lãi suất vay thế chấp sổ đỏ tại các ngân hàng hiện nay, giúp bạn nhận định được…</t>
  </si>
  <si>
    <t>2.1. Đổi đô Singapore tại các ngân hàng uy tín</t>
  </si>
  <si>
    <t>Hiện nay c ác tiện ích trên ứng dụng ngân hàng số giúp khách hàng đổi ngoại tệ online mọi lúc mà không cần đến quầy gia…</t>
  </si>
  <si>
    <t>&gt;&gt;&gt; Có thể bạn quan tâm lãi suất vay ngân hàng hiện nay để hiểu hơn về các loại dịch vụ hiện có của ngân hàng.</t>
  </si>
  <si>
    <t>4. Thách thức trong chuyển đổi xanh</t>
  </si>
  <si>
    <t>Đối với cá nhân và doanh nghiệp nhỏ muốn đầu tư vào công nghệ xanh nhưng thiếu nguồn vốn, việc tìm hiểu lãi suất vay ng…</t>
  </si>
  <si>
    <t>Hiện nay, một số ngân hàng đã cho phép người dùng chủ động đặt lịch hoặc thực hiện mua ngoại tệ ngay trên ứng dụng ngân…</t>
  </si>
  <si>
    <t>Hiện nay, các ngân hàng thường áp dụng các chương trình ưu đãi thẻ tín dụng như giảm giá, hoàn tiền, tích điểm, trả góp…</t>
  </si>
  <si>
    <t>Bài viết dưới đây sẽ giúp bạn hiểu rõ 5 cách phổ biến được nhiều ngân hàng áp dụng hiện nay.</t>
  </si>
  <si>
    <t>1.Tổng quan về tính năng Tài khoản cho con thuộc dịch…</t>
  </si>
  <si>
    <t>Hiện nay, ngân hàng Techcombank quy định hạn mức tối đa cho tính năng Tài khoản cho con thuộc dịch vụ Family Banking vớ…</t>
  </si>
  <si>
    <t>Một trong những xu hướng mới trong tài chính hiện nay là “Ngân hàng xanh”.</t>
  </si>
  <si>
    <t>Cùng cập nhật mức lãi suất vay ngân hàng hôm nay của các ngân hàng như Techcombank, Agribank, ACB, Vietcombank… cũng nh…</t>
  </si>
  <si>
    <t>4. Hướng dẫn kích hoạt Techcombank Sinh Lời Tự Động để…</t>
  </si>
  <si>
    <t>Hãy biến tài khoản ngân hàng thành trợ lý tài chính đắc lực ngay hôm nay.</t>
  </si>
  <si>
    <t>3. Đầu tư chứng chỉ quỹ đơn giản, hiệu quả ngay trên T…</t>
  </si>
  <si>
    <t>Bắt đầu tối ưu hóa dòng tiền nhàn rỗi của bạn ngay hôm nay cùng mục Đầu tư trên Ngân hàng số Techcombank Mobile hoặc qu…</t>
  </si>
  <si>
    <t>2.1 Lợi suất trên toàn bộ số dư: Tối ưu hóa hiệu suất…</t>
  </si>
  <si>
    <t>Kết hợp với phương thức tính lãi theo ngày, giải pháp này đảm bảo từng đồng vốn nhàn rỗi của khách hàng đều được gia tă…</t>
  </si>
  <si>
    <t>Trái phiếu tốt sẽ được lựa chọn</t>
  </si>
  <si>
    <t>Đối với nhà đầu tư, trái phiếu an toàn cao là điều quan trọng bậc nhất nên dù lãi suất của một số mã trái phiếu do TCBS…</t>
  </si>
  <si>
    <t>1. Lợi ích và lưu ý khi gửi tiết kiệm vàng</t>
  </si>
  <si>
    <t>Theo Nghị định 24/2012/NĐ-CP , các ngân hàng thương mại không còn được phép huy động vốn bằng vàng dưới hình thức nhận…</t>
  </si>
  <si>
    <t>Theo số liệu mới nhất được Ngân hàng Nhà nước công bố, lượng tiền gửi của người dân và doanh nghiệp vẫn tăng trưởng đều…</t>
  </si>
  <si>
    <t>Đây là gợi ý lý tưởng nếu bạn đang tìm kiếm ngân hàng uy tín, có lãi suất hấp dẫn và đa dạng giải pháp tiền gửi (bao gồ…</t>
  </si>
  <si>
    <t>2.2. Mất cơ hội tối đa khả năng sinh lời, bị phạt nếu…</t>
  </si>
  <si>
    <t>Ví dụ, bạn gửi tiền tiết kiệm với kỳ hạn 6 tháng tại ngân hàng nhưng lại tất toán trước hạn , bạn sẽ không được hưởng l…</t>
  </si>
  <si>
    <t>1. Gửi tiết kiệm ngoại tệ là gì? Các hình thức gửi tiế…</t>
  </si>
  <si>
    <t>Lãi suất gửi tiết kiệm sẽ khác nhau tùy theo số tiền, loại ngoại tệ, thời gian gửi và chính sách riêng của mỗi ngân hàn…</t>
  </si>
  <si>
    <t>Những ngân hàng uy tín thường công khai biểu phí, lãi suất niêm yết cho từng giải pháp tiền gửi trên website của ngân h…</t>
  </si>
  <si>
    <t>Ngoài ra, đối với các sản phẩm tiền gửi rút gốc linh hoạt cho phép rút trước hạn một phần, với phần tiền gửi còn lại ch…</t>
  </si>
  <si>
    <t>Lãi suất hấp dẫn, dao động từ 3.25% - 4.75%/năm (cập nhật ngày 20/03/2025 với giải pháp Tiền gửi Phát Lộc Online, kỳ hạ…</t>
  </si>
  <si>
    <t>1. Bật Sinh Lời Tự Động cho tài khoản thanh toán</t>
  </si>
  <si>
    <t>Lãi suất này được tính theo số ngày thực tế khách hàng gửi tiền vào tài khoản và được ngân hàng trả lãi định kỳ hàng th…</t>
  </si>
  <si>
    <t>Chỉ với vài thao tác trên ngân hàng số, khách hàng có thể gửi yêu cầu vay, được hệ thống phê duyệt tự động trong 3 phút…</t>
  </si>
  <si>
    <t>6. Gửi tiết kiệm online tự động mỗi ngày</t>
  </si>
  <si>
    <t>Đa số các ngân hàng hiện nay đều cung cấp dịch vụ gửi tiền tiết kiệm online tự động mỗi ngày với lãi suất từ 3 - 6%/năm.</t>
  </si>
  <si>
    <t>Cách tiền tiết kiệm của người Nhật từ việc gửi ngân hàng có lãi suất hấp dẫn giúp bạn tích lũy số tiền nhanh hơn và an…</t>
  </si>
  <si>
    <t>8. Cần lưu ý gì khi mở sổ tiết kiệm/tài khoản tiền gửi…</t>
  </si>
  <si>
    <t>Nhiều ngân hàng thường xuyên tung ra các chương trình khuyến mãi khi khách hàng mở số tiết kiệm/tài khoản tiền gửi onli…</t>
  </si>
  <si>
    <t>1.7. Sử dụng dịch vụ gửi tiền tích lũy của ngân hàng</t>
  </si>
  <si>
    <t>Gửi tiền ngân hàng là kênh đầu tư an toàn và sinh lời ổn định theo mức lãi suất quy định của từng ngân hàng.</t>
  </si>
  <si>
    <t>4. Số dư tài khoản thanh toán có sinh lời được không?</t>
  </si>
  <si>
    <t>1. Chứng chỉ tiền gửi được bảo hiểm tương tự tiền gửi…</t>
  </si>
  <si>
    <t>Chứng chỉ tiền gửi (CCTG) là giấy tờ có giá được phát hành theo quy định của Ngân hàng nhà nước tại Thông tư 02/2025/TT…</t>
  </si>
  <si>
    <t>2. Đặc điểm của chứng chỉ quỹ đóng</t>
  </si>
  <si>
    <t>Quỹ đóng được đầu tư vào tiền gửi ngân hàng thương mại, công cụ thị trường tiền tệ, trái phiếu chính phủ, cổ phiếu và t…</t>
  </si>
  <si>
    <t>1. Tiền gửi không kỳ hạn là gì?</t>
  </si>
  <si>
    <t>3. Lưu ý khi gửi tiết kiệm online</t>
  </si>
  <si>
    <t>Mỗi ngân hàng có quy định khác nhau về điều khoản gửi tiết kiệm online như về lãi suất, kỳ hạn gửi, số tiền gửi tối thi…</t>
  </si>
  <si>
    <t>So sánh lãi suất giữa các ngân hàng trước khi gửi tiết kiệm để tận dụng triệt để khoản tiền nhàn rỗi.</t>
  </si>
  <si>
    <t>2. 4 sản phẩm gửi tiết kiệm hàng tháng của các ngân hà…</t>
  </si>
  <si>
    <t>Tại mỗi ngân hàng, các sản phẩm tiết kiệm gửi góp hàng tháng thuộc hình thức gửi tiền tiết kiệm linh hoạt (linh hoạt gử…</t>
  </si>
  <si>
    <t>2.2. Cách tính lãi khi khách hàng gửi tiền vào giải ph…</t>
  </si>
  <si>
    <t>Theo Quyết định 1124/QĐ-NHNN năm 2023, mức lãi suất tối đa áp dụng đối với tiền gửi có kỳ hạn là từ 4.75%/năm tùy theo…</t>
  </si>
  <si>
    <t>3. Công thức xác định tỷ giá mua và tỷ giá bán trong t…</t>
  </si>
  <si>
    <t>Ltg(VND), Lcv(VND) lần lượt là lãi suất tiền gửi và lãi suất cho vay đồng Việt Nam.</t>
  </si>
  <si>
    <t>1. Gửi tiền tiết kiệm qua ngân hàng số</t>
  </si>
  <si>
    <t>Các ngân hàng thường áp dụng lãi suất cao hơn 0.1 - 0.4%/năm (có thể thay đổi tuỳ theo chính sách của từng ngân hàng tạ…</t>
  </si>
  <si>
    <t>2. 4 loại lãi suất cần biết khi gửi tiết kiệm ngân hàng</t>
  </si>
  <si>
    <t>Khi gửi tiền vào ngân hàng, khách hàng sẽ được hưởng một mức lãi suất nhất định.</t>
  </si>
  <si>
    <t>Ngân hàng thường xuyên tổ chức các chương trình ưu đãi lãi suất hấp dẫn dành cho khách hàng gửi tiền tiết kiệm online l…</t>
  </si>
  <si>
    <t>Cất giữ tiền với lãi suất cố định, gửi từ 1,000,000 VND và phù hợp nhất khi gửi từ 6 – 12 tháng</t>
  </si>
  <si>
    <t>1.1. Tính an toàn cao</t>
  </si>
  <si>
    <t>Trong trường hợp tổ chức tín dụng không có khả năng hoàn trả tiền gốc và lãi chứng chỉ tiền gửi, tổ chức Bảo hiểm tiền…</t>
  </si>
  <si>
    <t>Khi gửi tiền vào tài khoản tiết kiệm, khách hàng sẽ được hưởng mức lãi suất theo quy định của ngân hàng tại từng thời k…</t>
  </si>
  <si>
    <t>Theo quy định của Ngân hàng nhà nước, số tiền lãi chứng chỉ tiền gửi được tính như sau:</t>
  </si>
  <si>
    <t>3. Cung cấp đa dạng dịch vụ tiết kiệm và đầu tư</t>
  </si>
  <si>
    <t>Ngân hàng số cung cấp dịch vụ tiết kiệm và đầu tư với lợi thế lãi suất cạnh tranh, linh hoạt trong việc gửi/rút tiền và…</t>
  </si>
  <si>
    <t>Trong quá trình cân nhắc giữa các ngân hàng, khách hàng cũng có thể tham khảo thêm các nguồn kinh nghiệm vay thế chấp n…</t>
  </si>
  <si>
    <t>Bạn có thể sử dụng công cụ tính lãi suất tiết kiệm để cân đối mục tiêu và xem xét chọn kỳ hạn vay dài hơn…</t>
  </si>
  <si>
    <t>1. Tài khoản ngân hàng dưới 50k có bị khóa không?</t>
  </si>
  <si>
    <t>Công cụ tính lãi suất tiết kiệm mới nhất của Techcombank</t>
  </si>
  <si>
    <t>… kết hợp theo dõi chi tiêu và sử dụng thêm các công cụ tính lãi suất tiết kiệm cũng giúp bạn quản lý tài chính cá nhân…</t>
  </si>
  <si>
    <t>3. Hướng dẫn thanh toán hoá đơn tự động trên Techcomba…</t>
  </si>
  <si>
    <t>Khách hàng nên sử dụng công cụ tính lãi suất tiết kiệm để xác định số tiền nhàn rỗi, từ đó thiết lập thanh to…</t>
  </si>
  <si>
    <t>2. Đáo hạn sổ tiết kiệm, tài khoản tiền gửi có kỳ hạn…</t>
  </si>
  <si>
    <t>Ngân hàng sẽ tự động gia hạn sổ tiết kiệm/tài khoản tiền gửi có kỳ hạn sang một kỳ hạn mới, thường giữ nguyên số ngày v…</t>
  </si>
  <si>
    <t>1. Bảng tính lãi suất tiết kiệm</t>
  </si>
  <si>
    <t>…nh lời từ khoản tiền gửi có kỳ hạn của bạn với công cụ tính lãi suất tiết kiệm trực tuyến của Techcombank.</t>
  </si>
  <si>
    <t>…m và kiểm soát dòng tiền, khách hàng nên tìm hiểu cách tính lãi suất tiết kiệm online để có chiến lược gửi tiền hiệu q…</t>
  </si>
  <si>
    <t>6. Một số câu hỏi thường gặp khi mở tài khoản thanh to…</t>
  </si>
  <si>
    <t>…với các sản phẩm tiết kiệm, khách hàng có thể chủ động tính lãi suất tiết kiệm online để dự đoán trước lợi nhuận và lự…</t>
  </si>
  <si>
    <t>2. Lãi suất khi rút tiền mặt trực tiếp từ thẻ tín dụng…</t>
  </si>
  <si>
    <t>Tùy theo chính sách của từng ngân hàng mà mức lãi suất này sẽ khác nhau nhưng đều có cùng một cách tính, cụ thể như sau:</t>
  </si>
  <si>
    <t>Việc hiểu rõ cách tính lãi suất vay ngân hàng sẽ giúp bạn chủ động hơn trong việc quản lý tài chính, lên kế hoạch trả n…</t>
  </si>
  <si>
    <t>Ngoài ra, ngân hàng số còn cung cấp các mức lãi suất hấp dẫn, giúp bạn gia tăng giá trị quỹ dự phòng một cách hiệu quả.</t>
  </si>
  <si>
    <t>2. Ngân hàng số - Giải pháp tăng cường quản lý tài chí…</t>
  </si>
  <si>
    <t>Bằng cách tích hợp các tính năng trong Techcombank Business của ngân hàng Techcombank, doanh nghiệp có thể truy cập thô…</t>
  </si>
  <si>
    <t>5. Lưu ý/kinh nghiệm khi vay mua chung cư tại ngân hàng</t>
  </si>
  <si>
    <t>Do đó, bạn cần đặc biệt hiểu rõ về lãi suất cố định và lãi suất thả nổi, cũng như cách tính lãi mà ngân hàng bạn quan t…</t>
  </si>
  <si>
    <t>Song song với đó, việc hiểu rõ cách tính lãi suất vay thế chấp ngân hàng cũng hỗ trợ người vay chủ động hơn trong quá t…</t>
  </si>
  <si>
    <t>2.4. An toàn và bảo mật</t>
  </si>
  <si>
    <t>Với các tính năng ngày càng được cải thiện và phát triển, ngân hàng điện tử chắc chắn sẽ tiếp tục là xu hướng trong tươ…</t>
  </si>
  <si>
    <t>Người có ý định vay ngân hàng có thể sử dụng công cụ tính toán để tìm được số tiền dự kiến cần trả hàng tháng với cách…</t>
  </si>
  <si>
    <t>Để có cái nhìn trực quan và dễ lựa chọn hơn, khách hàng nên tìm hiểu cách tính lãi suất vay ngân hàng theo tháng và tha…</t>
  </si>
  <si>
    <t>Để tiết kiệm thời gian xếp hàng, chờ đợi, khách hàng hoàn toàn có thể sử dụng tính năng đổi tiền ngoại tệ trên Techcomb…</t>
  </si>
  <si>
    <t>1. Bước 1: Lựa chọn ngân hàng phù hợp để gửi tiền</t>
  </si>
  <si>
    <t>Ngân hàng có lãi suất tốt kèm nhiều ưu đãi:</t>
  </si>
  <si>
    <t>Khách hàng có thể truy cập vào công cụ tính lãi suất tự động của Techcombank và thực hiện điền số vốn, số phần trăm lãi…</t>
  </si>
  <si>
    <t>Vậy tại sao nhiều ngân hàng áp dụng mức lãi suất gửi tiết kiệm online cao hơn gửi tiết kiệm tại phòng giao dịch?</t>
  </si>
  <si>
    <t>1. So sánh việc để tiền trong tài khoản và gửi tiết ki…</t>
  </si>
  <si>
    <t>Lãi suất được cập nhật ngày 18/12/2025, chỉ có tính chất tham khảo và sẽ thay đổi tùy thuộc vào chính sách của ngân hàn…</t>
  </si>
  <si>
    <t>Hiện nay, các ngân hàng có đa dạng giải pháp tiền gửi với kỳ hạn, lãi suất và tính năng khác nhau.</t>
  </si>
  <si>
    <t>4. Đa dạng loại hình gửi tiết kiệm theo nhu cầu</t>
  </si>
  <si>
    <t>3. Gửi tiết kiệm online với kỳ hạn phù hợp</t>
  </si>
  <si>
    <t>Mức lãi suất gửi tiết kiệm được đề cập ở trên chỉ có tính chất tham khảo và có thể thay đổi tùy theo chính sách của ngâ…</t>
  </si>
  <si>
    <t>Đối với phần tiền rút trước hạn, lãi suất sẽ được áp dụng theo mức lãi suất không kỳ hạn, tính theo số ngày thực tế khá…</t>
  </si>
  <si>
    <t>Bên cạnh việc so sánh lãi suất tiết kiệm, nhiều khách hàng cũng quan tâm đến tính lãi suất vay ngân hàng theo tháng và…</t>
  </si>
  <si>
    <t>1. Gửi tiết kiệm tại ngân hàng uy tín, có lãi suất tiế…</t>
  </si>
  <si>
    <t>Bảng lãi suất được cập nhật ngày 18/12/2025, chỉ có tính chất tham khảo và sẽ thay đổi tùy thuộc vào chính sách của ngâ…</t>
  </si>
  <si>
    <t>2. Gửi tiết kiệm 50 triệu lãi suất bao nhiêu?</t>
  </si>
  <si>
    <t>Lãi suất được cập nhật vào 1/11/2025 , chỉ có tính chất tham khảo và sẽ thay đổi tùy thuộc vào chính sách của ngân hàng…</t>
  </si>
  <si>
    <t>3. Top 6 ngân hàng gửi tiền có lãi suất hấp dẫn hiện n…</t>
  </si>
  <si>
    <t>Bảng lãi suất chỉ có tính chất tham khảo và sẽ thay đổi tùy thuộc vào chính sách của ngân hàng tại từng thời điểm</t>
  </si>
  <si>
    <t>Lãi suất được tính từ thời điểm ngân hàng giải ngân, không phải từ ngày ký hợp đồng</t>
  </si>
  <si>
    <t>Đến hiện tại, Techcombank Sinh Lời Tự Động đã được trên 5 triệu khách hàng tin dùng nhờ khả năng linh hoạt chi tiêu 24/…</t>
  </si>
  <si>
    <t>3. Lời khuyên khi mở sổ tiết kiệm/tài khoản tiền gửi c…</t>
  </si>
  <si>
    <t>1.1. Lãi suất là gì?</t>
  </si>
  <si>
    <t>Lãi suất được các tổ chức tài chính như ngân hàng hoặc các bên tham gia khác thỏa thuận, thường được tính theo năm, thá…</t>
  </si>
  <si>
    <t>4. Kích hoạt Techcombank Sinh Lời Tự Động</t>
  </si>
  <si>
    <t>1. Cập nhật lãi suất vay mua ô tô của các ngân hàng hi…</t>
  </si>
  <si>
    <t>Mức lãi suất vay mua xe ô tô hiện nay dao động trong khoảng từ 5 - 11%/năm trong kỳ ưu đãi, đây cũng là cơ sở để bạn ướ…</t>
  </si>
  <si>
    <t>2.2. Gói vay kinh doanh online dành cho hộ kinh doanh</t>
  </si>
  <si>
    <t>(**) Lãi suất trên chỉ mang tính chất tham khảo và có thể sẽ thay đổi tùy theo chính sách của ngân hàng tại từng thời k…</t>
  </si>
  <si>
    <t>2. Các hình thức tín dụng doanh nghiệp</t>
  </si>
  <si>
    <t>Sau đó, ngân hàng sẽ dựa trên số tiền chi tiêu để tính lãi suất vay.</t>
  </si>
  <si>
    <t>2.2. Lưu ý về phí giao dịch quốc tế và tỷ giá</t>
  </si>
  <si>
    <t>Được tính theo biểu phí của từng ngân hàng và từng loại thẻ.</t>
  </si>
  <si>
    <t>2. Phân loại số dư tiền gửi</t>
  </si>
  <si>
    <t>Lãi suất được cập nhật ngày 18/12/2025, chỉ có tính chất tham khảo và sẽ thay đổi tùy thuộc vào chính sách của ngân hàng tại từ…</t>
  </si>
  <si>
    <t>4. Khám phá loạt giải pháp kết hợp hoàn hảo giữa bảo vệ…</t>
  </si>
  <si>
    <t>Giá trị tài khoản hợp đồng được tính hàng tháng và không thấp hơn lãi suất cam kết tối thiểu</t>
  </si>
  <si>
    <t>https://techcombank.com/thong-tin/blog/cac-loai-hinh-bao-hiem-nhan-tho</t>
  </si>
  <si>
    <t>3.2. Khoẻ Bình An Vượt Trội</t>
  </si>
  <si>
    <t>Dù lựa chọn tích trữ vàng hay gửi tiết kiệm, người dùng vẫn cần theo dõi sát biến động giá vàng, tỷ giá ngoại tệ và lãi suất ng…</t>
  </si>
  <si>
    <t>1. Công cụ tính lợi nhuận chứng chỉ tiền gửi nhanh, đơn…</t>
  </si>
  <si>
    <t>Khi chi phí vốn (giá vốn huy động) giảm, trong khi lãi suất cho vay đầu ra giữ nguyên hoặc giảm ít hơn, biên độ chênh lệch lãi …</t>
  </si>
  <si>
    <t>2. Những điểm khác biệt giữa chứng chỉ tiền gửi và trái…</t>
  </si>
  <si>
    <t>Đối với cá nhân và doanh nghiệp nhỏ muốn đầu tư vào công nghệ xanh nhưng thiếu nguồn vốn, việc tìm hiểu lãi suất vay ngân hàng …</t>
  </si>
  <si>
    <t>3. Ưu, nhược điểm của từng hình thức và cách lựa chọn p…</t>
  </si>
  <si>
    <t>&gt;&gt;&gt; Tham khảo Lãi suất gửi tiết kiệm của 30+ ngân hàng mới nhất .</t>
  </si>
  <si>
    <t>Thì nay, điều này đã hoàn toàn thay đổi, nhà đầu tư đã sẵn sàng tìm mua các trái phiếu có lãi suất thấp hơn thị trường 0,5-1% n…</t>
  </si>
  <si>
    <t>1.2. Kích hoạt thẻ tín dụng thông qua Techcombank Mobil…</t>
  </si>
  <si>
    <t>Việc theo dõi sát sao dư nợ qua ứng dụng sẽ giúp bạn có kế hoạch chi tiêu hợp lý, tránh được rủi ro bị tính lãi kép ngân hàng d…</t>
  </si>
  <si>
    <t>Trong giai đoạn kinh tế có dấu hiệu chững lại, lạm phát tăng cao hoặc khi các ngân hàng trung ương bắt đầu giảm lãi suất huy độ…</t>
  </si>
  <si>
    <t>Ngân hàng số cung cấp dịch vụ tiết kiệm và đầu tư với lợi thế lãi suất cạnh tranh, linh hoạt trong việc gửi/rút tiền và các mô …</t>
  </si>
  <si>
    <t>3. Khám phá các quyền lợi bảo hiểm nhân thọ tại Techcom…</t>
  </si>
  <si>
    <t>4. Hướng dẫn đổi quà khi sưu tập các Linh Thú</t>
  </si>
  <si>
    <t>Chương trình "Sinh Lời Rinh Lộc" được tổ chức nhằm nối dài những giá trị vượt trội của Techcombank Sinh Lời Tự Động – giải pháp…</t>
  </si>
  <si>
    <t>Lãi suất sẽ được tính bằng lãi suất cố định tại thời điểm gửi tiền/ tái tục nhân tổng số tiền gốc và lãi ở các kỳ hạn t…</t>
  </si>
  <si>
    <t>Trong bối cảnh của lãi suất tiết kiệm hạ nhiệt ở mức thấp 4%-5%/năm, trái phiếu doanh nghiệp đang trở lại là một kênh đ…</t>
  </si>
  <si>
    <t>Nhiều khách hàng thường có thói quen bỏ qua bước đọc/nghiên cứu các điều khoản và điều kiện của dịch vụ gửi tiết kiệm o…</t>
  </si>
  <si>
    <t>Kênh đầu tư trái phiếu: Ưu tiên an toàn</t>
  </si>
  <si>
    <t>Nhiều nhà đầu tư sẵn sàng tìm mua các trái phiếu với lãi suất có thể thấp hơn thị trường 0,5-1% nhưng có mức độ an toàn…</t>
  </si>
  <si>
    <t>1.3. Rủi ro mất tiền do nhờ người khác gửi tiết kiệm n…</t>
  </si>
  <si>
    <t>(1988) đã nhiều lần tin tưởng nhờ người thân gửi tiết kiệm và được hứa hẹn có thể nhận mức lãi suất cao hơn.</t>
  </si>
  <si>
    <t>2. Lãi suất</t>
  </si>
  <si>
    <t>Phần tiền gửi còn lại, lãi suất được tính theo mức đang áp dụng với tài khoản tiết kiệm như đã thỏa thuận</t>
  </si>
  <si>
    <t>1. Giới thiệu giải pháp vay nhanh online trên Techcomb…</t>
  </si>
  <si>
    <t>Lãi suất chỉ từ 1.2%/tháng (*) - tính trên dư nợ giảm dần :</t>
  </si>
  <si>
    <t>1.2. Hạn chế khi gửi tiền tiết kiệm bằng USD</t>
  </si>
  <si>
    <t>Trong khi đó, tiền gửi tiết kiệm VNĐ từ 6 tháng trở lên có thể nhận lãi suất lên đến 6%/năm, cao hơn rất nhiều so với l…</t>
  </si>
  <si>
    <t>Thông thường, lãi suất sẽ thấp hơn các sản phẩm tiết kiệm online khoảng 0,1 - 0,4%/năm.</t>
  </si>
  <si>
    <t>3. Ứng dụng fintech khác</t>
  </si>
  <si>
    <t>Việc tích lũy tiền tiết kiệm cũng giúp bạn chủ động hơn khi tìm hiểu về các loại lãi suất như lãi suất vay mua xe ô tô…</t>
  </si>
  <si>
    <t>Khách hàng tất toán tiết kiệm trước hạn sẽ bị tính lãi suất không kỳ hạn và phí phạt nếu có.</t>
  </si>
  <si>
    <t>3. Gợi ý công cụ quản lý tài chính hiệu quả cho cá nhân</t>
  </si>
  <si>
    <t>Quản lý tài chính hiệu quả bằng cách kết hợp sử dụng nhiều tính năng như chi tiêu, tiết kiệm, đầu tư… Theo dõi thu chi…</t>
  </si>
  <si>
    <t>Nhiều nhà đầu tư sẵn sàng tìm mua các trái phiếu với lãi suất có thể thấp hơn thị trường 0,5-1% nhưng có mức độ rủi ro…</t>
  </si>
  <si>
    <t>Một trong những giá trị cốt lõi của kênh đầu tư trái phiếu doanh nghiệp là lợi nhuận kỳ vọng cao hơn lãi suất tiết kiệm…</t>
  </si>
  <si>
    <t>Trong giai đoạn thị trường tăng trưởng tích cực, chứng chỉ quỹ có thể mang lại lợi nhuận vượt trội, cao hơn lãi suất ti…</t>
  </si>
  <si>
    <t>3. Tối ưu lãi suất vay doanh nghiệp tại ngân hàng</t>
  </si>
  <si>
    <t>Lựa chọn ngân hàng uy tín và giải pháp vay vốn phù hợp chìa khóa để doanh nghiệp tối ưu hóa lãi suất vay, tiết kiệm chi…</t>
  </si>
  <si>
    <t>1. Lợi ích khi tiết kiệm cho con cùng giải pháp Tích l…</t>
  </si>
  <si>
    <t>Việc mở tài khoản tiết kiệm giúp các bậc phụ huynh tích lũy thêm được một khoản tiền đáng kể cho tương lai của trẻ nhờ…</t>
  </si>
  <si>
    <t>1.1. Trường hợp có thể rút tiền tiết kiệm trước kỳ hạn</t>
  </si>
  <si>
    <t>Nếu gửi tiền vào giải pháp tiền gửi Tích lũy Như Ý tại Techcombank, khách hàng chỉ có thể rút toàn bộ số tiền gửi trước…</t>
  </si>
  <si>
    <t>Nhà đầu tư có bị thiệt khi đầu tư với mức lãi suất thấ…</t>
  </si>
  <si>
    <t>“Thay vì nghe theo những quảng cáo hấp dẫn về lãi suất lên tới 15%-17%/năm và lo lắng chờ đợi liệu tổ chức phát hành đó…</t>
  </si>
  <si>
    <t>4. Ai phù hợp vay vốn lưu động?</t>
  </si>
  <si>
    <t>Lãi suất cạnh tranh từ 6%/năm (*) , giúp doanh nghiệp tiết kiệm chi phí và giảm áp lực tài chính.</t>
  </si>
  <si>
    <t>2.1. Gửi tiết kiệm ngân hàng</t>
  </si>
  <si>
    <t>4.1. Tiết kiệm bằng cách gửi tiền vào giải pháp tiết k…</t>
  </si>
  <si>
    <t>Lãi suất gửi tiết kiệm tích lũy thường khoảng 4.65 - 5.95%/năm (*), kỳ hạn từ 3 - 60 tháng, số tiền gửi ban đầu chỉ từ…</t>
  </si>
  <si>
    <t>1. Xu hướng quản lý tài chính của dân văn phòng hiện n…</t>
  </si>
  <si>
    <t>Vì nhịp sống bận rộn chốn công sở, họ mong muốn tìm kiếm một giải pháp công nghệ tự động và tiết kiệm thời gian, có thể…</t>
  </si>
  <si>
    <t>Ưu điểm của gửi tiết kiệm kỳ hạn ngắn là mức độ an toàn cao, lãi suất được ấn định rõ ràng ngay từ đầu nên nhà đầu tư d…</t>
  </si>
  <si>
    <t>1.2. Dễ dàng đạt được những “mục tiêu lớn”</t>
  </si>
  <si>
    <t>Nếu bạn kiên trì thực hiện tiết kiệm, chỉ sau 5 năm, bạn đã có trong tay 500 triệu đồng, chưa kể lãi suất.</t>
  </si>
  <si>
    <t>1. Tài khoản tiết kiệm là gì?</t>
  </si>
  <si>
    <t>Tài khoản tiết kiệm là tài khoản tiền gửi cho phép người dùng gửi vào đó một khoản tiền và định kỳ sẽ nhận được tiền lã…</t>
  </si>
  <si>
    <t>Đặc biệt trong thời kỳ lãi suất huy động có xu hướng tăng, nhiều người vẫn ưu tiên gửi tiết kiệm để bảo toàn vốn, đồng…</t>
  </si>
  <si>
    <t>Nếu quý khách có nhu cầu mở sổ tiết kiệm với lãi suất cao, nhiều ưu đãi, vui lòng liên hệ Techcombank qua các kênh sau…</t>
  </si>
  <si>
    <t>7. Có nên mở tài khoản tiền gửi online thay cho sổ tiế…</t>
  </si>
  <si>
    <t>Chính sách lãi suất gửi tiết kiệm online thường cao hơn từ 0.1 - 0.4%/năm so với gửi trực tiếp tại chi nhánh/phòng giao…</t>
  </si>
  <si>
    <t>3. Điểm danh các chứng chỉ quỹ uy tín, hiệu suất sinh…</t>
  </si>
  <si>
    <t>Điểm nổi bật của các quỹ này là khả năng mang lại lợi nhuận kỳ vọng dài hạn gấp khoảng 2 lần lãi suất tiết kiệm trung b…</t>
  </si>
  <si>
    <t>Chỉ với vài thao tác trên Techcombank Mobile , bạn có thể gửi tiết kiệm online, chọn kỳ hạn linh hoạt và theo dõi lãi suất minh…</t>
  </si>
  <si>
    <t>Lợi nhuận kỳ vọng dự kiến tốt hơn lãi suất tiết kiệm trung bình 12 tháng.</t>
  </si>
  <si>
    <t>Lợi nhuận kỳ vọng có thể gấp 2 lần lãi suất tiết kiệm.</t>
  </si>
  <si>
    <t>3. Ảnh hưởng của lạm phát đến kinh tế cá nhân</t>
  </si>
  <si>
    <t>Nếu lãi suất tiết kiệm không đủ cao để theo kịp lạm phát, thì số tiền trong tài khoản tiết kiệm sẽ giảm đi theo thời gian.</t>
  </si>
  <si>
    <t>2. Loyalty Program là gì? Ứng dụng trong ngành ngân hàn…</t>
  </si>
  <si>
    <t>Khách hàng được tăng lãi suất tiết kiệm, giảm lãi suất vay</t>
  </si>
  <si>
    <t>4. Hướng dẫn mua chứng chỉ quỹ Techcombank đơn giản, nh…</t>
  </si>
  <si>
    <t>Lợi nhuận kỳ vọng dài hạn lên tới gấp 2 lần lãi suất tiết kiệm trung bình 12 tháng , thực nhận theo thời gian đầu tư.</t>
  </si>
  <si>
    <t>1. Lập ngân sách</t>
  </si>
  <si>
    <t>lương chính và các nguồn thu nhập bổ sung (thu nhập từ công việc tự do, tiền cho thuê, lãi suất từ tài khoản tiết kiệm,...)</t>
  </si>
  <si>
    <t>2.1. Thăng hạng hội viên, gia đình hưởng ưu tiên</t>
  </si>
  <si>
    <t>Chính sách cộng lãi suất tiết kiệm dành cho hạng hội viên tương ứng</t>
  </si>
  <si>
    <t>Tài khoản tiết kiệm là tài khoản tiền gửi cho phép người dùng gửi vào đó một khoản tiền và định kỳ nhận được tiền lãi theo mức …</t>
  </si>
  <si>
    <t>4. Cách sử dụng tài sản và tiêu sản hợp lý</t>
  </si>
  <si>
    <t>Để dễ dàng quản lý và tích lũy quỹ khẩn cấp, bạn có thể sử dụng các giải pháp tiết kiệm online từ Techcombank với lãi suất hấp …</t>
  </si>
  <si>
    <t>2. Lợi ích của hình thức vay thấu chi bằng sổ tiết kiệm</t>
  </si>
  <si>
    <t>Hoặc, họ không phải rút tiền tiết kiệm trước hạn và hưởng lãi suất không kỳ hạn.</t>
  </si>
  <si>
    <t>3. 2 hiểu lầm thường gặp về lãi kép ngân hàng</t>
  </si>
  <si>
    <t>…ư 04/2011/TT-NHNN của Ngân hàng Nhà nước Việt Nam, nếu rút tiết kiệm trước hạn thì bạn sẽ không nhận được mức lãi suất…</t>
  </si>
  <si>
    <t>4. Mất sổ tiết kiệm có rút được tiền ngay không?</t>
  </si>
  <si>
    <t>Khách hàng có thể rút tiền khi đến hạn hoặc rút trước hạn theo quy định của ngân hàng và thỏa thuận ban đầu khi mở sổ t…</t>
  </si>
  <si>
    <t>3. Lời khuyên khi gửi thêm tiền vào sổ tiết kiệm hoặc…</t>
  </si>
  <si>
    <t>Khi khách hàng có nhu cầu gửi thêm tiền vào sổ tiết kiệm/tài khoản tiền gửi mà không muốn tất toán trước hạn, giải pháp…</t>
  </si>
  <si>
    <t>4. Một số câu hỏi thường gặp về tiền gửi có kỳ hạn</t>
  </si>
  <si>
    <t>Giải đáp 6 câu hỏi về rút tiền tiết kiệm trước thời hạn .</t>
  </si>
  <si>
    <t>5. 2 lưu ý mở sổ tiết kiệm cho người mới bắt đầu</t>
  </si>
  <si>
    <t>…rường hợp cần bổ sung dòng tiền ngắn hạn mà không muốn rút tiết kiệm trước hạn, khách hàng có thể tham khảo giải pháp…</t>
  </si>
  <si>
    <t>Khách hàng có thể gửi thêm tiền, rút trước hạn một phần hoặc tất toán khoản tiết kiệm trên ngân hàng số tại bất kỳ thời…</t>
  </si>
  <si>
    <t>Khác với các hình thức tiết kiệm truyền thống, giải pháp Tiền gửi Tích lũy Như Ý cho phép người dùng chủ động gửi tiền…</t>
  </si>
  <si>
    <t>Đây cũng là lý do nhiều khách hàng thường quan tâm đến các quy trình tài chính khác, chẳng hạn như sổ tiết kiệm rút ở chi nhánh…</t>
  </si>
  <si>
    <t>3.2.1. Tiền gửi tiết kiệm</t>
  </si>
  <si>
    <t>Phần tiền rút trước hạn được hưởng lãi suất không kỳ hạn, số tiền gửi còn lại vẫn tiếp tục hưởng lãi suất tiết kiệm ban…</t>
  </si>
  <si>
    <t>1. 2 lý do lãi suất gửi tiết kiệm online thường cao hơ…</t>
  </si>
  <si>
    <t>Đặc biệt, các giải pháp tiết kiệm linh hoạt online của ngân hàng còn cho phép khách hàng gửi thêm tiền vào tài khoản ti…</t>
  </si>
  <si>
    <t>Gửi tiết kiệm là một hình thức đầu tư ngắn hạn phổ biến, nhưng đầu tư ngắn hạn còn bao gồm nhiều kênh khác như chứng ch…</t>
  </si>
  <si>
    <t>1. Hạn chế của bảo hiểm nhân thọ truyền thống khi muốn…</t>
  </si>
  <si>
    <t>“Tôi cứ nghĩ bảo hiểm là khoản tích lũy có thể rút ra khi cần, nhưng lúc thực sự cần đến, tôi mới biết phải chấm dứt hợ…</t>
  </si>
  <si>
    <t>Dùng sổ tiết kiệm hoặc tài khoản tiền gửi có kỳ hạn để bảo lãnh hạn mức thẻ</t>
  </si>
  <si>
    <t>Trường hợp rút tiền gửi tiết kiệm/tiền gửi có kỳ hạn trước hạn:</t>
  </si>
  <si>
    <t>Bài viết dưới đây sẽ giải đáp chi tiết cho câu hỏi chứng chỉ tiền gửi có được rút trước hạn hay không và gợi ý về giải…</t>
  </si>
  <si>
    <t>1. Cập nhật lợi suất chứng chỉ tiền gửi các ngân hàng</t>
  </si>
  <si>
    <t>&gt;&gt;&gt; Tìm hiểu Chứng chỉ tiền gửi có được rút trước hạn không?</t>
  </si>
  <si>
    <t>Do đó, khi lựa chọn gửi tiết kiệm với kỳ hạn dài lên đến 12 tháng, khách hàng cần xác định chắc chắn bản thân có khoản…</t>
  </si>
  <si>
    <t>Gửi tiết kiệm online có rút trước hạn được không và cách tính lãi</t>
  </si>
  <si>
    <t>3.1. Điều kiện &amp; Hồ sơ</t>
  </si>
  <si>
    <t>Trong quá trình so sánh thẻ và các hình thức tiết kiệm khác, bạn cũng nên xem thêm “ chứng chỉ tiền gửi có được rút trư…</t>
  </si>
  <si>
    <t>1.3. Mức độ linh hoạt</t>
  </si>
  <si>
    <t>Đặc biệt, nhiều ngân hàng triển khai các giải pháp tiết kiệm linh hoạt , cho phép khách hàng gửi thêm tiền vào tài khoả…</t>
  </si>
  <si>
    <t>3. Lựa chọn hình thức gửi tiết kiệm phù hợp</t>
  </si>
  <si>
    <t>Với hình thức gửi tiết kiệm có kỳ hạn, bạn cần cân nhắc thật kỹ nếu muốn rút tiền trước hạn.</t>
  </si>
  <si>
    <t>Gửi tiết kiệm là hình thức đầu tư truyền thống, trong đó người gửi chuyển một khoản tiền gửi nhàn rỗi vào ngân hàng để hưởng lã…</t>
  </si>
  <si>
    <t>3. Phân bổ tiền vào các giải pháp tiền gửi để sinh lời…</t>
  </si>
  <si>
    <t>Hiện nay, ngân hàng triển khai các hình thức tiết kiệm phổ biến là Tiền gửi tiết kiệm có kỳ hạn và Tiết kiệm linh hoạt (bao gồm…</t>
  </si>
  <si>
    <t>2.4. Bước 4: Lập quỹ dự phòng và bảo vệ tài chính</t>
  </si>
  <si>
    <t>Khoản tiền này nên được giữ trong tài khoản tiết kiệm dễ rút hoặc các kênh an toàn, thanh khoản cao như chứng chỉ tiền gửi ngắn…</t>
  </si>
  <si>
    <t>Nếu mở tài khoản tiết kiệm tại Techcombank, khách hàng có thể lựa chọn nhiều giải pháp tiền gửi như Tiền gửi tiết kiệm có kỳ hạ…</t>
  </si>
  <si>
    <t>1.2. Sử dụng giải pháp nhận thanh toán QR dành cho cửa…</t>
  </si>
  <si>
    <t>Việc quản lý minh bạch và đầy đủ dữ liệu giao dịch cũng giúp hạn chế rủi ro thất lạc giấy tờ tài chính - một chủ đề nhiều khách…</t>
  </si>
  <si>
    <t>Mở sổ tiết kiệm cần bao nhiêu tiền là băn khoăn của nhiều khách hàng khi có nhu cầu gửi tiết kiệm.</t>
  </si>
  <si>
    <t>Khi mất sổ tiết kiệm, một số khách hàng lo lắng số tiền trong tài khoản của mình sẽ bị “bốc hơi".</t>
  </si>
  <si>
    <t>Mỗi ngân hàng có quy định khác nhau về điều kiện, thủ tục… gửi thêm tiền vào sổ tiết kiệm và tài khoản tiền gửi.</t>
  </si>
  <si>
    <t>Sổ tiết kiệm đóng vai trò là tài sản bảo đảm cho nghĩa vụ trả nợ của bên vay.</t>
  </si>
  <si>
    <t>5. Lưu ý khi gửi tiết kiệm tại ngân hàng</t>
  </si>
  <si>
    <t>Sau khi đã có sổ tiết kiệm, khách hàng cần bảo quản sổ ở nơi riêng tư, không cho …</t>
  </si>
  <si>
    <t>1.2. Trường hợp không rút được tiền tiết kiệm trước th…</t>
  </si>
  <si>
    <t>Sổ tiết kiệm đang dùng làm tài sản đảm bảo cho khoản vay tại ngân hàng:</t>
  </si>
  <si>
    <t>2.2. Vay thấu chi thế chấp</t>
  </si>
  <si>
    <t>…ợp đồng mua bán ký kết trực tiếp với chủ đầu tư, ô tô, sổ tiết kiệm/thẻ tiết kiệm/tiết kiệm dạng tài khoản… để đảm bảo…</t>
  </si>
  <si>
    <t>5. Phân biệt chứng chỉ tiền gửi và tiền gửi có kỳ hạn</t>
  </si>
  <si>
    <t>&gt;&gt;&gt;&gt; Để phân biệt rõ hơn về hình thức sinh lời chứng chỉ tiền gửi và sổ tiết kiệm, bạn có thể tham khảo tại bài viết:</t>
  </si>
  <si>
    <t>1. Điều kiện mở thẻ tín dụng hạn mức cao</t>
  </si>
  <si>
    <t>Có tài sản được định giá như sổ tiết kiệm, tiền gửi ngân hàng, giấy tờ bất động sản… với giá trị…</t>
  </si>
  <si>
    <t>3. Gợi ý sản phẩm bảo hiểm nhân thọ linh hoạt đóng phí,…</t>
  </si>
  <si>
    <t>Nếu mình may mắn khỏe re, thì sau này khoản tiền đó nó vẫn sinh lời, coi như có thêm một sổ tiết kiệm cho tuổi già.</t>
  </si>
  <si>
    <t>2.1. Cách đăng ký thẻ Visa Credit trực tiếp tại phòng g…</t>
  </si>
  <si>
    <t>…n (đảm bảo bản sao có công chứng) như giấy tờ nhà đất, sổ tiết kiệm, sổ bảo hiểm, sở hữu ô tô...</t>
  </si>
  <si>
    <t>3. Lợi ích khi thanh toán đóng tiền điện/nước thông qua…</t>
  </si>
  <si>
    <t>…g tự với các giấy tờ tài chính khác, chẳng hạn như mất sổ tiết kiệm , nên xu hướng quản lý và lưu trữ giao dịch trên hệ th…</t>
  </si>
  <si>
    <t>1. Sao kê tài khoản ngân hàng là gì?</t>
  </si>
  <si>
    <t>… hiệu quả hơn, đặc biệt khi bạn muốn gửi thêm tiền vào sổ tiết kiệm để tăng khả năng tích lũy.</t>
  </si>
  <si>
    <t>3.2. Đánh giá hiện trạng tài chính</t>
  </si>
  <si>
    <t>Tài sản (sổ tiết kiệm, tài khoản, bất động sản,…)</t>
  </si>
  <si>
    <t>2. Mua chứng chỉ tiền gửi không phải trả phí bảo hiểm</t>
  </si>
  <si>
    <t>Chứng chỉ tiền gửi khác gì sổ tiết kiệm?</t>
  </si>
  <si>
    <t>Sổ tiết kiệm hoặc tài khoản tiết kiệm online trên Mobile Banking/ Internet Banking.</t>
  </si>
  <si>
    <t>Khi cần rút tiền tiết kiệm trong sổ tiết kiệm, khách hàng phải tất toán sổ tiết kiệm .</t>
  </si>
  <si>
    <t>Đối với tiền gửi có kỳ hạn, ngày tất toán thường là ngày đến hạn sổ tiết kiệm;</t>
  </si>
  <si>
    <t>Đáo hạn sổ tiết kiệm/tài khoản tiền gửi có kỳ hạn là thời điểm kết thúc kỳ …</t>
  </si>
  <si>
    <t>2. Có nên gửi tiết kiệm ngân hàng không?</t>
  </si>
  <si>
    <t>…àng theo dõi lãi suất, số tiền gửi ngân hàng thông qua sổ tiết kiệm hay tài khoản ngân hàng online (SMS Banking/Mobile…</t>
  </si>
  <si>
    <t>2. Gửi tiết kiệm online có lãi suất hấp dẫn</t>
  </si>
  <si>
    <t>Khách hàng gửi tiết kiệm online thường được hưởng lãi suất cao hơn so với mở sổ tiết kiệm tại phòng giao dịch.</t>
  </si>
  <si>
    <t>6. Lưu ý khi gửi tiết kiệm ngoại tệ</t>
  </si>
  <si>
    <t>Dùng sổ tiết kiệm ngoại tệ để quay vòng dòng tiền khi cần:</t>
  </si>
  <si>
    <t>4. 3 lời khuyên khi chọn kỳ hạn gửi tiết kiệm ngân hàng</t>
  </si>
  <si>
    <t>Khách hàng nên chia tiền vào nhiều sổ/tài khoản tiết kiệm để đáp ứng tốt nhu cầu sử dụng.</t>
  </si>
  <si>
    <t>Mở tài khoản tiết kiệm cho con là lựa chọn tài chính an toàn cho tương lai của trẻ, đồng thời giảm áp lực tài chính cho…</t>
  </si>
  <si>
    <t>3. Nên gửi tiết kiệm online hay tại quầy để tránh rủi…</t>
  </si>
  <si>
    <t>Bạn cần bảo mật số tiết kiệm vật lý cũng như các thông tin về sổ khi gửi tiết kiệm tại quầy.</t>
  </si>
  <si>
    <t>Tài khoản thanh toán là một loại của tài khoản ngân hàng (không bao gồm tài khoản ngoại tệ, tài khoản tiền gửi tiết kiệ…</t>
  </si>
  <si>
    <t>Bài viết này sẽ giúp bạn hiểu rõ hình thức tiết kiệm này, so sánh với gửi tiết kiệm thông thường và gợi ý lựa chọn phù…</t>
  </si>
  <si>
    <t>1. Tìm hiểu lý do gửi tiết kiệm online bị mất tiền</t>
  </si>
  <si>
    <t>Thực tế, việc gửi tiết kiệm online bị mất tiền rất hiếm khi xảy ra, bởi hệ thống bảo mật của ngân hàng rất chặt chẽ, an…</t>
  </si>
  <si>
    <t>Techcombank sẽ bật mí 6 cách tiết kiệm tiền hiệu quả mỗi ngày dễ thực hiện và lưu ý đến bạn 3 sai …</t>
  </si>
  <si>
    <t>Việc học cách tiết kiệm tiền lương hiệu quả là điều cần thiết để có một khoản tiền dự trù cho tương lai.</t>
  </si>
  <si>
    <t>…ợi ý về gửi tiết kiệm trên, bạn cũng có thể chọn nhiều cách tiết kiệm tiền khác được chia sẻ từ những người nổi tiếng…</t>
  </si>
  <si>
    <t>3. Tham gia thử thách tiết kiệm trong 52 tuần</t>
  </si>
  <si>
    <t>Cách tiết kiệm tiền hiệu quả cho gia đình giúp ổn định tài chính .</t>
  </si>
  <si>
    <t>4. Gửi tiết kiệm online với Techcombank Mobile</t>
  </si>
  <si>
    <t>Tiết kiệm không chỉ đơn thuần là để dành một khoản tiền, mà còn là cách bạn chủ động xây dựng kế hoạch tài chính và chu…</t>
  </si>
  <si>
    <t>2. Biểu phí và lãi suất rút tiền thẻ tín dụng của 10 n…</t>
  </si>
  <si>
    <t>…số nguyên tắc quản lý tài chính cá nhân, chẳng hạn như cách tiết kiệm tiền của người Nhật , cũng nhấn mạnh việc hạn ch…</t>
  </si>
  <si>
    <t>Gửi tiền tại ngân hàng được đánh giá là cách tiết kiệm tiền sinh lời an toàn và ổn định.</t>
  </si>
  <si>
    <t>2.2. Dãy số tứ quý, tiến đơn</t>
  </si>
  <si>
    <t>… nhân hiệu quả, có thể tham khảo thêm các bài viết học cách tiết kiệm tiền lương để kết hợp lựa chọn số tài khoản phù…</t>
  </si>
  <si>
    <t>4. Lợi ích và hạn chế khi sử dụng thẻ ghi nợ quốc tế -…</t>
  </si>
  <si>
    <t>…ốn quản lý tài chính hiệu quả hơn, các phương pháp như cách tiết kiệm tiền theo tuần cũng có thể được áp dụng song son…</t>
  </si>
  <si>
    <t>…hật nổi tiếng với khả năng quản lý tài chính, trong đó cách tiết kiệm tiền của người Nhật được đánh giá là hiệu quả và…</t>
  </si>
  <si>
    <t>…hính vững chắc cho tương lai, bạn hãy tham khảo ngay 6 cách tiết kiệm tiền hiệu quả cho gia đình được tổng hợp dưới đâ…</t>
  </si>
  <si>
    <t>Ngoài ra, với tính năng đặt lịch chuyển tiền trên Techcombank Mobile cho phép bạn thiết lập lịch chuyển tiền theo lịch,…</t>
  </si>
  <si>
    <t>1.5. Bước 5: Triển khai kế hoạch tiết kiệm và đầu tư</t>
  </si>
  <si>
    <t>Bắt đầu để tiền sinh lời bằng cách tự động hóa tiết kiệm và lựa chọn kênh đầu tư phù hợp.</t>
  </si>
  <si>
    <t>Lên kế hoạch tiết kiệm và đầu tư dài hạn một cách khoa học.</t>
  </si>
  <si>
    <t>2. Quá hạn thanh toán thẻ tín dụng 1 ngày cần trả bao…</t>
  </si>
  <si>
    <t>Bên cạnh đó, duy trì tài chính ổn định thông qua các hình thức gửi tiết kiệm cũng là một cách giúp khách hàng chủ động…</t>
  </si>
  <si>
    <t>Với phần tiền chưa có nhu cầu sử dụng ngay, khách hàng có thể tham khảo các giải pháp tiết kiệm tại Techcombank để lựa…</t>
  </si>
  <si>
    <t>4.3. Đối với cá nhân</t>
  </si>
  <si>
    <t>Có một quỹ dự phòng thanh khoản cao (tiền mặt, tài khoản tiết kiệm) giúp bạn tự tin hơn trong các quyết định tài chính…</t>
  </si>
  <si>
    <t>6. FAQs - Câu hỏi thường gặp</t>
  </si>
  <si>
    <t>Dù quy mô nhỏ, việc ứng dụng công nghệ số vào quản lý dòng tiền và đối soát giao dịch vẫn giúp doanh nghiệp giảm sai só…</t>
  </si>
  <si>
    <t>Xem ngay cách tính lãi suất tiền gửi tiết kiệm ngân hàng chính xác và đơn giản với công cụ tính lãi suất tiết kiệm của…</t>
  </si>
  <si>
    <t>Để dễ dàng quản lý và tích lũy quỹ khẩn cấp, bạn có thể sử dụng các giải pháp tiết kiệm online từ Techcombank với lãi s…</t>
  </si>
  <si>
    <t>1.2. Các loại lạm phát</t>
  </si>
  <si>
    <t>Loại lạm phát này xuất hiện khi cung tiền tăng quá mức làm cho giá cả leo thang nhanh chóng, sức mua của người dân giảm…</t>
  </si>
  <si>
    <t>Để tìm hiểu chi tiết hơn cách tính lãi suất tiền gửi tiết kiệm theo từng trường hợp cụ thể, khách hàng tham khảo bài vi…</t>
  </si>
  <si>
    <t>Trường hợp bạn sử dụng thêm tài khoản tiết kiệm tại Techcombank, việc nắm rõ cách rút tiền gửi tiết kiệm online Techcom…</t>
  </si>
  <si>
    <t>https://techcombank.com/thong-tin/blog/bancassurance</t>
  </si>
  <si>
    <t>5. Những hiểu lầm phổ biến khi tham gia bảo hiểm qua kê…</t>
  </si>
  <si>
    <t>Xem video dưới đây để Hiểu đúng bảo hiểm, tiết kiệm, đầu tư, sử dụng tiền nhàn rỗi đúng cách:</t>
  </si>
  <si>
    <t>Ưu điểm của các ví điện tử này là thường xuyên triển khai các ưu đãi hoàn tiền hoặc chiết khấu khi nạp tiền điện thoại, giúp ng…</t>
  </si>
  <si>
    <t>Người dùng có thể chủ động lựa chọn cách nạp phù hợp với nhu cầu và thói quen, đồng thời tiết kiệm chi phí và tận hưởng các chư…</t>
  </si>
  <si>
    <t>3. Tiện lợi và linh hoạt hơn</t>
  </si>
  <si>
    <t>Việc này không chỉ giúp tiết kiệm thời gian mà còn tạo điều kiện thuận lợi cho việc theo dõi và điều chỉnh các giao dịc…</t>
  </si>
  <si>
    <t>Bên cạnh việc ứng dụng các phần mềm chuyên dụng, việc kết hợp cùng một nền tảng ngân hàng số thông minh là giải pháp vư…</t>
  </si>
  <si>
    <t>Theo các chuyên gia công nghệ, việc gửi tiết kiệm online tại ngân hàng hoàn toàn an toàn và có độ bảo mật cao.</t>
  </si>
  <si>
    <t>Gửi tiết kiệm online là một giải pháp tài chính hiện đại, tiện lợi, an toàn và có khả năng mang lại lợi tức tốt hơn so…</t>
  </si>
  <si>
    <t>1. Cách 1: Gửi tiết kiệm online cho người đã có tài kh…</t>
  </si>
  <si>
    <t>5 kinh nghiệm gửi tiết kiệm online an toàn - sinh lời cao.</t>
  </si>
  <si>
    <t>Bài viết sau đây sẽ chỉ rõ rủi ro khi gửi tiết kiệm ngân hàng và lời khuyên từ chuyên gia giúp bạn có trải nghiệm gửi t…</t>
  </si>
  <si>
    <t>2.1. Đối với hình thức gửi tiết kiệm online</t>
  </si>
  <si>
    <t>…khách hàng cần chú ý về các điều kiện bảo mật và những rủi ro khi gửi tiết kiệm online để phòng tránh những trường hợp…</t>
  </si>
  <si>
    <t>3.2. Hình thức nhận lãi</t>
  </si>
  <si>
    <t>Khách hàng có thể tham khảo chi tiết cách gửi tiết kiệm online an toàn để nhận lãi hàng tháng thuận tiện, nhanh chóng.</t>
  </si>
  <si>
    <t>Để biết thêm chi tiết từng bước gửi tiết kiệm tại quầy và online, khách hàng hãy tham khảo thêm quy trình gửi tiền tiết…</t>
  </si>
  <si>
    <t>2. Gửi tiết kiệm online để nhận lãi suất cao hơn</t>
  </si>
  <si>
    <t>Hướng dẫn cách gửi tiết kiệm online an toàn thông qua Mobile Banking .</t>
  </si>
  <si>
    <t>2. Dự báo xu hướng dòng tiền cuối năm</t>
  </si>
  <si>
    <t>Cách gửi tiết kiệm online an toàn thông qua Mobile Banking</t>
  </si>
  <si>
    <t>Như vậy, bài viết đã hướng dẫn tới khách hàng quy trình gửi tiền tiết kiệm tại quầy và gửi tiết kiệm online an toàn, nh…</t>
  </si>
  <si>
    <t>Hướng dẫn cách gửi tiết kiệm online an toàn, đơn giản</t>
  </si>
  <si>
    <t>Khi gửi tiết kiệm online, sổ tiết kiệm được thay thế bằng một tài khoản tiết kiệm điện tử, tất cả thông tin đều được lư…</t>
  </si>
  <si>
    <t>2 cách gửi tiết kiệm online an toàn thông qua Mobile Banking</t>
  </si>
  <si>
    <t>Nêu ưu tiên sự an toàn và sinh lời ổn định , gửi tiết kiệm online tại Techcombank là lựa chọn đáng cân nhắc.</t>
  </si>
  <si>
    <t>3. Cách tạo mã QR cho cửa hàng qua ví MoMo</t>
  </si>
  <si>
    <t>Đây cũng là lý do nhiều chủ cửa hàng quan tâm đến mức độ an toàn khi giao dịch trực tuyến, tương tự những băn khoăn về…</t>
  </si>
  <si>
    <t>Gửi tiết kiệm vàng là một hình thức đầu tư và tích lũy tài sản phổ biến Việt Nam, nơi vàng được xem là kênh trú ẩn an t…</t>
  </si>
  <si>
    <t>3. 3 lợi ích vượt trội khi sử dụng Smart OTP</t>
  </si>
  <si>
    <t>từ đó mở rộng hạn mức an toàn tối đa cho các lệnh gửi tiết kiệm online, thanh toán khoản vay hay nộp tiền đầu tư.</t>
  </si>
  <si>
    <t>3. Chứng chỉ tiền gửi Bảo Lộc Techcombank - Sinh lời m…</t>
  </si>
  <si>
    <t>CCTG Bảo Lộc có giá trị như một khoản tiền gửi tiết kiệm/tiền gửi có kỳ hạn, an toàn và được bảo hiểm theo quy định của…</t>
  </si>
  <si>
    <t>3. Nên mua chứng chỉ tiền gửi hay trái phiếu?</t>
  </si>
  <si>
    <t>Chứng chỉ tiền gửi Bảo Lộc có giá trị như một khoản tiền gửi tiết kiệm/tiền gửi có kỳ hạn, an toàn và được bảo hiểm tươ…</t>
  </si>
  <si>
    <t>Bên cạnh đó, khách hàng có thể cân nhắc các giải pháp tài chính an toàn hơn như gửi tiết kiệm rút gốc linh hoạt , phù h…</t>
  </si>
  <si>
    <t>Việc thực hiện chuyển tiền quốc tế an toàn, tiết kiệm và hợp pháp chính là nền tảng vững chắc để bảo vệ tài sản của bạn…</t>
  </si>
  <si>
    <t>Gửi tiết kiệm tại ngân hàng uy tín giúp đảm bảo tính an toàn và hưởng lãi suất hấp dẫn.</t>
  </si>
  <si>
    <t>Đây cũng là cách hạn chế những rủi ro bảo mật khi giao dịch trực tuyến - một chủ đề nhiều khách hàng quan tâm, chẳng hạ…</t>
  </si>
  <si>
    <t>4. Nguyên tắc mua vàng an toàn và tối ưu lợi nhuận</t>
  </si>
  <si>
    <t>Bên cạnh vàng, bạn có thể cân nhắc thêm các kênh có tính thanh khoản và ổn định hơn, chẳng hạn như gửi tiết kiệm online…</t>
  </si>
  <si>
    <t>2.1. Xác định khẩu vị rủi ro của bạn</t>
  </si>
  <si>
    <t>Đây là phương án phù hợp với nhà đầu tư kỳ vọng lợi nhuận tốt hơn gửi tiết kiệm nhưng vẫn muốn giới hạn rủi ro ở mức vừ…</t>
  </si>
  <si>
    <t>3.3. Quỹ đầu tư Cân bằng Linh hoạt Techcom (TCFF)</t>
  </si>
  <si>
    <t>Lợi nhuận kỳ vọng dài hạn của quỹ vào khoảng 1.5 lần lãi suất tiết kiệm trung bình 12 tháng, với mức độ rủi ro trung bì…</t>
  </si>
  <si>
    <t>4. Ai nên tham gia bảo hiểm liên kết đầu tư?</t>
  </si>
  <si>
    <t>Sẵn sàng chấp nhận rủi ro để tìm kiếm lợi nhuận cao hơn gửi tiết kiệm</t>
  </si>
  <si>
    <t>2.5. Đa dạng hóa danh mục</t>
  </si>
  <si>
    <t>Đây là phương pháp quản trị rủi ro bằng cách chia nhỏ dòng vốn và phân bổ vào nhiều kênh đầu tư khác nhau như cổ phiếu, trái ph…</t>
  </si>
  <si>
    <t>3. Có 50 triệu nên mua vàng hay gửi tiết kiệm?</t>
  </si>
  <si>
    <t>Vàng phù hợp khi bạn muốn bảo toàn giá trị trong dài hạn, còn gửi tiết kiệm lại lý tưởng cho kế hoạch tài chính ngắn hạn với ng…</t>
  </si>
  <si>
    <t>https://techcombank.com/thong-tin/blog/ke-hoach-huu-tri</t>
  </si>
  <si>
    <t>3.3. Bước 3: Lựa chọn chiến lược đầu tư phù hợp theo từ…</t>
  </si>
  <si>
    <t>Khi nguồn thu nhập từ lương chính thức ngừng lại, nên tăng tỷ trọng tài sản có thu nhập cố định và ít rủi ro như tiền gửi tiết …</t>
  </si>
  <si>
    <t>1. Đang vay trả góp có vay thêm được không?</t>
  </si>
  <si>
    <t>Các ngân hàng và công ty tài chính sẽ đánh giá rất kỹ các yếu tố này để đảm bảo bạn có đủ khả năng chi trả cho tất cả c…</t>
  </si>
  <si>
    <t>Bảng dưới đây minh họa cách tính lãi suất gửi ngân hàng theo tháng cụ thể.</t>
  </si>
  <si>
    <t>Do đó, lựa chọn ngân hàng giải pháp vay có chính sách lãi suất ưu đãi sẽ giúp người vay giảm gánh nặng trả nợ hàng thán…</t>
  </si>
  <si>
    <t>3. Thu nhập bao nhiêu thì nên mua nhà trả góp đưa trướ…</t>
  </si>
  <si>
    <t>Khả năng vay mua nhà còn phụ thuộc vào giá trị căn nhà, số tiền vay, thời hạn vay, lãi suất và khả năng trả nợ của từng…</t>
  </si>
  <si>
    <t>3. Lưu ý khi vay tín chấp cá nhân ngân hàng</t>
  </si>
  <si>
    <t>Chính sách, mức lãi suất, hạn mức vay, thủ tục vay ngân hàng...</t>
  </si>
  <si>
    <t>5. Kinh nghiệm vay thế chấp ngân hàng</t>
  </si>
  <si>
    <t>Bên cạnh cơ hội được duyệt vay nhanh chóng, bạn còn có thể được ngân hàng cho vay với lãi suất ưu đãi, hạn mức cao, thờ…</t>
  </si>
  <si>
    <t>1.1. Lãi suất ưu đãi</t>
  </si>
  <si>
    <t>Vì vậy, bạn nên cân nhắc kỹ lưỡng những chính sách ưu đãi về lãi suất của các ngân hàng để giảm áp lực tài chính trả nợ…</t>
  </si>
  <si>
    <t>Khi sử dụng tín dụng tiêu dùng, khách hàng cần xác định khả năng thanh toán hàng tháng, hiểu rõ lãi suất và các khoản p…</t>
  </si>
  <si>
    <t>Giải pháp này giúp khách hàng tối ưu hóa nguồn vốn, vừa có thể vay để đáp ứng các nhu cầu tài chính, vừa hưởng lãi suất…</t>
  </si>
  <si>
    <t>Thời điểm lãi suất xuống thấp, nhiều khả năng nhà đầu tư sẽ tiếp tục vay vốn ngân hàng để đầu tư vào thị trường chứng k…</t>
  </si>
  <si>
    <t>Ví dụ, nếu một khách hàng có thu nhập biến động hoặc có các chi phí phát sinh khác, ngân hàng có thể cung cấp các giải pháp vay…</t>
  </si>
  <si>
    <t>2. Lời khuyên để sở hữu chứng chỉ tiền gửi an toàn, sin…</t>
  </si>
  <si>
    <t>&gt;&gt;&gt; Ngoài ra, việc trở thành khách hàng của các ngân hàng lớn còn giúp bạn tiếp cận thêm nhiều quyền lợi khác như các gói vay v…</t>
  </si>
  <si>
    <t>4. Cần kết hợp NIM với những chỉ số nào khi đánh giá ng…</t>
  </si>
  <si>
    <t>Lợi suất tài sản sinh lời cho biết mức thu nhập lãi mà ngân hàng tạo ra từ các tài sản có khả năng sinh lãi như dư nợ cho vay, …</t>
  </si>
  <si>
    <t>4. Hướng dẫn sử dụng SmartPOS</t>
  </si>
  <si>
    <t>&gt;&gt;&gt; Tham khảo các sản phẩm tài chính khác của ngân hàng như lãi suất vay mua ô tô để đáp ứng nhu cầu tiêu dùng cá nhân.</t>
  </si>
  <si>
    <t>5.2. Tín dụng xanh</t>
  </si>
  <si>
    <t>Nếu quan tâm đến nguồn vốn ưu đãi cho dự án bất động sản hoặc các mục đích khác, hãy tham khảo vay thế chấp ngân hàng nào lãi s…</t>
  </si>
  <si>
    <t>Doanh nghiệp chỉ phải trả lãi trên số tiền thực tế đã sử dụng và sẽ không bị tính lãi nếu không sử dụng khoản vay, cho…</t>
  </si>
  <si>
    <t>1.1. Thanh toán trực tuyến qua internet banking/mobile…</t>
  </si>
  <si>
    <t>Đây hình thức thanh toán các khoản vay thông qua dịch vụ trực tuyến của ngân hàng trên thiết bị điện tử có kết nối Inte…</t>
  </si>
  <si>
    <t>Hiện nay, vay mua nhà trả góp tại ngân hàng được tính lãi theo 2 hình thức phổ biến là niên kim và dư nợ giảm dần.</t>
  </si>
  <si>
    <t>Bài viết sẽ giải thích về tính khả khi của ý tưởng vay ngân hàng chỉ cần CCCD và giải pháp phù hợp cho người có nhu cầu…</t>
  </si>
  <si>
    <t>1. Khái niệm dư nợ tín dụng</t>
  </si>
  <si>
    <t>Dư nợ tín dụng được tính bằng tổng của số tiền gốc và lãi vay mà khách hàng còn nợ tổ chức tín dụng tại một thời điểm n…</t>
  </si>
  <si>
    <t>2. Vay hạn mức khác gì vay thấu chi và vay từng lần</t>
  </si>
  <si>
    <t>Dưới đây là bảng phân biệt vay hạn mức, vay thấu chi và vay từng lần dựa trên cách giải ngân, phạm vi sử dụng vốn, thời…</t>
  </si>
  <si>
    <t>Khoản gốc trả hàng tháng và khoản lãi vay theo tháng tương ứng sẽ được tự động điều chỉnh để khoản trả hàng tháng của b…</t>
  </si>
  <si>
    <t>Ngoài ra, một số ngân hàng còn lựa chọn hình thức tính lãi niên kim để áp dụng cho các khoản vay xây/sửa nhà.</t>
  </si>
  <si>
    <t>Khách hàng A vay ngân hàng 100,000,000 VND với kỳ hạn 12 tháng, lãi tính trên dư nợ gốc.</t>
  </si>
  <si>
    <t>1.1. Thanh toán ngay trên ngân hàng số</t>
  </si>
  <si>
    <t>Trả nợ vay thấu chi trên ngân hàng số giúp bạn tiết kiệm thời gian hơn so với các phương thức khác.</t>
  </si>
  <si>
    <t>2. Thời gian giải ngân vốn vay thế chấp</t>
  </si>
  <si>
    <t>Thời gian giải ngân vốn vay thế chấp tại Techcombank được tính từ khi khách hàng ký hợp đồng vay với ngân hàng đối với…</t>
  </si>
  <si>
    <t>3.1. Bước 1: Kiểm tra chính xác tình trạng nợ (Check C…</t>
  </si>
  <si>
    <t>Liên hệ ngân hàng hoặc tổ chức tín dụng nơi bạn vay để yêu cầu cung cấp thông tin chi tiết về khoản nợ, bao gồm dư nợ g…</t>
  </si>
  <si>
    <t>3.3. Phương án sử dụng vốn vay</t>
  </si>
  <si>
    <t>Đây là cơ sở để ngân hàng đánh giá tính hợp pháp của mục đích vay, năng lực tài chính và khả năng trả nợ đúng hạn trong…</t>
  </si>
  <si>
    <t>4. Vay vốn sinh viên ở đâu? Thủ tục &amp; phương thức vay</t>
  </si>
  <si>
    <t>Quy trình thực hiện vay vốn sinh viên tại Ngân hàng Chính sách xã hội (VBSP) 2026 để đảm bảo tính thống nhất và minh bạ…</t>
  </si>
  <si>
    <t>1. Vay thấu chi là gì?</t>
  </si>
  <si>
    <t>Số tiền vượt này sẽ được tính là khoản vay và phải trả lãi cho ngân hàng.</t>
  </si>
  <si>
    <t>Tuy nhiên, nếu mất khả năng thanh toán, nhiều người lo lắng nợ ngân hàng không trả được thì sao, đâu là rủi ro khi vay…</t>
  </si>
  <si>
    <t>Bạn có biết rằng việc chuẩn bị đầy đủ hồ sơ và nắm vững những thủ tục vay ngân hàng mua nhà sẽ giúp rút ngắn thời gian…</t>
  </si>
  <si>
    <t>1. Thời hạn vay thấu chi hiện nay</t>
  </si>
  <si>
    <t>Mỗi ngân hàng sẽ có những quy định khác nhau về thời hạn vay thấu chi.</t>
  </si>
  <si>
    <t>4.3. Phương án sử dụng vốn vay</t>
  </si>
  <si>
    <t>3. Cách tính lãi vay mua chung cư</t>
  </si>
  <si>
    <t>Hiện nay, các ngân hàng đang áp dụng cách tính lãi vay mua chung cư theo dư nợ giảm dần hoặc niêm kim.</t>
  </si>
  <si>
    <t>Vậy nợ chú ý là gì , có phải nợ xấu không và ảnh hưởng thế nào đến việc vay ngân hàng hay mở thẻ tín dụng?</t>
  </si>
  <si>
    <t>3.3. Tra cứu nợ xấu ngân hàng tại phòng giao dịch ngân…</t>
  </si>
  <si>
    <t>Nộp hồ sơ đăng ký tài khoản vay tại ngân hàng và yêu cầu kiểm tra lịch sử tín dụng cá nhân</t>
  </si>
  <si>
    <t>3. Timo - Vay nhanh online không cần thế chấp</t>
  </si>
  <si>
    <t>Có thu nhập từ 3 triệu VND trở lên và có khả năng trả nợ (được Ngân hàng tính toán tùy theo từng hồ sơ vay vốn)</t>
  </si>
  <si>
    <t>1.3 vấn đề gặp phải khi vay thế chấp không trả được</t>
  </si>
  <si>
    <t>Khi vay thế chấp và không có khả năng trả nợ, bên vay sẽ phải đối diện với các vấn đề liên quan đến lãi quá hạn và các…</t>
  </si>
  <si>
    <t>2. Giải pháp vay vốn cho khách hàng có bảng lương</t>
  </si>
  <si>
    <t>Bởi vì, bên vay sử dụng tài sản có giá trị để đảm bảo cho khoản vay và nguồn thu từ lương để đảm bảo thực hiện việc tha…</t>
  </si>
  <si>
    <t>Tại Techcombank, ngân hàng có các tiêu chí được định sẵn và hoạt động thẩm định rõ ràng để các bên cùng theo dõi và có…</t>
  </si>
  <si>
    <t>Toàn bộ quy trình giải ngân, thu nợ gốc và lãi sẽ được thực hiện tập trung thông qua ngân hàng đầu mối thu xếp, giúp ti…</t>
  </si>
  <si>
    <t>7. Giải đáp thắc mắc khác về vốn lưu động</t>
  </si>
  <si>
    <t>Vay bổ sung vốn lưu động là hình thức vay ngắn hạn từ ngân hàng hoặc tổ chức tài chính để đáp ứng nhu cầu vốn lưu động…</t>
  </si>
  <si>
    <t>3. Vay nhanh online 24/24 trên Techcombank Mobile - va…</t>
  </si>
  <si>
    <t>Đừng quên lựa chọn hình thức vay an toàn, minh bạch và tận dụng tốt các tính năng quản lý khoản vay online trên ngân hà…</t>
  </si>
  <si>
    <t>Điều đặc biệt là chỉ tính lãi trên khoản thực tế giải ngân, đồng thời có thể linh hoạt trả nợ bất kỳ lúc nào mà không m…</t>
  </si>
  <si>
    <t>Đừng quên lựa chọn hình thức vay tiền online nhanh an toàn, minh bạch và tận dụng tốt các tính năng quản lý khoản vay o…</t>
  </si>
  <si>
    <t>6. Lãi suất tính từ khi nào?</t>
  </si>
  <si>
    <t>Lãi suất sẽ được tính từ thời điểm ngân hàng thực hiện giải ngân số tiền vay cho khách hàng, không tính từ ngày ký kết…</t>
  </si>
  <si>
    <t>Thời gian giải ngân vốn vay trong ngày sau khi khách hàng ký hợp đồng vay với ngân hàng</t>
  </si>
  <si>
    <t>3. Hạn mức giao dịch tối đa của các loại tài khoản ngâ…</t>
  </si>
  <si>
    <t>Nếu rút tiền trước kỳ hạn, bạn vẫn có thể rút hết tiền gốc, nhưng sẽ nhận được số tiền lãi ít hơn (so với rút tiền đúng…</t>
  </si>
  <si>
    <t>https://techcombank.com/thong-tin/blog/gia-tri-tai-san-rong</t>
  </si>
  <si>
    <t>2. Công thức tính giá trị tài sản ròng</t>
  </si>
  <si>
    <t>Đồng thời có khoản vay ngân hàng 800 triệu VND, thì giá trị tài sản ròng được tính như sau:</t>
  </si>
  <si>
    <t>Việc xác thực danh tính này cũng rất quan trọng khi khách hàng có nhu cầu tìm hiểu các dịch vụ tài chính khác như thủ tục vay n…</t>
  </si>
  <si>
    <t>Các dịch vụ ngân hàng điện tử bao gồm nhiều tính năng như chuyển tiền, thanh toán hóa đơn, gửi tiết kiệm, tra cứu thông tin tài…</t>
  </si>
  <si>
    <t>Với sự cam kết từ ngân hàng, doanh nghiệp có thể nâng cao uy tín, tạo niềm tin với bên cho vay và tiếp cận nguồn vốn dễ…</t>
  </si>
  <si>
    <t>Thấu hiểu được mong mỏi chính đáng cùng những thách thức này, ngân hàng đã và đang nỗ lực cung cấp nhiều giải pháp vay…</t>
  </si>
  <si>
    <t>Bài viết dưới đây sẽ giúp bạn so sánh cụ thể giữa đầu tư vàng và gửi tiết kiệm , cùng cách tính lợi nhuận dự kiến để bạ…</t>
  </si>
  <si>
    <t>Lãi suất gửi tiết kiệm cố định được đề cập ở bảng trên là lãi suất giải pháp gửi tiết kiệm Phát Lộc Online áp dụng với…</t>
  </si>
  <si>
    <t>Lãi suất gửi tiết kiệm online tại Techcombank được đề cập trong bảng là lãi suất áp dụng với khách hàng Private với số…</t>
  </si>
  <si>
    <t>Khi có nhu cầu kết hợp tài khoản thanh toán với các sản phẩm tiết kiệm, khách hàng có thể chủ động tính lãi suất tiết k…</t>
  </si>
  <si>
    <t>4. Nên gửi tiết kiệm ở ngân hàng nào để lãi suất cao?</t>
  </si>
  <si>
    <t>Lãi suất gửi tiết kiệm tại Techcombank được đề cập trong bảng là lãi suất áp dụng với khách hàng Private với số tiền gử…</t>
  </si>
  <si>
    <t>Số tiền trong thẻ được ngân hàng tính lãi suất như một hình thức tiết kiệm không kỳ hạn với lãi suất tối đa 0.5%/năm (*)</t>
  </si>
  <si>
    <t>2. Loyalty Program là gì? Ứng dụng trong ngành ngân hà…</t>
  </si>
  <si>
    <t>3. Lãi suất gửi tiết kiệm ngoại tệ mới nhất</t>
  </si>
  <si>
    <t>Khách hàng có thể tham khảo bảng lãi suất gửi tiết kiệm ngoại tệ tại Techcombank sau đây để biết sự chênh lệch lãi suất…</t>
  </si>
  <si>
    <t>Gửi tiết kiệm online tại ngân hàng sẽ sinh lời ổn định theo mức lãi suất đã được thỏa thuận ban đầu, không bị ảnh hưởng…</t>
  </si>
  <si>
    <t>&gt;&gt;&gt; Tìm hiểu thêm về lãi suất tiết kiệm của các ngân hàng để lựa chọn ngân hàng có lãi suất cao và tối ưu lợi nhuận.</t>
  </si>
  <si>
    <t>Nếu bạn kỳ vọng lãi suất cao hơn lãi suất tiết kiệm và có nhu cầu nhận dòng tiền định kỳ từ trái tức (coupon) 3 tháng -…</t>
  </si>
  <si>
    <t>3.1. Đánh giá tình hình tài chính hiện tại</t>
  </si>
  <si>
    <t>Việc giảm nợ giúp bạn tiết kiệm được chi phí lãi suất và quá trình tiết kiệm quỹ dự phòng diễn ra nhanh chóng hơn.</t>
  </si>
  <si>
    <t>Để hiểu rõ hơn về cách tính lãi suất của 2 hình thức gửi tiết kiệm thông thường và gửi tiết kiệm tích lũy, khách hàng c…</t>
  </si>
  <si>
    <t>Trường hợp đầu tư/gửi tiết kiệm theo hình thức lãi kép thì tổng số tiền nhận được sẽ được tính theo công thức dưới đây:</t>
  </si>
  <si>
    <t>Tính toán chính xác tiềm năng sinh lời từ khoản tiền gửi có kỳ hạn của bạn với công cụ tính lãi suất tiết kiệm trực tuy…</t>
  </si>
  <si>
    <t>3. Gửi tiết kiệm online dễ dàng quản lý và theo dõi th…</t>
  </si>
  <si>
    <t>Ví dụ, khi gửi tiền online theo hình thức tích lũy/gửi góp tại Techcombank, khách hàng sẽ nhận được nhiều tiện ích khác…</t>
  </si>
  <si>
    <t>Số tiền lãi cụ thể khách hàng nhận được khi gửi tiết kiệm nhận lãi hàng tháng được tính theo công thức sau:</t>
  </si>
  <si>
    <t>4. Mở tài khoản doanh nghiệp với Techcombank</t>
  </si>
  <si>
    <t>Share Noti - Tính năng chia sẻ giao dịch thành công giúp tiết kiệm thời gian đối soát giao dịch với nhân viên.</t>
  </si>
  <si>
    <t>3. Công cụ tính lãi vay ngân hàng nhanh chóng, chính x…</t>
  </si>
  <si>
    <t>Techcombank cung cấp một công cụ trực tuyến giúp khách hàng nắm rõ cách tính lãi suất vay ngân hàng theo năm, theo thán…</t>
  </si>
  <si>
    <t>1. Gửi tiết kiệm online quay vòng cả gốc và lãi là gì?</t>
  </si>
  <si>
    <t>Hiện nay, một số ngân hàng cung cấp công cụ tính lãi suất tiền gửi tiết kiệm giúp khách hàng tính lãi suất chính xác và…</t>
  </si>
  <si>
    <t>1. Thanh toán trả góp tự động qua thẻ tín dụng</t>
  </si>
  <si>
    <t>Tính năng này giúp khách hàng tiết kiệm thời gian, đề phòng trường hợp quên ngày thanh toán dẫn tới phát sinh các phí p…</t>
  </si>
  <si>
    <t>5. Tác động của ứng dụng công nghệ đến chi tiêu trong…</t>
  </si>
  <si>
    <t>Ngân hàng số như Techcombank Mobile sẽ trở thành công cụ không thể thiếu trong việc quản lý tài chính cá nhân, thanh to…</t>
  </si>
  <si>
    <t>2.5. Tham vấn chuyên gia</t>
  </si>
  <si>
    <t>Share Noti - Tính năng chia sẻ giao dịch thành công giúp tiết kiệm thời gian đối soát giao dịch với nhân viên</t>
  </si>
  <si>
    <t>Điều này giúp tiết kiệm thời gian và công sức so với việc phải sử dụng máy tính.</t>
  </si>
  <si>
    <t>1. Lợi ích khi vay online trên Techcombank Mobile</t>
  </si>
  <si>
    <t>Vay tiêu dùng tín chấp trả góp Techcombank là giải pháp được thiết kế riêng cho các khách hàng có nhu cầu vay tiền nhan…</t>
  </si>
  <si>
    <t>Không cần đến phòng giao dịch, không cần hồ sơ phức tạp - vay tiền online nhanh từ ngân hàng hiện nay đã trở nên đơn gi…</t>
  </si>
  <si>
    <t>Anchor "vay tiền online" của trang đích 68 trùng chủ đề chính bài này — không dùng anchor đó tại đây; cân nhắc rủi ro ăn thịt từ khóa giữa vay-tien-online và app-vay-tien-nhanh.</t>
  </si>
  <si>
    <t>1. Tín dụng là gì?</t>
  </si>
  <si>
    <t>Người cho vay chỉ cấp tín dụng khi tin rằng người vay sử dụng vốn đúng mục đích, hiệu quả và có khả năng hoàn trả nợ đú…</t>
  </si>
  <si>
    <t>… phản ánh lợi nhuận của doanh nghiệp trước khi trừ lãi vay, thuế, khấu hao tài sản cố định và khấu hao tài sản vô…</t>
  </si>
  <si>
    <t>…ạn gốc là một chính sách của ngân hàng nhằm giúp người vay giảm bớt áp lực tài chính (đặc biệt trong giai đoạn kh…</t>
  </si>
  <si>
    <t>1. WACC phản ánh chi phí sử dụng vốn của doanh nghiệp…</t>
  </si>
  <si>
    <t>Doanh nghiệp có thể huy động vốn từ nhiều nguồn như vốn chủ sở hữu và nợ vay.</t>
  </si>
  <si>
    <t>Bạn đã bao giờ thắc mắc tại sao hồ sơ vay vốn của mình được duyệt nhanh chóng trong khi người khác lại gặp khó khăn?</t>
  </si>
  <si>
    <t>1. Đặc thù và những bài toán tài chính của doanh nghiệ…</t>
  </si>
  <si>
    <t>Khó tiếp cận các sản phẩm/giải pháp vay do thiếu tài sản bảo đảm hoặc lịch sử tín dụng chưa đầy đủ.</t>
  </si>
  <si>
    <t>2. Quản lý chi phí doanh nghiệp hiệu quả</t>
  </si>
  <si>
    <t>…anh toán thuế, tài trợ thương mại, giao dịch ngoại tệ, vay vốn… cùng nhiều tiện ích thông minh khác.</t>
  </si>
  <si>
    <t>Chi trả lãi vay của doanh nghiệp có giao dịch liên kết.</t>
  </si>
  <si>
    <t>1. Fintech là gì?</t>
  </si>
  <si>
    <t>Fintech bao gồm rất nhiều lĩnh vực trong ngành tài chính như thanh toán điện tử, cho vay trực tuyến và ngân hàng số,...</t>
  </si>
  <si>
    <t>1. Thanh lý tài sản là gì?</t>
  </si>
  <si>
    <t>… bảo, phát mại tài sản) là việc ngân hàng hoặc bên cho vay thực hiện quyền xử lý tài sản mà bên vay đã dùng để đả…</t>
  </si>
  <si>
    <t>…i ro mất cân đối dòng tiền, tăng khả năng tiếp cận vốn vay với chi phí hợp lý và tạo cơ sở dữ liệu đáng tin cậy đ…</t>
  </si>
  <si>
    <t>Tìm hiểu các chương trình hỗ trợ vay, ưu đãi lãi suất hoặc khuyến mãi để nhận quyền lợi tốt nhất</t>
  </si>
  <si>
    <t>…g cường bảo mật và nâng cao uy tín tín dụng để dễ dàng vay vốn.</t>
  </si>
  <si>
    <t>Lãi vay trong giao dịch liên kết, hoặc phần vốn điều lệ chưa góp đủ.</t>
  </si>
  <si>
    <t>1.7. Miễn lãi lên tới 55 ngày</t>
  </si>
  <si>
    <t>…nhập và mức độ uy tín của chủ thẻ để đề xuất các khoản vay phù hợp thông qua thẻ tín dụng.</t>
  </si>
  <si>
    <t>1.2. Các chương trình hỗ trợ khởi nghiệp và doanh nghi…</t>
  </si>
  <si>
    <t>…t triển doanh nghiệp nhỏ và vừa được giao nhiệm vụ cho vay doanh nghiệp nhỏ và vừa, dự án khởi nghiệp sáng tạo;</t>
  </si>
  <si>
    <t>1. One-Stop Shop là gì?</t>
  </si>
  <si>
    <t>… hàng có thể thanh toán hóa đơn, đầu tư, mua bảo hiểm, vay, tiết kiệm, chuyển tiền quốc tế… chỉ với một chiếc điệ…</t>
  </si>
  <si>
    <t>1.6. Hạn chế tối đa việc vay mượn</t>
  </si>
  <si>
    <t>Giới trẻ hiện nay thường xuyên bị rơi vào vòng lặp tiêu xài quá tay, sau đó phải dựa vào vay mượn để trang trải cuộc số…</t>
  </si>
  <si>
    <t>1. NIM là gì? Phản ánh điều gì trong hoạt động ngân hà…</t>
  </si>
  <si>
    <t>Trong hoạt động ngân hàng, thu nhập lãi thường đến từ các khoản cho vay, chứng khoán đầu tư hoặc tài sản sinh lãi khác.</t>
  </si>
  <si>
    <t>3. Nên chọn hộ kinh doanh hay doanh nghiệp?</t>
  </si>
  <si>
    <t>…áp nhân độc lập, doanh nghiệp dễ dàng tiếp cận các gói vay ngân hàng, thu hút vốn đầu tư, tham gia đấu thầu, ký k…</t>
  </si>
  <si>
    <t>…rong quy mô và hình thức huy động, doanh nghiệp có thể vay vốn ngân hàng, kêu gọi nhà đầu tư, mở chi nhánh, hợp t…</t>
  </si>
  <si>
    <t>Nhu cầu vay vốn, huy động đầu tư hoặc ký hợp đồng lớn:</t>
  </si>
  <si>
    <t>…nh, tư vấn tối ưu tiền nhàn rỗi, khuyến nghị phương án vay vốn</t>
  </si>
  <si>
    <t>6. Khám phá giải pháp quản lý thuế và dòng tiền từ Tec…</t>
  </si>
  <si>
    <t>2.1. Ưu điểm của ngân hàng xanh</t>
  </si>
  <si>
    <t>Các dịch vụ như thanh toán điện tử, vay tín dụng trực tuyến, và mở tài khoản số không chỉ nâng…</t>
  </si>
  <si>
    <t>3. Thiếu chuẩn bị về sổ sách kế toán và quản lý tài chí…</t>
  </si>
  <si>
    <t>Khó tiếp cận vốn vay và đối tác lớn:</t>
  </si>
  <si>
    <t>5. Vững nền tảng pháp lý, bứt tốc đà kinh doanh với giả…</t>
  </si>
  <si>
    <t>…mục đích cá nhân hoặc kinh doanh, hãy tìm hiểu thêm về vay ngân hàng để lựa chọn giải pháp phù hợp với nhu cầu củ…</t>
  </si>
  <si>
    <t>5. Thu tiền dễ, tính thuế gọn cùng bộ giải pháp từ Tech…</t>
  </si>
  <si>
    <t>5. Giải pháp tối ưu hóa vòng quay vốn cho doanh nghiệp</t>
  </si>
  <si>
    <t>…n của doanh nghiệp SME, Techcombank mang đến giải pháp vay vốn lưu động linh hoạt với nhiều ưu điểm vượt trội:</t>
  </si>
  <si>
    <t>1. Bảng so sánh 5 loại hình doanh nghiệp tại Việt Nam</t>
  </si>
  <si>
    <t>Không được phát hành cổ phiếu, chỉ huy động thông qua vốn góp hoặc vay</t>
  </si>
  <si>
    <t>… khi lựa chọn vay siêu tốc từ ngân hàng, các hình thức vay nhanh phổ biến và cách để vay nhanh online không cần chứng…</t>
  </si>
  <si>
    <t>2. 5 loại đòn bẩy tài chính</t>
  </si>
  <si>
    <t>Bạn vay tiền từ ngân hàng, tổ chức tài chính hoặc thậm chí từ người…</t>
  </si>
  <si>
    <t>4.1. Lừa đảo qua mạng xã hội</t>
  </si>
  <si>
    <t>Chiếm đoạt tài khoản để vay tiền, lừa đảo:</t>
  </si>
  <si>
    <t>“Sử dụng bảng lương để vay ngân hàng có được không?” l à một câu hỏi mà rất nhiều người thắc mắc.</t>
  </si>
  <si>
    <t>Khác với lầm tưởng của nhiều người, vay tiền trả góp không phải là một giải pháp vay độc lập m…</t>
  </si>
  <si>
    <t>Do đó, câu trả lời cho câu hỏi nên vay ngân hàng mua xe trả góp hay trả thẳng sẽ phụ thuộc và…</t>
  </si>
  <si>
    <t>Vay tín chấp là giải pháp tối ưu giúp doanh nghiệp tiếp cận nguồn vốn một cách linh hoạt và hiệu quả.</t>
  </si>
  <si>
    <t>…đáp ứng tiêu chí về nhà ở hoặc thu nhập sẽ được hỗ trợ vay mua nhà ở xã hội.</t>
  </si>
  <si>
    <t>Hiện nay, có nhiều ngân hàng đang cung cấp giải pháp cho vay thế chấp mua ô tô cũ cho những khách hàng có nhu cầu.</t>
  </si>
  <si>
    <t>Vay ngân hàng là một trong những giải pháp tài chính phổ biến để đáp ứng nhu cầu tiêu dùng, kinh doanh hoặc đầu tư.</t>
  </si>
  <si>
    <t>Hiểu được nhu cầu vay vốn kinh doanh cấp thiết này, các ngân hàng đã đưa ra …</t>
  </si>
  <si>
    <t>Vay tín chấp là hình thức vay vốn tiện lợi, giúp giải quyết nhanh chóng các nhu cầu chi tiêu và mua sắm cá nhân.</t>
  </si>
  <si>
    <t>Vay vốn ngân hàng trở thành một giải pháp hữu hiệu để các doanh nghiệp này tiếp cận và mở rộng sản xuất kinh doanh.</t>
  </si>
  <si>
    <t>Vay thế chấp sổ đỏ (hay vay thế chấp sổ hồng) là hình thức…</t>
  </si>
  <si>
    <t>… cách tính chi phí và những lưu ý quan trọng trước khi vay.</t>
  </si>
  <si>
    <t>…ợc không còn phụ thuộc vào giá trị bất động sản, tỷ lệ vay, thu nhập và các chi phí phát sinh.</t>
  </si>
  <si>
    <t>Trong quá trình vay vốn hay mở thẻ tín dụng, nhiều khách hàng quan tâm đến…</t>
  </si>
  <si>
    <t>Khi có ý định vay ngân hàng mua xe trả góp, bạn nên chú ý tới 3 yếu tố ả…</t>
  </si>
  <si>
    <t>Vay thấu chi có thể là lựa chọn phù hợp.</t>
  </si>
  <si>
    <t>Hiện nay, nhiều ngân hàng cung cấp giải pháp vay thấu chi cho khách hàng gửi tiết kiệm tại ngân hàng đó.</t>
  </si>
  <si>
    <t>Nắm rõ về lãi suất vay thế chấp và cách tính lãi của ngân hàng giúp khách hàn…</t>
  </si>
  <si>
    <t>Vay thế chấp kinh doanh là hình thức vay vốn mà doanh nghi…</t>
  </si>
  <si>
    <t>…ài viết này, chúng tôi sẽ giải đáp chi tiết về câu hỏi vay thế chấp tối đa được bao nhiêu cùng những lời khuyên h…</t>
  </si>
  <si>
    <t>Hạn mức vay thấu chi là gì và làm thế nào để được cấp hạn mức cao?</t>
  </si>
  <si>
    <t>Vay mua nhà trả góp chính là cầu nối giúp bạn hiện thực hóa giấc mơ ấy.</t>
  </si>
  <si>
    <t>Trong quá trình vay vốn hoặc sử dụng thẻ tín dụng, việc chậm thanh toán gố…</t>
  </si>
  <si>
    <t>Vay ngắn hạn là giải pháp giúp bạn tiếp cận vốn nhanh, quản lý dòng tiền linh hoạt và nắm bắt cơ hội kinh doanh kịp thờ…</t>
  </si>
  <si>
    <t>Doanh nghiệp nhỏ thường gặp khó khăn khi tiếp cận vay vốn ngân hàng do thiếu tài sản thế chấp, hiệu quả kinh…</t>
  </si>
  <si>
    <t>Bị xếp vào nợ nhóm 3 có thể gây ra nhiều khó khăn lớn cho khả năng vay vốn trong tương lai của bạn.</t>
  </si>
  <si>
    <t>Hạn mức vay thế chấp sổ đỏ được ngân hàng đưa ra cho người vay dựa…</t>
  </si>
  <si>
    <t>…, bạn càng dễ dàng tiếp cận các sản phẩm tài chính như vay vốn, mua nhà, mua xe với lãi suất ưu đãi.</t>
  </si>
  <si>
    <t>Việc vay thế chấp sẽ trở nên dễ dàng hơn khi khách hàng nắm rõ …</t>
  </si>
  <si>
    <t>1.2. Giá nhà biến động theo thời gian</t>
  </si>
  <si>
    <t>Giá có thể chững lại khi điều kiện vay vốn hạn chế, hoặc tăng mạnh nếu có chính sách khuyến khích đầu tư.</t>
  </si>
  <si>
    <t>Doanh nghiệp nên tìm hiểu rõ về lãi suất doanh nghiệp vay ngân hàng hiện nay để tối ưu hóa nguồn vốn, nâng cao h…</t>
  </si>
  <si>
    <t>1. Tất toán là gì?</t>
  </si>
  <si>
    <t>Tất toán hay tất toán khoản vay là thuật ngữ quen thuộc trong lĩnh vực tài chính - ngâ…</t>
  </si>
  <si>
    <t>Khi vay tiêu dùng, lãi suất luôn là một trong những tiêu chí hàng đầu được quan tâm khi người vay tiếp cận đến sản phẩm.</t>
  </si>
  <si>
    <t>Lịch sử tín dụng tốt là một trong những yếu tố quan trọng góp phần tăng cơ hội được ngân hàng phê duyệt khoản vay.</t>
  </si>
  <si>
    <t>Tuy nhiên, khó khăn trong việc vay vốn hộ kinh doanh thường trở thành rào cản của nhiều chủ hộ kinh doanh.</t>
  </si>
  <si>
    <t>…g bài viết dưới đây sẽ giúp các cá nhân đang có ý định vay thế chấp chủ động trong việc thanh toán khoản vay, đảm…</t>
  </si>
  <si>
    <t>Đối với hộ kinh doanh, lãi suất vay là yếu tố quan trọng ảnh hưởng đến chi phí vốn và hiệu quả hoạt động.</t>
  </si>
  <si>
    <t>Vay tín chấp là một trong những hình thức tín dụng tiêu dùng giúp người vay tiếp cận nguồn vốn nhanh mà không cần tài s…</t>
  </si>
  <si>
    <t>Doanh nghiệp mới thành lập thường gặp khó khăn về nguồn vốn do chưa có tài sản đảm bảo để vay ngân hàng.</t>
  </si>
  <si>
    <t>Hiện nay, khách hàng vay của tổ chức tín dụng có thể chọn 1 trong 3 cách thanh toán khoản vay phổ biến, đó là:</t>
  </si>
  <si>
    <t>Vay ngân hàng mua nhà giúp bạn sớm có tổ ấm riêng để an cư lạc nghiệp, không cần phải chờ đợi tích lũy trong thời gian…</t>
  </si>
  <si>
    <t>…g việc chuẩn bị đầy đủ hồ sơ và nắm vững những thủ tục vay ngân hàng mua nhà sẽ giúp rút ngắn thời gian xét duyệt…</t>
  </si>
  <si>
    <t>Vay thấu chi có thể là giải pháp tiện lợi và nhanh chóng cho bạn.</t>
  </si>
  <si>
    <t>Hiện nay nhiều ngân hàng cung cấp các giải pháp vay với hạn mức vay cao, lãi suất ưu đãi, thời hạn vay dài…</t>
  </si>
  <si>
    <t>… chứng nhận, nhiều khách hàng muốn dùng tài sản này để vay vốn ngân hàng cho các nhu cầu tài chính hợp pháp.</t>
  </si>
  <si>
    <t>Lãi suất thả nổi là một thuật ngữ phổ biến trong lĩnh vực tài chính, đặc biệt là khi vay vốn.</t>
  </si>
  <si>
    <t>Vay thấu chi là một trong những hình thức vay vốn khá phổ biến hiện nay.</t>
  </si>
  <si>
    <t>…i viết này sẽ trình bày chi tiết về giải pháp tín dụng vay bổ sung vốn lưu động là gì và những lưu ý quan trọng k…</t>
  </si>
  <si>
    <t>Vay tín chấp hộ kinh doanh là giải pháp tài chính phổ biến với hộ kinh doanh nhờ tính dễ tiếp cận và thủ tục đơn giản.</t>
  </si>
  <si>
    <t>Khi đăng ký vay hoặc mở thẻ tín dụng, nhiều khách hàng bất ngờ bị từ c…</t>
  </si>
  <si>
    <t>Nợ xấu là khoản vay quá hạn từ 90 ngày trở lên mà người đi vay không thể t…</t>
  </si>
  <si>
    <t>Hiện nay, vay mua chung cư có nhiều ưu điểm nổi bật như:</t>
  </si>
  <si>
    <t>Trả gốc và lãi đầy đủ, đúng hạn theo thỏa thuận là nghĩa vụ của bên vay trong các giao dịch vay thế chấp.</t>
  </si>
  <si>
    <t>Nguyên nhân là do khó khăn khi chuẩn bị giấy tờ hay các thủ tục vay vốn phức tạp.</t>
  </si>
  <si>
    <t>Khi có nhu cầu vay vốn, nhiều người thường nghĩ ngay đến việc làm hồ sơ vay cho từng lần.</t>
  </si>
  <si>
    <t>Tín dụng tiêu dùng là hình thức vay vốn từ các tổ chức tài chính giúp cá nhân đáp ứng nhu …</t>
  </si>
  <si>
    <t>Tuy nhiên, không phải ngân hàng nào cũng có thể đáp ứng toàn bộ khoản vay có giá trị lớn và thời gian dài.</t>
  </si>
  <si>
    <t>2.2. Theo nguồn hình thành vốn</t>
  </si>
  <si>
    <t>Vốn chủ sở hữu tạo nền tảng ổn định, giúp doanh nghiệp giảm sự phụ thuộc vào nguồn vay bên ngoài.</t>
  </si>
  <si>
    <t>Nhu cầu vay tiêu dùng của người Việt dự kiến tăng trưởng mạnh mẽ t…</t>
  </si>
  <si>
    <t>…trên chính phần mềm của MISA, tôi nhận thấy gói vay thấu chi không tài sản đảm bảo của Techcombank r…</t>
  </si>
  <si>
    <t>…nhuận gộp, lợi nhuận ròng, lợi nhuận trước thuế và lãi vay (EBIT), lợi tức là gì cùng công thức tính chuẩn xác, g…</t>
  </si>
  <si>
    <t>…c hiểu rõ các điều kiện để doanh nghiệp, hộ kinh doanh vay vốn ngân hàng là bước chuẩn bị vô cùng cần thiết.</t>
  </si>
  <si>
    <t>Câu trả lời cho câu hỏi “vay ngân hàng 1 tỷ VND mỗi tháng trả bao nhiêu?” không giống nhau đối với tất cả người vay.</t>
  </si>
  <si>
    <t>3. Hướng dẫn xóa nợ xấu tín dụng nhanh nhất</t>
  </si>
  <si>
    <t>Trả mọi khoản vay và đóng phí phạt.</t>
  </si>
  <si>
    <t>3.3. Rút tiền trực tiếp tại quầy giao dịch</t>
  </si>
  <si>
    <t>hoặc các giải pháp vay như vay thấu chi online , vay mua nhà, mua xe,...</t>
  </si>
  <si>
    <t>6.2. Chậm trả tiền có ảnh hưởng gì không?</t>
  </si>
  <si>
    <t>Nếu tình trạng quá hạn kéo dài, khách hàng có thể gặp khó khăn khi mở thẻ tín dụng, vay vốn hoặc mua trả góp trong tươn…</t>
  </si>
  <si>
    <t>1.2. Thẻ tín dụng là gì?</t>
  </si>
  <si>
    <t>…h hàng sử dụng hạn mức tín dụng (số tiền ngân hàng cho vay trước) để thanh toán các giao dịch mua sắm hoặc tiêu d…</t>
  </si>
  <si>
    <t>Giải pháp Vay mua ô tô đi lại của Techcombank đang là lựa chọn của rất nhiều khách hàng nhờ chính sách vay vượt trội nh…</t>
  </si>
  <si>
    <t>Ngân hàng sẽ xem xét lịch sử tín dụng của khách hàng gồm các khoản vay trước đó và hành vi thanh toán đúng hạn.</t>
  </si>
  <si>
    <t>3.1. Điều kiện</t>
  </si>
  <si>
    <t>…ẩm tài chính khác của ngân hàng, chẳng hạn như mua nhà vay ngân hàng , đều yêu cầu năng lực hành vi dân sự đầy đủ…</t>
  </si>
  <si>
    <t>3.5. Cẩn thận với các hình thức rút tiền từ thẻ tín dụ…</t>
  </si>
  <si>
    <t>…ế đăng ký làm thẻ tín dụng mới hoặc tham gia các khoản vay vốn khác tại ngân hàng (nếu cần).</t>
  </si>
  <si>
    <t>3. Rút tiền thẻ Visa có mất phí không?</t>
  </si>
  <si>
    <t>… chi tiêu lớn, khách hàng có thể cân nhắc các sản phẩm vay tiêu dùng với lộ trình trả nợ rõ ràng thay vì phụ thuộ…</t>
  </si>
  <si>
    <t>&gt;&gt;&gt; Tìm hiểu Vay thế chấp ô tô tại Techcombank có những lưu ý quan trọng gì?</t>
  </si>
  <si>
    <t>Đáp ứng các điều kiện vay theo quy định của pháp luật và sự chấp thuận của đối tác cung cấp tín dụng</t>
  </si>
  <si>
    <t>3.4. Làm thủ tục xóa thế chấp mất bao nhiêu ngày?</t>
  </si>
  <si>
    <t>Bạn có thể tham khảo các sản phẩm thẻ tín dụng, vay tín chấp và vay thế chấp tại Techcombank như dưới đây:</t>
  </si>
  <si>
    <t>5. Hướng dẫn thanh toán SPayLater hàng kỳ</t>
  </si>
  <si>
    <t>Kiểm tra kỹ các thông tin trên hóa đơn (số tiền, ngày đến hạn, khoản vay, phí lãi...) → Nhấn “Thanh toán ngay”.</t>
  </si>
  <si>
    <t>Khi cân nhắc chi tiêu hoặc vay thêm, khách hàng nên nắm rõ cách tính tiền lãi vay ngâ…</t>
  </si>
  <si>
    <t>Lãi suất là gì và có bao nhiêu loại lãi suất là những thông tin cơ bản bạn nên biết nếu gửi tiết kiệm hoặc vay vốn ngân…</t>
  </si>
  <si>
    <t>…dụng tốt, luôn thanh toán dư nợ đúng hạn cho các khoản vay ( vay tiêu dùng , vay thấu chi,...) .</t>
  </si>
  <si>
    <t>8. Câu hỏi thường gặp khi thanh toán trả góp qua thẻ t…</t>
  </si>
  <si>
    <t>Nếu khách hàng có nhu cầu về tài chính mở rộng, các giải pháp vay linh hoạt sẽ giúp đảm bảo chi tiêu an toàn.</t>
  </si>
  <si>
    <t>Khi so sánh các sản phẩm gửi tiết kiệm hay khoản vay, nhiều người chỉ nhìn vào con số lãi suất được công bố…</t>
  </si>
  <si>
    <t>3. 7 thông tin cần biết trước khi mở sổ tiết kiệm</t>
  </si>
  <si>
    <t>Cấp lại sổ, chuyển nhượng sổ, phong tỏa sổ khi cần vay vốn hoặc làm thủ tục ủy quyền cho người khác rút sổ tiết kiệm…</t>
  </si>
  <si>
    <t>Nợ xấu không chỉ ảnh hưởng đến khả năng vay vốn mà còn gây gián đoạn cho các kế hoạch tài chính cá nhân trong dài hạn.</t>
  </si>
  <si>
    <t>&gt;&gt;&gt; Nếu khách hàng quan tâm đến các khoản vay, việc tìm hiểu cách tính tiền lãi vay ngân hàng sẽ giú…</t>
  </si>
  <si>
    <t>8. Gửi tiền không kỳ hạn với nhiều ưu đãi tại Techcomb…</t>
  </si>
  <si>
    <t>…êm giải pháp bổ sung dòng tiền ngắn hạn, các hình thức vay tín chấp cũng có thể được cân nhắc song song với việc …</t>
  </si>
  <si>
    <t>2.3. Sử dụng thẻ Visa Credit Techcombank để trả góp</t>
  </si>
  <si>
    <t>…ầu tài chính lớn như mua xe, du lịch, hoặc thậm chí là vay xây nhà có thể được hỗ trợ gián tiếp thông qua các sản…</t>
  </si>
  <si>
    <t>…kiệm, nhiều khách hàng cũng quan tâm đến tính lãi suất vay ngân hàng theo tháng và tìm hiểu tất toán khoản vay là…</t>
  </si>
  <si>
    <t>…thẻ tín dụng, cũng như bị hạn chế đối với các sản phẩm vay tín chấp khác.</t>
  </si>
  <si>
    <t>3. Quá hạn thẻ tín dụng bao lâu thì bị nợ xấu?</t>
  </si>
  <si>
    <t>…hó khăn hơn khi đăng ký các sản phẩm tín dụng khác như vay tín chấp hoặc mở thêm thẻ tín dụng mới trong tương lai…</t>
  </si>
  <si>
    <t>1. 4 bất lợi khi nợ thẻ tín dụng quá hạn</t>
  </si>
  <si>
    <t>…ị khởi kiện, ảnh hưởng đến uy tín tín dụng và khả năng vay vốn trong tương lai nếu nợ tín dụng quá hạn.</t>
  </si>
  <si>
    <t>1. Nợ quá hạn là gì?</t>
  </si>
  <si>
    <t>Nợ quá hạn là khoản nợ mà bên vay không thanh toán đầy đủ và đúng hạn cả gốc và/hoặc lãi…</t>
  </si>
  <si>
    <t>4. Số tiền tham gia</t>
  </si>
  <si>
    <t>… những khách hàng cần nguồn vốn lớn hơn, các hình thức vay tiêu dùng có tài sản đảm bảo cũng là giải pháp hợp lý …</t>
  </si>
  <si>
    <t>&gt;&gt;&gt; Nếu bạn cân nhắc các lựa chọn khác như vay hoặc thấu chi có tài sản đảm bảo , việc so sánh lợi íc…</t>
  </si>
  <si>
    <t>&gt;&gt;&gt; Ngoài ra, khách hàng có thể tìm hiểu sản phẩm vay mua nhà tại Techcombank - Giải pháp tài chính toàn vẹn…</t>
  </si>
  <si>
    <t>…a chọn hơn, khách hàng nên tìm hiểu cách tính lãi suất vay ngân hàng theo tháng và tham khảo mức lãi suất tiết ki…</t>
  </si>
  <si>
    <t>3.2. Cách tính</t>
  </si>
  <si>
    <t>…u linh hoạt, khách hàng có thể tham khảo các giải pháp vay vốn tiêu dùng để nhanh chóng tiếp cận nguồn vốn cần th…</t>
  </si>
  <si>
    <t>Khách hàng vay tín chấp trong thẻ tín dụng Techcombank là 20 triệu.</t>
  </si>
  <si>
    <t>…uan tâm đến các dịch vụ tài chính khác có thể xem thêm vay tiêu dùng để cân nhắc các giải pháp tài chính linh hoạ…</t>
  </si>
  <si>
    <t>… hàng cũng có thể tham khảo thêm các nguồn kinh nghiệm vay thế chấp ngân hàng để hiểu rõ hơn về cách đánh giá lãi…</t>
  </si>
  <si>
    <t>2. Lợi ích khi lựa chọn gửi tiền có kỳ hạn</t>
  </si>
  <si>
    <t>…khoản dự trù tài chính để khách hàng tích lũy mua nhà, vay mua ô tô hoặc phòng khi cần tiền chữa bệnh, dưỡng lão …</t>
  </si>
  <si>
    <t>3. Hướng dẫn thanh toán dư nợ tín dụng nhanh chóng</t>
  </si>
  <si>
    <t>Việc kiểm soát chi tiêu đúng hạn cũng giúp khách hàng tránh rủi ro tài chính tương tự như khi vay thế chấp không trả đư…</t>
  </si>
  <si>
    <t>2.1. Gói vay kinh doanh online dành cho doanh nghiệp</t>
  </si>
  <si>
    <t>… hiểu nhu cầu của doanh nghiệp trong việc tiếp cận vốn vay nhanh chóng, thủ tục đơn giản, Techcombank chính thức ra mắ…</t>
  </si>
  <si>
    <t>3. Thủ tục vay 100 triệu nhanh, 24/24 trên Techcombank…</t>
  </si>
  <si>
    <t>Không cần giấy tờ thủ tục phức tạp, khách hàng chỉ cần thao tác trên Techcombank Mobile để vay nhanh 100 triệu:</t>
  </si>
  <si>
    <t>4. Gợi ý TOP 5 ngân hàng cho vay tín chấp theo lương l…</t>
  </si>
  <si>
    <t>…ng, Vay tín chấp cho khách hàng nhận lương qua VPBank, Vay nhanh tín chấp bằng khoản vay thế chấp, Vay tín chấp giáo v…</t>
  </si>
  <si>
    <t>2.2. Vay tín chấp</t>
  </si>
  <si>
    <t>Thủ tục vay nhanh gọn:</t>
  </si>
  <si>
    <t>Chọn vay nhanh trên Techcombank Mobile, khách hàng sẽ nhận được loạt lợi ích thiết thực như:</t>
  </si>
  <si>
    <t>4.3. Cách thức trả nợ trước hạn như thế nào?</t>
  </si>
  <si>
    <t>Vay nhanh lãi nhẹ, trả nợ trước hạn dễ dàng với Techcombank.</t>
  </si>
  <si>
    <t>1.2. Đặc điểm của vay không thế chấp</t>
  </si>
  <si>
    <t>Thời gian duyệt vay nhanh chóng:</t>
  </si>
  <si>
    <t>3. Thời gian dự kiến khi vay vốn ngân hàng cho mục đíc…</t>
  </si>
  <si>
    <t>Trong trường hợp hồ sơ hợp lệ, Techcombank sẽ giải ngân khoản vay nhanh chóng chỉ trong 2 giờ làm việc.</t>
  </si>
  <si>
    <t>Bên cạnh cơ hội được duyệt vay nhanh chóng, bạn còn có thể được ngân hàng cho vay với lãi s…</t>
  </si>
  <si>
    <t>Vay nhanh 40 triệu, nhận ngay trong 3 phút với Techcombank Mobile.</t>
  </si>
  <si>
    <t>Điều này sẽ giúp bạn tăng cơ hội tiếp cận khoản vay nhanh chóng, tiết kiệm được thời gian và công sức cho quá tr…</t>
  </si>
  <si>
    <t>Việc đáp ứng các điều kiện vay vốn ngân hàng và hoàn tất các bước đăng ký tín dụng giúp doanh nghiệp duyệt vay nhanh ch…</t>
  </si>
  <si>
    <t>Cần vay tiền mặt gấp nhưng không muốn thủ tục rườm rà?</t>
  </si>
  <si>
    <t>3. Thủ tục và quy trình cho vay tín chấp cá nhân</t>
  </si>
  <si>
    <t>…ức vay trả góp hiện nay cũng rất đa dạng, trong đó cho vay tiền góp là lựa chọn phù hợp với những khách hàng muốn chia…</t>
  </si>
  <si>
    <t>Vay tiền ngân hàng giúp bạn có thêm nguồn lực tài chính để dựng…</t>
  </si>
  <si>
    <t>…gribank, ACB, Vietcombank… cũng như cách tính lãi suất vay tiền ngân hàng trong bài viết dưới đây.</t>
  </si>
  <si>
    <t>…cạnh đó, không ít người cũng băn khoăn đang trả góp có vay tiền mặt được không hay đang mua trả góp có vay tiền mặt đư…</t>
  </si>
  <si>
    <t>Đừng lo lắng, bài viết này sẽ chia sẻ cho bạn cách vay tiền ngân hàng , giúp bạn nắm vững từng bước một trong quy …</t>
  </si>
  <si>
    <t>Vay tiền mua nhà là quyết định tài chính dài hạn, không chỉ phụ…</t>
  </si>
  <si>
    <t>2. Điều kiện vay thế chấp bằng hợp đồng mua bán căn hộ</t>
  </si>
  <si>
    <t>…heo Khoản 1 Điều 72 Nghị định 99/2015/NĐ-CP , nếu muốn vay tiền bằng hợp đồng mua chung cư, bạn cần thỏa mãn các điều …</t>
  </si>
  <si>
    <t>Vậy vay du học là gì và bạn cần lưu ý gì khi vay tiền để du học?</t>
  </si>
  <si>
    <t>2. Nên lựa chọn hình thức vay tín chấp hay vay thế chấ…</t>
  </si>
  <si>
    <t>Dành cho các cá nhân/hộ gia đình cần vay tiền cho nhu cầu sinh hoạt/tiêu dùng với một số tiền nhỏ trong thời gian ngắn.</t>
  </si>
  <si>
    <t>3. Hồ sơ vay 200 triệu VND không thế chấp tại Techcomb…</t>
  </si>
  <si>
    <t>Hồ sơ vay tiền vay 200 triệu VND không thế chấp của khách hàng sẽ gồm các giấy tờ sau:</t>
  </si>
  <si>
    <t>3. Hồ sơ vay 300 triệu VND không thế chấp tại Techcomb…</t>
  </si>
  <si>
    <t>Hồ sơ vay tiền vay 300 triệu VND không thế chấp của khách hàng sẽ gồm các giấy tờ sau:</t>
  </si>
  <si>
    <t>4. Ngân hàng Thương mại Cổ phần Tiên Phong - TPBank</t>
  </si>
  <si>
    <t>Vay tiêu dùng tín chấp, Vay thấu chi tín chấp, Vay tiền mặt tín chấp TPFico, Vay tiêu dùng dành cho người dùng Shopee...</t>
  </si>
  <si>
    <t>1. Khái niệm về tất toán khoản vay thế chấp</t>
  </si>
  <si>
    <t>Tất toán khoản vay là hành động chấm dứt giao dịch vay tiền giữa người đi vay và tổ chức cho vay, theo đó người va…</t>
  </si>
  <si>
    <t>Vay thế chấp sổ hồng hay vay tiền ngân hàng thế chấp sổ hồng là hình thức vay thế chấp v…</t>
  </si>
  <si>
    <t>3.2. Vay thấu chi thế chấp</t>
  </si>
  <si>
    <t>Vay thấu chi thế chấp là hình thức vay tiền có sử dụng tài sản bảo đảm có giá trị bao gồm:</t>
  </si>
  <si>
    <t>1.1. Đặc điểm vay tiêu dùng tín chấp</t>
  </si>
  <si>
    <t>Bạn không cần thế chấp bất kỳ tài sản nào như nhà đất, ô tô để vay tiền.</t>
  </si>
  <si>
    <t>…ng cân nhắc các khoản vay tiêu dùng lớn, chẳng hạn như vay tiền sửa nhà , vay mua xe hay đầu tư nâng cấp không gian số…</t>
  </si>
  <si>
    <t>…ơng kèm các giấy tờ cần thiết khác để hoàn tất thủ tục vay tiền sinh viên.</t>
  </si>
  <si>
    <t>1. Nợ xấu có vay tín chấp được không?</t>
  </si>
  <si>
    <t>…(phân loại theo nhóm) của người vay để thẩm định hồ sơ vay tiền.</t>
  </si>
  <si>
    <t>… bạn có nhu cầu tài chính linh hoạt hơn, việc tìm hiểu vay tiền trả góp cũng là một giải pháp đáng cân nhắc để đảm bảo…</t>
  </si>
  <si>
    <t>2.1. Vay thấu chi tín chấp</t>
  </si>
  <si>
    <t>Vay thấu chi tín chấp là hình thức vay tiền không cần tài sản đảm bảo.</t>
  </si>
  <si>
    <t>1. Điều kiện vay tín chấp cá nhân</t>
  </si>
  <si>
    <t>… chấp trả góp dành riêng cho các khách hàng có nhu cầu vay tiền nhanh qua Techcombank Mobile với nhiều lợi ích thiết t…</t>
  </si>
  <si>
    <t>…, người vay cần trả thêm một số khoản phí bắt buộc khi vay tiền khác ngoài tiền lãi và gốc cần trả định kỳ như phí địn…</t>
  </si>
  <si>
    <t>… đảm bảo quyền lợi của bạn trong quá trình thế chấp và vay tiền.</t>
  </si>
  <si>
    <t>3.1. Người làm tự do chứng minh thu nhập để vay ngân h…</t>
  </si>
  <si>
    <t>Tương tự, với các sản phẩm vay tiền tiêu dùng trả góp , khách hàng cũng cần cung cấp thông…</t>
  </si>
  <si>
    <t>…cá nhân đóng vai trò rất quan trọng, không chỉ khi bạn vay tiền mà còn ảnh hưởng đến nhiều quyết định tài chính khác.</t>
  </si>
  <si>
    <t>Bài viết dưới đây sẽ cung cấp thông tin về điều kiện vay tiền ngân hàng, cụ thể là vay vốn theo quy định trong Thông…</t>
  </si>
  <si>
    <t>Đây là hình thức vay tiền từ bên thứ ba (thường là tổ chức không chính thức) để …</t>
  </si>
  <si>
    <t>1. Khái niệm cho vay tiêu dùng</t>
  </si>
  <si>
    <t>Vay tiêu dùng là hình thức vay tiền tại ngân hàng hoặc công ty tài chính phục vụ cho các nhu cầu đời sống như:</t>
  </si>
  <si>
    <t>Để vay vốn thành công, doanh nghiệp cần tìm hiểu kỹ vay tiền cần giấy tờ gì và nắm rõ các lưu ý trong quá trình làm…</t>
  </si>
  <si>
    <t>Dưới đây là cách vay tiền online nhanh trên Techcombank Mobile :</t>
  </si>
  <si>
    <t>… toán tiết kiệm, nhiều người có thể cân nhắc hình thức vay tiền trả góp để không phải rút khoản tiết kiệm trước hạn và…</t>
  </si>
  <si>
    <t>1. Dư nợ là gì?</t>
  </si>
  <si>
    <t>Nói một cách đơn giản, khi bạn vay tiền hoặc sử dụng thẻ tín dụng, bạn sẽ tạo ra một khoản nợ.</t>
  </si>
  <si>
    <t>… vì tất toán trước hạn, nhiều khách hàng cũng lựa chọn vay tiền tiêu dùng để duy trì mức sinh lời của khoản tiết kiệm …</t>
  </si>
  <si>
    <t>…ng sổ tiết kiệm ngoại tệ đang hưởng lãi suất 0%/năm để vay tiền VND với lãi suất thấp, giúp dễ dàng quay vòng dòng tiề…</t>
  </si>
  <si>
    <t>…, ngân hàng đã và đang nỗ lực cung cấp nhiều giải pháp vay để hỗ trợ nhiều người mua được nhà, điển hình như Tech…</t>
  </si>
  <si>
    <t>Bảo lãnh vay vốn giúp doanh nghiệp tiếp cận các khoản vay nhanh chóng, dễ dàng hơn.</t>
  </si>
  <si>
    <t>4. Các ưu đãi/hỗ trợ của Techcombank khi cho người vay…</t>
  </si>
  <si>
    <t>Trên đây là thông tin về mức lãi suất vay tín chấp tại các ngân hàng hiện nay.</t>
  </si>
  <si>
    <t>…tài chính hiệu quả, chủ thẻ chính nên nắm rõ cách tính lãi suất vay ngân hàng theo tháng và áp dụng nguyên tắc tương t…</t>
  </si>
  <si>
    <t>… được số tiền dự kiến cần trả hàng tháng với cách tính lãi suất vay ngân hàng theo năm phù hợp.</t>
  </si>
  <si>
    <t>Việc hiểu rõ cách tính lãi suất vay ngân hàng sẽ giúp bạn chủ động hơn trong việc quản lý tài chính,…</t>
  </si>
  <si>
    <t>3. Phương thức giải ngân vốn vay thế chấp</t>
  </si>
  <si>
    <t>Khi hoàn thiện đầy đủ các hồ sơ theo yêu cầu và ký hợp đồng vay với ngân hàng, khách hàng mở tài khoản thanh toán tại n…</t>
  </si>
  <si>
    <t>1. Vay hạn mức là gì?</t>
  </si>
  <si>
    <t>Lãi thường phát sinh trên số tiền thực tế đã sử dụng và thời gian sử dụng thực tế, tùy theo sản phẩm, phương thức trả n…</t>
  </si>
  <si>
    <t>Theo Trung tâm Thông tin Tín dụng Quốc gia Việt Nam (CIC) , lịch sử tín dụng là một trong những căn cứ quan trọng để ng…</t>
  </si>
  <si>
    <t>Khi vay thế chấp ngân hàng, người vay cần trả thêm một số khoản phí bắt buộc khi vay tiền khác ngoài tiền lãi và gốc cầ…</t>
  </si>
  <si>
    <t>1.2. Vay thế chấp</t>
  </si>
  <si>
    <t>Do có tài sản đảm bảo, các ngân hàng thường áp dụng mức lãi suất thấp hơn, giúp doanh nghiệp tiết kiệm chi phí vay.</t>
  </si>
  <si>
    <t>1. Lãi suất thả nổi là gì?</t>
  </si>
  <si>
    <t>Một khách hàng vay 100,000,000 VND với lãi suất thả nổi 10%/năm.</t>
  </si>
  <si>
    <t>5. Vay 200 triệu trong 3 năm lãi suất bao nhiêu?</t>
  </si>
  <si>
    <t>Khách hàng vay 200 triệu trong 3 năm với mức lãi suất dự kiến là 12.9%/năm, ngày giải ngân là ngày 11/11/2025.</t>
  </si>
  <si>
    <t>Ngoài ra đừng quên theo dõi thường xuyên các chương trình khuyến mãi, ưu đãi của ngân hàng để có cơ hội nhận được những…</t>
  </si>
  <si>
    <t>3. Hạn mức và lãi suất vay tín chấp hộ kinh doanh hiện…</t>
  </si>
  <si>
    <t>Hạn mức và lãi suất vay thường khác nhau tùy vào ngân hàng cho vay cũng như nhu cầu và tình hình tài chính của từng hộ…</t>
  </si>
  <si>
    <t>Nhóm quyền lợi này thường bao gồm các giải pháp vay vốn với lãi suất ưu đãi, thời hạn vay linh hoạt và quy trình phê duyệt hồ s…</t>
  </si>
  <si>
    <t>2. 5 lợi ích vượt trội khi sở hữu đặc quyền khách hàng…</t>
  </si>
  <si>
    <t>Nhờ cơ chế lãi suất huy động được cộng thêm biên độ và lãi suất cho vay ưu đãi sâu, dòng tiền của khách hàng VIP luôn được vận …</t>
  </si>
  <si>
    <t>3. Lưu ý khi liên kết số điện thoại với tài khoản ngân…</t>
  </si>
  <si>
    <t>Khi đó, khách hàng cũng dễ dàng hơn trong việc tiếp cận các sản phẩm tín dụng lớn như vay mua nhà với thủ tục đơn giản và lãi s…</t>
  </si>
  <si>
    <t>Giải pháp này giúp khách hàng tối ưu hóa nguồn vốn, vừa có thể vay để đáp ứng các nhu cầu tài chính, vừa hưởng lãi suất từ số t…</t>
  </si>
  <si>
    <t>4. Hoạch định vốn và tìm kiếm hỗ trợ tài chính hiệu quả</t>
  </si>
  <si>
    <t>Vay vốn nhanh chóng với danh mục hồ sơ cần cung cấp đơn giản, giải ngân online dễ dàng, hạn mức tốt với lãi suất ưu đãi.</t>
  </si>
  <si>
    <t>Đây cũng là lý do nhiều khách hàng chủ động tìm hiểu thêm về lãi suất vay tiêu dùng để có kế hoạch tài chính phù hợp và tránh p…</t>
  </si>
  <si>
    <t>Lãi suất vay tín chấp theo lương hiện nay khá linh hoạt, dao động trong khoảng 12.9% - 18%/năm (*).</t>
  </si>
  <si>
    <t>1.3. Lãi suất và hạn mức vay tiêu dùng tín chấp</t>
  </si>
  <si>
    <t>Lãi suất vay tín chấp hiện nay đang dao động từ 7% - 21%/năm (*).</t>
  </si>
  <si>
    <t>2. Lưu ý khác cần quan tâm khi vay thấu chi</t>
  </si>
  <si>
    <t>Hiện nay, lãi suất vay thấu chi không có tài sản đảm bảo dao động từ 12.9% - 18%/năm, lãi suất vay thấu chi có tài sản…</t>
  </si>
  <si>
    <t>&gt;&gt;&gt; Khách hàng có thể cập nhật mức lãi suất hiện hành trong bài Lãi suất tiết kiệm của 30+ ngân hàng hôm nay .</t>
  </si>
  <si>
    <t>&gt;&gt;&gt; Tham khảo thêm Lãi suất gửi tiết kiệm của 30+ ngân hàng hôm nay</t>
  </si>
  <si>
    <t>2. Lập kế hoạch và tiết kiệm tiền mua nhà</t>
  </si>
  <si>
    <t>Hiện nay, các ngân hàng đang áp dụng cách tính lãi vay mua nhà theo dư nợ giảm dần hoặc niêm kim.</t>
  </si>
  <si>
    <t>3. Các hình thức vay sản xuất kinh doanh</t>
  </si>
  <si>
    <t>Hiện nay Techcombank đang triển khai đa dạng các hình thức vay vốn ngân hàng cho doanh nghiệp/hộ kinh doanh với rất nhi…</t>
  </si>
  <si>
    <t>Hiện nay, ngân hàng Techcombank đang cung cấp nhiều giải pháp vay thế chấp giúp giải quyết nhu cầu tài chính của khách…</t>
  </si>
  <si>
    <t>2. 3 hình thức chứng minh thu nhập được chấp nhận khi…</t>
  </si>
  <si>
    <t>Hiện nay, khách hàng vay thế chấp có thể chứng minh thu nhập thông qua các cách như sau:</t>
  </si>
  <si>
    <t>2. Sổ đỏ có vay ngân hàng được không? Điều kiện là gì?</t>
  </si>
  <si>
    <t>Ngân hàng sẽ xem xét tình trạng nợ hiện tại, lịch sử trả nợ, dư nợ thẻ tín dụng và các khoản vay khác nếu có</t>
  </si>
  <si>
    <t>Nhiều app ngân hàng hiện nay cung cấp các dịch vụ tài chính đa dạng như chứng khoán, gửi tiết kiệm online và các dịch vụ vay vốn.</t>
  </si>
  <si>
    <t>Toàn bộ quy trình giải ngân, thu nợ gốc và lãi sẽ được thực hiện tập trung thông qua ngân hàng đầu mối thu xếp, giúp tiết kiệm …</t>
  </si>
  <si>
    <t>Hiện nay, ngân hàng Techcombank đã hợp tác cùng MISA cho ra mắt 2 sản phẩm vay vốn dành riêng cho các doanh nghiệp đang sử dụng…</t>
  </si>
  <si>
    <t>2.2. Tính theo thấu chi</t>
  </si>
  <si>
    <t>Với hình thức vay thấu chi, lãi suất chỉ tính trên số tiền thực tế đã sử dụng và …</t>
  </si>
  <si>
    <t>Đây là giải pháp vay thấu chi với quy trình đăng ký nhanh chóng qua Techcombank Mobi…</t>
  </si>
  <si>
    <t>5. Cần lưu ý gì khi vay thêm nếu đang vay trả góp?</t>
  </si>
  <si>
    <t>Nhiều khách hàng cũng quan tâm đến việc vay thấu chi có chuyển khoản được không , đặc biệt khi cần sử dụng …</t>
  </si>
  <si>
    <t>Dưới đây là bảng phân biệt vay hạn mức, vay thấu chi và vay từng lần dựa trên cách giải ngân, phạm vi sử dụ…</t>
  </si>
  <si>
    <t>Bên cạnh đó, vay thấu chi với hạn mức dự phòng không cần tài sản đảm bảo, đáp ứng nhu cầu tiêu dùng khi cần thiết của k…</t>
  </si>
  <si>
    <t>6. Làm sao để hết nợ chú ý?</t>
  </si>
  <si>
    <t>Vay thấu chi thế chấp bằng tài sản đảm bảo</t>
  </si>
  <si>
    <t>Vay thấu chi có tài sản đảm bảo tại Techcombank</t>
  </si>
  <si>
    <t>Gói vay thấu chi online không tài sản đảm bảo với hạn mức tới 3 tỷ và g…</t>
  </si>
  <si>
    <t>Thông tin về vay thấu chi có chuyển khoản được không sẽ giúp người vay nắm rõ cá…</t>
  </si>
  <si>
    <t>…dụng có mức lãi suất linh hoạt, chẳng hạn như lãi suất vay thấu chi , để tối ưu dòng tiền trong ngắn hạn.</t>
  </si>
  <si>
    <t>2. Cách khóa tài khoản ngân hàng bằng việc yêu cầu khoá…</t>
  </si>
  <si>
    <t>… trình quản lý tài khoản cũng quan tâm đến việc trả nợ vay thấu chi như thế nào , đặc biệt khi cần đảm bảo dòng tiền và tr…</t>
  </si>
  <si>
    <t>3. Lời khuyên khi gửi thêm tiền vào sổ tiết kiệm hoặc t…</t>
  </si>
  <si>
    <t>…ngân hàng cũng là cơ sở quan trọng để bạn tiếp cận gói vay thấu chi có tài sản đảm bảo khi cần nguồn vốn nóng mà không muố…</t>
  </si>
  <si>
    <t>…dàng tiếp cận các sản phẩm tài chính hiện đại khác như vay thấu chi online ngay trên ứng dụng mà không cần bổ sung giấy tờ…</t>
  </si>
  <si>
    <t>…ức tín chấp cho tất cả thành viên, với ưu đãi lãi suất vay thấu chi MyCash, vay trả góp không thế chấp, mở thẻ tín dụng Te…</t>
  </si>
  <si>
    <t>5.3. Thanh toán xanh</t>
  </si>
  <si>
    <t>…hoạt để duy trì hoạt động kinh doanh, việc tìm hiểu về vay thấu chi có tài sản đảm bảo có thể là giải pháp tài chính hiệu …</t>
  </si>
  <si>
    <t>1.2. Các hình thức vay nhanh phổ biến</t>
  </si>
  <si>
    <t>Vì vậy, trong nhiều trường hợp, vay thấu chi được xem như một cách vay siêu tốc tiện lợi.</t>
  </si>
  <si>
    <t>…g tài sản đảm bảo), vay thế chấp (có tài sản đảm bảo), vay thấu chi (chi vượt số dư) và tái tài trợ (chuyển nợ để tối…</t>
  </si>
  <si>
    <t>Hiện nay có 3 hình thức vay sản xuất kinh doanh phổ biến là vay thế chấp, vay tín chấp và vay thấu chi.</t>
  </si>
  <si>
    <t>1. Giới thiệu về giải pháp vay tín chấp cho doanh nghi…</t>
  </si>
  <si>
    <t>…g cung cấp các gói vay tín chấp cấp trước hạn mức hoặc vay thấu chi tín chấp giúp doanh nghiệp có thể sử dụng để dự ph…</t>
  </si>
  <si>
    <t>So với vay tín chấp hay vay thấu chi, vay thế chấp sổ đỏ thường được các ngân hàng hỗ trợ mức lãi suất vay hấp dẫn hơn.</t>
  </si>
  <si>
    <t>Đáp ứng nhu cầu vay tiêu dùng của khách hàng, vay thấu chi với hàng loạt lợi ích vượt trội cùng thủ tục đơn giản,…</t>
  </si>
  <si>
    <t>Đây là sản phẩm vay thấu chi không có tài sản đảm bảo do Techcombank cung cấp với h…</t>
  </si>
  <si>
    <t>Lãi suất từ 8.7% đến 8.9%/năm, TPBank cung cấp các gói vay tín chấp tiêu dùng và vay thấu chi với hạn mức tối đa 300 tr…</t>
  </si>
  <si>
    <t>…chính linh hoạt khác, Techcombank còn cung cấp dịch vụ vay thấu chi online để hỗ trợ nhu cầu vốn ngắn hạn của bạn một…</t>
  </si>
  <si>
    <t>…c gói vay tín chấp đa dạng như Vay tiêu dùng tín chấp, Vay thấu chi tín chấp, Vay tiền mặt TPFico và nhiều ưu đãi hấp…</t>
  </si>
  <si>
    <t>1.2. Vay thấu chi</t>
  </si>
  <si>
    <t>Vay thấu chi là hình thức vay tín dụng cho phép bạn sử dụng số tiền vượt quá số dư tài khoản trong hạn mức được duyệt.</t>
  </si>
  <si>
    <t>Vay hạn mức thấu chi thế chấp bằng tài sản đảm bảo</t>
  </si>
  <si>
    <t>5. Bật mí giải pháp ứng tiền MyCash hạn mức đến 100 tr…</t>
  </si>
  <si>
    <t>Thấu chi MyCash là một hình thức cấp hạn mức chi tiêu vượt số dư tài khoản thanh toán, giúp khách hàng có thể chi tiêu…</t>
  </si>
  <si>
    <t>2. Kiểm tra nợ xấu trên ứng dụng CIC Credit Connect</t>
  </si>
  <si>
    <t>Vay hạn mức thấu chi không tài sản bảo đảm</t>
  </si>
  <si>
    <t>2.4. Hồ sơ và quy trình vay tiêu dùng thế chấp</t>
  </si>
  <si>
    <t>Tài khoản thấu chi MyCash, Vay tiêu dùng tín chấp trả góp , Vay tiêu dùng có tài sản bảo đảm , Vay cầm cố tiền gửi , Va…</t>
  </si>
  <si>
    <t>4. Cách xử lý nợ nhóm 2 hiệu quả nhất</t>
  </si>
  <si>
    <t>2. 5 hình thức cho vay ngắn hạn phổ biến</t>
  </si>
  <si>
    <t>Vay theo hạn mức thấu chi trên tài khoản thanh toán:</t>
  </si>
  <si>
    <t>Với tình năng này, Techcombank Mobile sẽ thấu hiểu và ghi nhớ mọi thói quen chi tiêu của bạn, nhắc nhở bạn khi có khoản thanh t…</t>
  </si>
  <si>
    <t>https://techcombank.com/thong-tin/blog/bao-hiem-phi-nhan-tho-la-gi</t>
  </si>
  <si>
    <t>5. Khám phá giải pháp bảo hiểm phi nhân thọ Techcombank</t>
  </si>
  <si>
    <t>Giải pháp bảo vệ tài khoản thanh toán, tài khoản thấu chi, tài khoản tiền gửi có kỳ hạn online trước gian lận chuyển khoản</t>
  </si>
  <si>
    <t>Bảo vệ toàn bộ tiền trong các tài khoản thanh toán, tài khoản Thấu chi và Tiết kiệm online của bạn.</t>
  </si>
  <si>
    <t>Tính năng ứng dụng AI để thấu hiểu và ghi nhớ mọi thói quen chi tiêu của khách hàng để kịp thời nhắc nhở khi có khoản thanh toá…</t>
  </si>
  <si>
    <t>3. Hướng dẫn đóng tiền điện online qua Mobile Banking</t>
  </si>
  <si>
    <t>Khách hàng có thể chủ động lựa chọn nguồn tiền thanh toán từ tài khoản thanh toán, tài khoản thấu chi MyCash hoặc thẻ tín dụng.</t>
  </si>
  <si>
    <t>Với các sản phẩm tín dụng, người dùng cũng có thể tìm hiểu cách tính lãi thấu chi để chủ động hơn khi quản lý chi phí tài chính…</t>
  </si>
  <si>
    <t>3. Quản lý tài chính hiệu quả với các tính năng ưu việt…</t>
  </si>
  <si>
    <t>4. Phát triển sản phẩm và dịch vụ mới</t>
  </si>
  <si>
    <t>Với tính năng này, Techcombank Mobile sẽ thấu hiểu và ghi nhớ mọi thói quen chi tiêu, đưa ra lời khuyên hữu ích về tiết kiệm, đ…</t>
  </si>
  <si>
    <t>Ứng vốn linh hoạt, không cần tài sản đảm bảo với tài khoản thấu chi ShopCash</t>
  </si>
  <si>
    <t>3.1. Nhiệm vụ đặc biệt (thực hiện 1 lần)</t>
  </si>
  <si>
    <t>Mở Thấu chi MyCash và chi tiêu từ 100,000 VND</t>
  </si>
  <si>
    <t>1. Điều kiện, hồ sơ, thủ tục mua xe ô tô trả góp</t>
  </si>
  <si>
    <t>Chuyên viên tư vấn chuyên nghiệp, hỗ trợ nhiệt tình trong suốt thời gian vay, hotline hỗ trợ 24/7, giao dịch tại hơn 30…</t>
  </si>
  <si>
    <t>1. Lập kế hoạch tài chính rõ ràng</t>
  </si>
  <si>
    <t>Vay mua nhà là khoản vay dài hạn, nếu không tính toán kỹ từ đầu, người vay có thể gặp áp lực trả nợ khi lãi suất thay đ…</t>
  </si>
  <si>
    <t>1. Bản chất của cam kết tín dụng là gì?</t>
  </si>
  <si>
    <t>Cam kết tín dụng là văn bản do ngân hàng hoặc tổ chức tín dụng phát hành, thể hiện sự chấp thuận bằng văn bản về việc sẽ cấp mộ…</t>
  </si>
  <si>
    <t>Tài khoản thấu chi MyCash , Vay tiêu dùng tín chấp trả góp , Vay mua nhà,...</t>
  </si>
  <si>
    <t>Techcombank Business phù hợp với doanh nghiệp nhỏ và vừa cần một tài khoản riêng biệt để quản lý dòng tiền kinh doanh, đồng thờ…</t>
  </si>
  <si>
    <t>Khách hàng có 2 cách kiểm tra nợ xấu trên hệ thống tín dụng CIC, đó là kiểm tra thông qua t…</t>
  </si>
  <si>
    <t>Trên màn hình chính của ứng dụng, chọn mục "Tra cứu nợ xấu".</t>
  </si>
  <si>
    <t>3. Cách kiểm tra nợ xấu bằng CCCD</t>
  </si>
  <si>
    <t>Bạn có thể kiểm tra nợ xấu chỉ với CCCD thông qua Trung tâm Thông tin Tín dụng Quốc gia Việt Nam (CIC) .</t>
  </si>
  <si>
    <t>3. 3 Cách kiểm tra nợ xấu bằng CCCD nhanh, đơn giản 20…</t>
  </si>
  <si>
    <t>… dụng cá nhân, theo dõi lịch sử vay vốn và đặc biệt là tra cứu nợ xấu để biết tình trạng tín dụng của mình đang ở mức…</t>
  </si>
  <si>
    <t>3. Thanh toán trả góp tại quầy giao dịch ngân hàng</t>
  </si>
  <si>
    <t>Ngoài ra, nếu cần kiểm tra lại số tiền thanh toán trả góp dư nợ trong tháng, bạn có thể tính toán theo công thức dưới đ…</t>
  </si>
  <si>
    <t>Kiểm tra lại khoản nợ:</t>
  </si>
  <si>
    <t>4. Kinh nghiệm lựa chọn phương án trả góp học phí phù…</t>
  </si>
  <si>
    <t>Đồng thời, nên chủ động kiểm tra dư nợ và số tiền cần thanh toán trên Techcombank Mobile để cân đối dòng tiền, tránh ph…</t>
  </si>
  <si>
    <t>3. 4 bước lập kế hoạch quản lý tài chính cá nhân</t>
  </si>
  <si>
    <t>Bao gồm việc kiểm tra thu nhập hàng tháng, các khoản nợ, và các khoản tiết kiệm.</t>
  </si>
  <si>
    <t>Bên cạnh đó, chủ cửa hàng nên thường xuyên tự quét mã QR để kiểm tra thông tin nhằm phòng tránh rủi ro bị kẻ xấu dán đè mã khác.</t>
  </si>
  <si>
    <t>1.5. Tra cứu số dư/in sao kê</t>
  </si>
  <si>
    <t>Để tra cứu số dư thẻ ghi nợ hoặc in sao kê 5 giao dịch gần nhất, khách hàng có thể tìm đến cây ATM gần nhất để thực hiệ…</t>
  </si>
  <si>
    <t>Ngoài điều kiện cơ bản về thủ tục cho vay hạn mức cá nhân, để vay tín chấp với hạn mức cao, bạn nên đảm bảo một số yếu…</t>
  </si>
  <si>
    <t>3. Các chi phí phát sinh khác khi vay tín chấp</t>
  </si>
  <si>
    <t>Bạn nên tìm hiểu kỹ lưỡng lãi suất và khoản phí phát sinh khi vay tín chấp.</t>
  </si>
  <si>
    <t>Nên mua bảo hiểm sức khỏe nào và mua bảo hiểm sức khỏe ở đâu thì uy tín nhất?</t>
  </si>
  <si>
    <t>Bài viết dưới đây sẽ hướng dẫn chi tiết cách mua chứng chỉ quỹ và đưa ra gợi ý nên mua chứng chỉ quỹ ở đâu để đảm bảo u…</t>
  </si>
  <si>
    <t>3.2. Mở thẻ tín dụng trực tiếp tại phòng giao dịch</t>
  </si>
  <si>
    <t>Ở góc độ tài chính dài hạn, khách hàng cũng có thể tham khảo thêm việc có nên vay ngân hàng mua nhà để đưa ra các kế ho…</t>
  </si>
  <si>
    <t>1. Chỉ cần CCCD chưa thể đảm bảo vay ngân hàng thành c…</t>
  </si>
  <si>
    <t>Đối với các giải pháp vay tín chấp của ngân hàng, khách hàng cần có hợp đồng lao động ở đơn vị đang công tác và sao kê…</t>
  </si>
  <si>
    <t>Như vậy, bài viết đã giải đáp thắc mắc làm thẻ Visa ở đâu , đồng thời gợi ý nên mở thẻ Visa ngân hàng nào dựa trên các…</t>
  </si>
  <si>
    <t>3.2. Có thể vay ngân hàng không chứng minh thu nhập đư…</t>
  </si>
  <si>
    <t>Trong trường hợp khách hàng muốn vay vốn ngân hàng không yêu cầu chứng minh thu nhập thì có thể xem xét giải pháp vay t…</t>
  </si>
  <si>
    <t>Nên mở thẻ tín dụng hạn mức cao, an toàn, nhiều ưu đãi ở đâu?</t>
  </si>
  <si>
    <t>Doanh nghiệp có thể vay vốn ngân hàng với nhiều hình thức khác nhau ở nhiều tài khoản như vay tín chấp, vay thấu chi, v…</t>
  </si>
  <si>
    <t>Nên tìm hiểu kỹ các hình thức tín dụng tiêu dùng khác như thẻ tín dụng, vay tiêu dùng tín chấp, vay tiêu dùng thế chấp,…</t>
  </si>
  <si>
    <t>4.2. Thiết kế đặc quyền theo từng hạng hội viên</t>
  </si>
  <si>
    <t>Giảm 1%/năm lãi suất vay tín chấp tiêu dùng khi đăng ký mới vào ngày Inspire Day</t>
  </si>
  <si>
    <t>2. Lịch sử tín dụng có các thông tin gì?</t>
  </si>
  <si>
    <t>Ghi nhận chi tiết các khoản vay tín chấp, vay thế chấp, vay trả góp bạn đã từng có, bao gồm số tiền vay, mục đích vay và tên tổ…</t>
  </si>
  <si>
    <t>Thông thường, loại thẻ này sẽ được ngân hàng phát hành khi khách hàng mở tài khoản thanh toán hoặc nhận giải ngân khoản vay tín…</t>
  </si>
  <si>
    <t>1. Một người có thể làm bao nhiêu thẻ ATM tại 1 ngân hà…</t>
  </si>
  <si>
    <t>Việc duy trì giao dịch thường xuyên qua thẻ cũng giúp khách hàng xây dựng điểm tín dụng tốt, từ đó dễ dàng tiếp cận các khoản v…</t>
  </si>
  <si>
    <t>4.2. T-Shop - Phần mềm bán hàng, xuất hóa đơn ngay trên…</t>
  </si>
  <si>
    <t>Cung cấp các gói vay (ShopCredit, ShopCash, Vay tín chấp trả góp) dựa trên dòng tiền thực tế</t>
  </si>
  <si>
    <t>4. Bước 4: Xác thực giao dịch và kiểm tra trạng thái gi…</t>
  </si>
  <si>
    <t>Tuy nhiên, đối với các vấn đề tín dụng phức tạp hơn, chẳng hạn như vay tín chấp nợ xấu , khách hàng cần tuân thủ các quy định n…</t>
  </si>
  <si>
    <t>2. 3 lưu ý cần biết để giao dịch chứng chỉ tiền gửi an…</t>
  </si>
  <si>
    <t>Ngoài ra, ứng dụng cũng hỗ trợ người dùng tra cứu nhanh các thông tin tài chính quan trọng khác, ví dụ như vay tín chấp lãi suấ…</t>
  </si>
  <si>
    <t>https://techcombank.com/thong-tin/blog/gio-lam-viec-techcombank</t>
  </si>
  <si>
    <t>Techcombank Mobile sẵn sàng phục vụ khách hàng cá nhân và hộ kinh doanh cho các giao dịch chuyển khoản, thanh toán hóa đơn, gửi…</t>
  </si>
  <si>
    <t>1.4. Bước 4: Xây dựng nền tảng tài chính an toàn</t>
  </si>
  <si>
    <t>Tập trung xử lý các khoản " nợ xấu " – là các khoản nợ tiêu dùng có lãi suất cao như thẻ tín dụng, vay tín chấp.</t>
  </si>
  <si>
    <t>&gt;&gt;&gt; Cho vay tín chấp là gì ?</t>
  </si>
  <si>
    <t>1. Phần mềm xuất hoá đơn điện tử ứng dụng quản lý bán h…</t>
  </si>
  <si>
    <t>Doanh nghiệp trẻ có thể tiếp cận nhiều giải pháp vay vốn bao gồm cả vay tín chấp.</t>
  </si>
  <si>
    <t>Tìm hiểu các thủ tục vay tín chấp theo lương cho nhân viên văn phòng</t>
  </si>
  <si>
    <t>6. Khám phá trọn bộ công cụ quản lý kinh doanh dành cho…</t>
  </si>
  <si>
    <t>Vay tín chấp trả góp :</t>
  </si>
  <si>
    <t>2.3. Thanh toán bằng dịch vụ Internet Banking</t>
  </si>
  <si>
    <t>Dịch vụ này không chỉ giúp người dùng thanh toán trực tuyến mà còn hỗ trợ các chức năng khác như chuyển khoản, thanh toán hóa đ…</t>
  </si>
  <si>
    <t>Hồ sơ nợ xấu này có thể khiến khách hàng gặp khó khăn hơn khi đăng ký các sản phẩm tín dụng khác như vay tín chấp hoặc mở thêm …</t>
  </si>
  <si>
    <t>2.2. Số tiền thanh toán</t>
  </si>
  <si>
    <t>Tìm hiểu thêm về tín chấp tiêu dùng nếu bạn đang quan tâm tới hình thức vay tín chấp tiêu dùng không cần tài sản đảm bảo, phê d…</t>
  </si>
  <si>
    <t>Vì vậy, nhiều người thắc mắc nợ xấu bao lâu thì xóa, liệu nợ xấu không trả bao lâu được xó…</t>
  </si>
  <si>
    <t>2.1. Lưu ý ngày đến hạn để tránh phát sinh lãi và phí…</t>
  </si>
  <si>
    <t>… ra, chủ thẻ có thể sẽ bị đưa vào danh sách nợ quá hạn/nợ xấu, gây khó khăn trong việc mở thẻ tín dụng khác hoặc vay…</t>
  </si>
  <si>
    <t>…uá hạn tín dụng có thể dẫn đến các bất lợi cho bạn như nợ xấu hay khởi kiện, giải đáp khắc phục ra sao sẽ được phân …</t>
  </si>
  <si>
    <t>4.4. Nợ xấu có làm thẻ tín dụng được không?</t>
  </si>
  <si>
    <t>…àng tại từng thời kỳ, tuy nhiên nếu khách hàng đang có nợ xấu thường sẽ không được cấp thẻ tín dụng.</t>
  </si>
  <si>
    <t>4. Cần kết hợp NIM với những chỉ số nào khi đánh giá n…</t>
  </si>
  <si>
    <t>Tỷ lệ nợ xấu và chi phí dự phòng:</t>
  </si>
  <si>
    <t>4. 4 câu hỏi thường gặp khi đăng ký thẻ Visa</t>
  </si>
  <si>
    <t>Khách hàng bị nợ xấu vẫn có thể làm thẻ Visa Debit và Visa Prepaid, tuy nhi…</t>
  </si>
  <si>
    <t>Để sử dụng thẻ phụ an toàn, cần giới hạn hạn mức và kiểm soát chi tiêu , tránh rủi ro tài chính và nợ xấu.</t>
  </si>
  <si>
    <t>2.1. Điều kiện vay tiêu dùng tín chấp trả góp</t>
  </si>
  <si>
    <t>Không có nợ xấu tại các tổ chức tín dụng và công ty tài chính</t>
  </si>
  <si>
    <t>Nợ xấu có vay tín chấp được không?</t>
  </si>
  <si>
    <t>2. Điều kiện để được vay tín chấp là gì?</t>
  </si>
  <si>
    <t>Người vay không có nợ xấu ở các ngân hàng hay các công ty tài chính khác.</t>
  </si>
  <si>
    <t>1. 4 tiêu chí đánh giá nâng hạn mức tín dụng cá nhân</t>
  </si>
  <si>
    <t>Lịch sử thẻ tín dụng tốt, không có nợ xấu, thanh toán đúng kỳ hạn, sử dụng thẻ đúng mục đích sẽ …</t>
  </si>
  <si>
    <t>3. Điều kiện vay thấu chi là gì?</t>
  </si>
  <si>
    <t>Công dân Việt Nam, độ tuổi từ 20 - 70, thu nhập từ 10 triệu VND/tháng, không có nợ xấu</t>
  </si>
  <si>
    <t>…kiệm tiền của người Nhật , cũng nhấn mạnh việc hạn chế nợ xấu và duy trì tính kỷ luật trong chi tiêu để tránh rủi ro…</t>
  </si>
  <si>
    <t>2.7. Dư nợ trong hạn</t>
  </si>
  <si>
    <t>Dư nợ trong hạn là khoản vay vẫn đang trong thời gian trả nợ đúng theo hợp đồng, chưa bị chậm hoặc chuyển sang nhóm nợ…</t>
  </si>
  <si>
    <t>… nhiều khách hàng quan tâm đến việc check hay kiểm tra nợ xấu để nắm rõ tình trạng tín dụng của bản thân.</t>
  </si>
  <si>
    <t>3. Trễ hạn thanh toán tín dụng 1 ngày có thành nợ xấu…</t>
  </si>
  <si>
    <t>…ễ hạn thanh toán tín dụng 1 ngày không bị xếp vào nhóm nợ xấu nhưng sẽ bị xếp vào nhóm nợ quá hạn, ảnh hưởng tới điể…</t>
  </si>
  <si>
    <t>Nhiều khách hàng có lịch sử nợ không tốt nên có băn khoăn về việc nợ xấu có làm thẻ Visa được không .</t>
  </si>
  <si>
    <t>…i thiểu thẻ tín dụng… để tránh các khoản phí phạt hoặc nợ xấu.</t>
  </si>
  <si>
    <t>hay “thẻ tín dụng bị khóa do nợ xấu không?" Để giúp khách hàng nhanh chóng mở khóa thẻ, bà…</t>
  </si>
  <si>
    <t>…n Center hay còn gọi là Trung tâm Thông tin Tín Dụng), nợ xấu được chia thành 5 nhóm, có những nhóm mở được thẻ tín …</t>
  </si>
  <si>
    <t>Vậy những người từng rơi vào tình trạng nợ xấu có vay thế chấp được không ?</t>
  </si>
  <si>
    <t>Tuy nhiên, nhiều người gặp khó khăn trong việc vay vốn do có nợ xấu.</t>
  </si>
  <si>
    <t>Phân loại nhóm nợ xấu theo Trung tâm Thông tin tín dụng Quốc gia Việt Nam (CIC).</t>
  </si>
  <si>
    <t>… nhân, theo dõi lịch sử vay vốn và đặc biệt là tra cứu nợ xấu để biết tình trạng tín dụng của mình đang ở mức nào.</t>
  </si>
  <si>
    <t>2.1. Điều kiện vay tín chấp theo lương</t>
  </si>
  <si>
    <t>2.2 Điều kiện vay thế chấp xây/sửa nhà</t>
  </si>
  <si>
    <t>Tại thời điểm vay vốn khách hàng không có dư nợ xấu tại Techcombank hoặc các tổ chức tín dụng khác</t>
  </si>
  <si>
    <t>Nếu bị rơi vào nhóm nợ có thời hạn quá hạn cao, người vay sẽ có lịch sử tín dụng xấu.</t>
  </si>
  <si>
    <t>2. Lãi suất quá hạn là gì?</t>
  </si>
  <si>
    <t>Nếu khách hàng không thanh toán lãi vay theo thời hạn quy định trong hợp đồng, họ phải trả lãi chậm trả theo mức lãi su…</t>
  </si>
  <si>
    <t>Với những khách hàng có thắc mắc nợ thẻ tín dụng không trả thì sao, hay nợ tín chấp quá hạn bao lâu thì bị khởi kiện?</t>
  </si>
  <si>
    <t>3.1. Lãi suất và các khoản phí</t>
  </si>
  <si>
    <t>Ngoài ra khi vay tín chấp, bạn có thể phải chi trả thêm một số khoản phí phát sinh khác như:</t>
  </si>
  <si>
    <t>Techcombank mang đến giải pháp vay tiêu dùng tín chấp trả góp, không cần tài sản đảm bảo, lãi suất chỉ từ 12.9%/năm, th…</t>
  </si>
  <si>
    <t>Các loại chứng chỉ quỹ hiện nay như chứng chỉ quỹ mở và đóng, chứng chỉ Quỹ ETF cũng như cách hoạt động của kênh đầu tư…</t>
  </si>
  <si>
    <t>3. Kinh nghiệm lựa chọn, đầu tư chứng chỉ quỹ an toàn</t>
  </si>
  <si>
    <t>Để đầu tư chứng chỉ quỹ hiệu quả, không chỉ dừng lại ở việc lựa chọn đúng loại quỹ mà còn cần hiểu đúng cách đánh giá,…</t>
  </si>
  <si>
    <t>Khi số lượng quỹ mở tại Việt Nam ngày càng đa dạng, việc chọn đúng app theo dõi chứng chỉ quỹ giúp nhà đầu tư dễ dàng t…</t>
  </si>
  <si>
    <t>4. Giá cả và cách giao dịch</t>
  </si>
  <si>
    <t>Chứng chỉ quỹ phù hợp với nhà đầu tư mới hoặc vốn nhỏ, trong khi cổ phiếu đòi hỏi sẵn sàng theo dõi thị trường và quản…</t>
  </si>
  <si>
    <t>Gửi tiết kiệm tiền sẽ giúp khoản tiền nhàn rỗi của bạn sinh lời ổn định, nhưng nếu kỳ vọng khoản tiền đó "sinh sôi" nha…</t>
  </si>
  <si>
    <t>Bài viết này sẽ giải thích chi tiết bảng giá chứng chỉ quỹ là gì, cách tra cứu và những lưu ý cần biết khi đầu tư.</t>
  </si>
  <si>
    <t>9. Tối ưu hóa dòng vốn nhỏ - Mua chứng chỉ quỹ ngay tr…</t>
  </si>
  <si>
    <t>Mỗi cách đầu tư tài chính từ gửi tiết kiệm an toàn, chứng chỉ quỹ, trái phiếu cho đến cổ phiếu, vàng hay bất động sản đ…</t>
  </si>
  <si>
    <t>3. Lưu ý cho nhà đầu tư khi giao dịch chứng chỉ quỹ</t>
  </si>
  <si>
    <t>Việc hiểu rõ lãi suất chứng chỉ quỹ theo từng giai đoạn cũng giúp nhà đầu tư đánh giá mức tăng trưởng của danh mục một…</t>
  </si>
  <si>
    <t>1. Khái niệm giá chứng chỉ quỹ là gì?</t>
  </si>
  <si>
    <t>Nói cách khác, đây là thước đo thể hiện giá trị thực mà nhà đầu tư đang nắm giữ khi sở hữu một chứng chỉ quỹ.</t>
  </si>
  <si>
    <t>2.3. Bước 3: Đặt lại ngân sách chi tiêu</t>
  </si>
  <si>
    <t>Đây là khoản then chốt, bao gồm quỹ dự phòng khẩn cấp, tiết kiệm dài hạn và các kênh đầu tư như chứng khoán, quỹ mở hoặ…</t>
  </si>
  <si>
    <t>Với nhà đầu tư mới, việc nắm rõ cách mua chứng chỉ quỹ mở cũng quan trọng không kém, bởi quy trình giao dịch và thời đi…</t>
  </si>
  <si>
    <t>Chiếc lọ đầu tư tập trung vào việc gia tăng tài sản của bạn thông qua các hình thức đầu tư khác nhau như cổ phiếu, chứn…</t>
  </si>
  <si>
    <t>5. Một số lựa chọn tài sản đầu tư phổ biến tại Việt Nam</t>
  </si>
  <si>
    <t>Chứng chỉ quỹ cho phép bạn tham gia vào danh mục đầu tư đa dạng, được quản lý bởi đội ngũ chuyên gia, từ đó giảm rủi ro…</t>
  </si>
  <si>
    <t>Đầu tư đơn giản chỉ từ 10,000 VND với đa dạng lựa chọn quỹ mở do chuyên gia quản lý</t>
  </si>
  <si>
    <t>3. Ý nghĩa của giá trị tài sản ròng</t>
  </si>
  <si>
    <t>Với chỉ số này, nhà đầu tư có thể xác định giá mua/bán chứng chỉ quỹ theo công thức:</t>
  </si>
  <si>
    <t>2.2. Bước 2: Phân chia thu nhập vào 6 hũ</t>
  </si>
  <si>
    <t>Tiền trong hũ này chỉ dùng để đầu tư (chứng khoán, quỹ, góp vốn kinh doanh...) nhằm tạo ra thu nhập thụ động</t>
  </si>
  <si>
    <t>Bước 4: Theo dõi và điều chỉnh định kỳ</t>
  </si>
  <si>
    <t>Với những người mới bắt đầu, thay vì phải tự mình chọn từng cổ phiếu hay trái phiếu, bạn có thể bắt đầu bằng chứng chỉ…</t>
  </si>
  <si>
    <t>2. Tiêu chí phân biệt đầu cơ và đầu tư</t>
  </si>
  <si>
    <t>Kênh đầu tư qua chứng chỉ quỹ cho người mới bắt đầu</t>
  </si>
  <si>
    <t>2.2. Chứng chỉ quỹ</t>
  </si>
  <si>
    <t>Chứng chỉ quỹ mở có phù hợp với người mới bắt đầu đầu tư dài hạn không?</t>
  </si>
  <si>
    <t>2. Nên đầu tư chứng chỉ quỹ hay các loại chứng khoán k…</t>
  </si>
  <si>
    <t>Nếu bạn là nhà đầu tư cá nhân mới, muốn tích lũy tài sản từ từ mà không cần theo dõi thị trường mỗi ngày, chứng chỉ quỹ…</t>
  </si>
  <si>
    <t>4. Liên kết thanh toán hóa đơn và đầu tư cá nhân</t>
  </si>
  <si>
    <t>Các ngân hàng đang cung cấp giải pháp cho phép khách hàng không chỉ thanh toán các hóa đơn hàng tháng (như điện, nước,…</t>
  </si>
  <si>
    <t>7. Đầu tư quỹ</t>
  </si>
  <si>
    <t>Tại Techcombank, khách hàng có thể đầu tư chứng chỉ quỹ thông qua iFund - giải pháp đầu tư quỹ mở do TCBS phát triển, g…</t>
  </si>
  <si>
    <t>3. Chuẩn bị hồ sơ cá nhân, chứng minh tài chính và giấ…</t>
  </si>
  <si>
    <t>Bên cạnh các giải pháp đầu tư qua chứng chỉ quỹ, với các gia đình thuộc nhóm khách hàng cao cấp đang chuẩn bị định cư c…</t>
  </si>
  <si>
    <t>3.3. Chứng chỉ quỹ mở</t>
  </si>
  <si>
    <t>Với những nhà đầu tư muốn dòng tiền nhàn rỗi vừa có cơ hội sinh lời tốt hơn tiền gửi không kỳ hạn, vừa giữ được khả năn…</t>
  </si>
  <si>
    <t>Đây là phương pháp quản trị rủi ro bằng cách chia nhỏ dòng vốn và phân bổ vào nhiều kênh đầu tư khác nhau như cổ phiếu,…</t>
  </si>
  <si>
    <t>Bên cạnh tiết kiệm, nhiều ứng dụng fintech còn cung cấp các giải pháp tài chính đa dạng như chứng chỉ quỹ, bảo hiểm, tà…</t>
  </si>
  <si>
    <t>Chứng chỉ quỹ là giải pháp đầu tư chuyên nghiệp giúp đa dạng hóa danh mục và tối ưu lợi nhuận dài hạn.</t>
  </si>
  <si>
    <t>Bên cạnh các giải pháp đầu tư qua chứng chỉ quỹ, với các gia đình thuộc nhóm khách hàng cao cấp đang chuẩn bị định cư M…</t>
  </si>
  <si>
    <t>Bài viết dưới đây sẽ đưa ra 3 lý do tiêu biểu giúp các khách hàng đang cân nhắc giải pháp này cảm thấy yên tâm khi lựa…</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</si>
</sst>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sz val="13.0"/>
      <color theme="1"/>
      <name val="Arial"/>
    </font>
    <font>
      <color theme="1"/>
      <name val="Arial"/>
      <scheme val="minor"/>
    </font>
    <font>
      <b/>
      <color rgb="FFFFFFFF"/>
      <name val="Arial"/>
    </font>
    <font>
      <b/>
      <sz val="11.0"/>
      <color theme="1"/>
      <name val="Arial"/>
    </font>
    <font>
      <sz val="11.0"/>
      <color theme="1"/>
      <name val="Arial"/>
    </font>
    <font>
      <b/>
      <sz val="12.0"/>
      <color rgb="FF0049EE"/>
      <name val="Arial"/>
      <scheme val="minor"/>
    </font>
    <font>
      <b/>
      <sz val="10.0"/>
      <color rgb="FFFFFFFF"/>
      <name val="Arial"/>
      <scheme val="minor"/>
    </font>
    <font>
      <sz val="10.0"/>
      <color rgb="FF002992"/>
      <name val="Arial"/>
      <scheme val="minor"/>
    </font>
    <font>
      <sz val="10.0"/>
      <color theme="1"/>
      <name val="Arial"/>
      <scheme val="minor"/>
    </font>
    <font>
      <b/>
      <sz val="10.0"/>
      <color theme="1"/>
      <name val="Arial"/>
      <scheme val="minor"/>
    </font>
    <font>
      <b/>
      <sz val="10.0"/>
      <color rgb="FF0049EE"/>
      <name val="Arial"/>
      <scheme val="minor"/>
    </font>
    <font>
      <b/>
      <sz val="12.0"/>
      <color rgb="FFF68A1F"/>
      <name val="Arial"/>
      <scheme val="minor"/>
    </font>
    <font>
      <b/>
      <sz val="9.0"/>
      <color theme="1"/>
      <name val="Arial"/>
      <scheme val="minor"/>
    </font>
    <font>
      <i/>
      <sz val="9.0"/>
      <color rgb="FF994C00"/>
      <name val="Arial"/>
      <scheme val="minor"/>
    </font>
    <font>
      <u/>
      <sz val="10.0"/>
      <color rgb="FF0000FF"/>
    </font>
    <font>
      <sz val="10.0"/>
      <color theme="1"/>
      <name val="Arial"/>
    </font>
    <font>
      <b/>
      <sz val="11.0"/>
      <color theme="1"/>
      <name val="Arial"/>
      <scheme val="minor"/>
    </font>
    <font>
      <u/>
      <color rgb="FF0000FF"/>
    </font>
    <font>
      <b/>
      <color theme="1"/>
      <name val="Arial"/>
      <scheme val="minor"/>
    </font>
    <font>
      <u/>
      <sz val="10.0"/>
      <color rgb="FF0000FF"/>
      <name val="Arial"/>
    </font>
  </fonts>
  <fills count="6">
    <fill>
      <patternFill patternType="none"/>
    </fill>
    <fill>
      <patternFill patternType="lightGray"/>
    </fill>
    <fill>
      <patternFill patternType="solid">
        <fgColor rgb="FF990000"/>
        <bgColor rgb="FF990000"/>
      </patternFill>
    </fill>
    <fill>
      <patternFill patternType="solid">
        <fgColor rgb="FFF3F3F6"/>
        <bgColor rgb="FFF3F3F6"/>
      </patternFill>
    </fill>
    <fill>
      <patternFill patternType="solid">
        <fgColor rgb="FF0049EE"/>
        <bgColor rgb="FF0049EE"/>
      </patternFill>
    </fill>
    <fill>
      <patternFill patternType="solid">
        <fgColor rgb="FFFFFFFF"/>
        <bgColor rgb="FFFFFFFF"/>
      </patternFill>
    </fill>
  </fills>
  <borders count="8">
    <border/>
    <border>
      <left style="thin">
        <color rgb="FFCCCCD8"/>
      </left>
      <right style="thin">
        <color rgb="FFCCCCD8"/>
      </right>
      <top style="thin">
        <color rgb="FFCCCCD8"/>
      </top>
      <bottom style="thin">
        <color rgb="FFCCCCD8"/>
      </bottom>
    </border>
    <border>
      <right style="thin">
        <color rgb="FFDCDCDC"/>
      </right>
      <bottom style="thin">
        <color rgb="FFDCDCDC"/>
      </bottom>
    </border>
    <border>
      <left style="thin">
        <color rgb="FFDCDCDC"/>
      </left>
      <right style="thin">
        <color rgb="FFDCDCDC"/>
      </right>
      <bottom style="thin">
        <color rgb="FFDCDCDC"/>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Font="1"/>
    <xf borderId="0" fillId="2" fontId="3" numFmtId="0" xfId="0" applyAlignment="1" applyFill="1" applyFont="1">
      <alignment horizontal="center"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shrinkToFit="0" vertical="center" wrapText="1"/>
    </xf>
    <xf borderId="0" fillId="3" fontId="6" numFmtId="0" xfId="0" applyAlignment="1" applyFill="1" applyFont="1">
      <alignment horizontal="center" readingOrder="0" shrinkToFit="0" vertical="center" wrapText="1"/>
    </xf>
    <xf borderId="1" fillId="4" fontId="7" numFmtId="0" xfId="0" applyAlignment="1" applyBorder="1" applyFill="1" applyFont="1">
      <alignment horizontal="center" readingOrder="0" shrinkToFit="0" vertical="center" wrapText="1"/>
    </xf>
    <xf borderId="0" fillId="3" fontId="8" numFmtId="0" xfId="0" applyAlignment="1" applyFill="1" applyFont="1">
      <alignment readingOrder="0" shrinkToFit="0" vertical="center" wrapText="1"/>
    </xf>
    <xf borderId="2" fillId="4" fontId="7" numFmtId="0" xfId="0" applyAlignment="1" applyBorder="1" applyFill="1" applyFont="1">
      <alignment horizontal="center" readingOrder="0" shrinkToFit="0" vertical="center" wrapText="1"/>
    </xf>
    <xf borderId="0" fillId="0" fontId="2" numFmtId="0" xfId="0" applyAlignment="1" applyFont="1">
      <alignment readingOrder="0"/>
    </xf>
    <xf borderId="3" fillId="4" fontId="7" numFmtId="0" xfId="0" applyAlignment="1" applyBorder="1" applyFill="1" applyFont="1">
      <alignment horizontal="center" readingOrder="0" shrinkToFit="0" vertical="center" wrapText="1"/>
    </xf>
    <xf borderId="1" fillId="0" fontId="9" numFmtId="0" xfId="0" applyAlignment="1" applyBorder="1" applyFont="1">
      <alignment horizontal="center" shrinkToFit="0" vertical="top" wrapText="1"/>
    </xf>
    <xf borderId="1" fillId="0" fontId="9" numFmtId="0" xfId="0" applyAlignment="1" applyBorder="1" applyFont="1">
      <alignment shrinkToFit="0" vertical="top" wrapText="1"/>
    </xf>
    <xf borderId="4" fillId="4" fontId="7" numFmtId="0" xfId="0" applyAlignment="1" applyBorder="1" applyFill="1" applyFont="1">
      <alignment horizontal="center" readingOrder="0" shrinkToFit="0" vertical="center" wrapText="1"/>
    </xf>
    <xf borderId="0" fillId="4" fontId="7" numFmtId="0" xfId="0" applyAlignment="1" applyFill="1" applyFont="1">
      <alignment horizontal="center" readingOrder="0" shrinkToFit="0" vertical="center" wrapText="1"/>
    </xf>
    <xf borderId="5" fillId="0" fontId="9" numFmtId="0" xfId="0" applyAlignment="1" applyBorder="1" applyFont="1">
      <alignment horizontal="center" shrinkToFit="0" vertical="center" wrapText="1"/>
    </xf>
    <xf borderId="6" fillId="0" fontId="9" numFmtId="0" xfId="0" applyAlignment="1" applyBorder="1" applyFont="1">
      <alignment shrinkToFit="0" vertical="center" wrapText="1"/>
    </xf>
    <xf borderId="6" fillId="0" fontId="10" numFmtId="0" xfId="0" applyAlignment="1" applyBorder="1" applyFont="1">
      <alignment horizontal="center" shrinkToFit="0" vertical="center" wrapText="1"/>
    </xf>
    <xf borderId="6" fillId="0" fontId="11" numFmtId="0" xfId="0" applyAlignment="1" applyBorder="1" applyFont="1">
      <alignment shrinkToFit="0" vertical="center" wrapText="1"/>
    </xf>
    <xf borderId="6" fillId="0" fontId="12" numFmtId="0" xfId="0" applyAlignment="1" applyBorder="1" applyFont="1">
      <alignment horizontal="center" shrinkToFit="0" vertical="center" wrapText="1"/>
    </xf>
    <xf borderId="1" fillId="0" fontId="10" numFmtId="0" xfId="0" applyAlignment="1" applyBorder="1" applyFont="1">
      <alignment horizontal="center" shrinkToFit="0" vertical="top" wrapText="1"/>
    </xf>
    <xf borderId="6" fillId="0" fontId="13" numFmtId="0" xfId="0" applyAlignment="1" applyBorder="1" applyFont="1">
      <alignment horizontal="center" shrinkToFit="0" vertical="center" wrapText="1"/>
    </xf>
    <xf borderId="6" fillId="0" fontId="13" numFmtId="0" xfId="0" applyAlignment="1" applyBorder="1" applyFont="1">
      <alignment horizontal="center" readingOrder="0" shrinkToFit="0" vertical="center" wrapText="1"/>
    </xf>
    <xf borderId="7" fillId="0" fontId="14" numFmtId="0" xfId="0" applyAlignment="1" applyBorder="1" applyFont="1">
      <alignment shrinkToFit="0" vertical="center" wrapText="1"/>
    </xf>
    <xf borderId="0" fillId="0" fontId="2" numFmtId="0" xfId="0" applyAlignment="1" applyFont="1">
      <alignment readingOrder="0"/>
    </xf>
    <xf borderId="1" fillId="0" fontId="9" numFmtId="0" xfId="0" applyAlignment="1" applyBorder="1" applyFont="1">
      <alignment readingOrder="0" shrinkToFit="0" vertical="top" wrapText="1"/>
    </xf>
    <xf borderId="6" fillId="0" fontId="15" numFmtId="0" xfId="0" applyAlignment="1" applyBorder="1" applyFont="1">
      <alignment shrinkToFit="0" vertical="center" wrapText="1"/>
    </xf>
    <xf borderId="0" fillId="5" fontId="16" numFmtId="0" xfId="0" applyAlignment="1" applyFill="1" applyFont="1">
      <alignment horizontal="center" shrinkToFit="0" vertical="center" wrapText="0"/>
    </xf>
    <xf borderId="0" fillId="5" fontId="16" numFmtId="0" xfId="0" applyAlignment="1" applyFill="1" applyFont="1">
      <alignment shrinkToFit="0" vertical="center" wrapText="0"/>
    </xf>
    <xf borderId="0" fillId="5" fontId="16" numFmtId="0" xfId="0" applyAlignment="1" applyFill="1" applyFont="1">
      <alignment readingOrder="0" shrinkToFit="0" vertical="center" wrapText="0"/>
    </xf>
    <xf borderId="0" fillId="5" fontId="16" numFmtId="0" xfId="0" applyAlignment="1" applyFill="1" applyFont="1">
      <alignment horizontal="center" readingOrder="0" shrinkToFit="0" vertical="center" wrapText="0"/>
    </xf>
    <xf borderId="0" fillId="5" fontId="16" numFmtId="0" xfId="0" applyAlignment="1" applyFill="1" applyFont="1">
      <alignment readingOrder="0" shrinkToFit="0" vertical="center" wrapText="1"/>
    </xf>
    <xf borderId="5" fillId="0" fontId="9" numFmtId="0" xfId="0" applyAlignment="1" applyBorder="1" applyFont="1">
      <alignment horizontal="center" readingOrder="0" shrinkToFit="0" vertical="center" wrapText="1"/>
    </xf>
    <xf borderId="6" fillId="0" fontId="11" numFmtId="0" xfId="0" applyAlignment="1" applyBorder="1" applyFont="1">
      <alignment readingOrder="0" shrinkToFit="0" vertical="center" wrapText="1"/>
    </xf>
    <xf borderId="6" fillId="0" fontId="9" numFmtId="0" xfId="0" applyAlignment="1" applyBorder="1" applyFont="1">
      <alignment readingOrder="0" shrinkToFit="0" vertical="center" wrapText="1"/>
    </xf>
    <xf borderId="6" fillId="0" fontId="17" numFmtId="0" xfId="0" applyAlignment="1" applyBorder="1" applyFont="1">
      <alignment horizontal="center" readingOrder="0" shrinkToFit="0" vertical="center" wrapText="1"/>
    </xf>
    <xf borderId="6" fillId="0" fontId="17" numFmtId="0" xfId="0" applyAlignment="1" applyBorder="1" applyFont="1">
      <alignment horizontal="center" shrinkToFit="0" vertical="center" wrapText="1"/>
    </xf>
    <xf borderId="7" fillId="0" fontId="9" numFmtId="0" xfId="0" applyAlignment="1" applyBorder="1" applyFont="1">
      <alignment shrinkToFit="0" vertical="center" wrapText="1"/>
    </xf>
    <xf borderId="0" fillId="0" fontId="2" numFmtId="0" xfId="0" applyAlignment="1" applyFont="1">
      <alignment horizontal="center" readingOrder="0"/>
    </xf>
    <xf borderId="0" fillId="0" fontId="18" numFmtId="0" xfId="0" applyAlignment="1" applyFont="1">
      <alignment readingOrder="0"/>
    </xf>
    <xf borderId="0" fillId="0" fontId="19" numFmtId="0" xfId="0" applyAlignment="1" applyFont="1">
      <alignment readingOrder="0"/>
    </xf>
    <xf borderId="0" fillId="0" fontId="19" numFmtId="0" xfId="0" applyAlignment="1" applyFont="1">
      <alignment horizontal="center" readingOrder="0"/>
    </xf>
    <xf borderId="0" fillId="0" fontId="19" numFmtId="0" xfId="0" applyAlignment="1" applyFont="1">
      <alignment horizontal="center"/>
    </xf>
    <xf borderId="0" fillId="0" fontId="2" numFmtId="0" xfId="0" applyAlignment="1" applyFont="1">
      <alignment horizontal="center"/>
    </xf>
    <xf borderId="0" fillId="0" fontId="16" numFmtId="0" xfId="0" applyAlignment="1" applyFont="1">
      <alignment shrinkToFit="0" vertical="top" wrapText="1"/>
    </xf>
    <xf borderId="0" fillId="0" fontId="16" numFmtId="0" xfId="0" applyAlignment="1" applyFont="1">
      <alignment horizontal="center" readingOrder="0" shrinkToFit="0" vertical="top" wrapText="1"/>
    </xf>
    <xf borderId="0" fillId="0" fontId="20" numFmtId="0" xfId="0" applyAlignment="1" applyFont="1">
      <alignment readingOrder="0" shrinkToFit="0" vertical="center" wrapText="1"/>
    </xf>
    <xf borderId="0" fillId="0" fontId="16" numFmtId="0" xfId="0" applyAlignment="1" applyFont="1">
      <alignment readingOrder="0" shrinkToFit="0" vertical="center" wrapText="1"/>
    </xf>
    <xf borderId="0" fillId="0" fontId="16" numFmtId="0" xfId="0" applyAlignment="1" applyFont="1">
      <alignment readingOrder="0" shrinkToFit="0" vertical="top" wrapText="1"/>
    </xf>
    <xf borderId="0" fillId="5" fontId="16" numFmtId="0" xfId="0" applyAlignment="1" applyFill="1" applyFont="1">
      <alignment readingOrder="0" shrinkToFit="0" vertical="center" wrapText="1"/>
    </xf>
    <xf borderId="0" fillId="0" fontId="2" numFmtId="0" xfId="0" applyAlignment="1" applyFont="1">
      <alignment shrinkToFit="0" wrapText="1"/>
    </xf>
    <xf borderId="0" fillId="0" fontId="16" numFmtId="0" xfId="0" applyAlignment="1" applyFont="1">
      <alignment horizontal="center" shrinkToFit="0" vertical="top" wrapText="1"/>
    </xf>
    <xf borderId="0" fillId="0" fontId="16" numFmtId="0" xfId="0" applyAlignment="1" applyFont="1">
      <alignment shrinkToFit="0" vertical="center" wrapText="1"/>
    </xf>
  </cellXfs>
  <cellStyles count="1">
    <cellStyle xfId="0" name="Normal" builtinId="0"/>
  </cellStyles>
  <dxfs count="21">
    <dxf>
      <font/>
      <fill>
        <patternFill patternType="solid">
          <fgColor rgb="FFFFD8CC"/>
          <bgColor rgb="FFFFD8CC"/>
        </patternFill>
      </fill>
      <border/>
    </dxf>
    <dxf>
      <font/>
      <fill>
        <patternFill patternType="solid">
          <fgColor rgb="FFD4FAEA"/>
          <bgColor rgb="FFD4FAEA"/>
        </patternFill>
      </fill>
      <border/>
    </dxf>
    <dxf>
      <font>
        <b/>
        <color rgb="FF991919"/>
      </font>
      <fill>
        <patternFill patternType="solid">
          <fgColor rgb="FFFFD8CC"/>
          <bgColor rgb="FFFFD8CC"/>
        </patternFill>
      </fill>
      <border/>
    </dxf>
    <dxf>
      <font>
        <b/>
        <color rgb="FF00663E"/>
      </font>
      <fill>
        <patternFill patternType="solid">
          <fgColor rgb="FFD3F9EA"/>
          <bgColor rgb="FFD3F9EA"/>
        </patternFill>
      </fill>
      <border/>
    </dxf>
    <dxf>
      <font>
        <color rgb="FF002992"/>
      </font>
      <fill>
        <patternFill patternType="solid">
          <fgColor rgb="FFDCE7FB"/>
          <bgColor rgb="FFDCE7FB"/>
        </patternFill>
      </fill>
      <border/>
    </dxf>
    <dxf>
      <font>
        <color rgb="FF595966"/>
      </font>
      <fill>
        <patternFill patternType="solid">
          <fgColor rgb="FFF2F2F4"/>
          <bgColor rgb="FFF2F2F4"/>
        </patternFill>
      </fill>
      <border/>
    </dxf>
    <dxf>
      <font/>
      <fill>
        <patternFill patternType="solid">
          <fgColor rgb="FF06EE9C"/>
          <bgColor rgb="FF06EE9C"/>
        </patternFill>
      </fill>
      <border/>
    </dxf>
    <dxf>
      <font/>
      <fill>
        <patternFill patternType="solid">
          <fgColor rgb="FFFFF3C2"/>
          <bgColor rgb="FFFFF3C2"/>
        </patternFill>
      </fill>
      <border/>
    </dxf>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
      <font/>
      <fill>
        <patternFill patternType="solid">
          <fgColor rgb="FFCEE2F2"/>
          <bgColor rgb="FFCEE2F2"/>
        </patternFill>
      </fill>
      <border/>
    </dxf>
    <dxf>
      <font/>
      <fill>
        <patternFill patternType="solid">
          <fgColor rgb="FFD8EAD3"/>
          <bgColor rgb="FFD8EAD3"/>
        </patternFill>
      </fill>
      <border/>
    </dxf>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techcombank.com/thong-tin/blog/the-tin-dung-ao" TargetMode="External"/><Relationship Id="rId194" Type="http://schemas.openxmlformats.org/officeDocument/2006/relationships/hyperlink" Target="https://techcombank.com/thong-tin/blog/esg" TargetMode="External"/><Relationship Id="rId193" Type="http://schemas.openxmlformats.org/officeDocument/2006/relationships/hyperlink" Target="https://techcombank.com/thong-tin/blog/lai-suat-chung-chi-tien-gui-cac-ngan-hang" TargetMode="External"/><Relationship Id="rId192" Type="http://schemas.openxmlformats.org/officeDocument/2006/relationships/hyperlink" Target="https://techcombank.com/thong-tin/blog/cach-quan-ly-tai-san" TargetMode="External"/><Relationship Id="rId191" Type="http://schemas.openxmlformats.org/officeDocument/2006/relationships/hyperlink" Target="https://techcombank.com/thong-tin/blog/lai-suat-chung-chi-tien-gui-cac-ngan-hang" TargetMode="External"/><Relationship Id="rId187" Type="http://schemas.openxmlformats.org/officeDocument/2006/relationships/hyperlink" Target="https://techcombank.com/thong-tin/blog/lai-suat-chung-chi-tien-gui-cac-ngan-hang" TargetMode="External"/><Relationship Id="rId186" Type="http://schemas.openxmlformats.org/officeDocument/2006/relationships/hyperlink" Target="https://techcombank.com/thong-tin/blog/ca-nhan-hoa" TargetMode="External"/><Relationship Id="rId185" Type="http://schemas.openxmlformats.org/officeDocument/2006/relationships/hyperlink" Target="https://techcombank.com/thong-tin/blog/chung-chi-tien-gui-la-gi" TargetMode="External"/><Relationship Id="rId184" Type="http://schemas.openxmlformats.org/officeDocument/2006/relationships/hyperlink" Target="https://techcombank.com/thong-tin/blog/app-ngan-hang" TargetMode="External"/><Relationship Id="rId189" Type="http://schemas.openxmlformats.org/officeDocument/2006/relationships/hyperlink" Target="https://techcombank.com/thong-tin/blog/lai-suat-chung-chi-tien-gui-cac-ngan-hang" TargetMode="External"/><Relationship Id="rId188" Type="http://schemas.openxmlformats.org/officeDocument/2006/relationships/hyperlink" Target="https://techcombank.com/thong-tin/blog/quan-ly-tai-chinh-doanh-nghiep-la-gi" TargetMode="External"/><Relationship Id="rId183" Type="http://schemas.openxmlformats.org/officeDocument/2006/relationships/hyperlink" Target="https://techcombank.com/thong-tin/blog/chung-chi-tien-gui-la-gi" TargetMode="External"/><Relationship Id="rId182" Type="http://schemas.openxmlformats.org/officeDocument/2006/relationships/hyperlink" Target="https://techcombank.com/thong-tin/blog/han-muc-the-tin-dung" TargetMode="External"/><Relationship Id="rId181" Type="http://schemas.openxmlformats.org/officeDocument/2006/relationships/hyperlink" Target="https://techcombank.com/thong-tin/blog/cach-thanh-toan-the-tin-dung" TargetMode="External"/><Relationship Id="rId180" Type="http://schemas.openxmlformats.org/officeDocument/2006/relationships/hyperlink" Target="https://techcombank.com/thong-tin/blog/cach-doi-mat-khau-tai-khoan-ngan-hang" TargetMode="External"/><Relationship Id="rId176" Type="http://schemas.openxmlformats.org/officeDocument/2006/relationships/hyperlink" Target="https://techcombank.com/thong-tin/blog/nha-dau-tu-giao-dich-trai-phieu-truc-tuyen-tang-manh-tro-lai" TargetMode="External"/><Relationship Id="rId297" Type="http://schemas.openxmlformats.org/officeDocument/2006/relationships/hyperlink" Target="https://techcombank.com/thong-tin/blog/mo-tai-khoan-ho-kinh-doanh" TargetMode="External"/><Relationship Id="rId175" Type="http://schemas.openxmlformats.org/officeDocument/2006/relationships/hyperlink" Target="https://techcombank.com/thong-tin/blog/xep-hang-tin-dung" TargetMode="External"/><Relationship Id="rId296" Type="http://schemas.openxmlformats.org/officeDocument/2006/relationships/hyperlink" Target="https://techcombank.com/thong-tin/blog/may-pos-la-gi" TargetMode="External"/><Relationship Id="rId174" Type="http://schemas.openxmlformats.org/officeDocument/2006/relationships/hyperlink" Target="https://techcombank.com/thong-tin/blog/ngan-hang-uy-tin" TargetMode="External"/><Relationship Id="rId295" Type="http://schemas.openxmlformats.org/officeDocument/2006/relationships/hyperlink" Target="https://techcombank.com/thong-tin/blog/mo-tai-khoan-ho-kinh-doanh" TargetMode="External"/><Relationship Id="rId173" Type="http://schemas.openxmlformats.org/officeDocument/2006/relationships/hyperlink" Target="https://techcombank.com/thong-tin/blog/xep-hang-tin-dung" TargetMode="External"/><Relationship Id="rId294" Type="http://schemas.openxmlformats.org/officeDocument/2006/relationships/hyperlink" Target="https://techcombank.com/thong-tin/blog/chuyen-doi-so-ho-kinh-doanh" TargetMode="External"/><Relationship Id="rId179" Type="http://schemas.openxmlformats.org/officeDocument/2006/relationships/hyperlink" Target="https://techcombank.com/thong-tin/blog/cach-thanh-toan-the-tin-dung" TargetMode="External"/><Relationship Id="rId178" Type="http://schemas.openxmlformats.org/officeDocument/2006/relationships/hyperlink" Target="https://techcombank.com/thong-tin/blog/cac-loai-the-ngan-hang" TargetMode="External"/><Relationship Id="rId299" Type="http://schemas.openxmlformats.org/officeDocument/2006/relationships/hyperlink" Target="https://techcombank.com/thong-tin/blog/cach-tinh-thue-ho-kinh-doanh-nho-le" TargetMode="External"/><Relationship Id="rId177"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phan-mem-xuat-hoa-don-dien-tu" TargetMode="External"/><Relationship Id="rId198" Type="http://schemas.openxmlformats.org/officeDocument/2006/relationships/hyperlink" Target="https://techcombank.com/thong-tin/blog/tinh-thanh-khoan-la-gi" TargetMode="External"/><Relationship Id="rId197" Type="http://schemas.openxmlformats.org/officeDocument/2006/relationships/hyperlink" Target="https://techcombank.com/thong-tin/blog/lai-suat-chung-chi-tien-gui-cac-ngan-hang" TargetMode="External"/><Relationship Id="rId196" Type="http://schemas.openxmlformats.org/officeDocument/2006/relationships/hyperlink" Target="https://techcombank.com/thong-tin/blog/nim-la-gi" TargetMode="External"/><Relationship Id="rId195" Type="http://schemas.openxmlformats.org/officeDocument/2006/relationships/hyperlink" Target="https://techcombank.com/thong-tin/blog/lai-suat-chung-chi-tien-gui-cac-ngan-hang" TargetMode="External"/><Relationship Id="rId199" Type="http://schemas.openxmlformats.org/officeDocument/2006/relationships/hyperlink" Target="https://techcombank.com/thong-tin/blog/lai-suat-chung-chi-tien-gui-cac-ngan-hang" TargetMode="External"/><Relationship Id="rId150" Type="http://schemas.openxmlformats.org/officeDocument/2006/relationships/hyperlink" Target="https://techcombank.com/thong-tin/blog/4p-pizza" TargetMode="External"/><Relationship Id="rId271" Type="http://schemas.openxmlformats.org/officeDocument/2006/relationships/hyperlink" Target="https://techcombank.com/thong-tin/blog/ho-kinh-doanh-dong-thue-nhu-nao" TargetMode="External"/><Relationship Id="rId392" Type="http://schemas.openxmlformats.org/officeDocument/2006/relationships/hyperlink" Target="https://techcombank.com/thong-tin/blog/5-trieu-mua-duoc-bao-nhieu-vang" TargetMode="External"/><Relationship Id="rId270" Type="http://schemas.openxmlformats.org/officeDocument/2006/relationships/hyperlink" Target="https://techcombank.com/thong-tin/blog/phan-mem-xuat-hoa-don-dien-tu" TargetMode="External"/><Relationship Id="rId391" Type="http://schemas.openxmlformats.org/officeDocument/2006/relationships/hyperlink" Target="https://techcombank.com/thong-tin/blog/cach-tinh-lai-suat-tien-gui-tiet-kiem" TargetMode="External"/><Relationship Id="rId390" Type="http://schemas.openxmlformats.org/officeDocument/2006/relationships/hyperlink" Target="https://techcombank.com/thong-tin/blog/sinh-loi-rinh-loc"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lam-the-thanh-toan-quoc-te" TargetMode="External"/><Relationship Id="rId3" Type="http://schemas.openxmlformats.org/officeDocument/2006/relationships/hyperlink" Target="https://techcombank.com/thong-tin/blog/cach-nop-thue-dien-tu" TargetMode="External"/><Relationship Id="rId149" Type="http://schemas.openxmlformats.org/officeDocument/2006/relationships/hyperlink" Target="https://techcombank.com/thong-tin/blog/the-tin-dung-hoan-tien" TargetMode="External"/><Relationship Id="rId4" Type="http://schemas.openxmlformats.org/officeDocument/2006/relationships/hyperlink" Target="https://techcombank.com/thong-tin/blog/ho-kinh-doanh-la-gi" TargetMode="External"/><Relationship Id="rId148" Type="http://schemas.openxmlformats.org/officeDocument/2006/relationships/hyperlink" Target="https://techcombank.com/thong-tin/blog/so-du-tai-khoan-thanh-toan" TargetMode="External"/><Relationship Id="rId269" Type="http://schemas.openxmlformats.org/officeDocument/2006/relationships/hyperlink" Target="https://techcombank.com/thong-tin/blog/ho-kinh-doanh-dong-thue-nhu-nao" TargetMode="External"/><Relationship Id="rId9" Type="http://schemas.openxmlformats.org/officeDocument/2006/relationships/hyperlink" Target="https://techcombank.com/thong-tin/blog/thue-thu-nhap-doanh-nghiep" TargetMode="External"/><Relationship Id="rId143" Type="http://schemas.openxmlformats.org/officeDocument/2006/relationships/hyperlink" Target="https://techcombank.com/thong-tin/blog/rut-tien-mat-tu-the-tin-dung" TargetMode="External"/><Relationship Id="rId264" Type="http://schemas.openxmlformats.org/officeDocument/2006/relationships/hyperlink" Target="https://techcombank.com/thong-tin/blog/hoa-don-dien-tu-ho-kinh-doanh" TargetMode="External"/><Relationship Id="rId385" Type="http://schemas.openxmlformats.org/officeDocument/2006/relationships/hyperlink" Target="https://techcombank.com/thong-tin/blog/cach-tinh-lai-suat-tien-gui-tiet-kiem" TargetMode="External"/><Relationship Id="rId142" Type="http://schemas.openxmlformats.org/officeDocument/2006/relationships/hyperlink" Target="https://techcombank.com/thong-tin/blog/mo-tai-khoan-ngan-hang-cho-tre-em" TargetMode="External"/><Relationship Id="rId263" Type="http://schemas.openxmlformats.org/officeDocument/2006/relationships/hyperlink" Target="https://techcombank.com/thong-tin/blog/ho-kinh-doanh-dong-thue-nhu-nao" TargetMode="External"/><Relationship Id="rId384" Type="http://schemas.openxmlformats.org/officeDocument/2006/relationships/hyperlink" Target="https://techcombank.com/thong-tin/blog/ly-do-ngan-hang-so-tro-thanh-cong-cu-tai-chinh-hang-dau-cua-gioi-tre" TargetMode="External"/><Relationship Id="rId141" Type="http://schemas.openxmlformats.org/officeDocument/2006/relationships/hyperlink" Target="https://techcombank.com/thong-tin/blog/rut-tien-mat-tu-the-tin-dung" TargetMode="External"/><Relationship Id="rId262" Type="http://schemas.openxmlformats.org/officeDocument/2006/relationships/hyperlink" Target="https://techcombank.com/thong-tin/blog/voucher-golden-gate" TargetMode="External"/><Relationship Id="rId383" Type="http://schemas.openxmlformats.org/officeDocument/2006/relationships/hyperlink" Target="https://techcombank.com/thong-tin/blog/cach-tinh-lai-suat-tien-gui-tiet-kiem" TargetMode="External"/><Relationship Id="rId140" Type="http://schemas.openxmlformats.org/officeDocument/2006/relationships/hyperlink" Target="https://techcombank.com/thong-tin/blog/lam-the-visa-online" TargetMode="External"/><Relationship Id="rId261" Type="http://schemas.openxmlformats.org/officeDocument/2006/relationships/hyperlink" Target="https://techcombank.com/thong-tin/blog/traveloka-voucher" TargetMode="External"/><Relationship Id="rId382" Type="http://schemas.openxmlformats.org/officeDocument/2006/relationships/hyperlink" Target="https://techcombank.com/thong-tin/blog/lam-the-tin-dung-co-mat-phi-khong" TargetMode="External"/><Relationship Id="rId5" Type="http://schemas.openxmlformats.org/officeDocument/2006/relationships/hyperlink" Target="https://techcombank.com/thong-tin/blog/thue-thu-nhap-doanh-nghiep" TargetMode="External"/><Relationship Id="rId147" Type="http://schemas.openxmlformats.org/officeDocument/2006/relationships/hyperlink" Target="https://techcombank.com/thong-tin/blog/rut-tien-mat-tu-the-tin-dung" TargetMode="External"/><Relationship Id="rId268" Type="http://schemas.openxmlformats.org/officeDocument/2006/relationships/hyperlink" Target="https://techcombank.com/thong-tin/blog/may-tinh-tien" TargetMode="External"/><Relationship Id="rId389" Type="http://schemas.openxmlformats.org/officeDocument/2006/relationships/hyperlink" Target="https://techcombank.com/thong-tin/blog/cach-tinh-lai-suat-tien-gui-tiet-kiem" TargetMode="External"/><Relationship Id="rId6" Type="http://schemas.openxmlformats.org/officeDocument/2006/relationships/hyperlink" Target="https://techcombank.com/thong-tin/blog/bao-lanh-ngan-hang-la-gi" TargetMode="External"/><Relationship Id="rId146" Type="http://schemas.openxmlformats.org/officeDocument/2006/relationships/hyperlink" Target="https://techcombank.com/thong-tin/blog/so-du-kha-dung" TargetMode="External"/><Relationship Id="rId267" Type="http://schemas.openxmlformats.org/officeDocument/2006/relationships/hyperlink" Target="https://techcombank.com/thong-tin/blog/ho-kinh-doanh-dong-thue-nhu-nao" TargetMode="External"/><Relationship Id="rId388" Type="http://schemas.openxmlformats.org/officeDocument/2006/relationships/hyperlink" Target="https://techcombank.com/thong-tin/blog/rut-tien-bao-hiem-nhan-tho-khi-het-han" TargetMode="External"/><Relationship Id="rId7" Type="http://schemas.openxmlformats.org/officeDocument/2006/relationships/hyperlink" Target="https://techcombank.com/thong-tin/blog/thue-thu-nhap-doanh-nghiep" TargetMode="External"/><Relationship Id="rId145" Type="http://schemas.openxmlformats.org/officeDocument/2006/relationships/hyperlink" Target="https://techcombank.com/thong-tin/blog/rut-tien-mat-tu-the-tin-dung" TargetMode="External"/><Relationship Id="rId266" Type="http://schemas.openxmlformats.org/officeDocument/2006/relationships/hyperlink" Target="https://techcombank.com/thong-tin/blog/may-pos-la-gi" TargetMode="External"/><Relationship Id="rId387" Type="http://schemas.openxmlformats.org/officeDocument/2006/relationships/hyperlink" Target="https://techcombank.com/thong-tin/blog/cach-tinh-lai-suat-tien-gui-tiet-kiem" TargetMode="External"/><Relationship Id="rId8" Type="http://schemas.openxmlformats.org/officeDocument/2006/relationships/hyperlink" Target="https://techcombank.com/thong-tin/blog/cach-quan-ly-tai-chinh-kinh-doanh" TargetMode="External"/><Relationship Id="rId144" Type="http://schemas.openxmlformats.org/officeDocument/2006/relationships/hyperlink" Target="https://techcombank.com/thong-tin/blog/rui-ro-khi-gui-tiet-kiem-online" TargetMode="External"/><Relationship Id="rId265" Type="http://schemas.openxmlformats.org/officeDocument/2006/relationships/hyperlink" Target="https://techcombank.com/thong-tin/blog/ho-kinh-doanh-dong-thue-nhu-nao" TargetMode="External"/><Relationship Id="rId386" Type="http://schemas.openxmlformats.org/officeDocument/2006/relationships/hyperlink" Target="https://techcombank.com/thong-tin/blog/ngoai-hoi-la-gi" TargetMode="External"/><Relationship Id="rId260" Type="http://schemas.openxmlformats.org/officeDocument/2006/relationships/hyperlink" Target="https://techcombank.com/thong-tin/blog/shang-chi" TargetMode="External"/><Relationship Id="rId381" Type="http://schemas.openxmlformats.org/officeDocument/2006/relationships/hyperlink" Target="https://techcombank.com/thong-tin/blog/cach-tinh-lai-suat-tien-gui-tiet-kiem" TargetMode="External"/><Relationship Id="rId380" Type="http://schemas.openxmlformats.org/officeDocument/2006/relationships/hyperlink" Target="https://techcombank.com/thong-tin/blog/kinh-nghiem-mua-vang-tich-tru" TargetMode="External"/><Relationship Id="rId139" Type="http://schemas.openxmlformats.org/officeDocument/2006/relationships/hyperlink" Target="https://techcombank.com/thong-tin/blog/rut-tien-mat-tu-the-tin-dung" TargetMode="External"/><Relationship Id="rId138" Type="http://schemas.openxmlformats.org/officeDocument/2006/relationships/hyperlink" Target="https://techcombank.com/thong-tin/blog/lam-the-atm-bao-lau-co" TargetMode="External"/><Relationship Id="rId259" Type="http://schemas.openxmlformats.org/officeDocument/2006/relationships/hyperlink" Target="https://techcombank.com/thong-tin/blog/traveloka-voucher" TargetMode="External"/><Relationship Id="rId137" Type="http://schemas.openxmlformats.org/officeDocument/2006/relationships/hyperlink" Target="https://techcombank.com/thong-tin/blog/rut-tien-mat-tu-the-tin-dung" TargetMode="External"/><Relationship Id="rId258" Type="http://schemas.openxmlformats.org/officeDocument/2006/relationships/hyperlink" Target="https://techcombank.com/thong-tin/blog/dac-san-hai-phong" TargetMode="External"/><Relationship Id="rId379" Type="http://schemas.openxmlformats.org/officeDocument/2006/relationships/hyperlink" Target="https://techcombank.com/thong-tin/blog/cach-tinh-lai-suat-tien-gui-tiet-kiem" TargetMode="External"/><Relationship Id="rId132" Type="http://schemas.openxmlformats.org/officeDocument/2006/relationships/hyperlink" Target="https://techcombank.com/thong-tin/blog/app-chia-tien" TargetMode="External"/><Relationship Id="rId253" Type="http://schemas.openxmlformats.org/officeDocument/2006/relationships/hyperlink" Target="https://techcombank.com/thong-tin/blog/cach-nhan-tien-tu-nuoc-ngoai-ve-viet-nam" TargetMode="External"/><Relationship Id="rId374" Type="http://schemas.openxmlformats.org/officeDocument/2006/relationships/hyperlink" Target="https://techcombank.com/thong-tin/blog/gia-vang-16k-hom-nay" TargetMode="External"/><Relationship Id="rId495" Type="http://schemas.openxmlformats.org/officeDocument/2006/relationships/hyperlink" Target="https://techcombank.com/thong-tin/blog/lai-suat-vay-ngan-hang" TargetMode="External"/><Relationship Id="rId131" Type="http://schemas.openxmlformats.org/officeDocument/2006/relationships/hyperlink" Target="https://techcombank.com/thong-tin/blog/rut-tien-mat-tu-the-tin-dung" TargetMode="External"/><Relationship Id="rId252" Type="http://schemas.openxmlformats.org/officeDocument/2006/relationships/hyperlink" Target="https://techcombank.com/thong-tin/blog/xu-huong-ty-gia-usd" TargetMode="External"/><Relationship Id="rId373" Type="http://schemas.openxmlformats.org/officeDocument/2006/relationships/hyperlink" Target="https://techcombank.com/thong-tin/blog/cach-tinh-lai-suat-tien-gui-tiet-kiem" TargetMode="External"/><Relationship Id="rId494" Type="http://schemas.openxmlformats.org/officeDocument/2006/relationships/hyperlink" Target="https://techcombank.com/thong-tin/blog/pos" TargetMode="External"/><Relationship Id="rId130" Type="http://schemas.openxmlformats.org/officeDocument/2006/relationships/hyperlink" Target="https://techcombank.com/thong-tin/blog/may-pos-la-gi" TargetMode="External"/><Relationship Id="rId251" Type="http://schemas.openxmlformats.org/officeDocument/2006/relationships/hyperlink" Target="https://techcombank.com/thong-tin/blog/cach-nhan-tien-tu-nuoc-ngoai-ve-viet-nam" TargetMode="External"/><Relationship Id="rId372" Type="http://schemas.openxmlformats.org/officeDocument/2006/relationships/hyperlink" Target="https://techcombank.com/thong-tin/blog/dau-co-va-dau-tu" TargetMode="External"/><Relationship Id="rId493" Type="http://schemas.openxmlformats.org/officeDocument/2006/relationships/hyperlink" Target="https://techcombank.com/thong-tin/blog/lai-suat-vay-ngan-hang" TargetMode="External"/><Relationship Id="rId250" Type="http://schemas.openxmlformats.org/officeDocument/2006/relationships/hyperlink" Target="https://techcombank.com/thong-tin/blog/ty-gia-la-gi" TargetMode="External"/><Relationship Id="rId371" Type="http://schemas.openxmlformats.org/officeDocument/2006/relationships/hyperlink" Target="https://techcombank.com/thong-tin/blog/cach-tinh-lai-suat-tien-gui-tiet-kiem" TargetMode="External"/><Relationship Id="rId492" Type="http://schemas.openxmlformats.org/officeDocument/2006/relationships/hyperlink" Target="https://techcombank.com/thong-tin/blog/khach-hang-vip-bat-dong-san" TargetMode="External"/><Relationship Id="rId136" Type="http://schemas.openxmlformats.org/officeDocument/2006/relationships/hyperlink" Target="https://techcombank.com/thong-tin/blog/eco-card" TargetMode="External"/><Relationship Id="rId257" Type="http://schemas.openxmlformats.org/officeDocument/2006/relationships/hyperlink" Target="https://techcombank.com/thong-tin/blog/traveloka-voucher" TargetMode="External"/><Relationship Id="rId378" Type="http://schemas.openxmlformats.org/officeDocument/2006/relationships/hyperlink" Target="https://techcombank.com/thong-tin/blog/kich-hoat-the-tin-dung-techcombank" TargetMode="External"/><Relationship Id="rId499" Type="http://schemas.openxmlformats.org/officeDocument/2006/relationships/hyperlink" Target="https://techcombank.com/thong-tin/blog/lai-suat-vay-ngan-hang" TargetMode="External"/><Relationship Id="rId135" Type="http://schemas.openxmlformats.org/officeDocument/2006/relationships/hyperlink" Target="https://techcombank.com/thong-tin/blog/rut-tien-mat-tu-the-tin-dung" TargetMode="External"/><Relationship Id="rId256" Type="http://schemas.openxmlformats.org/officeDocument/2006/relationships/hyperlink" Target="https://techcombank.com/thong-tin/blog/chuong-trinh-khach-hang-than-thiet" TargetMode="External"/><Relationship Id="rId377" Type="http://schemas.openxmlformats.org/officeDocument/2006/relationships/hyperlink" Target="https://techcombank.com/thong-tin/blog/cach-tinh-lai-suat-tien-gui-tiet-kiem" TargetMode="External"/><Relationship Id="rId498" Type="http://schemas.openxmlformats.org/officeDocument/2006/relationships/hyperlink" Target="https://techcombank.com/thong-tin/blog/thanh-ly-tai-san" TargetMode="External"/><Relationship Id="rId134" Type="http://schemas.openxmlformats.org/officeDocument/2006/relationships/hyperlink" Target="https://techcombank.com/thong-tin/blog/bung-no-hoat-dong-thanh-toan-truc-tuyen-tai-viet-nam" TargetMode="External"/><Relationship Id="rId255" Type="http://schemas.openxmlformats.org/officeDocument/2006/relationships/hyperlink" Target="https://techcombank.com/thong-tin/blog/traveloka-voucher" TargetMode="External"/><Relationship Id="rId376" Type="http://schemas.openxmlformats.org/officeDocument/2006/relationships/hyperlink" Target="https://techcombank.com/thong-tin/blog/khau-vi-nha-dau-tu-tpdn-thay-doi-the-nao-sau-nhung-bien-dong-vua-qua" TargetMode="External"/><Relationship Id="rId497" Type="http://schemas.openxmlformats.org/officeDocument/2006/relationships/hyperlink" Target="https://techcombank.com/thong-tin/blog/lai-suat-vay-ngan-hang" TargetMode="External"/><Relationship Id="rId133" Type="http://schemas.openxmlformats.org/officeDocument/2006/relationships/hyperlink" Target="https://techcombank.com/thong-tin/blog/rut-tien-mat-tu-the-tin-dung" TargetMode="External"/><Relationship Id="rId254" Type="http://schemas.openxmlformats.org/officeDocument/2006/relationships/hyperlink" Target="https://techcombank.com/thong-tin/blog/tien-malaysia" TargetMode="External"/><Relationship Id="rId375" Type="http://schemas.openxmlformats.org/officeDocument/2006/relationships/hyperlink" Target="https://techcombank.com/thong-tin/blog/cach-tinh-lai-suat-tien-gui-tiet-kiem" TargetMode="External"/><Relationship Id="rId496" Type="http://schemas.openxmlformats.org/officeDocument/2006/relationships/hyperlink" Target="https://techcombank.com/thong-tin/blog/san-pham-xanh" TargetMode="External"/><Relationship Id="rId172" Type="http://schemas.openxmlformats.org/officeDocument/2006/relationships/hyperlink" Target="https://techcombank.com/thong-tin/blog/nen-mo-tai-khoan-ngan-hang-nao-cho-doanh-nghiep" TargetMode="External"/><Relationship Id="rId293" Type="http://schemas.openxmlformats.org/officeDocument/2006/relationships/hyperlink" Target="https://techcombank.com/thong-tin/blog/gui-ma-qr-ngan-hang" TargetMode="External"/><Relationship Id="rId171" Type="http://schemas.openxmlformats.org/officeDocument/2006/relationships/hyperlink" Target="https://techcombank.com/thong-tin/blog/xep-hang-tin-dung" TargetMode="External"/><Relationship Id="rId292" Type="http://schemas.openxmlformats.org/officeDocument/2006/relationships/hyperlink" Target="https://techcombank.com/thong-tin/blog/app-chia-tien" TargetMode="External"/><Relationship Id="rId170" Type="http://schemas.openxmlformats.org/officeDocument/2006/relationships/hyperlink" Target="https://techcombank.com/thong-tin/blog/mat-the-tin-dung-co-lam-lai-duoc-khong" TargetMode="External"/><Relationship Id="rId291" Type="http://schemas.openxmlformats.org/officeDocument/2006/relationships/hyperlink" Target="https://techcombank.com/thong-tin/blog/gui-ma-qr-ngan-hang" TargetMode="External"/><Relationship Id="rId290" Type="http://schemas.openxmlformats.org/officeDocument/2006/relationships/hyperlink" Target="https://techcombank.com/thong-tin/blog/loa-ting-ting" TargetMode="External"/><Relationship Id="rId165" Type="http://schemas.openxmlformats.org/officeDocument/2006/relationships/hyperlink" Target="https://techcombank.com/thong-tin/blog/xep-hang-tin-dung" TargetMode="External"/><Relationship Id="rId286" Type="http://schemas.openxmlformats.org/officeDocument/2006/relationships/hyperlink" Target="https://techcombank.com/thong-tin/blog/gia-ca-phe-hom-nay" TargetMode="External"/><Relationship Id="rId164" Type="http://schemas.openxmlformats.org/officeDocument/2006/relationships/hyperlink" Target="https://techcombank.com/thong-tin/blog/co-nen-mua-bao-hiem-nhan-tho" TargetMode="External"/><Relationship Id="rId285" Type="http://schemas.openxmlformats.org/officeDocument/2006/relationships/hyperlink" Target="https://techcombank.com/thong-tin/blog/mo-hinh-kinh-doanh-la-gi" TargetMode="External"/><Relationship Id="rId163" Type="http://schemas.openxmlformats.org/officeDocument/2006/relationships/hyperlink" Target="https://techcombank.com/thong-tin/blog/xep-hang-tin-dung" TargetMode="External"/><Relationship Id="rId284" Type="http://schemas.openxmlformats.org/officeDocument/2006/relationships/hyperlink" Target="https://techcombank.com/thong-tin/blog/barcode-la-gi" TargetMode="External"/><Relationship Id="rId162" Type="http://schemas.openxmlformats.org/officeDocument/2006/relationships/hyperlink" Target="https://techcombank.com/thong-tin/blog/cho-vay-hop-von-la-gi" TargetMode="External"/><Relationship Id="rId283" Type="http://schemas.openxmlformats.org/officeDocument/2006/relationships/hyperlink" Target="https://techcombank.com/thong-tin/blog/mo-hinh-kinh-doanh-la-gi" TargetMode="External"/><Relationship Id="rId169" Type="http://schemas.openxmlformats.org/officeDocument/2006/relationships/hyperlink" Target="https://techcombank.com/thong-tin/blog/xep-hang-tin-dung" TargetMode="External"/><Relationship Id="rId168" Type="http://schemas.openxmlformats.org/officeDocument/2006/relationships/hyperlink" Target="https://techcombank.com/thong-tin/blog/khau-vi-nha-dau-tu-tpdn-thay-doi-the-nao-sau-nhung-bien-dong-vua-qua" TargetMode="External"/><Relationship Id="rId289" Type="http://schemas.openxmlformats.org/officeDocument/2006/relationships/hyperlink" Target="https://techcombank.com/thong-tin/blog/mo-hinh-kinh-doanh-la-gi" TargetMode="External"/><Relationship Id="rId167" Type="http://schemas.openxmlformats.org/officeDocument/2006/relationships/hyperlink" Target="https://techcombank.com/thong-tin/blog/xep-hang-tin-dung" TargetMode="External"/><Relationship Id="rId288" Type="http://schemas.openxmlformats.org/officeDocument/2006/relationships/hyperlink" Target="https://techcombank.com/thong-tin/blog/loa-thong-bao-chuyen-khoan" TargetMode="External"/><Relationship Id="rId166" Type="http://schemas.openxmlformats.org/officeDocument/2006/relationships/hyperlink" Target="https://techcombank.com/thong-tin/blog/dao-tao-the-he-ke-can" TargetMode="External"/><Relationship Id="rId287" Type="http://schemas.openxmlformats.org/officeDocument/2006/relationships/hyperlink" Target="https://techcombank.com/thong-tin/blog/mo-hinh-kinh-doanh-la-gi" TargetMode="External"/><Relationship Id="rId161" Type="http://schemas.openxmlformats.org/officeDocument/2006/relationships/hyperlink" Target="https://techcombank.com/thong-tin/blog/xep-hang-tin-dung" TargetMode="External"/><Relationship Id="rId282" Type="http://schemas.openxmlformats.org/officeDocument/2006/relationships/hyperlink" Target="https://techcombank.com/thong-tin/blog/quan-ly-tai-chinh-doanh-nghiep-nho" TargetMode="External"/><Relationship Id="rId160" Type="http://schemas.openxmlformats.org/officeDocument/2006/relationships/hyperlink" Target="https://techcombank.com/thong-tin/blog/bi-quyet-lua-chon-trai-phieu-an-toan-cho-nha-dau-tu" TargetMode="External"/><Relationship Id="rId281" Type="http://schemas.openxmlformats.org/officeDocument/2006/relationships/hyperlink" Target="https://techcombank.com/thong-tin/blog/ho-kinh-doanh-dong-thue-nhu-nao" TargetMode="External"/><Relationship Id="rId280" Type="http://schemas.openxmlformats.org/officeDocument/2006/relationships/hyperlink" Target="https://techcombank.com/thong-tin/blog/loi-nhuan-rong" TargetMode="External"/><Relationship Id="rId159" Type="http://schemas.openxmlformats.org/officeDocument/2006/relationships/hyperlink" Target="https://techcombank.com/thong-tin/blog/xep-hang-tin-dung" TargetMode="External"/><Relationship Id="rId154" Type="http://schemas.openxmlformats.org/officeDocument/2006/relationships/hyperlink" Target="https://techcombank.com/thong-tin/blog/cach-nap-the-vina" TargetMode="External"/><Relationship Id="rId275" Type="http://schemas.openxmlformats.org/officeDocument/2006/relationships/hyperlink" Target="https://techcombank.com/thong-tin/blog/ho-kinh-doanh-dong-thue-nhu-nao" TargetMode="External"/><Relationship Id="rId396" Type="http://schemas.openxmlformats.org/officeDocument/2006/relationships/hyperlink" Target="https://techcombank.com/thong-tin/blog/chung-chi-quy" TargetMode="External"/><Relationship Id="rId153"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top-phan-mem-ban-hang" TargetMode="External"/><Relationship Id="rId395" Type="http://schemas.openxmlformats.org/officeDocument/2006/relationships/hyperlink" Target="https://techcombank.com/thong-tin/blog/cach-tinh-lai-suat-tien-gui-tiet-kiem" TargetMode="External"/><Relationship Id="rId152" Type="http://schemas.openxmlformats.org/officeDocument/2006/relationships/hyperlink" Target="https://techcombank.com/thong-tin/blog/cach-nap-the-mobi" TargetMode="External"/><Relationship Id="rId273" Type="http://schemas.openxmlformats.org/officeDocument/2006/relationships/hyperlink" Target="https://techcombank.com/thong-tin/blog/ho-kinh-doanh-dong-thue-nhu-nao" TargetMode="External"/><Relationship Id="rId394" Type="http://schemas.openxmlformats.org/officeDocument/2006/relationships/hyperlink" Target="https://techcombank.com/thong-tin/blog/cam-nang-dinh-cu-my" TargetMode="External"/><Relationship Id="rId151"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thue-vat-la-gi" TargetMode="External"/><Relationship Id="rId393" Type="http://schemas.openxmlformats.org/officeDocument/2006/relationships/hyperlink" Target="https://techcombank.com/thong-tin/blog/cach-tinh-lai-suat-tien-gui-tiet-kiem" TargetMode="External"/><Relationship Id="rId158" Type="http://schemas.openxmlformats.org/officeDocument/2006/relationships/hyperlink" Target="https://techcombank.com/thong-tin/blog/thanh-toan-quoc-te" TargetMode="External"/><Relationship Id="rId279" Type="http://schemas.openxmlformats.org/officeDocument/2006/relationships/hyperlink" Target="https://techcombank.com/thong-tin/blog/ho-kinh-doanh-dong-thue-nhu-nao" TargetMode="External"/><Relationship Id="rId157" Type="http://schemas.openxmlformats.org/officeDocument/2006/relationships/hyperlink" Target="https://techcombank.com/thong-tin/blog/cach-huy-the-tin-dung" TargetMode="External"/><Relationship Id="rId278" Type="http://schemas.openxmlformats.org/officeDocument/2006/relationships/hyperlink" Target="https://techcombank.com/thong-tin/blog/khau-hao-la-gi" TargetMode="External"/><Relationship Id="rId399" Type="http://schemas.openxmlformats.org/officeDocument/2006/relationships/hyperlink" Target="https://techcombank.com/thong-tin/blog/cach-tinh-lai-suat-tien-gui-tiet-kiem" TargetMode="External"/><Relationship Id="rId156" Type="http://schemas.openxmlformats.org/officeDocument/2006/relationships/hyperlink" Target="https://techcombank.com/thong-tin/blog/cac-loai-the-ngan-hang" TargetMode="External"/><Relationship Id="rId277" Type="http://schemas.openxmlformats.org/officeDocument/2006/relationships/hyperlink" Target="https://techcombank.com/thong-tin/blog/ho-kinh-doanh-dong-thue-nhu-nao" TargetMode="External"/><Relationship Id="rId398" Type="http://schemas.openxmlformats.org/officeDocument/2006/relationships/hyperlink" Target="https://techcombank.com/thong-tin/blog/lam-phat-la-gi" TargetMode="External"/><Relationship Id="rId155"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dieu-kien-thanh-lap-doanh-nghiep" TargetMode="External"/><Relationship Id="rId397" Type="http://schemas.openxmlformats.org/officeDocument/2006/relationships/hyperlink" Target="https://techcombank.com/thong-tin/blog/cach-tinh-lai-suat-tien-gui-tiet-kiem" TargetMode="External"/><Relationship Id="rId40" Type="http://schemas.openxmlformats.org/officeDocument/2006/relationships/hyperlink" Target="https://techcombank.com/thong-tin/blog/app-dong-tien-dien-online" TargetMode="External"/><Relationship Id="rId42" Type="http://schemas.openxmlformats.org/officeDocument/2006/relationships/hyperlink" Target="https://techcombank.com/thong-tin/blog/app-mua-truoc-tra-sau" TargetMode="External"/><Relationship Id="rId41" Type="http://schemas.openxmlformats.org/officeDocument/2006/relationships/hyperlink" Target="https://techcombank.com/thong-tin/blog/cach-tinh-tien-dien-sinh-hoat" TargetMode="External"/><Relationship Id="rId44" Type="http://schemas.openxmlformats.org/officeDocument/2006/relationships/hyperlink" Target="https://techcombank.com/thong-tin/blog/app-ngan-hang" TargetMode="External"/><Relationship Id="rId43" Type="http://schemas.openxmlformats.org/officeDocument/2006/relationships/hyperlink" Target="https://techcombank.com/thong-tin/blog/cach-tinh-tien-dien-sinh-hoat" TargetMode="External"/><Relationship Id="rId46" Type="http://schemas.openxmlformats.org/officeDocument/2006/relationships/hyperlink" Target="https://techcombank.com/thong-tin/blog/app-quan-ly-chi-tieu" TargetMode="External"/><Relationship Id="rId45" Type="http://schemas.openxmlformats.org/officeDocument/2006/relationships/hyperlink" Target="https://techcombank.com/thong-tin/blog/cach-tinh-tien-dien-sinh-hoat" TargetMode="External"/><Relationship Id="rId509" Type="http://schemas.openxmlformats.org/officeDocument/2006/relationships/hyperlink" Target="https://techcombank.com/thong-tin/blog/lai-suat-vay-ngan-hang" TargetMode="External"/><Relationship Id="rId508" Type="http://schemas.openxmlformats.org/officeDocument/2006/relationships/hyperlink" Target="https://techcombank.com/thong-tin/blog/loyalty-la-gi" TargetMode="External"/><Relationship Id="rId503" Type="http://schemas.openxmlformats.org/officeDocument/2006/relationships/hyperlink" Target="https://techcombank.com/thong-tin/blog/lai-suat-vay-ngan-hang" TargetMode="External"/><Relationship Id="rId502" Type="http://schemas.openxmlformats.org/officeDocument/2006/relationships/hyperlink" Target="https://techcombank.com/thong-tin/blog/ung-dung-big-data-trong-ngan-hang" TargetMode="External"/><Relationship Id="rId501" Type="http://schemas.openxmlformats.org/officeDocument/2006/relationships/hyperlink" Target="https://techcombank.com/thong-tin/blog/lai-suat-vay-ngan-hang" TargetMode="External"/><Relationship Id="rId500" Type="http://schemas.openxmlformats.org/officeDocument/2006/relationships/hyperlink" Target="https://techcombank.com/thong-tin/blog/thu-tuc-vay-von-doanh-nghiep" TargetMode="External"/><Relationship Id="rId507" Type="http://schemas.openxmlformats.org/officeDocument/2006/relationships/hyperlink" Target="https://techcombank.com/thong-tin/blog/lai-suat-vay-ngan-hang" TargetMode="External"/><Relationship Id="rId506" Type="http://schemas.openxmlformats.org/officeDocument/2006/relationships/hyperlink" Target="https://techcombank.com/thong-tin/blog/dac-quyen-khach-hang-vip-ngan-hang" TargetMode="External"/><Relationship Id="rId505" Type="http://schemas.openxmlformats.org/officeDocument/2006/relationships/hyperlink" Target="https://techcombank.com/thong-tin/blog/lai-suat-vay-ngan-hang" TargetMode="External"/><Relationship Id="rId504" Type="http://schemas.openxmlformats.org/officeDocument/2006/relationships/hyperlink" Target="https://techcombank.com/thong-tin/blog/xep-hang-tin-dung" TargetMode="External"/><Relationship Id="rId48" Type="http://schemas.openxmlformats.org/officeDocument/2006/relationships/hyperlink" Target="https://techcombank.com/thong-tin/blog/cach-nap-the-viettel" TargetMode="External"/><Relationship Id="rId47" Type="http://schemas.openxmlformats.org/officeDocument/2006/relationships/hyperlink" Target="https://techcombank.com/thong-tin/blog/cach-tinh-tien-dien-sinh-hoat" TargetMode="External"/><Relationship Id="rId49" Type="http://schemas.openxmlformats.org/officeDocument/2006/relationships/hyperlink" Target="https://techcombank.com/thong-tin/blog/cach-tinh-thue-thu-nhap-ca-nhan-2025" TargetMode="External"/><Relationship Id="rId31" Type="http://schemas.openxmlformats.org/officeDocument/2006/relationships/hyperlink" Target="https://techcombank.com/thong-tin/blog/cach-tinh-tien-dien-sinh-hoat" TargetMode="External"/><Relationship Id="rId30" Type="http://schemas.openxmlformats.org/officeDocument/2006/relationships/hyperlink" Target="https://techcombank.com/thong-tin/blog/bung-no-hoat-dong-thanh-toan-truc-tuyen-tai-viet-nam" TargetMode="External"/><Relationship Id="rId33" Type="http://schemas.openxmlformats.org/officeDocument/2006/relationships/hyperlink" Target="https://techcombank.com/thong-tin/blog/cach-tinh-tien-dien-sinh-hoat" TargetMode="External"/><Relationship Id="rId32" Type="http://schemas.openxmlformats.org/officeDocument/2006/relationships/hyperlink" Target="https://techcombank.com/thong-tin/blog/chuyen-doi-hoa-don-dien-tu" TargetMode="External"/><Relationship Id="rId35" Type="http://schemas.openxmlformats.org/officeDocument/2006/relationships/hyperlink" Target="https://techcombank.com/thong-tin/blog/cach-tinh-tien-dien-sinh-hoat" TargetMode="External"/><Relationship Id="rId34" Type="http://schemas.openxmlformats.org/officeDocument/2006/relationships/hyperlink" Target="https://techcombank.com/thong-tin/blog/mo-tai-khoan-ngan-hang-bang-so-dien-thoai" TargetMode="External"/><Relationship Id="rId37" Type="http://schemas.openxmlformats.org/officeDocument/2006/relationships/hyperlink" Target="https://techcombank.com/thong-tin/blog/cach-tinh-tien-dien-sinh-hoat" TargetMode="External"/><Relationship Id="rId36" Type="http://schemas.openxmlformats.org/officeDocument/2006/relationships/hyperlink" Target="https://techcombank.com/thong-tin/blog/phan-mem-quan-ly-tai-chinh-doanh-nghiep" TargetMode="External"/><Relationship Id="rId39" Type="http://schemas.openxmlformats.org/officeDocument/2006/relationships/hyperlink" Target="https://techcombank.com/thong-tin/blog/cach-tinh-tien-dien-sinh-hoat" TargetMode="External"/><Relationship Id="rId38" Type="http://schemas.openxmlformats.org/officeDocument/2006/relationships/hyperlink" Target="https://techcombank.com/thong-tin/blog/phan-mem-xuat-hoa-don-dien-tu" TargetMode="External"/><Relationship Id="rId20" Type="http://schemas.openxmlformats.org/officeDocument/2006/relationships/hyperlink" Target="https://techcombank.com/thong-tin/blog/cach-quan-ly-tai-chinh-kinh-doanh" TargetMode="External"/><Relationship Id="rId22" Type="http://schemas.openxmlformats.org/officeDocument/2006/relationships/hyperlink" Target="https://techcombank.com/thong-tin/blog/bao-lanh-ngan-hang-la-gi" TargetMode="External"/><Relationship Id="rId21" Type="http://schemas.openxmlformats.org/officeDocument/2006/relationships/hyperlink" Target="https://techcombank.com/thong-tin/blog/cong-ty-su-dung-tai-khoan-ca-nhan" TargetMode="External"/><Relationship Id="rId24" Type="http://schemas.openxmlformats.org/officeDocument/2006/relationships/hyperlink" Target="https://techcombank.com/thong-tin/blog/dao-han-the-tin-dung" TargetMode="External"/><Relationship Id="rId23" Type="http://schemas.openxmlformats.org/officeDocument/2006/relationships/hyperlink" Target="https://techcombank.com/thong-tin/blog/cong-ty-su-dung-tai-khoan-ca-nhan" TargetMode="External"/><Relationship Id="rId409" Type="http://schemas.openxmlformats.org/officeDocument/2006/relationships/hyperlink" Target="https://techcombank.com/thong-tin/blog/cach-tinh-lai-suat-tien-gui-tiet-kiem" TargetMode="External"/><Relationship Id="rId404" Type="http://schemas.openxmlformats.org/officeDocument/2006/relationships/hyperlink" Target="https://techcombank.com/thong-tin/blog/mua-chung-chi-quy" TargetMode="External"/><Relationship Id="rId525" Type="http://schemas.openxmlformats.org/officeDocument/2006/relationships/hyperlink" Target="https://techcombank.com/thong-tin/blog/lai-suat-vay-ngan-hang" TargetMode="External"/><Relationship Id="rId403" Type="http://schemas.openxmlformats.org/officeDocument/2006/relationships/hyperlink" Target="https://techcombank.com/thong-tin/blog/cach-tinh-lai-suat-tien-gui-tiet-kiem" TargetMode="External"/><Relationship Id="rId524" Type="http://schemas.openxmlformats.org/officeDocument/2006/relationships/hyperlink" Target="https://techcombank.com/thong-tin/blog/cho-vay-hop-von-la-gi" TargetMode="External"/><Relationship Id="rId402" Type="http://schemas.openxmlformats.org/officeDocument/2006/relationships/hyperlink" Target="https://techcombank.com/thong-tin/blog/may-pos-la-gi" TargetMode="External"/><Relationship Id="rId523" Type="http://schemas.openxmlformats.org/officeDocument/2006/relationships/hyperlink" Target="https://techcombank.com/thong-tin/blog/lai-suat-vay-ngan-hang" TargetMode="External"/><Relationship Id="rId401" Type="http://schemas.openxmlformats.org/officeDocument/2006/relationships/hyperlink" Target="https://techcombank.com/thong-tin/blog/cach-tinh-lai-suat-tien-gui-tiet-kiem" TargetMode="External"/><Relationship Id="rId522" Type="http://schemas.openxmlformats.org/officeDocument/2006/relationships/hyperlink" Target="https://techcombank.com/thong-tin/blog/app-ngan-hang" TargetMode="External"/><Relationship Id="rId408" Type="http://schemas.openxmlformats.org/officeDocument/2006/relationships/hyperlink" Target="https://techcombank.com/thong-tin/blog/quy-gia-dinh" TargetMode="External"/><Relationship Id="rId529" Type="http://schemas.openxmlformats.org/officeDocument/2006/relationships/hyperlink" Target="https://techcombank.com/thong-tin/blog/vay-thau-chi-la-gi" TargetMode="External"/><Relationship Id="rId407"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cach-khoa-the-ngan-hang" TargetMode="External"/><Relationship Id="rId406" Type="http://schemas.openxmlformats.org/officeDocument/2006/relationships/hyperlink" Target="https://techcombank.com/thong-tin/blog/nguyen-tac-quan-ly-tai-chinh-ca-nhan" TargetMode="External"/><Relationship Id="rId527" Type="http://schemas.openxmlformats.org/officeDocument/2006/relationships/hyperlink" Target="https://techcombank.com/thong-tin/blog/vay-thau-chi-la-gi" TargetMode="External"/><Relationship Id="rId405" Type="http://schemas.openxmlformats.org/officeDocument/2006/relationships/hyperlink" Target="https://techcombank.com/thong-tin/blog/cach-tinh-lai-suat-tien-gui-tiet-kiem" TargetMode="External"/><Relationship Id="rId526" Type="http://schemas.openxmlformats.org/officeDocument/2006/relationships/hyperlink" Target="https://techcombank.com/thong-tin/blog/tap-doan-thanh-quang-khoi-sac-kinh-doanh-nho-nguon-von-vay-tin-dung-techcombank-tren-nen-tang-misa-lending" TargetMode="External"/><Relationship Id="rId26" Type="http://schemas.openxmlformats.org/officeDocument/2006/relationships/hyperlink" Target="https://techcombank.com/thong-tin/blog/lich-su-tin-dung" TargetMode="External"/><Relationship Id="rId25" Type="http://schemas.openxmlformats.org/officeDocument/2006/relationships/hyperlink" Target="https://techcombank.com/thong-tin/blog/cong-ty-su-dung-tai-khoan-ca-nhan" TargetMode="External"/><Relationship Id="rId28" Type="http://schemas.openxmlformats.org/officeDocument/2006/relationships/hyperlink" Target="https://techcombank.com/thong-tin/blog/phuong-phap-dau-tu-chung-chi-quy" TargetMode="External"/><Relationship Id="rId27" Type="http://schemas.openxmlformats.org/officeDocument/2006/relationships/hyperlink" Target="https://techcombank.com/thong-tin/blog/cong-ty-su-dung-tai-khoan-ca-nhan" TargetMode="External"/><Relationship Id="rId400" Type="http://schemas.openxmlformats.org/officeDocument/2006/relationships/hyperlink" Target="https://techcombank.com/thong-tin/blog/loyalty-la-gi" TargetMode="External"/><Relationship Id="rId521" Type="http://schemas.openxmlformats.org/officeDocument/2006/relationships/hyperlink" Target="https://techcombank.com/thong-tin/blog/lai-suat-vay-ngan-hang" TargetMode="External"/><Relationship Id="rId29" Type="http://schemas.openxmlformats.org/officeDocument/2006/relationships/hyperlink" Target="https://techcombank.com/thong-tin/blog/cach-tinh-tien-dien-sinh-hoat" TargetMode="External"/><Relationship Id="rId520" Type="http://schemas.openxmlformats.org/officeDocument/2006/relationships/hyperlink" Target="https://techcombank.com/thong-tin/blog/thanh-khoan-la-gi" TargetMode="External"/><Relationship Id="rId11" Type="http://schemas.openxmlformats.org/officeDocument/2006/relationships/hyperlink" Target="https://techcombank.com/thong-tin/blog/thue-thu-nhap-doanh-nghiep" TargetMode="External"/><Relationship Id="rId10" Type="http://schemas.openxmlformats.org/officeDocument/2006/relationships/hyperlink" Target="https://techcombank.com/thong-tin/blog/chuan-bi-cho-doanh-nghiep-khoi-nghiep-truoc-nhung-thay-doi-ve-thue" TargetMode="External"/><Relationship Id="rId13" Type="http://schemas.openxmlformats.org/officeDocument/2006/relationships/hyperlink" Target="https://techcombank.com/thong-tin/blog/thue-thu-nhap-doanh-nghiep" TargetMode="External"/><Relationship Id="rId12" Type="http://schemas.openxmlformats.org/officeDocument/2006/relationships/hyperlink" Target="https://techcombank.com/thong-tin/blog/chuyen-doi-so-ho-kinh-doanh" TargetMode="External"/><Relationship Id="rId519" Type="http://schemas.openxmlformats.org/officeDocument/2006/relationships/hyperlink" Target="https://techcombank.com/thong-tin/blog/lai-suat-vay-ngan-hang" TargetMode="External"/><Relationship Id="rId514" Type="http://schemas.openxmlformats.org/officeDocument/2006/relationships/hyperlink" Target="https://techcombank.com/thong-tin/blog/quan-ly-chi-phi-doanh-nghiep" TargetMode="External"/><Relationship Id="rId513" Type="http://schemas.openxmlformats.org/officeDocument/2006/relationships/hyperlink" Target="https://techcombank.com/thong-tin/blog/lai-suat-vay-ngan-hang" TargetMode="External"/><Relationship Id="rId512" Type="http://schemas.openxmlformats.org/officeDocument/2006/relationships/hyperlink" Target="https://techcombank.com/thong-tin/blog/nhu-cau-vay-tieu-dung-cua-nguoi-viet-du-kien-tang-manh-trong-thoi-gian-toi" TargetMode="External"/><Relationship Id="rId511" Type="http://schemas.openxmlformats.org/officeDocument/2006/relationships/hyperlink" Target="https://techcombank.com/thong-tin/blog/lai-suat-vay-ngan-hang" TargetMode="External"/><Relationship Id="rId518" Type="http://schemas.openxmlformats.org/officeDocument/2006/relationships/hyperlink" Target="https://techcombank.com/thong-tin/blog/co-50-trieu-nen-mua-vang-hay-gui-tiet-kiem" TargetMode="External"/><Relationship Id="rId517" Type="http://schemas.openxmlformats.org/officeDocument/2006/relationships/hyperlink" Target="https://techcombank.com/thong-tin/blog/lai-suat-vay-ngan-hang" TargetMode="External"/><Relationship Id="rId516" Type="http://schemas.openxmlformats.org/officeDocument/2006/relationships/hyperlink" Target="https://techcombank.com/thong-tin/blog/thanh-toan-online-bang-the-tin-dung" TargetMode="External"/><Relationship Id="rId515" Type="http://schemas.openxmlformats.org/officeDocument/2006/relationships/hyperlink" Target="https://techcombank.com/thong-tin/blog/lai-suat-vay-ngan-hang" TargetMode="External"/><Relationship Id="rId15" Type="http://schemas.openxmlformats.org/officeDocument/2006/relationships/hyperlink" Target="https://techcombank.com/thong-tin/blog/thue-doanh-nghiep" TargetMode="External"/><Relationship Id="rId14" Type="http://schemas.openxmlformats.org/officeDocument/2006/relationships/hyperlink" Target="https://techcombank.com/thong-tin/blog/cong-ty-xuat-nhap-khau" TargetMode="External"/><Relationship Id="rId17" Type="http://schemas.openxmlformats.org/officeDocument/2006/relationships/hyperlink" Target="https://techcombank.com/thong-tin/blog/thue-doanh-nghiep" TargetMode="External"/><Relationship Id="rId16" Type="http://schemas.openxmlformats.org/officeDocument/2006/relationships/hyperlink" Target="https://techcombank.com/thong-tin/blog/bao-lanh-ngan-hang-la-gi" TargetMode="External"/><Relationship Id="rId19" Type="http://schemas.openxmlformats.org/officeDocument/2006/relationships/hyperlink" Target="https://techcombank.com/thong-tin/blog/thue-doanh-nghiep" TargetMode="External"/><Relationship Id="rId510" Type="http://schemas.openxmlformats.org/officeDocument/2006/relationships/hyperlink" Target="https://techcombank.com/thong-tin/blog/mo-tai-khoan-ngan-hang-trung-so-dien-thoai" TargetMode="External"/><Relationship Id="rId18" Type="http://schemas.openxmlformats.org/officeDocument/2006/relationships/hyperlink" Target="https://techcombank.com/thong-tin/blog/cac-loai-hinh-doanh-nghiep" TargetMode="External"/><Relationship Id="rId84" Type="http://schemas.openxmlformats.org/officeDocument/2006/relationships/hyperlink" Target="https://techcombank.com/thong-tin/blog/so-the-visa-hop-le" TargetMode="External"/><Relationship Id="rId83" Type="http://schemas.openxmlformats.org/officeDocument/2006/relationships/hyperlink" Target="https://techcombank.com/thong-tin/blog/day-so-phat-tai-phat-loc" TargetMode="External"/><Relationship Id="rId86" Type="http://schemas.openxmlformats.org/officeDocument/2006/relationships/hyperlink" Target="https://techcombank.com/thong-tin/blog/mo-tai-khoan-ngan-hang-bang-so-dien-thoai" TargetMode="External"/><Relationship Id="rId85" Type="http://schemas.openxmlformats.org/officeDocument/2006/relationships/hyperlink" Target="https://techcombank.com/thong-tin/blog/ten-dang-nhap-tai-khoan-ngan-hang-la-gi" TargetMode="External"/><Relationship Id="rId88" Type="http://schemas.openxmlformats.org/officeDocument/2006/relationships/hyperlink" Target="https://techcombank.com/thong-tin/blog/cach-sao-ke-tai-khoan-ngan-hang" TargetMode="External"/><Relationship Id="rId87" Type="http://schemas.openxmlformats.org/officeDocument/2006/relationships/hyperlink" Target="https://techcombank.com/thong-tin/blog/ten-dang-nhap-tai-khoan-ngan-hang-la-gi" TargetMode="External"/><Relationship Id="rId89" Type="http://schemas.openxmlformats.org/officeDocument/2006/relationships/hyperlink" Target="https://techcombank.com/thong-tin/blog/ten-dang-nhap-tai-khoan-ngan-hang-la-gi" TargetMode="External"/><Relationship Id="rId80" Type="http://schemas.openxmlformats.org/officeDocument/2006/relationships/hyperlink" Target="https://techcombank.com/thong-tin/blog/cach-dong-tien-dien-qua-tai-khoan-ngan-hang" TargetMode="External"/><Relationship Id="rId82" Type="http://schemas.openxmlformats.org/officeDocument/2006/relationships/hyperlink" Target="https://techcombank.com/thong-tin/blog/the-tin-dung-mien-lai-55-ngay" TargetMode="External"/><Relationship Id="rId81" Type="http://schemas.openxmlformats.org/officeDocument/2006/relationships/hyperlink" Target="https://techcombank.com/thong-tin/blog/cach-sao-ke-tai-khoan-ngan-hang" TargetMode="External"/><Relationship Id="rId73" Type="http://schemas.openxmlformats.org/officeDocument/2006/relationships/hyperlink" Target="https://techcombank.com/thong-tin/blog/bao-nhieu-tuoi-duoc-mo-tai-khoan-ngan-hang" TargetMode="External"/><Relationship Id="rId72" Type="http://schemas.openxmlformats.org/officeDocument/2006/relationships/hyperlink" Target="https://techcombank.com/thong-tin/blog/bao-lanh-vay-von" TargetMode="External"/><Relationship Id="rId75" Type="http://schemas.openxmlformats.org/officeDocument/2006/relationships/hyperlink" Target="https://techcombank.com/thong-tin/blog/mo-tai-khoan-ngan-hang-duoi-18-tuoi" TargetMode="External"/><Relationship Id="rId74" Type="http://schemas.openxmlformats.org/officeDocument/2006/relationships/hyperlink" Target="https://techcombank.com/thong-tin/blog/qr-code-phuong-thuc-thanh-toan-toi-uu-trong-ky-nguyen-so" TargetMode="External"/><Relationship Id="rId77" Type="http://schemas.openxmlformats.org/officeDocument/2006/relationships/hyperlink" Target="https://techcombank.com/thong-tin/blog/nap-tien-vao-tai-khoan-ngan-hang" TargetMode="External"/><Relationship Id="rId76" Type="http://schemas.openxmlformats.org/officeDocument/2006/relationships/hyperlink" Target="https://techcombank.com/thong-tin/blog/ekyc-la-gi" TargetMode="External"/><Relationship Id="rId79" Type="http://schemas.openxmlformats.org/officeDocument/2006/relationships/hyperlink" Target="https://techcombank.com/thong-tin/blog/nap-tien-vao-tai-khoan-ngan-hang" TargetMode="External"/><Relationship Id="rId78" Type="http://schemas.openxmlformats.org/officeDocument/2006/relationships/hyperlink" Target="https://techcombank.com/thong-tin/blog/cac-loai-the-ngan-hang" TargetMode="External"/><Relationship Id="rId71" Type="http://schemas.openxmlformats.org/officeDocument/2006/relationships/hyperlink" Target="https://techcombank.com/thong-tin/blog/ngan-hang-uy-tin" TargetMode="External"/><Relationship Id="rId70" Type="http://schemas.openxmlformats.org/officeDocument/2006/relationships/hyperlink" Target="https://techcombank.com/thong-tin/blog/quy-du-phong-tai-chinh-la-gi" TargetMode="External"/><Relationship Id="rId62" Type="http://schemas.openxmlformats.org/officeDocument/2006/relationships/hyperlink" Target="https://techcombank.com/thong-tin/blog/thue-vat-la-gi" TargetMode="External"/><Relationship Id="rId61" Type="http://schemas.openxmlformats.org/officeDocument/2006/relationships/hyperlink" Target="https://techcombank.com/thong-tin/blog/cach-tinh-thue-thu-nhap-ca-nhan-2025" TargetMode="External"/><Relationship Id="rId64" Type="http://schemas.openxmlformats.org/officeDocument/2006/relationships/hyperlink" Target="https://techcombank.com/thong-tin/blog/quy-dinh-ve-mua-ban-ngoai-te-cua-doanh-nghiep" TargetMode="External"/><Relationship Id="rId63" Type="http://schemas.openxmlformats.org/officeDocument/2006/relationships/hyperlink" Target="https://techcombank.com/thong-tin/blog/ngan-hang-uy-tin" TargetMode="External"/><Relationship Id="rId66" Type="http://schemas.openxmlformats.org/officeDocument/2006/relationships/hyperlink" Target="https://techcombank.com/thong-tin/blog/chuyen-tien-tro-cap-than-nhan-o-nuoc-ngoai" TargetMode="External"/><Relationship Id="rId65" Type="http://schemas.openxmlformats.org/officeDocument/2006/relationships/hyperlink" Target="https://techcombank.com/thong-tin/blog/ngan-hang-uy-tin" TargetMode="External"/><Relationship Id="rId68" Type="http://schemas.openxmlformats.org/officeDocument/2006/relationships/hyperlink" Target="https://techcombank.com/thong-tin/blog/nop-tien-mat-vao-tai-khoan-cong-ty" TargetMode="External"/><Relationship Id="rId67" Type="http://schemas.openxmlformats.org/officeDocument/2006/relationships/hyperlink" Target="https://techcombank.com/thong-tin/blog/ngan-hang-uy-tin" TargetMode="External"/><Relationship Id="rId609" Type="http://schemas.openxmlformats.org/officeDocument/2006/relationships/drawing" Target="../drawings/drawing3.xml"/><Relationship Id="rId608" Type="http://schemas.openxmlformats.org/officeDocument/2006/relationships/hyperlink" Target="https://techcombank.com/thong-tin/blog/hu-chi-tieu" TargetMode="External"/><Relationship Id="rId607" Type="http://schemas.openxmlformats.org/officeDocument/2006/relationships/hyperlink" Target="https://techcombank.com/thong-tin/blog/phuong-phap-dau-tu-chung-chi-quy" TargetMode="External"/><Relationship Id="rId60" Type="http://schemas.openxmlformats.org/officeDocument/2006/relationships/hyperlink" Target="https://techcombank.com/thong-tin/blog/phat-cham-dang-ky-thue-ho-kinh-doanh" TargetMode="External"/><Relationship Id="rId602" Type="http://schemas.openxmlformats.org/officeDocument/2006/relationships/hyperlink" Target="https://techcombank.com/thong-tin/blog/the-tin-dung-bi-khoa" TargetMode="External"/><Relationship Id="rId601" Type="http://schemas.openxmlformats.org/officeDocument/2006/relationships/hyperlink" Target="https://techcombank.com/thong-tin/blog/nen-vay-tin-chap-o-dau" TargetMode="External"/><Relationship Id="rId600" Type="http://schemas.openxmlformats.org/officeDocument/2006/relationships/hyperlink" Target="https://techcombank.com/thong-tin/blog/thanh-toan-truc-tuyen" TargetMode="External"/><Relationship Id="rId606" Type="http://schemas.openxmlformats.org/officeDocument/2006/relationships/hyperlink" Target="https://techcombank.com/thong-tin/blog/gia-tri-tai-san-rong" TargetMode="External"/><Relationship Id="rId605" Type="http://schemas.openxmlformats.org/officeDocument/2006/relationships/hyperlink" Target="https://techcombank.com/thong-tin/blog/phuong-phap-dau-tu-chung-chi-quy" TargetMode="External"/><Relationship Id="rId604" Type="http://schemas.openxmlformats.org/officeDocument/2006/relationships/hyperlink" Target="https://techcombank.com/thong-tin/blog/tra-no-vay-thau-chi-nhu-the-nao" TargetMode="External"/><Relationship Id="rId603" Type="http://schemas.openxmlformats.org/officeDocument/2006/relationships/hyperlink" Target="https://techcombank.com/thong-tin/blog/nen-vay-tin-chap-o-dau" TargetMode="External"/><Relationship Id="rId69" Type="http://schemas.openxmlformats.org/officeDocument/2006/relationships/hyperlink" Target="https://techcombank.com/thong-tin/blog/ngan-hang-uy-tin" TargetMode="External"/><Relationship Id="rId51" Type="http://schemas.openxmlformats.org/officeDocument/2006/relationships/hyperlink" Target="https://techcombank.com/thong-tin/blog/cach-tinh-thue-thu-nhap-ca-nhan-2025" TargetMode="External"/><Relationship Id="rId50" Type="http://schemas.openxmlformats.org/officeDocument/2006/relationships/hyperlink" Target="https://techcombank.com/thong-tin/blog/cach-nhan-tien-tu-nuoc-ngoai-ve-viet-nam" TargetMode="External"/><Relationship Id="rId53" Type="http://schemas.openxmlformats.org/officeDocument/2006/relationships/hyperlink" Target="https://techcombank.com/thong-tin/blog/cach-tinh-thue-thu-nhap-ca-nhan-2025" TargetMode="External"/><Relationship Id="rId52" Type="http://schemas.openxmlformats.org/officeDocument/2006/relationships/hyperlink" Target="https://techcombank.com/thong-tin/blog/ho-kinh-doanh-la-gi" TargetMode="External"/><Relationship Id="rId55" Type="http://schemas.openxmlformats.org/officeDocument/2006/relationships/hyperlink" Target="https://techcombank.com/thong-tin/blog/cach-tinh-thue-thu-nhap-ca-nhan-2025" TargetMode="External"/><Relationship Id="rId54" Type="http://schemas.openxmlformats.org/officeDocument/2006/relationships/hyperlink" Target="https://techcombank.com/thong-tin/blog/kinh-doanh-online" TargetMode="External"/><Relationship Id="rId57" Type="http://schemas.openxmlformats.org/officeDocument/2006/relationships/hyperlink" Target="https://techcombank.com/thong-tin/blog/cach-tinh-thue-thu-nhap-ca-nhan-2025" TargetMode="External"/><Relationship Id="rId56" Type="http://schemas.openxmlformats.org/officeDocument/2006/relationships/hyperlink" Target="https://techcombank.com/thong-tin/blog/thue-doanh-nghiep" TargetMode="External"/><Relationship Id="rId59" Type="http://schemas.openxmlformats.org/officeDocument/2006/relationships/hyperlink" Target="https://techcombank.com/thong-tin/blog/cach-tinh-thue-thu-nhap-ca-nhan-2025" TargetMode="External"/><Relationship Id="rId58" Type="http://schemas.openxmlformats.org/officeDocument/2006/relationships/hyperlink" Target="https://techcombank.com/thong-tin/blog/may-tinh-tien" TargetMode="External"/><Relationship Id="rId590" Type="http://schemas.openxmlformats.org/officeDocument/2006/relationships/hyperlink" Target="https://techcombank.com/thong-tin/blog/kich-hoat-the-tin-dung-techcombank" TargetMode="External"/><Relationship Id="rId107" Type="http://schemas.openxmlformats.org/officeDocument/2006/relationships/hyperlink" Target="https://techcombank.com/thong-tin/blog/cach-quet-nfc-cccd-tren-iphone" TargetMode="External"/><Relationship Id="rId228" Type="http://schemas.openxmlformats.org/officeDocument/2006/relationships/hyperlink" Target="https://techcombank.com/thong-tin/blog/1-chi-vang-bao-nhieu-tien" TargetMode="External"/><Relationship Id="rId349" Type="http://schemas.openxmlformats.org/officeDocument/2006/relationships/hyperlink" Target="https://techcombank.com/thong-tin/blog/lai-suat-tiet-kiem" TargetMode="External"/><Relationship Id="rId106" Type="http://schemas.openxmlformats.org/officeDocument/2006/relationships/hyperlink" Target="https://techcombank.com/thong-tin/blog/bao-nhieu-tuoi-duoc-mo-tai-khoan-ngan-hang" TargetMode="External"/><Relationship Id="rId227" Type="http://schemas.openxmlformats.org/officeDocument/2006/relationships/hyperlink" Target="https://techcombank.com/thong-tin/blog/1-trieu-do-bang-bao-nhieu-tien-viet" TargetMode="External"/><Relationship Id="rId348" Type="http://schemas.openxmlformats.org/officeDocument/2006/relationships/hyperlink" Target="https://techcombank.com/thong-tin/blog/ung-dung-big-data-trong-ngan-hang" TargetMode="External"/><Relationship Id="rId469" Type="http://schemas.openxmlformats.org/officeDocument/2006/relationships/hyperlink" Target="https://techcombank.com/cong-cu-tien-ich/cong-cu-tinh-toan/bang-tinh-lai-suat-vay" TargetMode="External"/><Relationship Id="rId105" Type="http://schemas.openxmlformats.org/officeDocument/2006/relationships/hyperlink" Target="https://techcombank.com/thong-tin/blog/cach-quet-nfc-cccd-tren-iphone" TargetMode="External"/><Relationship Id="rId226" Type="http://schemas.openxmlformats.org/officeDocument/2006/relationships/hyperlink" Target="https://techcombank.com/thong-tin/blog/thanh-toan-bang-the-quoc-te" TargetMode="External"/><Relationship Id="rId347" Type="http://schemas.openxmlformats.org/officeDocument/2006/relationships/hyperlink" Target="https://techcombank.com/thong-tin/blog/lai-suat-tiet-kiem" TargetMode="External"/><Relationship Id="rId468" Type="http://schemas.openxmlformats.org/officeDocument/2006/relationships/hyperlink" Target="https://techcombank.com/thong-tin/blog/thanh-ly-tai-san" TargetMode="External"/><Relationship Id="rId589" Type="http://schemas.openxmlformats.org/officeDocument/2006/relationships/hyperlink" Target="https://techcombank.com/thong-tin/blog/nen-vay-tin-chap-o-dau" TargetMode="External"/><Relationship Id="rId104" Type="http://schemas.openxmlformats.org/officeDocument/2006/relationships/hyperlink" Target="https://techcombank.com/thong-tin/blog/lam-the-visa-online" TargetMode="External"/><Relationship Id="rId225" Type="http://schemas.openxmlformats.org/officeDocument/2006/relationships/hyperlink" Target="https://techcombank.com/thong-tin/blog/1-trieu-do-bang-bao-nhieu-tien-viet" TargetMode="External"/><Relationship Id="rId346" Type="http://schemas.openxmlformats.org/officeDocument/2006/relationships/hyperlink" Target="https://techcombank.com/thong-tin/blog/the-tin-dung-la-gi" TargetMode="External"/><Relationship Id="rId467" Type="http://schemas.openxmlformats.org/officeDocument/2006/relationships/hyperlink" Target="https://techcombank.com/cong-cu-tien-ich/cong-cu-tinh-toan/bang-tinh-lai-suat-vay" TargetMode="External"/><Relationship Id="rId588" Type="http://schemas.openxmlformats.org/officeDocument/2006/relationships/hyperlink" Target="https://techcombank.com/thong-tin/blog/ke-hoach-tai-chinh" TargetMode="External"/><Relationship Id="rId109" Type="http://schemas.openxmlformats.org/officeDocument/2006/relationships/hyperlink" Target="https://techcombank.com/thong-tin/blog/cach-quet-nfc-cccd-tren-iphone" TargetMode="External"/><Relationship Id="rId108" Type="http://schemas.openxmlformats.org/officeDocument/2006/relationships/hyperlink" Target="https://techcombank.com/thong-tin/blog/lam-the-thanh-toan-quoc-te" TargetMode="External"/><Relationship Id="rId229" Type="http://schemas.openxmlformats.org/officeDocument/2006/relationships/hyperlink" Target="https://techcombank.com/thong-tin/blog/1-trieu-do-bang-bao-nhieu-tien-viet" TargetMode="External"/><Relationship Id="rId220" Type="http://schemas.openxmlformats.org/officeDocument/2006/relationships/hyperlink" Target="https://techcombank.com/thong-tin/blog/1-chi-vang-bao-nhieu-tien" TargetMode="External"/><Relationship Id="rId341" Type="http://schemas.openxmlformats.org/officeDocument/2006/relationships/hyperlink" Target="https://techcombank.com/thong-tin/blog/lai-suat-tiet-kiem" TargetMode="External"/><Relationship Id="rId462" Type="http://schemas.openxmlformats.org/officeDocument/2006/relationships/hyperlink" Target="https://techcombank.com/thong-tin/blog/nim-la-gi" TargetMode="External"/><Relationship Id="rId583" Type="http://schemas.openxmlformats.org/officeDocument/2006/relationships/hyperlink" Target="https://techcombank.com/thong-tin/blog/nen-vay-tin-chap-o-dau" TargetMode="External"/><Relationship Id="rId340" Type="http://schemas.openxmlformats.org/officeDocument/2006/relationships/hyperlink" Target="https://techcombank.com/thong-tin/blog/so-du-tien-gui-la-gi" TargetMode="External"/><Relationship Id="rId461"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co-nen-gui-chung-chi-tien-gui" TargetMode="External"/><Relationship Id="rId460" Type="http://schemas.openxmlformats.org/officeDocument/2006/relationships/hyperlink" Target="https://techcombank.com/thong-tin/blog/fintech-la-gi" TargetMode="External"/><Relationship Id="rId581" Type="http://schemas.openxmlformats.org/officeDocument/2006/relationships/hyperlink" Target="https://techcombank.com/thong-tin/blog/nen-vay-tin-chap-o-dau" TargetMode="External"/><Relationship Id="rId580" Type="http://schemas.openxmlformats.org/officeDocument/2006/relationships/hyperlink" Target="https://techcombank.com/thong-tin/blog/cach-chuyen-tien-qua-ma-qr-techcombank" TargetMode="External"/><Relationship Id="rId103" Type="http://schemas.openxmlformats.org/officeDocument/2006/relationships/hyperlink" Target="https://techcombank.com/thong-tin/blog/rut-tien-bang-ma-qr-la-gi-cach-thuc-hien-nhu-the-nao" TargetMode="External"/><Relationship Id="rId224" Type="http://schemas.openxmlformats.org/officeDocument/2006/relationships/hyperlink" Target="https://techcombank.com/thong-tin/blog/gui-tiet-kiem-usd" TargetMode="External"/><Relationship Id="rId345" Type="http://schemas.openxmlformats.org/officeDocument/2006/relationships/hyperlink" Target="https://techcombank.com/thong-tin/blog/lai-suat-tiet-kiem" TargetMode="External"/><Relationship Id="rId466" Type="http://schemas.openxmlformats.org/officeDocument/2006/relationships/hyperlink" Target="https://techcombank.com/thong-tin/blog/san-pham-xanh" TargetMode="External"/><Relationship Id="rId587" Type="http://schemas.openxmlformats.org/officeDocument/2006/relationships/hyperlink" Target="https://techcombank.com/thong-tin/blog/nen-vay-tin-chap-o-dau" TargetMode="External"/><Relationship Id="rId102" Type="http://schemas.openxmlformats.org/officeDocument/2006/relationships/hyperlink" Target="https://techcombank.com/thong-tin/blog/cac-loai-the-ngan-hang" TargetMode="External"/><Relationship Id="rId223" Type="http://schemas.openxmlformats.org/officeDocument/2006/relationships/hyperlink" Target="https://techcombank.com/thong-tin/blog/1-trieu-do-bang-bao-nhieu-tien-viet" TargetMode="External"/><Relationship Id="rId344" Type="http://schemas.openxmlformats.org/officeDocument/2006/relationships/hyperlink" Target="https://techcombank.com/thong-tin/blog/thanh-toan-online-bang-the-tin-dung" TargetMode="External"/><Relationship Id="rId465" Type="http://schemas.openxmlformats.org/officeDocument/2006/relationships/hyperlink" Target="https://techcombank.com/cong-cu-tien-ich/cong-cu-tinh-toan/bang-tinh-lai-suat-vay" TargetMode="External"/><Relationship Id="rId586" Type="http://schemas.openxmlformats.org/officeDocument/2006/relationships/hyperlink" Target="https://techcombank.com/thong-tin/blog/ho-so-thu-tuc-xoa-the-chap" TargetMode="External"/><Relationship Id="rId101" Type="http://schemas.openxmlformats.org/officeDocument/2006/relationships/hyperlink" Target="https://techcombank.com/thong-tin/blog/rut-tien-bang-ma-qr-la-gi-cach-thuc-hien-nhu-the-nao" TargetMode="External"/><Relationship Id="rId222" Type="http://schemas.openxmlformats.org/officeDocument/2006/relationships/hyperlink" Target="https://techcombank.com/thong-tin/blog/chuyen-tien-tro-cap-than-nhan-o-nuoc-ngoai" TargetMode="External"/><Relationship Id="rId343" Type="http://schemas.openxmlformats.org/officeDocument/2006/relationships/hyperlink" Target="https://techcombank.com/thong-tin/blog/lai-suat-tiet-kiem" TargetMode="External"/><Relationship Id="rId464" Type="http://schemas.openxmlformats.org/officeDocument/2006/relationships/hyperlink" Target="https://techcombank.com/thong-tin/blog/pos" TargetMode="External"/><Relationship Id="rId585" Type="http://schemas.openxmlformats.org/officeDocument/2006/relationships/hyperlink" Target="https://techcombank.com/thong-tin/blog/nen-vay-tin-chap-o-dau" TargetMode="External"/><Relationship Id="rId100" Type="http://schemas.openxmlformats.org/officeDocument/2006/relationships/hyperlink" Target="https://techcombank.com/thong-tin/blog/may-tinh-tien" TargetMode="External"/><Relationship Id="rId221" Type="http://schemas.openxmlformats.org/officeDocument/2006/relationships/hyperlink" Target="https://techcombank.com/thong-tin/blog/1-trieu-do-bang-bao-nhieu-tien-viet" TargetMode="External"/><Relationship Id="rId342" Type="http://schemas.openxmlformats.org/officeDocument/2006/relationships/hyperlink" Target="https://techcombank.com/thong-tin/blog/thanh-ly-tai-san" TargetMode="External"/><Relationship Id="rId463" Type="http://schemas.openxmlformats.org/officeDocument/2006/relationships/hyperlink" Target="https://techcombank.com/cong-cu-tien-ich/cong-cu-tinh-toan/bang-tinh-lai-suat-vay" TargetMode="External"/><Relationship Id="rId584" Type="http://schemas.openxmlformats.org/officeDocument/2006/relationships/hyperlink" Target="https://techcombank.com/thong-tin/blog/gio-lam-viec-techcombank" TargetMode="External"/><Relationship Id="rId217" Type="http://schemas.openxmlformats.org/officeDocument/2006/relationships/hyperlink" Target="https://techcombank.com/thong-tin/blog/1-dong-do-la-my-bang-bao-nhieu-tien-viet-nam" TargetMode="External"/><Relationship Id="rId338" Type="http://schemas.openxmlformats.org/officeDocument/2006/relationships/hyperlink" Target="https://techcombank.com/thong-tin/blog/ngoai-hoi-la-gi" TargetMode="External"/><Relationship Id="rId459" Type="http://schemas.openxmlformats.org/officeDocument/2006/relationships/hyperlink" Target="https://techcombank.com/cong-cu-tien-ich/cong-cu-tinh-toan/bang-tinh-lai-suat-vay" TargetMode="External"/><Relationship Id="rId216" Type="http://schemas.openxmlformats.org/officeDocument/2006/relationships/hyperlink" Target="https://techcombank.com/thong-tin/blog/tien-lao" TargetMode="External"/><Relationship Id="rId337" Type="http://schemas.openxmlformats.org/officeDocument/2006/relationships/hyperlink" Target="https://techcombank.com/thong-tin/blog/lai-suat-tiet-kiem" TargetMode="External"/><Relationship Id="rId458" Type="http://schemas.openxmlformats.org/officeDocument/2006/relationships/hyperlink" Target="https://techcombank.com/thong-tin/blog/chung-chi-tien-gui-co-an-toan-khong" TargetMode="External"/><Relationship Id="rId579" Type="http://schemas.openxmlformats.org/officeDocument/2006/relationships/hyperlink" Target="https://techcombank.com/thong-tin/blog/nen-vay-tin-chap-o-dau" TargetMode="External"/><Relationship Id="rId215"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lam-the-tin-dung-co-mat-phi-khong" TargetMode="External"/><Relationship Id="rId457"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barcode-la-gi" TargetMode="External"/><Relationship Id="rId214" Type="http://schemas.openxmlformats.org/officeDocument/2006/relationships/hyperlink" Target="https://techcombank.com/thong-tin/blog/1-chi-vang-bao-nhieu-tien" TargetMode="External"/><Relationship Id="rId335" Type="http://schemas.openxmlformats.org/officeDocument/2006/relationships/hyperlink" Target="https://techcombank.com/thong-tin/blog/lai-suat-tiet-kiem" TargetMode="External"/><Relationship Id="rId456" Type="http://schemas.openxmlformats.org/officeDocument/2006/relationships/hyperlink" Target="https://techcombank.com/thong-tin/blog/ca-nhan-hoa" TargetMode="External"/><Relationship Id="rId577" Type="http://schemas.openxmlformats.org/officeDocument/2006/relationships/hyperlink" Target="https://techcombank.com/thong-tin/blog/nen-vay-tin-chap-o-dau" TargetMode="External"/><Relationship Id="rId219" Type="http://schemas.openxmlformats.org/officeDocument/2006/relationships/hyperlink" Target="https://techcombank.com/thong-tin/blog/tien-nhat" TargetMode="External"/><Relationship Id="rId218" Type="http://schemas.openxmlformats.org/officeDocument/2006/relationships/hyperlink" Target="https://techcombank.com/thong-tin/blog/ty-gia-hoi-doai-la-gi" TargetMode="External"/><Relationship Id="rId339" Type="http://schemas.openxmlformats.org/officeDocument/2006/relationships/hyperlink" Target="https://techcombank.com/thong-tin/blog/lai-suat-tiet-kiem" TargetMode="External"/><Relationship Id="rId330" Type="http://schemas.openxmlformats.org/officeDocument/2006/relationships/hyperlink" Target="https://techcombank.com/thong-tin/blog/cpi-la-gi" TargetMode="External"/><Relationship Id="rId451"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lich-su-tin-dung" TargetMode="External"/><Relationship Id="rId450" Type="http://schemas.openxmlformats.org/officeDocument/2006/relationships/hyperlink" Target="https://techcombank.com/thong-tin/blog/chien-luoc-dau-tu" TargetMode="External"/><Relationship Id="rId571" Type="http://schemas.openxmlformats.org/officeDocument/2006/relationships/hyperlink" Target="https://techcombank.com/thong-tin/blog/nen-vay-tin-chap-o-dau" TargetMode="External"/><Relationship Id="rId570" Type="http://schemas.openxmlformats.org/officeDocument/2006/relationships/hyperlink" Target="https://techcombank.com/thong-tin/blog/chuong-trinh-khach-hang-than-thiet" TargetMode="External"/><Relationship Id="rId213" Type="http://schemas.openxmlformats.org/officeDocument/2006/relationships/hyperlink" Target="https://techcombank.com/thong-tin/blog/1-dong-do-la-my-bang-bao-nhieu-tien-viet-nam" TargetMode="External"/><Relationship Id="rId334" Type="http://schemas.openxmlformats.org/officeDocument/2006/relationships/hyperlink" Target="https://techcombank.com/thong-tin/blog/gia-vang-16k-hom-nay" TargetMode="External"/><Relationship Id="rId455" Type="http://schemas.openxmlformats.org/officeDocument/2006/relationships/hyperlink" Target="https://techcombank.com/cong-cu-tien-ich/cong-cu-tinh-toan/bang-tinh-lai-suat-vay" TargetMode="External"/><Relationship Id="rId576" Type="http://schemas.openxmlformats.org/officeDocument/2006/relationships/hyperlink" Target="https://techcombank.com/thong-tin/blog/1-nguoi-co-the-lam-duoc-bao-nhieu-the-atm" TargetMode="External"/><Relationship Id="rId212" Type="http://schemas.openxmlformats.org/officeDocument/2006/relationships/hyperlink" Target="https://techcombank.com/thong-tin/blog/chuyen-tien-tro-cap-than-nhan-o-nuoc-ngoai" TargetMode="External"/><Relationship Id="rId333" Type="http://schemas.openxmlformats.org/officeDocument/2006/relationships/hyperlink" Target="https://techcombank.com/thong-tin/blog/lai-suat-tiet-kiem" TargetMode="External"/><Relationship Id="rId454" Type="http://schemas.openxmlformats.org/officeDocument/2006/relationships/hyperlink" Target="https://techcombank.com/thong-tin/blog/ke-hoach-huu-tri" TargetMode="External"/><Relationship Id="rId575" Type="http://schemas.openxmlformats.org/officeDocument/2006/relationships/hyperlink" Target="https://techcombank.com/thong-tin/blog/nen-vay-tin-chap-o-dau" TargetMode="External"/><Relationship Id="rId211" Type="http://schemas.openxmlformats.org/officeDocument/2006/relationships/hyperlink" Target="https://techcombank.com/thong-tin/blog/1-te-bang-bao-nhieu-tien-viet-nam" TargetMode="External"/><Relationship Id="rId332" Type="http://schemas.openxmlformats.org/officeDocument/2006/relationships/hyperlink" Target="https://techcombank.com/thong-tin/blog/dac-quyen-khach-hang-vip-ngan-hang" TargetMode="External"/><Relationship Id="rId453"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the-ghi-no-co-chuyen-khoan-duoc-khong" TargetMode="External"/><Relationship Id="rId210" Type="http://schemas.openxmlformats.org/officeDocument/2006/relationships/hyperlink" Target="https://techcombank.com/thong-tin/blog/cach-tinh-ty-gia-ky-han" TargetMode="External"/><Relationship Id="rId331" Type="http://schemas.openxmlformats.org/officeDocument/2006/relationships/hyperlink" Target="https://techcombank.com/thong-tin/blog/lai-suat-tiet-kiem" TargetMode="External"/><Relationship Id="rId452" Type="http://schemas.openxmlformats.org/officeDocument/2006/relationships/hyperlink" Target="https://techcombank.com/thong-tin/blog/co-50-trieu-nen-mua-vang-hay-gui-tiet-kiem" TargetMode="External"/><Relationship Id="rId573" Type="http://schemas.openxmlformats.org/officeDocument/2006/relationships/hyperlink" Target="https://techcombank.com/thong-tin/blog/nen-vay-tin-chap-o-dau" TargetMode="External"/><Relationship Id="rId370" Type="http://schemas.openxmlformats.org/officeDocument/2006/relationships/hyperlink" Target="https://techcombank.com/thong-tin/blog/cpi-la-gi" TargetMode="External"/><Relationship Id="rId491" Type="http://schemas.openxmlformats.org/officeDocument/2006/relationships/hyperlink" Target="https://techcombank.com/thong-tin/blog/lai-suat-vay-ngan-hang" TargetMode="External"/><Relationship Id="rId490" Type="http://schemas.openxmlformats.org/officeDocument/2006/relationships/hyperlink" Target="https://techcombank.com/thong-tin/blog/fintech-la-gi" TargetMode="External"/><Relationship Id="rId129" Type="http://schemas.openxmlformats.org/officeDocument/2006/relationships/hyperlink" Target="https://techcombank.com/thong-tin/blog/rut-tien-mat-tu-the-tin-dung" TargetMode="External"/><Relationship Id="rId128" Type="http://schemas.openxmlformats.org/officeDocument/2006/relationships/hyperlink" Target="https://techcombank.com/thong-tin/blog/the-ghi-no-la-gi" TargetMode="External"/><Relationship Id="rId249" Type="http://schemas.openxmlformats.org/officeDocument/2006/relationships/hyperlink" Target="https://techcombank.com/thong-tin/blog/cach-nhan-tien-tu-nuoc-ngoai-ve-viet-nam" TargetMode="External"/><Relationship Id="rId127" Type="http://schemas.openxmlformats.org/officeDocument/2006/relationships/hyperlink" Target="https://techcombank.com/thong-tin/blog/eco-card" TargetMode="External"/><Relationship Id="rId248" Type="http://schemas.openxmlformats.org/officeDocument/2006/relationships/hyperlink" Target="https://techcombank.com/thong-tin/blog/ty-gia-hoi-doai-la-gi" TargetMode="External"/><Relationship Id="rId369" Type="http://schemas.openxmlformats.org/officeDocument/2006/relationships/hyperlink" Target="https://techcombank.com/thong-tin/blog/cach-tinh-lai-suat-tien-gui-tiet-kiem" TargetMode="External"/><Relationship Id="rId126" Type="http://schemas.openxmlformats.org/officeDocument/2006/relationships/hyperlink" Target="https://techcombank.com/thong-tin/blog/the-atm-gan-chip" TargetMode="External"/><Relationship Id="rId247" Type="http://schemas.openxmlformats.org/officeDocument/2006/relationships/hyperlink" Target="https://techcombank.com/thong-tin/blog/cach-nhan-tien-tu-nuoc-ngoai-ve-viet-nam" TargetMode="External"/><Relationship Id="rId368" Type="http://schemas.openxmlformats.org/officeDocument/2006/relationships/hyperlink" Target="https://techcombank.com/thong-tin/blog/chuyen-doi-xanh" TargetMode="External"/><Relationship Id="rId489" Type="http://schemas.openxmlformats.org/officeDocument/2006/relationships/hyperlink" Target="https://techcombank.com/thong-tin/blog/lai-suat-vay-ngan-hang" TargetMode="External"/><Relationship Id="rId121" Type="http://schemas.openxmlformats.org/officeDocument/2006/relationships/hyperlink" Target="https://techcombank.com/thong-tin/blog/cach-quet-nfc-cccd-tren-iphone" TargetMode="External"/><Relationship Id="rId242" Type="http://schemas.openxmlformats.org/officeDocument/2006/relationships/hyperlink" Target="https://techcombank.com/thong-tin/blog/phi-chuyen-doi-ngoai-te" TargetMode="External"/><Relationship Id="rId363" Type="http://schemas.openxmlformats.org/officeDocument/2006/relationships/hyperlink" Target="https://techcombank.com/thong-tin/blog/cach-tinh-lai-suat-tien-gui-tiet-kiem" TargetMode="External"/><Relationship Id="rId484" Type="http://schemas.openxmlformats.org/officeDocument/2006/relationships/hyperlink" Target="https://techcombank.com/thong-tin/blog/ca-nhan-hoa" TargetMode="External"/><Relationship Id="rId120" Type="http://schemas.openxmlformats.org/officeDocument/2006/relationships/hyperlink" Target="https://techcombank.com/thong-tin/blog/cach-dang-ky-the-visa" TargetMode="External"/><Relationship Id="rId241" Type="http://schemas.openxmlformats.org/officeDocument/2006/relationships/hyperlink" Target="https://techcombank.com/thong-tin/blog/1-trieu-do-bang-bao-nhieu-tien-viet" TargetMode="External"/><Relationship Id="rId362" Type="http://schemas.openxmlformats.org/officeDocument/2006/relationships/hyperlink" Target="https://techcombank.com/thong-tin/blog/cach-tinh-loi-nhuan-chung-chi-tien-gui" TargetMode="External"/><Relationship Id="rId483" Type="http://schemas.openxmlformats.org/officeDocument/2006/relationships/hyperlink" Target="https://techcombank.com/thong-tin/blog/lai-suat-vay-ngan-hang" TargetMode="External"/><Relationship Id="rId240" Type="http://schemas.openxmlformats.org/officeDocument/2006/relationships/hyperlink" Target="https://techcombank.com/thong-tin/blog/kieu-hoi-la-gi" TargetMode="External"/><Relationship Id="rId361" Type="http://schemas.openxmlformats.org/officeDocument/2006/relationships/hyperlink" Target="https://techcombank.com/thong-tin/blog/cach-tinh-lai-suat-tien-gui-tiet-kiem" TargetMode="External"/><Relationship Id="rId482" Type="http://schemas.openxmlformats.org/officeDocument/2006/relationships/hyperlink" Target="https://techcombank.com/thong-tin/blog/an-han-no-goc-la-gi" TargetMode="External"/><Relationship Id="rId360" Type="http://schemas.openxmlformats.org/officeDocument/2006/relationships/hyperlink" Target="https://techcombank.com/thong-tin/blog/cach-tinh-gia-vang" TargetMode="External"/><Relationship Id="rId481" Type="http://schemas.openxmlformats.org/officeDocument/2006/relationships/hyperlink" Target="https://techcombank.com/thong-tin/blog/lai-suat-vay-ngan-hang" TargetMode="External"/><Relationship Id="rId125" Type="http://schemas.openxmlformats.org/officeDocument/2006/relationships/hyperlink" Target="https://techcombank.com/thong-tin/blog/cach-quet-nfc-cccd-tren-iphone" TargetMode="External"/><Relationship Id="rId246" Type="http://schemas.openxmlformats.org/officeDocument/2006/relationships/hyperlink" Target="https://techcombank.com/thong-tin/blog/tien-thai-lan" TargetMode="External"/><Relationship Id="rId367" Type="http://schemas.openxmlformats.org/officeDocument/2006/relationships/hyperlink" Target="https://techcombank.com/thong-tin/blog/cach-tinh-lai-suat-tien-gui-tiet-kiem" TargetMode="External"/><Relationship Id="rId488" Type="http://schemas.openxmlformats.org/officeDocument/2006/relationships/hyperlink" Target="https://techcombank.com/thong-tin/blog/chung-chi-tien-gui-co-an-toan-khong" TargetMode="External"/><Relationship Id="rId124" Type="http://schemas.openxmlformats.org/officeDocument/2006/relationships/hyperlink" Target="https://techcombank.com/thong-tin/blog/phong-cho-san-bay-tan-son-nhat" TargetMode="External"/><Relationship Id="rId245" Type="http://schemas.openxmlformats.org/officeDocument/2006/relationships/hyperlink" Target="https://techcombank.com/thong-tin/blog/cach-nhan-tien-tu-nuoc-ngoai-ve-viet-nam" TargetMode="External"/><Relationship Id="rId366" Type="http://schemas.openxmlformats.org/officeDocument/2006/relationships/hyperlink" Target="https://techcombank.com/thong-tin/blog/chung-chi-tien-gui-co-phai-la-trai-phieu-khong" TargetMode="External"/><Relationship Id="rId487" Type="http://schemas.openxmlformats.org/officeDocument/2006/relationships/hyperlink" Target="https://techcombank.com/thong-tin/blog/lai-suat-vay-ngan-hang" TargetMode="External"/><Relationship Id="rId123" Type="http://schemas.openxmlformats.org/officeDocument/2006/relationships/hyperlink" Target="https://techcombank.com/thong-tin/blog/cach-quet-nfc-cccd-tren-iphone" TargetMode="External"/><Relationship Id="rId244" Type="http://schemas.openxmlformats.org/officeDocument/2006/relationships/hyperlink" Target="https://techcombank.com/thong-tin/blog/tien-thai-lan" TargetMode="External"/><Relationship Id="rId365" Type="http://schemas.openxmlformats.org/officeDocument/2006/relationships/hyperlink" Target="https://techcombank.com/thong-tin/blog/cach-tinh-lai-suat-tien-gui-tiet-kiem" TargetMode="External"/><Relationship Id="rId486" Type="http://schemas.openxmlformats.org/officeDocument/2006/relationships/hyperlink" Target="https://techcombank.com/thong-tin/blog/casa-la-gi" TargetMode="External"/><Relationship Id="rId122" Type="http://schemas.openxmlformats.org/officeDocument/2006/relationships/hyperlink" Target="https://techcombank.com/thong-tin/blog/lam-the-visa-online" TargetMode="External"/><Relationship Id="rId243" Type="http://schemas.openxmlformats.org/officeDocument/2006/relationships/hyperlink" Target="https://techcombank.com/thong-tin/blog/1-trieu-do-bang-bao-nhieu-tien-viet" TargetMode="External"/><Relationship Id="rId364" Type="http://schemas.openxmlformats.org/officeDocument/2006/relationships/hyperlink" Target="https://techcombank.com/thong-tin/blog/casa-la-gi" TargetMode="External"/><Relationship Id="rId485" Type="http://schemas.openxmlformats.org/officeDocument/2006/relationships/hyperlink" Target="https://techcombank.com/thong-tin/blog/lai-suat-vay-ngan-hang" TargetMode="External"/><Relationship Id="rId95" Type="http://schemas.openxmlformats.org/officeDocument/2006/relationships/hyperlink" Target="https://techcombank.com/thong-tin/blog/thue-thu-nhap-ca-nhan" TargetMode="External"/><Relationship Id="rId94" Type="http://schemas.openxmlformats.org/officeDocument/2006/relationships/hyperlink" Target="https://techcombank.com/thong-tin/blog/cach-nhan-tien-tu-nuoc-ngoai-ve-viet-nam" TargetMode="External"/><Relationship Id="rId97" Type="http://schemas.openxmlformats.org/officeDocument/2006/relationships/hyperlink" Target="https://techcombank.com/thong-tin/blog/thue-thu-nhap-ca-nhan" TargetMode="External"/><Relationship Id="rId96" Type="http://schemas.openxmlformats.org/officeDocument/2006/relationships/hyperlink" Target="https://techcombank.com/thong-tin/blog/chuyen-nhuong-chung-chi-tien-gui" TargetMode="External"/><Relationship Id="rId99" Type="http://schemas.openxmlformats.org/officeDocument/2006/relationships/hyperlink" Target="https://techcombank.com/thong-tin/blog/thue-thu-nhap-ca-nhan" TargetMode="External"/><Relationship Id="rId480" Type="http://schemas.openxmlformats.org/officeDocument/2006/relationships/hyperlink" Target="https://techcombank.com/thong-tin/blog/gia-tri-tai-san-rong" TargetMode="External"/><Relationship Id="rId98" Type="http://schemas.openxmlformats.org/officeDocument/2006/relationships/hyperlink" Target="https://techcombank.com/thong-tin/blog/dau-tu-quy-mo" TargetMode="External"/><Relationship Id="rId91" Type="http://schemas.openxmlformats.org/officeDocument/2006/relationships/hyperlink" Target="https://techcombank.com/thong-tin/blog/thue-thu-nhap-ca-nhan" TargetMode="External"/><Relationship Id="rId90" Type="http://schemas.openxmlformats.org/officeDocument/2006/relationships/hyperlink" Target="https://techcombank.com/thong-tin/blog/ma-qr-lam-gia-duoc-khong" TargetMode="External"/><Relationship Id="rId93" Type="http://schemas.openxmlformats.org/officeDocument/2006/relationships/hyperlink" Target="https://techcombank.com/thong-tin/blog/thue-thu-nhap-ca-nhan" TargetMode="External"/><Relationship Id="rId92" Type="http://schemas.openxmlformats.org/officeDocument/2006/relationships/hyperlink" Target="https://techcombank.com/thong-tin/blog/kieu-hoi-la-gi" TargetMode="External"/><Relationship Id="rId118" Type="http://schemas.openxmlformats.org/officeDocument/2006/relationships/hyperlink" Target="https://techcombank.com/thong-tin/blog/smart-otp-la-gi" TargetMode="External"/><Relationship Id="rId239" Type="http://schemas.openxmlformats.org/officeDocument/2006/relationships/hyperlink" Target="https://techcombank.com/thong-tin/blog/1-trieu-do-bang-bao-nhieu-tien-viet" TargetMode="External"/><Relationship Id="rId117" Type="http://schemas.openxmlformats.org/officeDocument/2006/relationships/hyperlink" Target="https://techcombank.com/thong-tin/blog/cach-quet-nfc-cccd-tren-iphone" TargetMode="External"/><Relationship Id="rId238" Type="http://schemas.openxmlformats.org/officeDocument/2006/relationships/hyperlink" Target="https://techcombank.com/thong-tin/blog/gia-ca-phe-hom-nay" TargetMode="External"/><Relationship Id="rId359" Type="http://schemas.openxmlformats.org/officeDocument/2006/relationships/hyperlink" Target="https://techcombank.com/thong-tin/blog/cach-tinh-lai-suat-tien-gui-tiet-kiem" TargetMode="External"/><Relationship Id="rId116" Type="http://schemas.openxmlformats.org/officeDocument/2006/relationships/hyperlink" Target="https://techcombank.com/thong-tin/blog/viet-kieu-co-mo-duoc-tai-khoan-ngan-hang-khong" TargetMode="External"/><Relationship Id="rId237" Type="http://schemas.openxmlformats.org/officeDocument/2006/relationships/hyperlink" Target="https://techcombank.com/thong-tin/blog/1-trieu-do-bang-bao-nhieu-tien-viet" TargetMode="External"/><Relationship Id="rId358" Type="http://schemas.openxmlformats.org/officeDocument/2006/relationships/hyperlink" Target="https://techcombank.com/thong-tin/blog/cac-loai-hinh-bao-hiem-nhan-tho" TargetMode="External"/><Relationship Id="rId479" Type="http://schemas.openxmlformats.org/officeDocument/2006/relationships/hyperlink" Target="https://techcombank.com/thong-tin/blog/app-vay-tien-nhanh" TargetMode="External"/><Relationship Id="rId115" Type="http://schemas.openxmlformats.org/officeDocument/2006/relationships/hyperlink" Target="https://techcombank.com/thong-tin/blog/cach-quet-nfc-cccd-tren-iphone" TargetMode="External"/><Relationship Id="rId236" Type="http://schemas.openxmlformats.org/officeDocument/2006/relationships/hyperlink" Target="https://techcombank.com/thong-tin/blog/du-bao-gia-vang" TargetMode="External"/><Relationship Id="rId357" Type="http://schemas.openxmlformats.org/officeDocument/2006/relationships/hyperlink" Target="https://techcombank.com/thong-tin/blog/cach-tinh-lai-suat-tien-gui-tiet-kiem" TargetMode="External"/><Relationship Id="rId478" Type="http://schemas.openxmlformats.org/officeDocument/2006/relationships/hyperlink" Target="https://techcombank.com/thong-tin/blog/ngan-hang-dien-tu" TargetMode="External"/><Relationship Id="rId599" Type="http://schemas.openxmlformats.org/officeDocument/2006/relationships/hyperlink" Target="https://techcombank.com/thong-tin/blog/nen-vay-tin-chap-o-dau" TargetMode="External"/><Relationship Id="rId119" Type="http://schemas.openxmlformats.org/officeDocument/2006/relationships/hyperlink" Target="https://techcombank.com/thong-tin/blog/cach-quet-nfc-cccd-tren-iphone" TargetMode="External"/><Relationship Id="rId110" Type="http://schemas.openxmlformats.org/officeDocument/2006/relationships/hyperlink" Target="https://techcombank.com/thong-tin/blog/phong-cho-san-bay-noi-bai" TargetMode="External"/><Relationship Id="rId231" Type="http://schemas.openxmlformats.org/officeDocument/2006/relationships/hyperlink" Target="https://techcombank.com/thong-tin/blog/1-trieu-do-bang-bao-nhieu-tien-viet" TargetMode="External"/><Relationship Id="rId352" Type="http://schemas.openxmlformats.org/officeDocument/2006/relationships/hyperlink" Target="https://techcombank.com/thong-tin/blog/dac-quyen-khach-hang-vip-ngan-hang" TargetMode="External"/><Relationship Id="rId473" Type="http://schemas.openxmlformats.org/officeDocument/2006/relationships/hyperlink" Target="https://techcombank.com/cong-cu-tien-ich/cong-cu-tinh-toan/bang-tinh-lai-suat-vay" TargetMode="External"/><Relationship Id="rId594" Type="http://schemas.openxmlformats.org/officeDocument/2006/relationships/hyperlink" Target="https://techcombank.com/thong-tin/blog/quan-ly-chi-phi-doanh-nghiep" TargetMode="External"/><Relationship Id="rId230" Type="http://schemas.openxmlformats.org/officeDocument/2006/relationships/hyperlink" Target="https://techcombank.com/thong-tin/blog/cach-tinh-gia-vang" TargetMode="External"/><Relationship Id="rId351" Type="http://schemas.openxmlformats.org/officeDocument/2006/relationships/hyperlink" Target="https://techcombank.com/thong-tin/blog/cach-tinh-lai-suat-tien-gui-tiet-kiem" TargetMode="External"/><Relationship Id="rId472" Type="http://schemas.openxmlformats.org/officeDocument/2006/relationships/hyperlink" Target="https://techcombank.com/thong-tin/blog/xep-hang-tin-dung" TargetMode="External"/><Relationship Id="rId593" Type="http://schemas.openxmlformats.org/officeDocument/2006/relationships/hyperlink" Target="https://techcombank.com/thong-tin/blog/nen-vay-tin-chap-o-dau" TargetMode="External"/><Relationship Id="rId350" Type="http://schemas.openxmlformats.org/officeDocument/2006/relationships/hyperlink" Target="https://techcombank.com/thong-tin/blog/xep-hang-tin-dung" TargetMode="External"/><Relationship Id="rId471" Type="http://schemas.openxmlformats.org/officeDocument/2006/relationships/hyperlink" Target="https://techcombank.com/cong-cu-tien-ich/cong-cu-tinh-toan/bang-tinh-lai-suat-vay" TargetMode="External"/><Relationship Id="rId592" Type="http://schemas.openxmlformats.org/officeDocument/2006/relationships/hyperlink" Target="https://techcombank.com/thong-tin/blog/phan-mem-xuat-hoa-don-dien-tu" TargetMode="External"/><Relationship Id="rId470" Type="http://schemas.openxmlformats.org/officeDocument/2006/relationships/hyperlink" Target="https://techcombank.com/thong-tin/blog/ung-dung-big-data-trong-ngan-hang" TargetMode="External"/><Relationship Id="rId591" Type="http://schemas.openxmlformats.org/officeDocument/2006/relationships/hyperlink" Target="https://techcombank.com/thong-tin/blog/nen-vay-tin-chap-o-dau" TargetMode="External"/><Relationship Id="rId114" Type="http://schemas.openxmlformats.org/officeDocument/2006/relationships/hyperlink" Target="https://techcombank.com/thong-tin/blog/bib-techcombank" TargetMode="External"/><Relationship Id="rId235" Type="http://schemas.openxmlformats.org/officeDocument/2006/relationships/hyperlink" Target="https://techcombank.com/thong-tin/blog/1-trieu-do-bang-bao-nhieu-tien-viet" TargetMode="External"/><Relationship Id="rId356" Type="http://schemas.openxmlformats.org/officeDocument/2006/relationships/hyperlink" Target="https://techcombank.com/thong-tin/blog/bao-hiem-sinh-ky-la-gi" TargetMode="External"/><Relationship Id="rId477" Type="http://schemas.openxmlformats.org/officeDocument/2006/relationships/hyperlink" Target="https://techcombank.com/cong-cu-tien-ich/cong-cu-tinh-toan/bang-tinh-lai-suat-vay" TargetMode="External"/><Relationship Id="rId598" Type="http://schemas.openxmlformats.org/officeDocument/2006/relationships/hyperlink" Target="https://techcombank.com/thong-tin/blog/thanh-lap-ho-kinh-doanh-ca-the" TargetMode="External"/><Relationship Id="rId113" Type="http://schemas.openxmlformats.org/officeDocument/2006/relationships/hyperlink" Target="https://techcombank.com/thong-tin/blog/cach-quet-nfc-cccd-tren-iphone" TargetMode="External"/><Relationship Id="rId234" Type="http://schemas.openxmlformats.org/officeDocument/2006/relationships/hyperlink" Target="https://techcombank.com/thong-tin/blog/dinh-cu-chau-au" TargetMode="External"/><Relationship Id="rId355" Type="http://schemas.openxmlformats.org/officeDocument/2006/relationships/hyperlink" Target="https://techcombank.com/thong-tin/blog/cach-tinh-lai-suat-tien-gui-tiet-kiem" TargetMode="External"/><Relationship Id="rId476" Type="http://schemas.openxmlformats.org/officeDocument/2006/relationships/hyperlink" Target="https://techcombank.com/thong-tin/blog/mo-tai-khoan-ngan-hang-online-co-an-toan-khong" TargetMode="External"/><Relationship Id="rId597" Type="http://schemas.openxmlformats.org/officeDocument/2006/relationships/hyperlink" Target="https://techcombank.com/thong-tin/blog/nen-vay-tin-chap-o-dau" TargetMode="External"/><Relationship Id="rId112" Type="http://schemas.openxmlformats.org/officeDocument/2006/relationships/hyperlink" Target="https://techcombank.com/thong-tin/blog/sang-ngang-the-tin-dung" TargetMode="External"/><Relationship Id="rId233" Type="http://schemas.openxmlformats.org/officeDocument/2006/relationships/hyperlink" Target="https://techcombank.com/thong-tin/blog/1-trieu-do-bang-bao-nhieu-tien-viet" TargetMode="External"/><Relationship Id="rId354" Type="http://schemas.openxmlformats.org/officeDocument/2006/relationships/hyperlink" Target="https://techcombank.com/thong-tin/blog/so-du-tien-gui-la-gi" TargetMode="External"/><Relationship Id="rId475" Type="http://schemas.openxmlformats.org/officeDocument/2006/relationships/hyperlink" Target="https://techcombank.com/cong-cu-tien-ich/cong-cu-tinh-toan/bang-tinh-lai-suat-vay" TargetMode="External"/><Relationship Id="rId596" Type="http://schemas.openxmlformats.org/officeDocument/2006/relationships/hyperlink" Target="https://techcombank.com/thong-tin/blog/tai-khoan-ngan-hang-duoi-50k-co-bi-khoa-khong" TargetMode="External"/><Relationship Id="rId111" Type="http://schemas.openxmlformats.org/officeDocument/2006/relationships/hyperlink" Target="https://techcombank.com/thong-tin/blog/cach-quet-nfc-cccd-tren-iphone" TargetMode="External"/><Relationship Id="rId232" Type="http://schemas.openxmlformats.org/officeDocument/2006/relationships/hyperlink" Target="https://techcombank.com/thong-tin/blog/dieu-kien-mua-usd-tu-ngan-hang" TargetMode="External"/><Relationship Id="rId353" Type="http://schemas.openxmlformats.org/officeDocument/2006/relationships/hyperlink" Target="https://techcombank.com/thong-tin/blog/cach-tinh-lai-suat-tien-gui-tiet-kiem" TargetMode="External"/><Relationship Id="rId474" Type="http://schemas.openxmlformats.org/officeDocument/2006/relationships/hyperlink" Target="https://techcombank.com/thong-tin/blog/gia-tri-tai-san-rong" TargetMode="External"/><Relationship Id="rId595" Type="http://schemas.openxmlformats.org/officeDocument/2006/relationships/hyperlink" Target="https://techcombank.com/thong-tin/blog/nen-vay-tin-chap-o-dau" TargetMode="External"/><Relationship Id="rId305" Type="http://schemas.openxmlformats.org/officeDocument/2006/relationships/hyperlink" Target="https://techcombank.com/thong-tin/blog/cach-tinh-lai-vay-ngan-hang" TargetMode="External"/><Relationship Id="rId426" Type="http://schemas.openxmlformats.org/officeDocument/2006/relationships/hyperlink" Target="https://techcombank.com/thong-tin/blog/chung-chi-tien-gui-la-gi" TargetMode="External"/><Relationship Id="rId547" Type="http://schemas.openxmlformats.org/officeDocument/2006/relationships/hyperlink" Target="https://techcombank.com/thong-tin/blog/vay-thau-chi-la-gi" TargetMode="External"/><Relationship Id="rId304" Type="http://schemas.openxmlformats.org/officeDocument/2006/relationships/hyperlink" Target="https://techcombank.com/thong-tin/blog/khau-hao-la-gi" TargetMode="External"/><Relationship Id="rId425" Type="http://schemas.openxmlformats.org/officeDocument/2006/relationships/hyperlink" Target="https://techcombank.com/thong-tin/blog/so-tiet-kiem-ngan-hang" TargetMode="External"/><Relationship Id="rId546" Type="http://schemas.openxmlformats.org/officeDocument/2006/relationships/hyperlink" Target="https://techcombank.com/thong-tin/blog/dau-tu-tai-chinh-ca-nhan" TargetMode="External"/><Relationship Id="rId303" Type="http://schemas.openxmlformats.org/officeDocument/2006/relationships/hyperlink" Target="https://techcombank.com/thong-tin/blog/cach-tinh-thue-ho-kinh-doanh-nho-le" TargetMode="External"/><Relationship Id="rId424" Type="http://schemas.openxmlformats.org/officeDocument/2006/relationships/hyperlink" Target="https://techcombank.com/thong-tin/blog/tao-ma-qr-thanh-toan-cho-cua-hang" TargetMode="External"/><Relationship Id="rId545" Type="http://schemas.openxmlformats.org/officeDocument/2006/relationships/hyperlink" Target="https://techcombank.com/thong-tin/blog/vay-thau-chi-la-gi" TargetMode="External"/><Relationship Id="rId302" Type="http://schemas.openxmlformats.org/officeDocument/2006/relationships/hyperlink" Target="https://techcombank.com/thong-tin/blog/thue-vat-la-gi" TargetMode="External"/><Relationship Id="rId423"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cach-bao-ve-tai-khoan" TargetMode="External"/><Relationship Id="rId309" Type="http://schemas.openxmlformats.org/officeDocument/2006/relationships/hyperlink" Target="https://techcombank.com/thong-tin/blog/cach-tinh-lai-vay-ngan-hang" TargetMode="External"/><Relationship Id="rId308" Type="http://schemas.openxmlformats.org/officeDocument/2006/relationships/hyperlink" Target="https://techcombank.com/thong-tin/blog/loi-ich-cua-ngan-hang-so-voi-sme" TargetMode="External"/><Relationship Id="rId429" Type="http://schemas.openxmlformats.org/officeDocument/2006/relationships/hyperlink" Target="https://techcombank.com/thong-tin/blog/so-tiet-kiem-ngan-hang" TargetMode="External"/><Relationship Id="rId307" Type="http://schemas.openxmlformats.org/officeDocument/2006/relationships/hyperlink" Target="https://techcombank.com/thong-tin/blog/cach-tinh-lai-vay-ngan-hang" TargetMode="External"/><Relationship Id="rId428" Type="http://schemas.openxmlformats.org/officeDocument/2006/relationships/hyperlink" Target="https://techcombank.com/thong-tin/blog/mo-the-tin-dung-han-muc-cao" TargetMode="External"/><Relationship Id="rId549" Type="http://schemas.openxmlformats.org/officeDocument/2006/relationships/hyperlink" Target="https://techcombank.com/thong-tin/blog/vay-thau-chi-la-gi" TargetMode="External"/><Relationship Id="rId306" Type="http://schemas.openxmlformats.org/officeDocument/2006/relationships/hyperlink" Target="https://techcombank.com/thong-tin/blog/hoc-sinh-sinh-vien-nen-lam-the-ngan-hang-nao" TargetMode="External"/><Relationship Id="rId427"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ia-dien-sinh-hoat" TargetMode="External"/><Relationship Id="rId301" Type="http://schemas.openxmlformats.org/officeDocument/2006/relationships/hyperlink" Target="https://techcombank.com/thong-tin/blog/cach-tinh-thue-ho-kinh-doanh-nho-le" TargetMode="External"/><Relationship Id="rId422" Type="http://schemas.openxmlformats.org/officeDocument/2006/relationships/hyperlink" Target="https://techcombank.com/thong-tin/blog/tai-khoan-ngan-hang-chua-toi-da-bao-nhieu-tien" TargetMode="External"/><Relationship Id="rId543" Type="http://schemas.openxmlformats.org/officeDocument/2006/relationships/hyperlink" Target="https://techcombank.com/thong-tin/blog/vay-thau-chi-la-gi" TargetMode="External"/><Relationship Id="rId300" Type="http://schemas.openxmlformats.org/officeDocument/2006/relationships/hyperlink" Target="https://techcombank.com/thong-tin/blog/phat-cham-dang-ky-thue-ho-kinh-doanh" TargetMode="External"/><Relationship Id="rId421"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bao-hiem-phi-nhan-tho-la-gi" TargetMode="External"/><Relationship Id="rId420" Type="http://schemas.openxmlformats.org/officeDocument/2006/relationships/hyperlink" Target="https://techcombank.com/thong-tin/blog/lap-ke-hoach-tai-chinh-ca-nhan" TargetMode="External"/><Relationship Id="rId541" Type="http://schemas.openxmlformats.org/officeDocument/2006/relationships/hyperlink" Target="https://techcombank.com/thong-tin/blog/vay-thau-chi-la-gi" TargetMode="External"/><Relationship Id="rId540" Type="http://schemas.openxmlformats.org/officeDocument/2006/relationships/hyperlink" Target="https://techcombank.com/thong-tin/blog/app-ngan-hang" TargetMode="External"/><Relationship Id="rId415" Type="http://schemas.openxmlformats.org/officeDocument/2006/relationships/hyperlink" Target="https://techcombank.com/thong-tin/blog/rut-tien-tiet-kiem-truoc-thoi-han" TargetMode="External"/><Relationship Id="rId536" Type="http://schemas.openxmlformats.org/officeDocument/2006/relationships/hyperlink" Target="https://techcombank.com/thong-tin/blog/san-pham-xanh" TargetMode="External"/><Relationship Id="rId414" Type="http://schemas.openxmlformats.org/officeDocument/2006/relationships/hyperlink" Target="https://techcombank.com/thong-tin/blog/the-visa-co-thanh-toan-quoc-te-duoc-khong" TargetMode="External"/><Relationship Id="rId535" Type="http://schemas.openxmlformats.org/officeDocument/2006/relationships/hyperlink" Target="https://techcombank.com/thong-tin/blog/vay-thau-chi-la-gi" TargetMode="External"/><Relationship Id="rId413" Type="http://schemas.openxmlformats.org/officeDocument/2006/relationships/hyperlink" Target="https://techcombank.com/thong-tin/blog/rut-tien-tiet-kiem-truoc-thoi-han" TargetMode="External"/><Relationship Id="rId534" Type="http://schemas.openxmlformats.org/officeDocument/2006/relationships/hyperlink" Target="https://techcombank.com/thong-tin/blog/quy-gia-dinh" TargetMode="External"/><Relationship Id="rId412" Type="http://schemas.openxmlformats.org/officeDocument/2006/relationships/hyperlink" Target="https://techcombank.com/thong-tin/blog/tai-san-va-tieu-san-la-gi" TargetMode="External"/><Relationship Id="rId533" Type="http://schemas.openxmlformats.org/officeDocument/2006/relationships/hyperlink" Target="https://techcombank.com/thong-tin/blog/vay-thau-chi-la-gi" TargetMode="External"/><Relationship Id="rId419" Type="http://schemas.openxmlformats.org/officeDocument/2006/relationships/hyperlink" Target="https://techcombank.com/thong-tin/blog/rut-tien-tiet-kiem-truoc-thoi-han" TargetMode="External"/><Relationship Id="rId418" Type="http://schemas.openxmlformats.org/officeDocument/2006/relationships/hyperlink" Target="https://techcombank.com/thong-tin/blog/cach-tiet-kiem-tien" TargetMode="External"/><Relationship Id="rId539" Type="http://schemas.openxmlformats.org/officeDocument/2006/relationships/hyperlink" Target="https://techcombank.com/thong-tin/blog/vay-thau-chi-la-gi" TargetMode="External"/><Relationship Id="rId417"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vay-sieu-toc" TargetMode="External"/><Relationship Id="rId416" Type="http://schemas.openxmlformats.org/officeDocument/2006/relationships/hyperlink" Target="https://techcombank.com/thong-tin/blog/cach-dau-tu" TargetMode="External"/><Relationship Id="rId537" Type="http://schemas.openxmlformats.org/officeDocument/2006/relationships/hyperlink" Target="https://techcombank.com/thong-tin/blog/vay-thau-chi-la-gi" TargetMode="External"/><Relationship Id="rId411"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lam-the-visa-o-dau" TargetMode="External"/><Relationship Id="rId410" Type="http://schemas.openxmlformats.org/officeDocument/2006/relationships/hyperlink" Target="https://techcombank.com/thong-tin/blog/tai-khoan-ngan-hang-chua-toi-da-bao-nhieu-tien" TargetMode="External"/><Relationship Id="rId531" Type="http://schemas.openxmlformats.org/officeDocument/2006/relationships/hyperlink" Target="https://techcombank.com/thong-tin/blog/vay-thau-chi-la-gi" TargetMode="External"/><Relationship Id="rId530" Type="http://schemas.openxmlformats.org/officeDocument/2006/relationships/hyperlink" Target="https://techcombank.com/thong-tin/blog/gui-them-tien-vao-so-tiet-kiem" TargetMode="External"/><Relationship Id="rId206" Type="http://schemas.openxmlformats.org/officeDocument/2006/relationships/hyperlink" Target="https://techcombank.com/thong-tin/blog/tien-lao" TargetMode="External"/><Relationship Id="rId327" Type="http://schemas.openxmlformats.org/officeDocument/2006/relationships/hyperlink" Target="https://techcombank.com/thong-tin/blog/lai-suat-tiet-kiem" TargetMode="External"/><Relationship Id="rId448" Type="http://schemas.openxmlformats.org/officeDocument/2006/relationships/hyperlink" Target="https://techcombank.com/thong-tin/blog/bao-hiem-lien-ket-dau-tu" TargetMode="External"/><Relationship Id="rId569" Type="http://schemas.openxmlformats.org/officeDocument/2006/relationships/hyperlink" Target="https://techcombank.com/thong-tin/blog/nen-vay-tin-chap-o-dau" TargetMode="External"/><Relationship Id="rId205"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ca-nhan-hoa" TargetMode="External"/><Relationship Id="rId447"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ma-qr-lam-gia-duoc-khong" TargetMode="External"/><Relationship Id="rId204" Type="http://schemas.openxmlformats.org/officeDocument/2006/relationships/hyperlink" Target="https://techcombank.com/thong-tin/blog/1-trieu-won-bang-bao-nhieu-tien-viet" TargetMode="External"/><Relationship Id="rId325" Type="http://schemas.openxmlformats.org/officeDocument/2006/relationships/hyperlink" Target="https://techcombank.com/thong-tin/blog/lai-suat-tiet-kiem" TargetMode="External"/><Relationship Id="rId446" Type="http://schemas.openxmlformats.org/officeDocument/2006/relationships/hyperlink" Target="https://techcombank.com/thong-tin/blog/cach-nap-the-vina" TargetMode="External"/><Relationship Id="rId567" Type="http://schemas.openxmlformats.org/officeDocument/2006/relationships/hyperlink" Target="https://techcombank.com/thong-tin/blog/kiem-tra-no-xau" TargetMode="External"/><Relationship Id="rId203"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an-han-no-goc-la-gi" TargetMode="External"/><Relationship Id="rId445" Type="http://schemas.openxmlformats.org/officeDocument/2006/relationships/hyperlink" Target="https://techcombank.com/thong-tin/blog/cach-tiet-kiem-tien" TargetMode="External"/><Relationship Id="rId566" Type="http://schemas.openxmlformats.org/officeDocument/2006/relationships/hyperlink" Target="https://techcombank.com/thong-tin/blog/quan-ly-tai-chinh-doanh-nghiep-nho" TargetMode="External"/><Relationship Id="rId209" Type="http://schemas.openxmlformats.org/officeDocument/2006/relationships/hyperlink" Target="https://techcombank.com/thong-tin/blog/1-te-bang-bao-nhieu-tien-viet-nam" TargetMode="External"/><Relationship Id="rId208" Type="http://schemas.openxmlformats.org/officeDocument/2006/relationships/hyperlink" Target="https://techcombank.com/thong-tin/blog/thanh-toan-bang-the-quoc-te" TargetMode="External"/><Relationship Id="rId329" Type="http://schemas.openxmlformats.org/officeDocument/2006/relationships/hyperlink" Target="https://techcombank.com/thong-tin/blog/lai-suat-tiet-kiem" TargetMode="External"/><Relationship Id="rId207"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co-nen-mua-o-to-tra-gop" TargetMode="External"/><Relationship Id="rId449" Type="http://schemas.openxmlformats.org/officeDocument/2006/relationships/hyperlink" Target="https://techcombank.com/thong-tin/blog/rui-ro-khi-gui-tiet-kiem-online" TargetMode="External"/><Relationship Id="rId440" Type="http://schemas.openxmlformats.org/officeDocument/2006/relationships/hyperlink" Target="https://techcombank.com/thong-tin/blog/chung-chi-tien-gui-co-duoc-bao-hiem-khong" TargetMode="External"/><Relationship Id="rId561" Type="http://schemas.openxmlformats.org/officeDocument/2006/relationships/hyperlink" Target="https://techcombank.com/thong-tin/blog/vay-thau-chi-la-gi" TargetMode="External"/><Relationship Id="rId560" Type="http://schemas.openxmlformats.org/officeDocument/2006/relationships/hyperlink" Target="https://techcombank.com/thong-tin/blog/cam-ket-tin-dung" TargetMode="External"/><Relationship Id="rId202" Type="http://schemas.openxmlformats.org/officeDocument/2006/relationships/hyperlink" Target="https://techcombank.com/thong-tin/blog/1-euro-bang-bao-nhieu-tien-viet" TargetMode="External"/><Relationship Id="rId323" Type="http://schemas.openxmlformats.org/officeDocument/2006/relationships/hyperlink" Target="https://techcombank.com/thong-tin/blog/lai-suat-tiet-kiem" TargetMode="External"/><Relationship Id="rId444" Type="http://schemas.openxmlformats.org/officeDocument/2006/relationships/hyperlink" Target="https://techcombank.com/thong-tin/blog/cach-nap-the-mobi" TargetMode="External"/><Relationship Id="rId565" Type="http://schemas.openxmlformats.org/officeDocument/2006/relationships/hyperlink" Target="https://techcombank.com/thong-tin/blog/vay-thau-chi-la-gi" TargetMode="External"/><Relationship Id="rId201"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thanh-ly-tai-san" TargetMode="External"/><Relationship Id="rId443" Type="http://schemas.openxmlformats.org/officeDocument/2006/relationships/hyperlink" Target="https://techcombank.com/thong-tin/blog/cach-tiet-kiem-tien" TargetMode="External"/><Relationship Id="rId564" Type="http://schemas.openxmlformats.org/officeDocument/2006/relationships/hyperlink" Target="https://techcombank.com/thong-tin/blog/ngan-hang-dien-tu" TargetMode="External"/><Relationship Id="rId200" Type="http://schemas.openxmlformats.org/officeDocument/2006/relationships/hyperlink" Target="https://techcombank.com/thong-tin/blog/hoc-sinh-sinh-vien-nen-lam-the-ngan-hang-nao" TargetMode="External"/><Relationship Id="rId321" Type="http://schemas.openxmlformats.org/officeDocument/2006/relationships/hyperlink" Target="https://techcombank.com/thong-tin/blog/lai-suat-vay-the-chap-so-do" TargetMode="External"/><Relationship Id="rId442" Type="http://schemas.openxmlformats.org/officeDocument/2006/relationships/hyperlink" Target="https://techcombank.com/thong-tin/blog/bancassurance" TargetMode="External"/><Relationship Id="rId563" Type="http://schemas.openxmlformats.org/officeDocument/2006/relationships/hyperlink" Target="https://techcombank.com/thong-tin/blog/vay-thau-chi-la-gi" TargetMode="External"/><Relationship Id="rId320" Type="http://schemas.openxmlformats.org/officeDocument/2006/relationships/hyperlink" Target="https://techcombank.com/thong-tin/blog/nang-han-muc-tin-dung" TargetMode="External"/><Relationship Id="rId441" Type="http://schemas.openxmlformats.org/officeDocument/2006/relationships/hyperlink" Target="https://techcombank.com/thong-tin/blog/cach-tiet-kiem-tien" TargetMode="External"/><Relationship Id="rId562" Type="http://schemas.openxmlformats.org/officeDocument/2006/relationships/hyperlink" Target="https://techcombank.com/thong-tin/blog/ho-so-thu-tuc-xoa-the-chap" TargetMode="External"/><Relationship Id="rId316" Type="http://schemas.openxmlformats.org/officeDocument/2006/relationships/hyperlink" Target="https://techcombank.com/thong-tin/blog/the-tin-dung-hoan-tien" TargetMode="External"/><Relationship Id="rId437" Type="http://schemas.openxmlformats.org/officeDocument/2006/relationships/hyperlink" Target="https://techcombank.com/thong-tin/blog/so-tiet-kiem-ngan-hang" TargetMode="External"/><Relationship Id="rId558" Type="http://schemas.openxmlformats.org/officeDocument/2006/relationships/hyperlink" Target="https://techcombank.com/thong-tin/blog/sinh-loi-rinh-loc" TargetMode="External"/><Relationship Id="rId315" Type="http://schemas.openxmlformats.org/officeDocument/2006/relationships/hyperlink" Target="https://techcombank.com/thong-tin/blog/cach-tinh-lai-vay-ngan-hang" TargetMode="External"/><Relationship Id="rId436" Type="http://schemas.openxmlformats.org/officeDocument/2006/relationships/hyperlink" Target="https://techcombank.com/thong-tin/blog/cach-sao-ke-tai-khoan-ngan-hang" TargetMode="External"/><Relationship Id="rId557" Type="http://schemas.openxmlformats.org/officeDocument/2006/relationships/hyperlink" Target="https://techcombank.com/thong-tin/blog/vay-thau-chi-la-gi" TargetMode="External"/><Relationship Id="rId314" Type="http://schemas.openxmlformats.org/officeDocument/2006/relationships/hyperlink" Target="https://techcombank.com/thong-tin/blog/vay-tien-online" TargetMode="External"/><Relationship Id="rId435"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ngan-hang-so" TargetMode="External"/><Relationship Id="rId313" Type="http://schemas.openxmlformats.org/officeDocument/2006/relationships/hyperlink" Target="https://techcombank.com/thong-tin/blog/cach-tinh-lai-vay-ngan-hang" TargetMode="External"/><Relationship Id="rId434" Type="http://schemas.openxmlformats.org/officeDocument/2006/relationships/hyperlink" Target="https://techcombank.com/thong-tin/blog/cach-dong-tien-dien-qua-tai-khoan-ngan-hang" TargetMode="External"/><Relationship Id="rId555" Type="http://schemas.openxmlformats.org/officeDocument/2006/relationships/hyperlink" Target="https://techcombank.com/thong-tin/blog/vay-thau-chi-la-gi" TargetMode="External"/><Relationship Id="rId319" Type="http://schemas.openxmlformats.org/officeDocument/2006/relationships/hyperlink" Target="https://techcombank.com/thong-tin/blog/cach-tinh-lai-vay-ngan-hang" TargetMode="External"/><Relationship Id="rId318" Type="http://schemas.openxmlformats.org/officeDocument/2006/relationships/hyperlink" Target="https://techcombank.com/thong-tin/blog/lai-kep-ngan-hang" TargetMode="External"/><Relationship Id="rId439" Type="http://schemas.openxmlformats.org/officeDocument/2006/relationships/hyperlink" Target="https://techcombank.com/thong-tin/blog/so-tiet-kiem-ngan-hang" TargetMode="External"/><Relationship Id="rId317" Type="http://schemas.openxmlformats.org/officeDocument/2006/relationships/hyperlink" Target="https://techcombank.com/thong-tin/blog/cach-tinh-lai-vay-ngan-hang" TargetMode="External"/><Relationship Id="rId438" Type="http://schemas.openxmlformats.org/officeDocument/2006/relationships/hyperlink" Target="https://techcombank.com/thong-tin/blog/cach-tiet-kiem-100-trieu-1-nam" TargetMode="External"/><Relationship Id="rId559" Type="http://schemas.openxmlformats.org/officeDocument/2006/relationships/hyperlink" Target="https://techcombank.com/thong-tin/blog/vay-thau-chi-la-gi" TargetMode="External"/><Relationship Id="rId550" Type="http://schemas.openxmlformats.org/officeDocument/2006/relationships/hyperlink" Target="https://techcombank.com/thong-tin/blog/gui-tiet-kiem-online-quay-vong-ca-goc-va-lai" TargetMode="External"/><Relationship Id="rId312" Type="http://schemas.openxmlformats.org/officeDocument/2006/relationships/hyperlink" Target="https://techcombank.com/thong-tin/blog/vay-sieu-toc" TargetMode="External"/><Relationship Id="rId433" Type="http://schemas.openxmlformats.org/officeDocument/2006/relationships/hyperlink" Target="https://techcombank.com/thong-tin/blog/so-tiet-kiem-ngan-hang" TargetMode="External"/><Relationship Id="rId554" Type="http://schemas.openxmlformats.org/officeDocument/2006/relationships/hyperlink" Target="https://techcombank.com/thong-tin/blog/loi-ich-cua-tri-tue-nhan-tao" TargetMode="External"/><Relationship Id="rId311" Type="http://schemas.openxmlformats.org/officeDocument/2006/relationships/hyperlink" Target="https://techcombank.com/thong-tin/blog/cach-tinh-lai-vay-ngan-hang" TargetMode="External"/><Relationship Id="rId432" Type="http://schemas.openxmlformats.org/officeDocument/2006/relationships/hyperlink" Target="https://techcombank.com/thong-tin/blog/cach-dang-ky-the-visa" TargetMode="External"/><Relationship Id="rId553" Type="http://schemas.openxmlformats.org/officeDocument/2006/relationships/hyperlink" Target="https://techcombank.com/thong-tin/blog/vay-thau-chi-la-gi" TargetMode="External"/><Relationship Id="rId310" Type="http://schemas.openxmlformats.org/officeDocument/2006/relationships/hyperlink" Target="https://techcombank.com/thong-tin/blog/tin-dung-tieu-dung" TargetMode="External"/><Relationship Id="rId431"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hu-chi-tieu" TargetMode="External"/><Relationship Id="rId430" Type="http://schemas.openxmlformats.org/officeDocument/2006/relationships/hyperlink" Target="https://techcombank.com/thong-tin/blog/bao-hiem-nhan-tho-bao-nhieu-tien" TargetMode="External"/><Relationship Id="rId551" Type="http://schemas.openxmlformats.org/officeDocument/2006/relationships/hyperlink" Target="https://techcombank.com/thong-tin/blog/vay-thau-chi-la-g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7.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cong-cu-tien-ich/cong-cu-tinh-toan/bang-tinh-lai-suat-vay"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lai-suat-vay-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cach-tinh-lai-suat-tien-gui-tiet-kiem"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drawing" Target="../drawings/drawing8.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ap-the-viettel"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mo-tai-khoan"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kiem-tra-tai-khoan-ngan-hang"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nop-thue-dien-tu" TargetMode="External"/><Relationship Id="rId62" Type="http://schemas.openxmlformats.org/officeDocument/2006/relationships/hyperlink" Target="https://techcombank.com/thong-tin/blog/ho-kinh-doanh-dong-thue-nhu-nao"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cach-tinh-tien-dien-sinh-hoat"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hue-thu-nhap-ca-nhan-2025"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lai-vay-ngan-hang"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rut-tien-mat-tu-the-tin-dung"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vay-thau-chi-la-gi"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thue-thu-nhap-doanh-nghiep" TargetMode="External"/></Relationships>
</file>

<file path=xl/worksheets/_rels/sheet9.xml.rels><?xml version="1.0" encoding="UTF-8" standalone="yes"?><Relationships xmlns="http://schemas.openxmlformats.org/package/2006/relationships"><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297" Type="http://schemas.openxmlformats.org/officeDocument/2006/relationships/hyperlink" Target="https://techcombank.com/thong-tin/blog/cach-thanh-toan-the-tin-dung" TargetMode="External"/><Relationship Id="rId175" Type="http://schemas.openxmlformats.org/officeDocument/2006/relationships/hyperlink" Target="https://techcombank.com/thong-tin/blog/day-so-phat-tai-phat-loc" TargetMode="External"/><Relationship Id="rId296" Type="http://schemas.openxmlformats.org/officeDocument/2006/relationships/hyperlink" Target="https://techcombank.com/thong-tin/blog/thanh-toan-toi-thieu-the-tin-dung" TargetMode="External"/><Relationship Id="rId174" Type="http://schemas.openxmlformats.org/officeDocument/2006/relationships/hyperlink" Target="https://techcombank.com/thong-tin/blog/cach-chon-so-tai-khoan-dep" TargetMode="External"/><Relationship Id="rId295" Type="http://schemas.openxmlformats.org/officeDocument/2006/relationships/hyperlink" Target="https://techcombank.com/thong-tin/blog/cach-thanh-toan-the-tin-dung" TargetMode="External"/><Relationship Id="rId173" Type="http://schemas.openxmlformats.org/officeDocument/2006/relationships/hyperlink" Target="https://techcombank.com/thong-tin/blog/day-so-phat-tai-phat-loc" TargetMode="External"/><Relationship Id="rId294" Type="http://schemas.openxmlformats.org/officeDocument/2006/relationships/hyperlink" Target="https://techcombank.com/thong-tin/blog/no-xau-co-vay-the-chap-duoc-khong"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299" Type="http://schemas.openxmlformats.org/officeDocument/2006/relationships/hyperlink" Target="https://techcombank.com/thong-tin/blog/cach-thanh-toan-the-tin-dung" TargetMode="External"/><Relationship Id="rId177" Type="http://schemas.openxmlformats.org/officeDocument/2006/relationships/hyperlink" Target="https://techcombank.com/thong-tin/blog/kiem-tra-thue-thu-nhap-ca-nhan" TargetMode="External"/><Relationship Id="rId298" Type="http://schemas.openxmlformats.org/officeDocument/2006/relationships/hyperlink" Target="https://techcombank.com/thong-tin/blog/qua-han-thanh-toan-the-tin-dung-1-ngay"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271" Type="http://schemas.openxmlformats.org/officeDocument/2006/relationships/hyperlink" Target="https://techcombank.com/thong-tin/blog/the-tin-dung-hoan-tien" TargetMode="External"/><Relationship Id="rId392" Type="http://schemas.openxmlformats.org/officeDocument/2006/relationships/hyperlink" Target="https://techcombank.com/thong-tin/blog/di-du-lich-nuoc-ngoai-can-chuan-bi-gi" TargetMode="External"/><Relationship Id="rId270" Type="http://schemas.openxmlformats.org/officeDocument/2006/relationships/hyperlink" Target="https://techcombank.com/thong-tin/blog/thanh-toan-tien-dien-bang-the-tin-dung"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149" Type="http://schemas.openxmlformats.org/officeDocument/2006/relationships/hyperlink" Target="https://techcombank.com/thong-tin/blog/mo-tai-khoan-ngan-hang-duoi-18-tuoi" TargetMode="External"/><Relationship Id="rId4" Type="http://schemas.openxmlformats.org/officeDocument/2006/relationships/hyperlink" Target="https://techcombank.com/thong-tin/blog/co-nen-mua-o-to-tra-gop" TargetMode="External"/><Relationship Id="rId148" Type="http://schemas.openxmlformats.org/officeDocument/2006/relationships/hyperlink" Target="https://techcombank.com/thong-tin/blog/mo-tai-khoan-tiet-kiem-cho-con" TargetMode="External"/><Relationship Id="rId269" Type="http://schemas.openxmlformats.org/officeDocument/2006/relationships/hyperlink" Target="https://techcombank.com/thong-tin/blog/the-tin-dung-hoan-tien" TargetMode="External"/><Relationship Id="rId9" Type="http://schemas.openxmlformats.org/officeDocument/2006/relationships/hyperlink" Target="https://techcombank.com/thong-tin/blog/lai-suat-vay-mua-o-to" TargetMode="External"/><Relationship Id="rId143" Type="http://schemas.openxmlformats.org/officeDocument/2006/relationships/hyperlink" Target="https://techcombank.com/thong-tin/blog/bao-nhieu-tuoi-duoc-mo-tai-khoan-ngan-hang" TargetMode="External"/><Relationship Id="rId264" Type="http://schemas.openxmlformats.org/officeDocument/2006/relationships/hyperlink" Target="https://techcombank.com/thong-tin/blog/uu-dai-the-tin-dung" TargetMode="External"/><Relationship Id="rId385" Type="http://schemas.openxmlformats.org/officeDocument/2006/relationships/hyperlink" Target="https://techcombank.com/thong-tin/blog/tien-thai-lan" TargetMode="External"/><Relationship Id="rId142" Type="http://schemas.openxmlformats.org/officeDocument/2006/relationships/hyperlink" Target="https://techcombank.com/thong-tin/blog/hoc-sinh-sinh-vien-nen-lam-the-ngan-hang-nao" TargetMode="External"/><Relationship Id="rId263" Type="http://schemas.openxmlformats.org/officeDocument/2006/relationships/hyperlink" Target="https://techcombank.com/khach-hang-ca-nhan/chi-tieu/the/the-tin-dung/techcombank-everyday" TargetMode="External"/><Relationship Id="rId384" Type="http://schemas.openxmlformats.org/officeDocument/2006/relationships/hyperlink" Target="https://techcombank.com/thong-tin/blog/thanh-toan-khi-du-lich-nhat-ban" TargetMode="External"/><Relationship Id="rId141" Type="http://schemas.openxmlformats.org/officeDocument/2006/relationships/hyperlink" Target="https://techcombank.com/thong-tin/blog/bao-nhieu-tuoi-duoc-mo-tai-khoan-ngan-hang" TargetMode="External"/><Relationship Id="rId262" Type="http://schemas.openxmlformats.org/officeDocument/2006/relationships/hyperlink" Target="https://techcombank.com/thong-tin/blog/thoi-gian-hoan-tien-the-tin-dung" TargetMode="External"/><Relationship Id="rId383" Type="http://schemas.openxmlformats.org/officeDocument/2006/relationships/hyperlink" Target="https://techcombank.com/thong-tin/blog/1-man-bang-bao-nhieu-tien-viet" TargetMode="External"/><Relationship Id="rId140" Type="http://schemas.openxmlformats.org/officeDocument/2006/relationships/hyperlink" Target="https://techcombank.com/thong-tin/blog/mo-tai-khoan-ngan-hang-cho-tre-em" TargetMode="External"/><Relationship Id="rId261" Type="http://schemas.openxmlformats.org/officeDocument/2006/relationships/hyperlink" Target="https://techcombank.com/khach-hang-ca-nhan/chi-tieu/the/the-tin-dung/techcombank-everyday"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147" Type="http://schemas.openxmlformats.org/officeDocument/2006/relationships/hyperlink" Target="https://techcombank.com/thong-tin/blog/mo-tai-khoan-ngan-hang-duoi-18-tuoi" TargetMode="External"/><Relationship Id="rId268" Type="http://schemas.openxmlformats.org/officeDocument/2006/relationships/hyperlink" Target="https://techcombank.com/thong-tin/blog/mo-the-tin-dung-co-loi-ich-gi"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146" Type="http://schemas.openxmlformats.org/officeDocument/2006/relationships/hyperlink" Target="https://techcombank.com/thong-tin/blog/the-debit-cho-con" TargetMode="External"/><Relationship Id="rId267" Type="http://schemas.openxmlformats.org/officeDocument/2006/relationships/hyperlink" Target="https://techcombank.com/khach-hang-ca-nhan/chi-tieu/the/the-tin-dung/techcombank-everyday"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145" Type="http://schemas.openxmlformats.org/officeDocument/2006/relationships/hyperlink" Target="https://techcombank.com/thong-tin/blog/mo-tai-khoan-ngan-hang-duoi-18-tuoi" TargetMode="External"/><Relationship Id="rId266" Type="http://schemas.openxmlformats.org/officeDocument/2006/relationships/hyperlink" Target="https://techcombank.com/thong-tin/blog/cac-loai-the-tin-dung"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144" Type="http://schemas.openxmlformats.org/officeDocument/2006/relationships/hyperlink" Target="https://techcombank.com/thong-tin/blog/cach-lam-the-atm" TargetMode="External"/><Relationship Id="rId265" Type="http://schemas.openxmlformats.org/officeDocument/2006/relationships/hyperlink" Target="https://techcombank.com/khach-hang-ca-nhan/chi-tieu/the/the-tin-dung/techcombank-everyday" TargetMode="External"/><Relationship Id="rId386" Type="http://schemas.openxmlformats.org/officeDocument/2006/relationships/hyperlink" Target="https://techcombank.com/thong-tin/blog/thanh-toan-khi-du-lich-thai-lan" TargetMode="External"/><Relationship Id="rId260" Type="http://schemas.openxmlformats.org/officeDocument/2006/relationships/hyperlink" Target="https://techcombank.com/thong-tin/blog/the-tin-dung-nao-nhieu-uu-dai-nhat"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259" Type="http://schemas.openxmlformats.org/officeDocument/2006/relationships/hyperlink" Target="https://techcombank.com/khach-hang-ca-nhan/chi-tieu/the/the-tin-dung/techcombank-everyday" TargetMode="External"/><Relationship Id="rId137" Type="http://schemas.openxmlformats.org/officeDocument/2006/relationships/hyperlink" Target="https://techcombank.com/thong-tin/blog/chuyen-khoan-thanh-cong-nhung-khong-nhan-duoc-tien" TargetMode="External"/><Relationship Id="rId258" Type="http://schemas.openxmlformats.org/officeDocument/2006/relationships/hyperlink" Target="https://techcombank.com/thong-tin/blog/co-nen-dung-the-tin-dung-khong" TargetMode="External"/><Relationship Id="rId379" Type="http://schemas.openxmlformats.org/officeDocument/2006/relationships/hyperlink" Target="https://techcombank.com/thong-tin/blog/1-man-bang-bao-nhieu-tien-viet" TargetMode="External"/><Relationship Id="rId132" Type="http://schemas.openxmlformats.org/officeDocument/2006/relationships/hyperlink" Target="https://techcombank.com/thong-tin/blog/chuyen-khoan-lien-ngan-hang" TargetMode="External"/><Relationship Id="rId253" Type="http://schemas.openxmlformats.org/officeDocument/2006/relationships/hyperlink" Target="https://techcombank.com/thong-tin/blog/lam-the-tin-dung" TargetMode="External"/><Relationship Id="rId374" Type="http://schemas.openxmlformats.org/officeDocument/2006/relationships/hyperlink" Target="https://techcombank.com/thong-tin/blog/han-muc-mua-ngoai-te-khi-di-du-lich" TargetMode="External"/><Relationship Id="rId495" Type="http://schemas.openxmlformats.org/officeDocument/2006/relationships/hyperlink" Target="https://techcombank.com/thong-tin/blog/cach-tinh-lai-vay-ngan-hang" TargetMode="External"/><Relationship Id="rId131" Type="http://schemas.openxmlformats.org/officeDocument/2006/relationships/hyperlink" Target="https://techcombank.com/thong-tin/blog/chuyen-khoan-thanh-cong-nhung-khong-nhan-duoc-tien" TargetMode="External"/><Relationship Id="rId252" Type="http://schemas.openxmlformats.org/officeDocument/2006/relationships/hyperlink" Target="https://techcombank.com/thong-tin/blog/mo-the-tin-dung-chi-can-cccd" TargetMode="External"/><Relationship Id="rId373" Type="http://schemas.openxmlformats.org/officeDocument/2006/relationships/hyperlink" Target="https://techcombank.com/thong-tin/blog/tien-dai-loan" TargetMode="External"/><Relationship Id="rId494" Type="http://schemas.openxmlformats.org/officeDocument/2006/relationships/hyperlink" Target="https://techcombank.com/thong-tin/blog/du-no-la-gi" TargetMode="External"/><Relationship Id="rId130" Type="http://schemas.openxmlformats.org/officeDocument/2006/relationships/hyperlink" Target="https://techcombank.com/thong-tin/blog/cach-chuyen-tien" TargetMode="External"/><Relationship Id="rId251" Type="http://schemas.openxmlformats.org/officeDocument/2006/relationships/hyperlink" Target="https://techcombank.com/thong-tin/blog/lam-the-tin-dung" TargetMode="External"/><Relationship Id="rId372" Type="http://schemas.openxmlformats.org/officeDocument/2006/relationships/hyperlink" Target="https://techcombank.com/thong-tin/blog/ty-gia-cac-ngan-hang" TargetMode="External"/><Relationship Id="rId493" Type="http://schemas.openxmlformats.org/officeDocument/2006/relationships/hyperlink" Target="https://techcombank.com/thong-tin/blog/cach-tinh-lai-vay-ngan-hang" TargetMode="External"/><Relationship Id="rId250" Type="http://schemas.openxmlformats.org/officeDocument/2006/relationships/hyperlink" Target="https://techcombank.com/thong-tin/blog/the-tin-dung-la-gi" TargetMode="External"/><Relationship Id="rId371" Type="http://schemas.openxmlformats.org/officeDocument/2006/relationships/hyperlink" Target="https://techcombank.com/thong-tin/blog/tien-dai-loan" TargetMode="External"/><Relationship Id="rId492" Type="http://schemas.openxmlformats.org/officeDocument/2006/relationships/hyperlink" Target="https://techcombank.com/thong-tin/blog/ho-kinh-doanh-ca-the" TargetMode="External"/><Relationship Id="rId136" Type="http://schemas.openxmlformats.org/officeDocument/2006/relationships/hyperlink" Target="https://techcombank.com/thong-tin/blog/chuyen-nham-tien-co-lay-lai-duoc-khong" TargetMode="External"/><Relationship Id="rId257" Type="http://schemas.openxmlformats.org/officeDocument/2006/relationships/hyperlink" Target="https://techcombank.com/thong-tin/blog/lam-the-tin-dung" TargetMode="External"/><Relationship Id="rId378" Type="http://schemas.openxmlformats.org/officeDocument/2006/relationships/hyperlink" Target="https://techcombank.com/thong-tin/blog/1-yen-bang-bao-nhieu-tien-viet-nam" TargetMode="External"/><Relationship Id="rId499" Type="http://schemas.openxmlformats.org/officeDocument/2006/relationships/hyperlink" Target="https://techcombank.com/thong-tin/blog/cach-tinh-lai-vay-ngan-hang" TargetMode="External"/><Relationship Id="rId135" Type="http://schemas.openxmlformats.org/officeDocument/2006/relationships/hyperlink" Target="https://techcombank.com/thong-tin/blog/chuyen-khoan-thanh-cong-nhung-khong-nhan-duoc-tien" TargetMode="External"/><Relationship Id="rId256" Type="http://schemas.openxmlformats.org/officeDocument/2006/relationships/hyperlink" Target="https://techcombank.com/thong-tin/blog/mo-the-tin-dung-khong-can-chung-minh-thu-nhap" TargetMode="External"/><Relationship Id="rId377" Type="http://schemas.openxmlformats.org/officeDocument/2006/relationships/hyperlink" Target="https://techcombank.com/thong-tin/blog/1-man-bang-bao-nhieu-tien-viet" TargetMode="External"/><Relationship Id="rId498" Type="http://schemas.openxmlformats.org/officeDocument/2006/relationships/hyperlink" Target="https://techcombank.com/thong-tin/blog/lai-suat-tha-noi" TargetMode="External"/><Relationship Id="rId134" Type="http://schemas.openxmlformats.org/officeDocument/2006/relationships/hyperlink" Target="https://techcombank.com/thong-tin/blog/ma-giao-dich-la-gi" TargetMode="External"/><Relationship Id="rId255" Type="http://schemas.openxmlformats.org/officeDocument/2006/relationships/hyperlink" Target="https://techcombank.com/thong-tin/blog/lam-the-tin-dung" TargetMode="External"/><Relationship Id="rId376" Type="http://schemas.openxmlformats.org/officeDocument/2006/relationships/hyperlink" Target="https://techcombank.com/thong-tin/blog/tien-nhat" TargetMode="External"/><Relationship Id="rId497" Type="http://schemas.openxmlformats.org/officeDocument/2006/relationships/hyperlink" Target="https://techcombank.com/thong-tin/blog/cach-tinh-lai-vay-ngan-hang" TargetMode="External"/><Relationship Id="rId133" Type="http://schemas.openxmlformats.org/officeDocument/2006/relationships/hyperlink" Target="https://techcombank.com/thong-tin/blog/chuyen-khoan-thanh-cong-nhung-khong-nhan-duoc-tien" TargetMode="External"/><Relationship Id="rId254" Type="http://schemas.openxmlformats.org/officeDocument/2006/relationships/hyperlink" Target="https://techcombank.com/thong-tin/blog/lam-the-tin-dung-co-mat-phi-khong" TargetMode="External"/><Relationship Id="rId375" Type="http://schemas.openxmlformats.org/officeDocument/2006/relationships/hyperlink" Target="https://techcombank.com/thong-tin/blog/1-man-bang-bao-nhieu-tien-viet" TargetMode="External"/><Relationship Id="rId496" Type="http://schemas.openxmlformats.org/officeDocument/2006/relationships/hyperlink" Target="https://techcombank.com/thong-tin/blog/an-han-no-goc-la-gi" TargetMode="External"/><Relationship Id="rId172" Type="http://schemas.openxmlformats.org/officeDocument/2006/relationships/hyperlink" Target="https://techcombank.com/thong-tin/blog/so-tai-khoan-dep" TargetMode="External"/><Relationship Id="rId293" Type="http://schemas.openxmlformats.org/officeDocument/2006/relationships/hyperlink" Target="https://techcombank.com/thong-tin/blog/xep-hang-tin-dung" TargetMode="External"/><Relationship Id="rId171" Type="http://schemas.openxmlformats.org/officeDocument/2006/relationships/hyperlink" Target="https://techcombank.com/thong-tin/blog/day-so-phat-tai-phat-loc" TargetMode="External"/><Relationship Id="rId292" Type="http://schemas.openxmlformats.org/officeDocument/2006/relationships/hyperlink" Target="https://techcombank.com/thong-tin/blog/dieu-kien-vay-von-ngan-hang" TargetMode="External"/><Relationship Id="rId170" Type="http://schemas.openxmlformats.org/officeDocument/2006/relationships/hyperlink" Target="https://techcombank.com/thong-tin/blog/so-6868"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165" Type="http://schemas.openxmlformats.org/officeDocument/2006/relationships/hyperlink" Target="https://techcombank.com/thong-tin/blog/cach-sao-ke-tai-khoan-ngan-hang" TargetMode="External"/><Relationship Id="rId286" Type="http://schemas.openxmlformats.org/officeDocument/2006/relationships/hyperlink" Target="https://techcombank.com/thong-tin/blog/the-tin-dung-bi-khoa" TargetMode="External"/><Relationship Id="rId164" Type="http://schemas.openxmlformats.org/officeDocument/2006/relationships/hyperlink" Target="https://techcombank.com/thong-tin/blog/sao-ke-tai-khoan-doanh-nghiep" TargetMode="External"/><Relationship Id="rId285" Type="http://schemas.openxmlformats.org/officeDocument/2006/relationships/hyperlink" Target="https://techcombank.com/thong-tin/blog/cach-huy-the-tin-dung" TargetMode="External"/><Relationship Id="rId163" Type="http://schemas.openxmlformats.org/officeDocument/2006/relationships/hyperlink" Target="https://techcombank.com/thong-tin/blog/cach-sao-ke-tai-khoan-ngan-hang" TargetMode="External"/><Relationship Id="rId284" Type="http://schemas.openxmlformats.org/officeDocument/2006/relationships/hyperlink" Target="https://techcombank.com/thong-tin/blog/cach-khoa-the-ngan-hang" TargetMode="External"/><Relationship Id="rId162" Type="http://schemas.openxmlformats.org/officeDocument/2006/relationships/hyperlink" Target="https://techcombank.com/thong-tin/blog/sao-ke-luong" TargetMode="External"/><Relationship Id="rId283" Type="http://schemas.openxmlformats.org/officeDocument/2006/relationships/hyperlink" Target="https://techcombank.com/thong-tin/blog/cach-huy-the-tin-du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289" Type="http://schemas.openxmlformats.org/officeDocument/2006/relationships/hyperlink" Target="https://techcombank.com/thong-tin/blog/xep-hang-tin-dung" TargetMode="External"/><Relationship Id="rId167" Type="http://schemas.openxmlformats.org/officeDocument/2006/relationships/hyperlink" Target="https://techcombank.com/thong-tin/blog/day-so-phat-tai-phat-loc" TargetMode="External"/><Relationship Id="rId288" Type="http://schemas.openxmlformats.org/officeDocument/2006/relationships/hyperlink" Target="https://techcombank.com/thong-tin/blog/the-tin-dung-het-han" TargetMode="External"/><Relationship Id="rId166" Type="http://schemas.openxmlformats.org/officeDocument/2006/relationships/hyperlink" Target="https://techcombank.com/thong-tin/blog/vay-the-chap-qua-luong" TargetMode="External"/><Relationship Id="rId287" Type="http://schemas.openxmlformats.org/officeDocument/2006/relationships/hyperlink" Target="https://techcombank.com/thong-tin/blog/cach-huy-the-tin-dung" TargetMode="External"/><Relationship Id="rId161" Type="http://schemas.openxmlformats.org/officeDocument/2006/relationships/hyperlink" Target="https://techcombank.com/thong-tin/blog/cach-sao-ke-tai-khoan-ngan-hang" TargetMode="External"/><Relationship Id="rId282" Type="http://schemas.openxmlformats.org/officeDocument/2006/relationships/hyperlink" Target="https://techcombank.com/thong-tin/blog/khong-su-dung-the-tin-dung-co-mat-phi-khong" TargetMode="External"/><Relationship Id="rId160" Type="http://schemas.openxmlformats.org/officeDocument/2006/relationships/hyperlink" Target="https://techcombank.com/thong-tin/blog/cay-atm-gan-day"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275" Type="http://schemas.openxmlformats.org/officeDocument/2006/relationships/hyperlink" Target="https://techcombank.com/thong-tin/blog/the-tin-dung-hoan-tien" TargetMode="External"/><Relationship Id="rId396" Type="http://schemas.openxmlformats.org/officeDocument/2006/relationships/hyperlink" Target="https://techcombank.com/thong-tin/blog/1-dong-do-la-my-bang-bao-nhieu-tien-viet-nam" TargetMode="External"/><Relationship Id="rId153" Type="http://schemas.openxmlformats.org/officeDocument/2006/relationships/hyperlink" Target="https://techcombank.com/thong-tin/blog/nap-tien-vao-tai-khoan-ngan-hang" TargetMode="External"/><Relationship Id="rId274" Type="http://schemas.openxmlformats.org/officeDocument/2006/relationships/hyperlink" Target="https://techcombank.com/thong-tin/blog/uu-dai-mo-the-tin-dung" TargetMode="External"/><Relationship Id="rId395" Type="http://schemas.openxmlformats.org/officeDocument/2006/relationships/hyperlink" Target="https://techcombank.com/thong-tin/blog/1-trieu-do-bang-bao-nhieu-tien-viet" TargetMode="External"/><Relationship Id="rId152" Type="http://schemas.openxmlformats.org/officeDocument/2006/relationships/hyperlink" Target="https://techcombank.com/thong-tin/blog/cdm" TargetMode="External"/><Relationship Id="rId273" Type="http://schemas.openxmlformats.org/officeDocument/2006/relationships/hyperlink" Target="https://techcombank.com/thong-tin/blog/the-tin-dung-hoan-tien" TargetMode="External"/><Relationship Id="rId394" Type="http://schemas.openxmlformats.org/officeDocument/2006/relationships/hyperlink" Target="https://techcombank.com/thong-tin/blog/thanh-toan-bang-the-quoc-te" TargetMode="External"/><Relationship Id="rId151" Type="http://schemas.openxmlformats.org/officeDocument/2006/relationships/hyperlink" Target="https://techcombank.com/thong-tin/blog/nap-tien-vao-tai-khoan-ngan-hang" TargetMode="External"/><Relationship Id="rId272" Type="http://schemas.openxmlformats.org/officeDocument/2006/relationships/hyperlink" Target="https://techcombank.com/thong-tin/blog/cashback-the-thanh-toan" TargetMode="External"/><Relationship Id="rId393" Type="http://schemas.openxmlformats.org/officeDocument/2006/relationships/hyperlink" Target="https://techcombank.com/thong-tin/blog/tien-thai-lan" TargetMode="External"/><Relationship Id="rId158" Type="http://schemas.openxmlformats.org/officeDocument/2006/relationships/hyperlink" Target="https://techcombank.com/thong-tin/blog/nop-tien-mat-vao-tai-khoan-cong-ty" TargetMode="External"/><Relationship Id="rId279" Type="http://schemas.openxmlformats.org/officeDocument/2006/relationships/hyperlink" Target="https://techcombank.com/thong-tin/blog/cach-huy-the-tin-dung" TargetMode="External"/><Relationship Id="rId157" Type="http://schemas.openxmlformats.org/officeDocument/2006/relationships/hyperlink" Target="https://techcombank.com/thong-tin/blog/nap-tien-vao-tai-khoan-ngan-hang" TargetMode="External"/><Relationship Id="rId278" Type="http://schemas.openxmlformats.org/officeDocument/2006/relationships/hyperlink" Target="https://techcombank.com/thong-tin/blog/cach-su-dung-the-tin-dung" TargetMode="External"/><Relationship Id="rId399" Type="http://schemas.openxmlformats.org/officeDocument/2006/relationships/hyperlink" Target="https://techcombank.com/thong-tin/blog/1-trieu-do-bang-bao-nhieu-tien-viet" TargetMode="External"/><Relationship Id="rId156" Type="http://schemas.openxmlformats.org/officeDocument/2006/relationships/hyperlink" Target="https://techcombank.com/thong-tin/blog/tai-khoan-ngan-hang-con-0-dong-co-sao-khong" TargetMode="External"/><Relationship Id="rId277" Type="http://schemas.openxmlformats.org/officeDocument/2006/relationships/hyperlink" Target="https://techcombank.com/thong-tin/blog/the-tin-dung-hoan-tien" TargetMode="External"/><Relationship Id="rId398" Type="http://schemas.openxmlformats.org/officeDocument/2006/relationships/hyperlink" Target="https://techcombank.com/thong-tin/blog/high-net-worth-client-va-ultra-high-net-worth-client" TargetMode="External"/><Relationship Id="rId155" Type="http://schemas.openxmlformats.org/officeDocument/2006/relationships/hyperlink" Target="https://techcombank.com/thong-tin/blog/nap-tien-vao-tai-khoan-ngan-hang" TargetMode="External"/><Relationship Id="rId276" Type="http://schemas.openxmlformats.org/officeDocument/2006/relationships/hyperlink" Target="https://techcombank.com/thong-tin/blog/the-tin-dung-mien-phi-thuong-nien"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629" Type="http://schemas.openxmlformats.org/officeDocument/2006/relationships/hyperlink" Target="https://techcombank.com/thong-tin/blog/kiem-tra-no-xau" TargetMode="External"/><Relationship Id="rId503" Type="http://schemas.openxmlformats.org/officeDocument/2006/relationships/hyperlink" Target="https://techcombank.com/thong-tin/blog/lai-suat-vay-the-chap-so-do" TargetMode="External"/><Relationship Id="rId624" Type="http://schemas.openxmlformats.org/officeDocument/2006/relationships/hyperlink" Target="https://techcombank.com/thong-tin/blog/thoi-han-vay-thau-chi" TargetMode="External"/><Relationship Id="rId502" Type="http://schemas.openxmlformats.org/officeDocument/2006/relationships/hyperlink" Target="https://techcombank.com/thong-tin/blog/vay-tra-gop" TargetMode="External"/><Relationship Id="rId623" Type="http://schemas.openxmlformats.org/officeDocument/2006/relationships/hyperlink" Target="https://techcombank.com/thong-tin/blog/vay-thau-chi-la-gi" TargetMode="External"/><Relationship Id="rId501" Type="http://schemas.openxmlformats.org/officeDocument/2006/relationships/hyperlink" Target="https://techcombank.com/thong-tin/blog/cach-tinh-lai-vay-ngan-hang" TargetMode="External"/><Relationship Id="rId622" Type="http://schemas.openxmlformats.org/officeDocument/2006/relationships/hyperlink" Target="https://techcombank.com/thong-tin/blog/lai-suat-vay-thau-chi" TargetMode="External"/><Relationship Id="rId500" Type="http://schemas.openxmlformats.org/officeDocument/2006/relationships/hyperlink" Target="https://techcombank.com/thong-tin/blog/cong-thuc-tinh-lai-suat-thuc" TargetMode="External"/><Relationship Id="rId621" Type="http://schemas.openxmlformats.org/officeDocument/2006/relationships/hyperlink" Target="https://techcombank.com/thong-tin/blog/vay-thau-chi-la-gi" TargetMode="External"/><Relationship Id="rId507" Type="http://schemas.openxmlformats.org/officeDocument/2006/relationships/hyperlink" Target="https://techcombank.com/thong-tin/blog/lai-suat-vay-the-chap-so-do" TargetMode="External"/><Relationship Id="rId628" Type="http://schemas.openxmlformats.org/officeDocument/2006/relationships/hyperlink" Target="https://techcombank.com/thong-tin/blog/vay-han-muc-la-gi" TargetMode="External"/><Relationship Id="rId506" Type="http://schemas.openxmlformats.org/officeDocument/2006/relationships/hyperlink" Target="https://techcombank.com/thong-tin/blog/vay-the-chap-so-hong" TargetMode="External"/><Relationship Id="rId627" Type="http://schemas.openxmlformats.org/officeDocument/2006/relationships/hyperlink" Target="https://techcombank.com/thong-tin/blog/vay-thau-chi-la-gi" TargetMode="External"/><Relationship Id="rId505" Type="http://schemas.openxmlformats.org/officeDocument/2006/relationships/hyperlink" Target="https://techcombank.com/thong-tin/blog/lai-suat-vay-the-chap-so-do" TargetMode="External"/><Relationship Id="rId626" Type="http://schemas.openxmlformats.org/officeDocument/2006/relationships/hyperlink" Target="https://techcombank.com/thong-tin/blog/tra-no-vay-thau-chi-nhu-the-nao" TargetMode="External"/><Relationship Id="rId504" Type="http://schemas.openxmlformats.org/officeDocument/2006/relationships/hyperlink" Target="https://techcombank.com/thong-tin/blog/han-muc-vay-the-chap-so-do" TargetMode="External"/><Relationship Id="rId625" Type="http://schemas.openxmlformats.org/officeDocument/2006/relationships/hyperlink" Target="https://techcombank.com/thong-tin/blog/vay-thau-chi-la-gi"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620" Type="http://schemas.openxmlformats.org/officeDocument/2006/relationships/hyperlink" Target="https://techcombank.com/thong-tin/blog/han-muc-thau-chi-la-gi"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525" Type="http://schemas.openxmlformats.org/officeDocument/2006/relationships/hyperlink" Target="https://techcombank.com/thong-tin/blog/lai-suat-tiet-kiem" TargetMode="External"/><Relationship Id="rId646" Type="http://schemas.openxmlformats.org/officeDocument/2006/relationships/hyperlink" Target="https://techcombank.com/thong-tin/blog/vay-tin-chap-va-vay-the-chap" TargetMode="External"/><Relationship Id="rId403" Type="http://schemas.openxmlformats.org/officeDocument/2006/relationships/hyperlink" Target="https://techcombank.com/thong-tin/blog/1000-won-bang-bao-nhieu-tien-viet" TargetMode="External"/><Relationship Id="rId524" Type="http://schemas.openxmlformats.org/officeDocument/2006/relationships/hyperlink" Target="https://techcombank.com/thong-tin/blog/co-nen-gui-tiet-kiem-ngan-hang" TargetMode="External"/><Relationship Id="rId645" Type="http://schemas.openxmlformats.org/officeDocument/2006/relationships/hyperlink" Target="https://techcombank.com/thong-tin/blog/nen-vay-tin-chap-o-dau" TargetMode="External"/><Relationship Id="rId402" Type="http://schemas.openxmlformats.org/officeDocument/2006/relationships/hyperlink" Target="https://techcombank.com/thong-tin/blog/1-won-bang-bao-nhieu-tien-viet" TargetMode="External"/><Relationship Id="rId523" Type="http://schemas.openxmlformats.org/officeDocument/2006/relationships/hyperlink" Target="https://techcombank.com/thong-tin/blog/lai-suat-tiet-kiem" TargetMode="External"/><Relationship Id="rId644" Type="http://schemas.openxmlformats.org/officeDocument/2006/relationships/hyperlink" Target="https://techcombank.com/thong-tin/blog/vay-tin-chap-toi-da-duoc-bao-nhieu" TargetMode="External"/><Relationship Id="rId401" Type="http://schemas.openxmlformats.org/officeDocument/2006/relationships/hyperlink" Target="https://techcombank.com/thong-tin/blog/1000-won-bang-bao-nhieu-tien-viet" TargetMode="External"/><Relationship Id="rId522" Type="http://schemas.openxmlformats.org/officeDocument/2006/relationships/hyperlink" Target="https://techcombank.com/thong-tin/blog/tai-sao-gui-tiet-kiem-online-lai-suat-cao-hon" TargetMode="External"/><Relationship Id="rId643" Type="http://schemas.openxmlformats.org/officeDocument/2006/relationships/hyperlink" Target="https://techcombank.com/thong-tin/blog/nen-vay-tin-chap-o-dau" TargetMode="External"/><Relationship Id="rId408" Type="http://schemas.openxmlformats.org/officeDocument/2006/relationships/hyperlink" Target="https://techcombank.com/thong-tin/blog/chuyen-tien-tu-han-sang-viet-nam" TargetMode="External"/><Relationship Id="rId529" Type="http://schemas.openxmlformats.org/officeDocument/2006/relationships/hyperlink" Target="https://techcombank.com/thong-tin/blog/cach-tinh-lai-suat-tien-gui-tiet-kiem" TargetMode="External"/><Relationship Id="rId407" Type="http://schemas.openxmlformats.org/officeDocument/2006/relationships/hyperlink" Target="https://techcombank.com/thong-tin/blog/1000-won-bang-bao-nhieu-tien-viet" TargetMode="External"/><Relationship Id="rId528" Type="http://schemas.openxmlformats.org/officeDocument/2006/relationships/hyperlink" Target="https://techcombank.com/thong-tin/blog/so-sanh-gui-tiet-kiem-online-va-tai-quay" TargetMode="External"/><Relationship Id="rId649" Type="http://schemas.openxmlformats.org/officeDocument/2006/relationships/hyperlink" Target="https://techcombank.com/thong-tin/blog/no-xau-la-gi" TargetMode="External"/><Relationship Id="rId406" Type="http://schemas.openxmlformats.org/officeDocument/2006/relationships/hyperlink" Target="https://techcombank.com/thong-tin/blog/thanh-toan-khi-du-lich-han-quoc" TargetMode="External"/><Relationship Id="rId527" Type="http://schemas.openxmlformats.org/officeDocument/2006/relationships/hyperlink" Target="https://techcombank.com/thong-tin/blog/lai-suat-tiet-kiem" TargetMode="External"/><Relationship Id="rId648" Type="http://schemas.openxmlformats.org/officeDocument/2006/relationships/hyperlink" Target="https://techcombank.com/thong-tin/blog/lai-suat-vay-tin-chap" TargetMode="External"/><Relationship Id="rId405" Type="http://schemas.openxmlformats.org/officeDocument/2006/relationships/hyperlink" Target="https://techcombank.com/thong-tin/blog/1000-won-bang-bao-nhieu-tien-viet" TargetMode="External"/><Relationship Id="rId526" Type="http://schemas.openxmlformats.org/officeDocument/2006/relationships/hyperlink" Target="https://techcombank.com/thong-tin/blog/tien-gui-co-ky-han" TargetMode="External"/><Relationship Id="rId647" Type="http://schemas.openxmlformats.org/officeDocument/2006/relationships/hyperlink" Target="https://techcombank.com/thong-tin/blog/nen-vay-tin-chap-o-da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400" Type="http://schemas.openxmlformats.org/officeDocument/2006/relationships/hyperlink" Target="https://techcombank.com/thong-tin/blog/xu-huong-ty-gia-usd" TargetMode="External"/><Relationship Id="rId521" Type="http://schemas.openxmlformats.org/officeDocument/2006/relationships/hyperlink" Target="https://techcombank.com/thong-tin/blog/lai-suat-tiet-kiem" TargetMode="External"/><Relationship Id="rId642" Type="http://schemas.openxmlformats.org/officeDocument/2006/relationships/hyperlink" Target="https://techcombank.com/thong-tin/blog/ho-so-vay-tin-chap" TargetMode="External"/><Relationship Id="rId29" Type="http://schemas.openxmlformats.org/officeDocument/2006/relationships/hyperlink" Target="https://techcombank.com/thong-tin/blog/thue-thu-nhap-doanh-nghiep" TargetMode="External"/><Relationship Id="rId520" Type="http://schemas.openxmlformats.org/officeDocument/2006/relationships/hyperlink" Target="https://techcombank.com/thong-tin/blog/nen-gui-tiet-kiem-6-thang-hay-1-nam"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635" Type="http://schemas.openxmlformats.org/officeDocument/2006/relationships/hyperlink" Target="https://techcombank.com/thong-tin/blog/kiem-tra-no-xau" TargetMode="External"/><Relationship Id="rId513" Type="http://schemas.openxmlformats.org/officeDocument/2006/relationships/hyperlink" Target="https://techcombank.com/thong-tin/blog/ho-so-thu-tuc-xoa-the-chap" TargetMode="External"/><Relationship Id="rId634" Type="http://schemas.openxmlformats.org/officeDocument/2006/relationships/hyperlink" Target="https://techcombank.com/thong-tin/blog/vay-tin-chap-no-xau" TargetMode="External"/><Relationship Id="rId512" Type="http://schemas.openxmlformats.org/officeDocument/2006/relationships/hyperlink" Target="https://techcombank.com/thong-tin/blog/vay-the-chap-la-gi" TargetMode="External"/><Relationship Id="rId633" Type="http://schemas.openxmlformats.org/officeDocument/2006/relationships/hyperlink" Target="https://techcombank.com/thong-tin/blog/kiem-tra-no-xau" TargetMode="External"/><Relationship Id="rId511" Type="http://schemas.openxmlformats.org/officeDocument/2006/relationships/hyperlink" Target="https://techcombank.com/thong-tin/blog/lai-suat-vay-the-chap-so-do" TargetMode="External"/><Relationship Id="rId632" Type="http://schemas.openxmlformats.org/officeDocument/2006/relationships/hyperlink" Target="https://techcombank.com/thong-tin/blog/no-xau-mo-the-tin-dung-duoc-khong" TargetMode="External"/><Relationship Id="rId518" Type="http://schemas.openxmlformats.org/officeDocument/2006/relationships/hyperlink" Target="https://techcombank.com/thong-tin/blog/the-chap-la-gi" TargetMode="External"/><Relationship Id="rId639" Type="http://schemas.openxmlformats.org/officeDocument/2006/relationships/hyperlink" Target="https://techcombank.com/thong-tin/blog/nen-vay-tin-chap-o-dau" TargetMode="External"/><Relationship Id="rId517" Type="http://schemas.openxmlformats.org/officeDocument/2006/relationships/hyperlink" Target="https://techcombank.com/thong-tin/blog/ho-so-thu-tuc-xoa-the-chap" TargetMode="External"/><Relationship Id="rId638" Type="http://schemas.openxmlformats.org/officeDocument/2006/relationships/hyperlink" Target="https://techcombank.com/thong-tin/blog/no-xau-nhom-2" TargetMode="External"/><Relationship Id="rId516" Type="http://schemas.openxmlformats.org/officeDocument/2006/relationships/hyperlink" Target="https://techcombank.com/thong-tin/blog/tat-toan" TargetMode="External"/><Relationship Id="rId637" Type="http://schemas.openxmlformats.org/officeDocument/2006/relationships/hyperlink" Target="https://techcombank.com/thong-tin/blog/kiem-tra-no-xau" TargetMode="External"/><Relationship Id="rId515" Type="http://schemas.openxmlformats.org/officeDocument/2006/relationships/hyperlink" Target="https://techcombank.com/thong-tin/blog/ho-so-thu-tuc-xoa-the-chap" TargetMode="External"/><Relationship Id="rId636" Type="http://schemas.openxmlformats.org/officeDocument/2006/relationships/hyperlink" Target="https://techcombank.com/thong-tin/blog/no-xau-co-vay-the-chap-duoc-khong"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510" Type="http://schemas.openxmlformats.org/officeDocument/2006/relationships/hyperlink" Target="https://techcombank.com/thong-tin/blog/nen-vay-the-chap-ngan-hang-nao" TargetMode="External"/><Relationship Id="rId631" Type="http://schemas.openxmlformats.org/officeDocument/2006/relationships/hyperlink" Target="https://techcombank.com/thong-tin/blog/kiem-tra-no-xau" TargetMode="External"/><Relationship Id="rId18" Type="http://schemas.openxmlformats.org/officeDocument/2006/relationships/hyperlink" Target="https://techcombank.com/thong-tin/blog/quyet-toan-thue-thu-nhap-ca-nhan" TargetMode="External"/><Relationship Id="rId630" Type="http://schemas.openxmlformats.org/officeDocument/2006/relationships/hyperlink" Target="https://techcombank.com/thong-tin/blog/no-xau-co-lam-the-visa-duoc-khong"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 Type="http://schemas.openxmlformats.org/officeDocument/2006/relationships/hyperlink" Target="https://techcombank.com/thong-tin/blog/thue-doanh-nghiep-2025"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228" Type="http://schemas.openxmlformats.org/officeDocument/2006/relationships/hyperlink" Target="https://techcombank.com/thong-tin/blog/the-ghi-no-visa-la-gi" TargetMode="External"/><Relationship Id="rId349" Type="http://schemas.openxmlformats.org/officeDocument/2006/relationships/hyperlink" Target="https://techcombank.com/thong-tin/blog/1-yen-bang-bao-nhieu-tien-viet-nam" TargetMode="External"/><Relationship Id="rId106" Type="http://schemas.openxmlformats.org/officeDocument/2006/relationships/hyperlink" Target="https://techcombank.com/thong-tin/blog/so-du-kha-dung" TargetMode="External"/><Relationship Id="rId227" Type="http://schemas.openxmlformats.org/officeDocument/2006/relationships/hyperlink" Target="https://techcombank.com/thong-tin/blog/eco-card" TargetMode="External"/><Relationship Id="rId348" Type="http://schemas.openxmlformats.org/officeDocument/2006/relationships/hyperlink" Target="https://techcombank.com/thong-tin/blog/1-man-bang-bao-nhieu-tien-viet" TargetMode="External"/><Relationship Id="rId469" Type="http://schemas.openxmlformats.org/officeDocument/2006/relationships/hyperlink" Target="https://techcombank.com/thong-tin/blog/gui-ma-qr-ngan-hang" TargetMode="External"/><Relationship Id="rId105" Type="http://schemas.openxmlformats.org/officeDocument/2006/relationships/hyperlink" Target="https://techcombank.com/thong-tin/blog/cach-kiem-tra-tai-khoan-ngan-hang" TargetMode="External"/><Relationship Id="rId226" Type="http://schemas.openxmlformats.org/officeDocument/2006/relationships/hyperlink" Target="https://techcombank.com/thong-tin/blog/xu-huong-song-xanh" TargetMode="External"/><Relationship Id="rId347" Type="http://schemas.openxmlformats.org/officeDocument/2006/relationships/hyperlink" Target="https://techcombank.com/thong-tin/blog/tien-nhat" TargetMode="External"/><Relationship Id="rId468" Type="http://schemas.openxmlformats.org/officeDocument/2006/relationships/hyperlink" Target="https://techcombank.com/thong-tin/blog/lo-ma-qr-ngan-hang-co-sao-kho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225" Type="http://schemas.openxmlformats.org/officeDocument/2006/relationships/hyperlink" Target="https://techcombank.com/thong-tin/blog/eco-card" TargetMode="External"/><Relationship Id="rId346" Type="http://schemas.openxmlformats.org/officeDocument/2006/relationships/hyperlink" Target="https://techcombank.com/thong-tin/blog/1-yen-bang-bao-nhieu-tien-viet-nam" TargetMode="External"/><Relationship Id="rId467" Type="http://schemas.openxmlformats.org/officeDocument/2006/relationships/hyperlink" Target="https://techcombank.com/thong-tin/blog/gui-ma-qr-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341" Type="http://schemas.openxmlformats.org/officeDocument/2006/relationships/hyperlink" Target="https://techcombank.com/thong-tin/blog/tien-nhat" TargetMode="External"/><Relationship Id="rId462" Type="http://schemas.openxmlformats.org/officeDocument/2006/relationships/hyperlink" Target="https://techcombank.com/thong-tin/blog/one-stop-shop" TargetMode="External"/><Relationship Id="rId583"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chuyen-tien-tu-my-ve-viet-nam" TargetMode="External"/><Relationship Id="rId461" Type="http://schemas.openxmlformats.org/officeDocument/2006/relationships/hyperlink" Target="https://techcombank.com/thong-tin/blog/mo-hinh-kinh-doanh-la-gi" TargetMode="External"/><Relationship Id="rId582" Type="http://schemas.openxmlformats.org/officeDocument/2006/relationships/hyperlink" Target="https://techcombank.com/thong-tin/blog/vay-200-trieu" TargetMode="External"/><Relationship Id="rId460" Type="http://schemas.openxmlformats.org/officeDocument/2006/relationships/hyperlink" Target="https://techcombank.com/thong-tin/blog/kinh-doanh-online"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224" Type="http://schemas.openxmlformats.org/officeDocument/2006/relationships/hyperlink" Target="https://techcombank.com/thong-tin/blog/san-pham-xanh" TargetMode="External"/><Relationship Id="rId345" Type="http://schemas.openxmlformats.org/officeDocument/2006/relationships/hyperlink" Target="https://techcombank.com/thong-tin/blog/tien-nhat" TargetMode="External"/><Relationship Id="rId466" Type="http://schemas.openxmlformats.org/officeDocument/2006/relationships/hyperlink" Target="https://techcombank.com/thong-tin/blog/in-ma-qr-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223" Type="http://schemas.openxmlformats.org/officeDocument/2006/relationships/hyperlink" Target="https://techcombank.com/thong-tin/blog/eco-card" TargetMode="External"/><Relationship Id="rId344" Type="http://schemas.openxmlformats.org/officeDocument/2006/relationships/hyperlink" Target="https://techcombank.com/thong-tin/blog/chuyen-tien-tu-nhat-ve-viet-nam" TargetMode="External"/><Relationship Id="rId465" Type="http://schemas.openxmlformats.org/officeDocument/2006/relationships/hyperlink" Target="https://techcombank.com/thong-tin/blog/gui-ma-qr-ngan-hang"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222" Type="http://schemas.openxmlformats.org/officeDocument/2006/relationships/hyperlink" Target="https://techcombank.com/thong-tin/blog/dau-chan-carbon" TargetMode="External"/><Relationship Id="rId343" Type="http://schemas.openxmlformats.org/officeDocument/2006/relationships/hyperlink" Target="https://techcombank.com/thong-tin/blog/tien-nhat" TargetMode="External"/><Relationship Id="rId464" Type="http://schemas.openxmlformats.org/officeDocument/2006/relationships/hyperlink" Target="https://techcombank.com/thong-tin/blog/cach-tao-ma-qr"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221" Type="http://schemas.openxmlformats.org/officeDocument/2006/relationships/hyperlink" Target="https://techcombank.com/thong-tin/blog/eco-card" TargetMode="External"/><Relationship Id="rId342" Type="http://schemas.openxmlformats.org/officeDocument/2006/relationships/hyperlink" Target="https://techcombank.com/thong-tin/blog/thanh-toan-khi-du-lich-nhat-ban" TargetMode="External"/><Relationship Id="rId463" Type="http://schemas.openxmlformats.org/officeDocument/2006/relationships/hyperlink" Target="https://techcombank.com/thong-tin/blog/gui-ma-qr-ngan-hang" TargetMode="External"/><Relationship Id="rId584" Type="http://schemas.openxmlformats.org/officeDocument/2006/relationships/hyperlink" Target="https://techcombank.com/thong-tin/blog/vay-300-trieu" TargetMode="External"/><Relationship Id="rId217" Type="http://schemas.openxmlformats.org/officeDocument/2006/relationships/hyperlink" Target="https://techcombank.com/thong-tin/blog/cach-quet-nfc-cccd-tren-iphone" TargetMode="External"/><Relationship Id="rId338" Type="http://schemas.openxmlformats.org/officeDocument/2006/relationships/hyperlink" Target="https://techcombank.com/thong-tin/blog/lai-suat-gui-tiet-kiem-usd" TargetMode="External"/><Relationship Id="rId459" Type="http://schemas.openxmlformats.org/officeDocument/2006/relationships/hyperlink" Target="https://techcombank.com/thong-tin/blog/mo-hinh-kinh-doanh-la-gi" TargetMode="External"/><Relationship Id="rId216" Type="http://schemas.openxmlformats.org/officeDocument/2006/relationships/hyperlink" Target="https://techcombank.com/thong-tin/blog/ekyc-la-gi" TargetMode="External"/><Relationship Id="rId337" Type="http://schemas.openxmlformats.org/officeDocument/2006/relationships/hyperlink" Target="https://techcombank.com/thong-tin/blog/1-dong-do-la-my-bang-bao-nhieu-tien-viet-nam" TargetMode="External"/><Relationship Id="rId458" Type="http://schemas.openxmlformats.org/officeDocument/2006/relationships/hyperlink" Target="https://techcombank.com/thong-tin/blog/nhuong-quyen-la-gi" TargetMode="External"/><Relationship Id="rId579"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cach-quet-nfc-cccd-tren-iphone" TargetMode="External"/><Relationship Id="rId336" Type="http://schemas.openxmlformats.org/officeDocument/2006/relationships/hyperlink" Target="https://techcombank.com/thong-tin/blog/1-cent-bang-bao-nhieu-tien-viet" TargetMode="External"/><Relationship Id="rId457" Type="http://schemas.openxmlformats.org/officeDocument/2006/relationships/hyperlink" Target="https://techcombank.com/thong-tin/blog/mo-hinh-kinh-doanh-la-gi" TargetMode="External"/><Relationship Id="rId578" Type="http://schemas.openxmlformats.org/officeDocument/2006/relationships/hyperlink" Target="https://techcombank.com/thong-tin/blog/rui-ro-khi-gui-tiet-kiem-ngan-hang" TargetMode="External"/><Relationship Id="rId214" Type="http://schemas.openxmlformats.org/officeDocument/2006/relationships/hyperlink" Target="https://techcombank.com/thong-tin/blog/cach-lien-ket-tai-khoan-ngan-hang-voi-vneid" TargetMode="External"/><Relationship Id="rId335" Type="http://schemas.openxmlformats.org/officeDocument/2006/relationships/hyperlink" Target="https://techcombank.com/thong-tin/blog/1-dong-do-la-my-bang-bao-nhieu-tien-viet-nam" TargetMode="External"/><Relationship Id="rId456" Type="http://schemas.openxmlformats.org/officeDocument/2006/relationships/hyperlink" Target="https://techcombank.com/thong-tin/blog/thue-ho-kinh-doanh-2025" TargetMode="External"/><Relationship Id="rId577" Type="http://schemas.openxmlformats.org/officeDocument/2006/relationships/hyperlink" Target="https://techcombank.com/thong-tin/blog/rui-ro-khi-gui-tiet-kiem-online"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451" Type="http://schemas.openxmlformats.org/officeDocument/2006/relationships/hyperlink" Target="https://techcombank.com/thong-tin/blog/ho-kinh-doanh-dong-thue-nhu-nao" TargetMode="External"/><Relationship Id="rId572" Type="http://schemas.openxmlformats.org/officeDocument/2006/relationships/hyperlink" Target="https://techcombank.com/thong-tin/blog/gui-tiet-kiem-online-bi-mat-tien" TargetMode="External"/><Relationship Id="rId450" Type="http://schemas.openxmlformats.org/officeDocument/2006/relationships/hyperlink" Target="https://techcombank.com/thong-tin/blog/thue-khoan-ho-kinh-doanh-la-gi"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213" Type="http://schemas.openxmlformats.org/officeDocument/2006/relationships/hyperlink" Target="https://techcombank.com/thong-tin/blog/cach-quet-nfc-cccd-tren-iphone" TargetMode="External"/><Relationship Id="rId334" Type="http://schemas.openxmlformats.org/officeDocument/2006/relationships/hyperlink" Target="https://techcombank.com/thong-tin/blog/dieu-kien-mua-usd-tu-ngan-hang" TargetMode="External"/><Relationship Id="rId455" Type="http://schemas.openxmlformats.org/officeDocument/2006/relationships/hyperlink" Target="https://techcombank.com/thong-tin/blog/ho-kinh-doanh-dong-thue-nhu-nao" TargetMode="External"/><Relationship Id="rId576" Type="http://schemas.openxmlformats.org/officeDocument/2006/relationships/hyperlink" Target="https://techcombank.com/thong-tin/blog/cach-gui-tiet-kiem-online" TargetMode="External"/><Relationship Id="rId212" Type="http://schemas.openxmlformats.org/officeDocument/2006/relationships/hyperlink" Target="https://techcombank.com/thong-tin/blog/xac-thuc-sinh-trac-hoc-khi-chuyen-tien" TargetMode="External"/><Relationship Id="rId333" Type="http://schemas.openxmlformats.org/officeDocument/2006/relationships/hyperlink" Target="https://techcombank.com/thong-tin/blog/1-dong-do-la-my-bang-bao-nhieu-tien-viet-nam" TargetMode="External"/><Relationship Id="rId454" Type="http://schemas.openxmlformats.org/officeDocument/2006/relationships/hyperlink" Target="https://techcombank.com/thong-tin/blog/truy-thu-thue-ho-kinh-doanh" TargetMode="External"/><Relationship Id="rId575"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cach-quet-nfc-cccd-tren-iphone" TargetMode="External"/><Relationship Id="rId332" Type="http://schemas.openxmlformats.org/officeDocument/2006/relationships/hyperlink" Target="https://techcombank.com/thong-tin/blog/xu-huong-ty-gia-usd" TargetMode="External"/><Relationship Id="rId453" Type="http://schemas.openxmlformats.org/officeDocument/2006/relationships/hyperlink" Target="https://techcombank.com/thong-tin/blog/ho-kinh-doanh-dong-thue-nhu-nao" TargetMode="External"/><Relationship Id="rId574" Type="http://schemas.openxmlformats.org/officeDocument/2006/relationships/hyperlink" Target="https://techcombank.com/thong-tin/blog/kinh-nghiem-gui-tiet-kiem-online" TargetMode="External"/><Relationship Id="rId210" Type="http://schemas.openxmlformats.org/officeDocument/2006/relationships/hyperlink" Target="https://techcombank.com/thong-tin/blog/cay-atm-gan-day" TargetMode="External"/><Relationship Id="rId331" Type="http://schemas.openxmlformats.org/officeDocument/2006/relationships/hyperlink" Target="https://techcombank.com/thong-tin/blog/1-dong-do-la-my-bang-bao-nhieu-tien-viet-nam" TargetMode="External"/><Relationship Id="rId452" Type="http://schemas.openxmlformats.org/officeDocument/2006/relationships/hyperlink" Target="https://techcombank.com/thong-tin/blog/nhung-ho-kinh-doanh-duoc-mien-thue" TargetMode="External"/><Relationship Id="rId573" Type="http://schemas.openxmlformats.org/officeDocument/2006/relationships/hyperlink" Target="https://techcombank.com/thong-tin/blog/rui-ro-khi-gui-tiet-kiem-online" TargetMode="External"/><Relationship Id="rId370" Type="http://schemas.openxmlformats.org/officeDocument/2006/relationships/hyperlink" Target="https://techcombank.com/thong-tin/blog/ngoai-te-la-gi"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249" Type="http://schemas.openxmlformats.org/officeDocument/2006/relationships/hyperlink" Target="https://techcombank.com/thong-tin/blog/lam-the-tin-dung" TargetMode="External"/><Relationship Id="rId127" Type="http://schemas.openxmlformats.org/officeDocument/2006/relationships/hyperlink" Target="https://techcombank.com/thong-tin/blog/ngan-hang-uy-tin" TargetMode="External"/><Relationship Id="rId248" Type="http://schemas.openxmlformats.org/officeDocument/2006/relationships/hyperlink" Target="https://techcombank.com/thong-tin/blog/lai-suat-the-tin-dung" TargetMode="External"/><Relationship Id="rId369" Type="http://schemas.openxmlformats.org/officeDocument/2006/relationships/hyperlink" Target="https://techcombank.com/thong-tin/blog/tien-dai-loan" TargetMode="External"/><Relationship Id="rId126" Type="http://schemas.openxmlformats.org/officeDocument/2006/relationships/hyperlink" Target="https://techcombank.com/thong-tin/blog/gui-tien-ngan-hang-co-an-toan-khong" TargetMode="External"/><Relationship Id="rId247" Type="http://schemas.openxmlformats.org/officeDocument/2006/relationships/hyperlink" Target="https://techcombank.com/thong-tin/blog/rut-tien-mat-tu-the-tin-dung" TargetMode="External"/><Relationship Id="rId368" Type="http://schemas.openxmlformats.org/officeDocument/2006/relationships/hyperlink" Target="https://techcombank.com/thong-tin/blog/1-van-tien-dai-loan-bang-bao-nhieu-tien-viet" TargetMode="External"/><Relationship Id="rId489" Type="http://schemas.openxmlformats.org/officeDocument/2006/relationships/hyperlink" Target="https://techcombank.com/thong-tin/blog/cach-tinh-thue-ho-kinh-doanh-nho-le" TargetMode="External"/><Relationship Id="rId121" Type="http://schemas.openxmlformats.org/officeDocument/2006/relationships/hyperlink" Target="https://techcombank.com/thong-tin/blog/cach-mo-tai-khoan" TargetMode="External"/><Relationship Id="rId242" Type="http://schemas.openxmlformats.org/officeDocument/2006/relationships/hyperlink" Target="https://techcombank.com/thong-tin/blog/the-visa-co-rut-tien-duoc-khong" TargetMode="External"/><Relationship Id="rId363" Type="http://schemas.openxmlformats.org/officeDocument/2006/relationships/hyperlink" Target="https://techcombank.com/thong-tin/blog/1-won-bang-bao-nhieu-tien-viet" TargetMode="External"/><Relationship Id="rId484" Type="http://schemas.openxmlformats.org/officeDocument/2006/relationships/hyperlink" Target="https://techcombank.com/thong-tin/blog/ke-khai-thue-ho-kinh-doanh-ca-the-online" TargetMode="External"/><Relationship Id="rId120" Type="http://schemas.openxmlformats.org/officeDocument/2006/relationships/hyperlink" Target="https://techcombank.com/thong-tin/blog/mo-tai-khoan-ngan-hang-co-mat-phi-khong" TargetMode="External"/><Relationship Id="rId241" Type="http://schemas.openxmlformats.org/officeDocument/2006/relationships/hyperlink" Target="https://techcombank.com/thong-tin/blog/rut-tien-mat-tu-the-tin-dung" TargetMode="External"/><Relationship Id="rId362" Type="http://schemas.openxmlformats.org/officeDocument/2006/relationships/hyperlink" Target="https://techcombank.com/thong-tin/blog/thanh-toan-khi-du-lich-han-quoc" TargetMode="External"/><Relationship Id="rId483" Type="http://schemas.openxmlformats.org/officeDocument/2006/relationships/hyperlink" Target="https://techcombank.com/thong-tin/blog/cach-tinh-thue-ho-kinh-doanh-nho-le" TargetMode="External"/><Relationship Id="rId240" Type="http://schemas.openxmlformats.org/officeDocument/2006/relationships/hyperlink" Target="https://techcombank.com/thong-tin/blog/phi-rut-tien-mat-the-tin-dung" TargetMode="External"/><Relationship Id="rId361" Type="http://schemas.openxmlformats.org/officeDocument/2006/relationships/hyperlink" Target="https://techcombank.com/thong-tin/blog/1-won-bang-bao-nhieu-tien-viet" TargetMode="External"/><Relationship Id="rId482" Type="http://schemas.openxmlformats.org/officeDocument/2006/relationships/hyperlink" Target="https://techcombank.com/thong-tin/blog/cach-dang-ky-ma-so-thue-ho-kinh-doanh-online" TargetMode="External"/><Relationship Id="rId360" Type="http://schemas.openxmlformats.org/officeDocument/2006/relationships/hyperlink" Target="https://techcombank.com/thong-tin/blog/1000-won-bang-bao-nhieu-tien-viet" TargetMode="External"/><Relationship Id="rId481" Type="http://schemas.openxmlformats.org/officeDocument/2006/relationships/hyperlink" Target="https://techcombank.com/thong-tin/blog/mo-tai-khoan-ho-kinh-doanh" TargetMode="External"/><Relationship Id="rId125" Type="http://schemas.openxmlformats.org/officeDocument/2006/relationships/hyperlink" Target="https://techcombank.com/thong-tin/blog/ngan-hang-uy-tin" TargetMode="External"/><Relationship Id="rId246" Type="http://schemas.openxmlformats.org/officeDocument/2006/relationships/hyperlink" Target="https://techcombank.com/thong-tin/blog/han-muc-the-tin-dung" TargetMode="External"/><Relationship Id="rId367" Type="http://schemas.openxmlformats.org/officeDocument/2006/relationships/hyperlink" Target="https://techcombank.com/thong-tin/blog/tien-dai-loan" TargetMode="External"/><Relationship Id="rId488" Type="http://schemas.openxmlformats.org/officeDocument/2006/relationships/hyperlink" Target="https://techcombank.com/thong-tin/blog/thue-thuong-mai-dien-tu" TargetMode="External"/><Relationship Id="rId124" Type="http://schemas.openxmlformats.org/officeDocument/2006/relationships/hyperlink" Target="https://techcombank.com/thong-tin/blog/app-ngan-hang-uy-tin" TargetMode="External"/><Relationship Id="rId245" Type="http://schemas.openxmlformats.org/officeDocument/2006/relationships/hyperlink" Target="https://techcombank.com/thong-tin/blog/rut-tien-mat-tu-the-tin-dung" TargetMode="External"/><Relationship Id="rId366" Type="http://schemas.openxmlformats.org/officeDocument/2006/relationships/hyperlink" Target="https://techcombank.com/thong-tin/blog/ty-gia-cac-ngan-hang" TargetMode="External"/><Relationship Id="rId487" Type="http://schemas.openxmlformats.org/officeDocument/2006/relationships/hyperlink" Target="https://techcombank.com/thong-tin/blog/cach-tinh-thue-ho-kinh-doanh-nho-le" TargetMode="External"/><Relationship Id="rId123" Type="http://schemas.openxmlformats.org/officeDocument/2006/relationships/hyperlink" Target="https://techcombank.com/thong-tin/blog/ngan-hang-uy-tin" TargetMode="External"/><Relationship Id="rId244" Type="http://schemas.openxmlformats.org/officeDocument/2006/relationships/hyperlink" Target="https://techcombank.com/thong-tin/blog/the-tin-dung-co-chuyen-khoan-duoc-khong" TargetMode="External"/><Relationship Id="rId365" Type="http://schemas.openxmlformats.org/officeDocument/2006/relationships/hyperlink" Target="https://techcombank.com/thong-tin/blog/1-won-bang-bao-nhieu-tien-viet" TargetMode="External"/><Relationship Id="rId486" Type="http://schemas.openxmlformats.org/officeDocument/2006/relationships/hyperlink" Target="https://techcombank.com/thong-tin/blog/kiem-tra-thue-ho-kinh-doanh" TargetMode="External"/><Relationship Id="rId122" Type="http://schemas.openxmlformats.org/officeDocument/2006/relationships/hyperlink" Target="https://techcombank.com/thong-tin/blog/1-cmnd-dang-ky-duoc-may-tai-khoan-ngan-hang" TargetMode="External"/><Relationship Id="rId243" Type="http://schemas.openxmlformats.org/officeDocument/2006/relationships/hyperlink" Target="https://techcombank.com/thong-tin/blog/rut-tien-mat-tu-the-tin-dung" TargetMode="External"/><Relationship Id="rId364" Type="http://schemas.openxmlformats.org/officeDocument/2006/relationships/hyperlink" Target="https://techcombank.com/thong-tin/blog/chuyen-tien-tu-han-sang-viet-nam" TargetMode="External"/><Relationship Id="rId485" Type="http://schemas.openxmlformats.org/officeDocument/2006/relationships/hyperlink" Target="https://techcombank.com/thong-tin/blog/cach-tinh-thue-ho-kinh-doanh-nho-le"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480" Type="http://schemas.openxmlformats.org/officeDocument/2006/relationships/hyperlink" Target="https://techcombank.com/thong-tin/blog/ho-kinh-doanh-ca-the"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118" Type="http://schemas.openxmlformats.org/officeDocument/2006/relationships/hyperlink" Target="https://techcombank.com/thong-tin/blog/mo-tai-khoan-ngan-hang-online-co-an-toan-khong" TargetMode="External"/><Relationship Id="rId239" Type="http://schemas.openxmlformats.org/officeDocument/2006/relationships/hyperlink" Target="https://techcombank.com/thong-tin/blog/rut-tien-mat-tu-the-tin-dung" TargetMode="External"/><Relationship Id="rId117" Type="http://schemas.openxmlformats.org/officeDocument/2006/relationships/hyperlink" Target="https://techcombank.com/thong-tin/blog/cach-mo-tai-khoan" TargetMode="External"/><Relationship Id="rId238" Type="http://schemas.openxmlformats.org/officeDocument/2006/relationships/hyperlink" Target="https://techcombank.com/thong-tin/blog/no-xau-nhom-2" TargetMode="External"/><Relationship Id="rId359" Type="http://schemas.openxmlformats.org/officeDocument/2006/relationships/hyperlink" Target="https://techcombank.com/thong-tin/blog/1-won-bang-bao-nhieu-tien-viet" TargetMode="External"/><Relationship Id="rId116" Type="http://schemas.openxmlformats.org/officeDocument/2006/relationships/hyperlink" Target="https://techcombank.com/thong-tin/blog/tai-khoan-thanh-toan-la-gi" TargetMode="External"/><Relationship Id="rId237" Type="http://schemas.openxmlformats.org/officeDocument/2006/relationships/hyperlink" Target="https://techcombank.com/thong-tin/blog/cic-la-gi" TargetMode="External"/><Relationship Id="rId358" Type="http://schemas.openxmlformats.org/officeDocument/2006/relationships/hyperlink" Target="https://techcombank.com/thong-tin/blog/1-trieu-won-bang-bao-nhieu-tien-viet" TargetMode="External"/><Relationship Id="rId479" Type="http://schemas.openxmlformats.org/officeDocument/2006/relationships/hyperlink" Target="https://techcombank.com/thong-tin/blog/mo-tai-khoan-ho-kinh-doanh" TargetMode="External"/><Relationship Id="rId115" Type="http://schemas.openxmlformats.org/officeDocument/2006/relationships/hyperlink" Target="https://techcombank.com/thong-tin/blog/cach-mo-tai-khoan" TargetMode="External"/><Relationship Id="rId236" Type="http://schemas.openxmlformats.org/officeDocument/2006/relationships/hyperlink" Target="https://techcombank.com/thong-tin/blog/no-chu-y-la-gi" TargetMode="External"/><Relationship Id="rId357" Type="http://schemas.openxmlformats.org/officeDocument/2006/relationships/hyperlink" Target="https://techcombank.com/thong-tin/blog/1-won-bang-bao-nhieu-tien-viet" TargetMode="External"/><Relationship Id="rId478" Type="http://schemas.openxmlformats.org/officeDocument/2006/relationships/hyperlink" Target="https://techcombank.com/thong-tin/blog/khai-bao-tai-khoan-ngan-hang-voi-co-quan-thue"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231" Type="http://schemas.openxmlformats.org/officeDocument/2006/relationships/hyperlink" Target="https://techcombank.com/thong-tin/blog/cic-la-gi" TargetMode="External"/><Relationship Id="rId352" Type="http://schemas.openxmlformats.org/officeDocument/2006/relationships/hyperlink" Target="https://techcombank.com/thong-tin/blog/tien-nhat" TargetMode="External"/><Relationship Id="rId473" Type="http://schemas.openxmlformats.org/officeDocument/2006/relationships/hyperlink" Target="https://techcombank.com/thong-tin/blog/mo-tai-khoan-ho-kinh-doanh" TargetMode="External"/><Relationship Id="rId594" Type="http://schemas.openxmlformats.org/officeDocument/2006/relationships/hyperlink" Target="https://techcombank.com/thong-tin/blog/gui-tiet-kiem-tich-luy-la-gi" TargetMode="External"/><Relationship Id="rId230" Type="http://schemas.openxmlformats.org/officeDocument/2006/relationships/hyperlink" Target="https://techcombank.com/thong-tin/blog/diem-tin-dung" TargetMode="External"/><Relationship Id="rId351" Type="http://schemas.openxmlformats.org/officeDocument/2006/relationships/hyperlink" Target="https://techcombank.com/thong-tin/blog/1-yen-bang-bao-nhieu-tien-viet-nam" TargetMode="External"/><Relationship Id="rId472" Type="http://schemas.openxmlformats.org/officeDocument/2006/relationships/hyperlink" Target="https://techcombank.com/thong-tin/blog/ma-qr-ngan-hang-khong-hop-le" TargetMode="External"/><Relationship Id="rId593" Type="http://schemas.openxmlformats.org/officeDocument/2006/relationships/hyperlink" Target="https://techcombank.com/cong-cu-tien-ich/cong-cu-tinh-toan/bang-tinh-lai-suat-tiet-kiem" TargetMode="External"/><Relationship Id="rId350" Type="http://schemas.openxmlformats.org/officeDocument/2006/relationships/hyperlink" Target="https://techcombank.com/thong-tin/blog/1000-yen-bang-bao-nhieu-tien-viet" TargetMode="External"/><Relationship Id="rId471" Type="http://schemas.openxmlformats.org/officeDocument/2006/relationships/hyperlink" Target="https://techcombank.com/thong-tin/blog/gui-ma-qr-ngan-hang" TargetMode="External"/><Relationship Id="rId592" Type="http://schemas.openxmlformats.org/officeDocument/2006/relationships/hyperlink" Target="https://techcombank.com/thong-tin/blog/co-50-trieu-nen-mua-vang-hay-gui-tiet-kiem" TargetMode="External"/><Relationship Id="rId470" Type="http://schemas.openxmlformats.org/officeDocument/2006/relationships/hyperlink" Target="https://techcombank.com/thong-tin/blog/lam-ma-qr-ngan-hang-co-mat-phi-khong"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235" Type="http://schemas.openxmlformats.org/officeDocument/2006/relationships/hyperlink" Target="https://techcombank.com/thong-tin/blog/cic-la-gi" TargetMode="External"/><Relationship Id="rId356" Type="http://schemas.openxmlformats.org/officeDocument/2006/relationships/hyperlink" Target="https://techcombank.com/thong-tin/blog/chuyen-tien-tu-nhat-ve-viet-nam" TargetMode="External"/><Relationship Id="rId477" Type="http://schemas.openxmlformats.org/officeDocument/2006/relationships/hyperlink" Target="https://techcombank.com/thong-tin/blog/mo-tai-khoan-ho-kinh-doanh"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234" Type="http://schemas.openxmlformats.org/officeDocument/2006/relationships/hyperlink" Target="https://techcombank.com/thong-tin/blog/no-nhom-3" TargetMode="External"/><Relationship Id="rId355" Type="http://schemas.openxmlformats.org/officeDocument/2006/relationships/hyperlink" Target="https://techcombank.com/thong-tin/blog/1-yen-bang-bao-nhieu-tien-viet-nam" TargetMode="External"/><Relationship Id="rId476" Type="http://schemas.openxmlformats.org/officeDocument/2006/relationships/hyperlink" Target="https://techcombank.com/thong-tin/blog/thanh-lap-ho-kinh-doanh-ca-the"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233" Type="http://schemas.openxmlformats.org/officeDocument/2006/relationships/hyperlink" Target="https://techcombank.com/thong-tin/blog/cic-la-gi" TargetMode="External"/><Relationship Id="rId354" Type="http://schemas.openxmlformats.org/officeDocument/2006/relationships/hyperlink" Target="https://techcombank.com/thong-tin/blog/1-man-bang-bao-nhieu-tien-viet" TargetMode="External"/><Relationship Id="rId475" Type="http://schemas.openxmlformats.org/officeDocument/2006/relationships/hyperlink" Target="https://techcombank.com/thong-tin/blog/mo-tai-khoan-ho-kinh-doanh"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232" Type="http://schemas.openxmlformats.org/officeDocument/2006/relationships/hyperlink" Target="https://techcombank.com/thong-tin/blog/lich-su-tin-dung" TargetMode="External"/><Relationship Id="rId353" Type="http://schemas.openxmlformats.org/officeDocument/2006/relationships/hyperlink" Target="https://techcombank.com/thong-tin/blog/1-yen-bang-bao-nhieu-tien-viet-nam" TargetMode="External"/><Relationship Id="rId474" Type="http://schemas.openxmlformats.org/officeDocument/2006/relationships/hyperlink" Target="https://techcombank.com/thong-tin/blog/ho-kinh-doanh-can-gi-o-tai-khoan-ngan-hang" TargetMode="External"/><Relationship Id="rId595" Type="http://schemas.openxmlformats.org/officeDocument/2006/relationships/hyperlink" Target="https://techcombank.com/cong-cu-tien-ich/cong-cu-tinh-toan/bang-tinh-lai-suat-tiet-kiem" TargetMode="External"/><Relationship Id="rId305" Type="http://schemas.openxmlformats.org/officeDocument/2006/relationships/hyperlink" Target="https://techcombank.com/thong-tin/blog/chung-chi-tien-gui-la-gi" TargetMode="External"/><Relationship Id="rId426" Type="http://schemas.openxmlformats.org/officeDocument/2006/relationships/hyperlink" Target="https://techcombank.com/thong-tin/blog/di-du-lich-nuoc-ngoai-can-chuan-bi-gi" TargetMode="External"/><Relationship Id="rId547" Type="http://schemas.openxmlformats.org/officeDocument/2006/relationships/hyperlink" Target="https://techcombank.com/thong-tin/blog/rut-tien-tiet-kiem-truoc-thoi-han" TargetMode="External"/><Relationship Id="rId668" Type="http://schemas.openxmlformats.org/officeDocument/2006/relationships/hyperlink" Target="https://techcombank.com/thong-tin/blog/mua-chung-chi-quy" TargetMode="External"/><Relationship Id="rId304" Type="http://schemas.openxmlformats.org/officeDocument/2006/relationships/hyperlink" Target="https://techcombank.com/thong-tin/blog/the-tin-dung-mien-lai-55-ngay" TargetMode="External"/><Relationship Id="rId425" Type="http://schemas.openxmlformats.org/officeDocument/2006/relationships/hyperlink" Target="https://techcombank.com/thong-tin/blog/doi-tien-do-o-dau" TargetMode="External"/><Relationship Id="rId546" Type="http://schemas.openxmlformats.org/officeDocument/2006/relationships/hyperlink" Target="https://techcombank.com/thong-tin/blog/mat-so-tiet-kiem" TargetMode="External"/><Relationship Id="rId667" Type="http://schemas.openxmlformats.org/officeDocument/2006/relationships/hyperlink" Target="https://techcombank.com/thong-tin/blog/phuong-phap-dau-tu-chung-chi-quy" TargetMode="External"/><Relationship Id="rId303" Type="http://schemas.openxmlformats.org/officeDocument/2006/relationships/hyperlink" Target="https://techcombank.com/thong-tin/blog/cach-thanh-toan-the-tin-dung" TargetMode="External"/><Relationship Id="rId424" Type="http://schemas.openxmlformats.org/officeDocument/2006/relationships/hyperlink" Target="https://techcombank.com/thong-tin/blog/ty-gia-cac-ngan-hang" TargetMode="External"/><Relationship Id="rId545" Type="http://schemas.openxmlformats.org/officeDocument/2006/relationships/hyperlink" Target="https://techcombank.com/thong-tin/blog/rut-tien-tiet-kiem-truoc-thoi-han" TargetMode="External"/><Relationship Id="rId666" Type="http://schemas.openxmlformats.org/officeDocument/2006/relationships/hyperlink" Target="https://techcombank.com/thong-tin/blog/chung-chi-quy" TargetMode="External"/><Relationship Id="rId302" Type="http://schemas.openxmlformats.org/officeDocument/2006/relationships/hyperlink" Target="https://techcombank.com/thong-tin/blog/no-the-tin-dung-qua-han" TargetMode="External"/><Relationship Id="rId423" Type="http://schemas.openxmlformats.org/officeDocument/2006/relationships/hyperlink" Target="https://techcombank.com/thong-tin/blog/doi-tien-do-o-dau" TargetMode="External"/><Relationship Id="rId544" Type="http://schemas.openxmlformats.org/officeDocument/2006/relationships/hyperlink" Target="https://techcombank.com/thong-tin/blog/vay-thau-chi-bang-so-tiet-kiem" TargetMode="External"/><Relationship Id="rId665" Type="http://schemas.openxmlformats.org/officeDocument/2006/relationships/hyperlink" Target="https://techcombank.com/thong-tin/blog/phuong-phap-dau-tu-chung-chi-quy"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429" Type="http://schemas.openxmlformats.org/officeDocument/2006/relationships/hyperlink" Target="https://techcombank.com/thong-tin/blog/vay-ngan-hang-1-ty-moi-thang-tra-bao-nhieu" TargetMode="External"/><Relationship Id="rId307" Type="http://schemas.openxmlformats.org/officeDocument/2006/relationships/hyperlink" Target="https://techcombank.com/thong-tin/blog/chung-chi-tien-gui-la-gi" TargetMode="External"/><Relationship Id="rId428" Type="http://schemas.openxmlformats.org/officeDocument/2006/relationships/hyperlink" Target="https://techcombank.com/thong-tin/blog/1-trieu-do-bang-bao-nhieu-tien-viet" TargetMode="External"/><Relationship Id="rId549" Type="http://schemas.openxmlformats.org/officeDocument/2006/relationships/hyperlink" Target="https://techcombank.com/thong-tin/blog/so-tiet-kiem-ngan-hang" TargetMode="External"/><Relationship Id="rId306" Type="http://schemas.openxmlformats.org/officeDocument/2006/relationships/hyperlink" Target="https://techcombank.com/thong-tin/blog/chung-chi-tien-gui-khac-gi-so-tiet-kiem" TargetMode="External"/><Relationship Id="rId427" Type="http://schemas.openxmlformats.org/officeDocument/2006/relationships/hyperlink" Target="https://techcombank.com/thong-tin/blog/doi-tien-do-o-dau" TargetMode="External"/><Relationship Id="rId548" Type="http://schemas.openxmlformats.org/officeDocument/2006/relationships/hyperlink" Target="https://techcombank.com/thong-tin/blog/gui-them-tien-vao-so-tiet-kiem"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301" Type="http://schemas.openxmlformats.org/officeDocument/2006/relationships/hyperlink" Target="https://techcombank.com/thong-tin/blog/cach-thanh-toan-the-tin-dung" TargetMode="External"/><Relationship Id="rId422" Type="http://schemas.openxmlformats.org/officeDocument/2006/relationships/hyperlink" Target="https://techcombank.com/thong-tin/blog/han-muc-mua-ngoai-te-khi-di-du-lich" TargetMode="External"/><Relationship Id="rId543" Type="http://schemas.openxmlformats.org/officeDocument/2006/relationships/hyperlink" Target="https://techcombank.com/thong-tin/blog/rut-tien-tiet-kiem-truoc-thoi-han" TargetMode="External"/><Relationship Id="rId664" Type="http://schemas.openxmlformats.org/officeDocument/2006/relationships/hyperlink" Target="https://techcombank.com/thong-tin/blog/vay-tin-chap-la-gi" TargetMode="External"/><Relationship Id="rId300" Type="http://schemas.openxmlformats.org/officeDocument/2006/relationships/hyperlink" Target="https://techcombank.com/thong-tin/blog/sao-ke-the-tin-dung-la-gi" TargetMode="External"/><Relationship Id="rId421" Type="http://schemas.openxmlformats.org/officeDocument/2006/relationships/hyperlink" Target="https://techcombank.com/thong-tin/blog/doi-tien-do-o-dau" TargetMode="External"/><Relationship Id="rId542" Type="http://schemas.openxmlformats.org/officeDocument/2006/relationships/hyperlink" Target="https://techcombank.com/thong-tin/blog/gui-tiet-kiem-online-co-rut-truoc-han-duoc-khong" TargetMode="External"/><Relationship Id="rId663" Type="http://schemas.openxmlformats.org/officeDocument/2006/relationships/hyperlink" Target="https://techcombank.com/thong-tin/blog/vay-tin-chap-khong-tra-duoc-co-sao-khong" TargetMode="External"/><Relationship Id="rId420" Type="http://schemas.openxmlformats.org/officeDocument/2006/relationships/hyperlink" Target="https://techcombank.com/thong-tin/blog/dieu-kien-mua-usd-tu-ngan-hang" TargetMode="External"/><Relationship Id="rId541" Type="http://schemas.openxmlformats.org/officeDocument/2006/relationships/hyperlink" Target="https://techcombank.com/thong-tin/blog/rut-tien-tiet-kiem-truoc-thoi-han" TargetMode="External"/><Relationship Id="rId662" Type="http://schemas.openxmlformats.org/officeDocument/2006/relationships/hyperlink" Target="https://techcombank.com/thong-tin/blog/no-the-tin-dung-qua-han" TargetMode="External"/><Relationship Id="rId540" Type="http://schemas.openxmlformats.org/officeDocument/2006/relationships/hyperlink" Target="https://techcombank.com/thong-tin/blog/tat-toan-so-tiet-kiem" TargetMode="External"/><Relationship Id="rId661" Type="http://schemas.openxmlformats.org/officeDocument/2006/relationships/hyperlink" Target="https://techcombank.com/thong-tin/blog/vay-tin-chap-khong-tra-duoc-co-sao-khong" TargetMode="External"/><Relationship Id="rId415" Type="http://schemas.openxmlformats.org/officeDocument/2006/relationships/hyperlink" Target="https://techcombank.com/thong-tin/blog/cach-nhan-tien-tu-nuoc-ngoai-ve-viet-nam" TargetMode="External"/><Relationship Id="rId536" Type="http://schemas.openxmlformats.org/officeDocument/2006/relationships/hyperlink" Target="https://techcombank.com/thong-tin/blog/tien-gui-khong-ky-han" TargetMode="External"/><Relationship Id="rId657" Type="http://schemas.openxmlformats.org/officeDocument/2006/relationships/hyperlink" Target="https://techcombank.com/thong-tin/blog/vay-tin-chap-khong-tra-duoc-co-sao-khong" TargetMode="External"/><Relationship Id="rId414" Type="http://schemas.openxmlformats.org/officeDocument/2006/relationships/hyperlink" Target="https://techcombank.com/thong-tin/blog/ma-swift-ngan-hang" TargetMode="External"/><Relationship Id="rId535" Type="http://schemas.openxmlformats.org/officeDocument/2006/relationships/hyperlink" Target="https://techcombank.com/thong-tin/blog/cach-tinh-lai-suat-tien-gui-tiet-kiem" TargetMode="External"/><Relationship Id="rId656" Type="http://schemas.openxmlformats.org/officeDocument/2006/relationships/hyperlink" Target="https://techcombank.com/thong-tin/blog/no-the-tin-dung-qua-han" TargetMode="External"/><Relationship Id="rId413" Type="http://schemas.openxmlformats.org/officeDocument/2006/relationships/hyperlink" Target="https://techcombank.com/thong-tin/blog/cach-nhan-tien-tu-nuoc-ngoai-ve-viet-nam" TargetMode="External"/><Relationship Id="rId534" Type="http://schemas.openxmlformats.org/officeDocument/2006/relationships/hyperlink" Target="https://techcombank.com/thong-tin/blog/gui-tiet-kiem-hang-thang" TargetMode="External"/><Relationship Id="rId655" Type="http://schemas.openxmlformats.org/officeDocument/2006/relationships/hyperlink" Target="https://techcombank.com/thong-tin/blog/no-xau-la-gi" TargetMode="External"/><Relationship Id="rId412" Type="http://schemas.openxmlformats.org/officeDocument/2006/relationships/hyperlink" Target="https://techcombank.com/thong-tin/blog/nhan-tien-western-union" TargetMode="External"/><Relationship Id="rId533" Type="http://schemas.openxmlformats.org/officeDocument/2006/relationships/hyperlink" Target="https://techcombank.com/thong-tin/blog/cach-tinh-lai-suat-tien-gui-tiet-kiem" TargetMode="External"/><Relationship Id="rId654" Type="http://schemas.openxmlformats.org/officeDocument/2006/relationships/hyperlink" Target="https://techcombank.com/thong-tin/blog/du-no-tin-dung-la-gi"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539" Type="http://schemas.openxmlformats.org/officeDocument/2006/relationships/hyperlink" Target="https://techcombank.com/thong-tin/blog/rut-tien-tiet-kiem-truoc-thoi-han" TargetMode="External"/><Relationship Id="rId417" Type="http://schemas.openxmlformats.org/officeDocument/2006/relationships/hyperlink" Target="https://techcombank.com/thong-tin/blog/cach-nhan-tien-tu-nuoc-ngoai-ve-viet-nam" TargetMode="External"/><Relationship Id="rId538" Type="http://schemas.openxmlformats.org/officeDocument/2006/relationships/hyperlink" Target="https://techcombank.com/thong-tin/blog/dao-han-la-gi" TargetMode="External"/><Relationship Id="rId659" Type="http://schemas.openxmlformats.org/officeDocument/2006/relationships/hyperlink" Target="https://techcombank.com/thong-tin/blog/vay-tin-chap-khong-tra-duoc-co-sao-khong" TargetMode="External"/><Relationship Id="rId416" Type="http://schemas.openxmlformats.org/officeDocument/2006/relationships/hyperlink" Target="https://techcombank.com/thong-tin/blog/chuyen-tien-tu-my-ve-viet-nam" TargetMode="External"/><Relationship Id="rId537" Type="http://schemas.openxmlformats.org/officeDocument/2006/relationships/hyperlink" Target="https://techcombank.com/thong-tin/blog/cach-tinh-lai-suat-tien-gui-tiet-kiem" TargetMode="External"/><Relationship Id="rId658" Type="http://schemas.openxmlformats.org/officeDocument/2006/relationships/hyperlink" Target="https://techcombank.com/thong-tin/blog/vay-the-chap-khong-tra-duoc" TargetMode="External"/><Relationship Id="rId411" Type="http://schemas.openxmlformats.org/officeDocument/2006/relationships/hyperlink" Target="https://techcombank.com/thong-tin/blog/cach-nhan-tien-tu-nuoc-ngoai-ve-viet-nam" TargetMode="External"/><Relationship Id="rId532" Type="http://schemas.openxmlformats.org/officeDocument/2006/relationships/hyperlink" Target="https://techcombank.com/thong-tin/blog/gui-tiet-kiem-lay-lai-hang-thang" TargetMode="External"/><Relationship Id="rId653" Type="http://schemas.openxmlformats.org/officeDocument/2006/relationships/hyperlink" Target="https://techcombank.com/thong-tin/blog/no-xau-la-gi" TargetMode="External"/><Relationship Id="rId410" Type="http://schemas.openxmlformats.org/officeDocument/2006/relationships/hyperlink" Target="https://techcombank.com/thong-tin/blog/kieu-hoi-la-gi" TargetMode="External"/><Relationship Id="rId531" Type="http://schemas.openxmlformats.org/officeDocument/2006/relationships/hyperlink" Target="https://techcombank.com/thong-tin/blog/cach-tinh-lai-suat-tien-gui-tiet-kiem" TargetMode="External"/><Relationship Id="rId652" Type="http://schemas.openxmlformats.org/officeDocument/2006/relationships/hyperlink" Target="https://techcombank.com/thong-tin/blog/no-nhom-3" TargetMode="External"/><Relationship Id="rId530" Type="http://schemas.openxmlformats.org/officeDocument/2006/relationships/hyperlink" Target="https://techcombank.com/thong-tin/blog/lai-kep-ngan-hang"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327" Type="http://schemas.openxmlformats.org/officeDocument/2006/relationships/hyperlink" Target="https://techcombank.com/thong-tin/blog/1-te-bang-bao-nhieu-tien-viet-nam" TargetMode="External"/><Relationship Id="rId448" Type="http://schemas.openxmlformats.org/officeDocument/2006/relationships/hyperlink" Target="https://techcombank.com/thong-tin/blog/ho-kinh-doanh-la-gi" TargetMode="External"/><Relationship Id="rId569" Type="http://schemas.openxmlformats.org/officeDocument/2006/relationships/hyperlink" Target="https://techcombank.com/thong-tin/blog/rui-ro-khi-gui-tiet-kiem-online" TargetMode="External"/><Relationship Id="rId205" Type="http://schemas.openxmlformats.org/officeDocument/2006/relationships/hyperlink" Target="https://techcombank.com/thong-tin/blog/rut-tien-bang-ma-qr-la-gi-cach-thuc-hien-nhu-the-nao" TargetMode="External"/><Relationship Id="rId326" Type="http://schemas.openxmlformats.org/officeDocument/2006/relationships/hyperlink" Target="https://techcombank.com/thong-tin/blog/1-van-te-bang-bao-nhieu-tien-viet" TargetMode="External"/><Relationship Id="rId447" Type="http://schemas.openxmlformats.org/officeDocument/2006/relationships/hyperlink" Target="https://techcombank.com/thong-tin/blog/ho-kinh-doanh-dong-thue-nhu-nao" TargetMode="External"/><Relationship Id="rId568" Type="http://schemas.openxmlformats.org/officeDocument/2006/relationships/hyperlink" Target="https://techcombank.com/thong-tin/blog/the-nao-la-tiet-kiem" TargetMode="External"/><Relationship Id="rId204" Type="http://schemas.openxmlformats.org/officeDocument/2006/relationships/hyperlink" Target="https://techcombank.com/thong-tin/blog/cach-rut-tien-atm" TargetMode="External"/><Relationship Id="rId325" Type="http://schemas.openxmlformats.org/officeDocument/2006/relationships/hyperlink" Target="https://techcombank.com/thong-tin/blog/1-te-bang-bao-nhieu-tien-viet-nam" TargetMode="External"/><Relationship Id="rId446" Type="http://schemas.openxmlformats.org/officeDocument/2006/relationships/hyperlink" Target="https://techcombank.com/thong-tin/blog/tich-diem-doi-qua" TargetMode="External"/><Relationship Id="rId567" Type="http://schemas.openxmlformats.org/officeDocument/2006/relationships/hyperlink" Target="https://techcombank.com/thong-tin/blog/cach-tiet-kiem-tien" TargetMode="External"/><Relationship Id="rId203" Type="http://schemas.openxmlformats.org/officeDocument/2006/relationships/hyperlink" Target="https://techcombank.com/thong-tin/blog/rut-tien-bang-ma-qr-la-gi-cach-thuc-hien-nhu-the-nao" TargetMode="External"/><Relationship Id="rId324" Type="http://schemas.openxmlformats.org/officeDocument/2006/relationships/hyperlink" Target="https://techcombank.com/thong-tin/blog/tien-trung-quoc" TargetMode="External"/><Relationship Id="rId445" Type="http://schemas.openxmlformats.org/officeDocument/2006/relationships/hyperlink" Target="https://techcombank.com/thong-tin/blog/traveloka-voucher" TargetMode="External"/><Relationship Id="rId566" Type="http://schemas.openxmlformats.org/officeDocument/2006/relationships/hyperlink" Target="https://techcombank.com/thong-tin/blog/loi-ich-cua-viec-tiet-kiem-tien"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329" Type="http://schemas.openxmlformats.org/officeDocument/2006/relationships/hyperlink" Target="https://techcombank.com/thong-tin/blog/1-te-bang-bao-nhieu-tien-viet-nam" TargetMode="External"/><Relationship Id="rId207" Type="http://schemas.openxmlformats.org/officeDocument/2006/relationships/hyperlink" Target="https://techcombank.com/thong-tin/blog/rut-tien-bang-ma-qr-la-gi-cach-thuc-hien-nhu-the-nao" TargetMode="External"/><Relationship Id="rId328" Type="http://schemas.openxmlformats.org/officeDocument/2006/relationships/hyperlink" Target="https://techcombank.com/thong-tin/blog/1000-te-bang-bao-nhieu-tien-viet"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202" Type="http://schemas.openxmlformats.org/officeDocument/2006/relationships/hyperlink" Target="https://techcombank.com/thong-tin/blog/rut-tien-bang-ma-qr-khac-ngan-hang-duoc-khong" TargetMode="External"/><Relationship Id="rId323" Type="http://schemas.openxmlformats.org/officeDocument/2006/relationships/hyperlink" Target="https://techcombank.com/thong-tin/blog/1-te-bang-bao-nhieu-tien-viet-nam" TargetMode="External"/><Relationship Id="rId444" Type="http://schemas.openxmlformats.org/officeDocument/2006/relationships/hyperlink" Target="https://techcombank.com/thong-tin/blog/techcombank-oneu" TargetMode="External"/><Relationship Id="rId565" Type="http://schemas.openxmlformats.org/officeDocument/2006/relationships/hyperlink" Target="https://techcombank.com/thong-tin/blog/cach-tiet-kiem-tien" TargetMode="External"/><Relationship Id="rId201" Type="http://schemas.openxmlformats.org/officeDocument/2006/relationships/hyperlink" Target="https://techcombank.com/thong-tin/blog/rut-tien-bang-ma-qr-la-gi-cach-thuc-hien-nhu-the-nao" TargetMode="External"/><Relationship Id="rId322" Type="http://schemas.openxmlformats.org/officeDocument/2006/relationships/hyperlink" Target="https://techcombank.com/thong-tin/blog/chuyen-nhuong-chung-chi-tien-gui" TargetMode="External"/><Relationship Id="rId443" Type="http://schemas.openxmlformats.org/officeDocument/2006/relationships/hyperlink" Target="https://techcombank.com/thong-tin/blog/traveloka-voucher" TargetMode="External"/><Relationship Id="rId564" Type="http://schemas.openxmlformats.org/officeDocument/2006/relationships/hyperlink" Target="https://techcombank.com/thong-tin/blog/hoc-cach-tiet-kiem-tien-luong" TargetMode="External"/><Relationship Id="rId200" Type="http://schemas.openxmlformats.org/officeDocument/2006/relationships/hyperlink" Target="https://techcombank.com/thong-tin/blog/tra-cuu-no-thue-ca-nhan" TargetMode="External"/><Relationship Id="rId321" Type="http://schemas.openxmlformats.org/officeDocument/2006/relationships/hyperlink" Target="https://techcombank.com/thong-tin/blog/lai-suat-chung-chi-tien-gui-cac-ngan-hang" TargetMode="External"/><Relationship Id="rId442" Type="http://schemas.openxmlformats.org/officeDocument/2006/relationships/hyperlink" Target="https://techcombank.com/thong-tin/blog/mua-ve-may-bay-gia-re" TargetMode="External"/><Relationship Id="rId563" Type="http://schemas.openxmlformats.org/officeDocument/2006/relationships/hyperlink" Target="https://techcombank.com/thong-tin/blog/cach-tiet-kiem-tien" TargetMode="External"/><Relationship Id="rId320" Type="http://schemas.openxmlformats.org/officeDocument/2006/relationships/hyperlink" Target="https://techcombank.com/thong-tin/blog/chung-chi-tien-gui-co-duoc-rut-truoc-han" TargetMode="External"/><Relationship Id="rId441" Type="http://schemas.openxmlformats.org/officeDocument/2006/relationships/hyperlink" Target="https://techcombank.com/thong-tin/blog/traveloka-voucher" TargetMode="External"/><Relationship Id="rId562" Type="http://schemas.openxmlformats.org/officeDocument/2006/relationships/hyperlink" Target="https://techcombank.com/thong-tin/blog/tiet-kiem-tien-moi-ngay" TargetMode="External"/><Relationship Id="rId316" Type="http://schemas.openxmlformats.org/officeDocument/2006/relationships/hyperlink" Target="https://techcombank.com/thong-tin/blog/cach-tinh-loi-nhuan-chung-chi-tien-gui" TargetMode="External"/><Relationship Id="rId437" Type="http://schemas.openxmlformats.org/officeDocument/2006/relationships/hyperlink" Target="https://techcombank.com/thong-tin/blog/vay-ngan-hang-1-ty-moi-thang-tra-bao-nhieu" TargetMode="External"/><Relationship Id="rId558" Type="http://schemas.openxmlformats.org/officeDocument/2006/relationships/hyperlink" Target="https://techcombank.com/thong-tin/blog/quy-trinh-gui-tien-tiet-kiem" TargetMode="External"/><Relationship Id="rId315" Type="http://schemas.openxmlformats.org/officeDocument/2006/relationships/hyperlink" Target="https://techcombank.com/thong-tin/blog/lai-suat-chung-chi-tien-gui-cac-ngan-hang" TargetMode="External"/><Relationship Id="rId436" Type="http://schemas.openxmlformats.org/officeDocument/2006/relationships/hyperlink" Target="https://techcombank.com/thong-tin/blog/vay-mua-chung-cu" TargetMode="External"/><Relationship Id="rId557" Type="http://schemas.openxmlformats.org/officeDocument/2006/relationships/hyperlink" Target="https://techcombank.com/thong-tin/blog/so-tiet-kiem-ngan-hang" TargetMode="External"/><Relationship Id="rId314" Type="http://schemas.openxmlformats.org/officeDocument/2006/relationships/hyperlink" Target="https://techcombank.com/thong-tin/blog/tien-nhan-roi-nen-lam-gi" TargetMode="External"/><Relationship Id="rId435" Type="http://schemas.openxmlformats.org/officeDocument/2006/relationships/hyperlink" Target="https://techcombank.com/thong-tin/blog/vay-ngan-hang-1-ty-moi-thang-tra-bao-nhieu" TargetMode="External"/><Relationship Id="rId556" Type="http://schemas.openxmlformats.org/officeDocument/2006/relationships/hyperlink" Target="https://techcombank.com/thong-tin/blog/gui-them-tien-vao-so-tiet-kiem" TargetMode="External"/><Relationship Id="rId313" Type="http://schemas.openxmlformats.org/officeDocument/2006/relationships/hyperlink" Target="https://techcombank.com/thong-tin/blog/chung-chi-tien-gui-la-gi" TargetMode="External"/><Relationship Id="rId434" Type="http://schemas.openxmlformats.org/officeDocument/2006/relationships/hyperlink" Target="https://techcombank.com/thong-tin/blog/kinh-nghiem-vay-tien-mua-nha" TargetMode="External"/><Relationship Id="rId555" Type="http://schemas.openxmlformats.org/officeDocument/2006/relationships/hyperlink" Target="https://techcombank.com/thong-tin/blog/so-tiet-kiem-ngan-hang"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439" Type="http://schemas.openxmlformats.org/officeDocument/2006/relationships/hyperlink" Target="https://techcombank.com/thong-tin/blog/traveloka-voucher" TargetMode="External"/><Relationship Id="rId317" Type="http://schemas.openxmlformats.org/officeDocument/2006/relationships/hyperlink" Target="https://techcombank.com/thong-tin/blog/lai-suat-chung-chi-tien-gui-cac-ngan-hang" TargetMode="External"/><Relationship Id="rId438" Type="http://schemas.openxmlformats.org/officeDocument/2006/relationships/hyperlink" Target="https://techcombank.com/thong-tin/blog/lai-suat-vay-the-chap"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312" Type="http://schemas.openxmlformats.org/officeDocument/2006/relationships/hyperlink" Target="https://techcombank.com/thong-tin/blog/chung-chi-tien-gui-co-an-toan-khong" TargetMode="External"/><Relationship Id="rId433" Type="http://schemas.openxmlformats.org/officeDocument/2006/relationships/hyperlink" Target="https://techcombank.com/thong-tin/blog/vay-ngan-hang-1-ty-moi-thang-tra-bao-nhieu" TargetMode="External"/><Relationship Id="rId554" Type="http://schemas.openxmlformats.org/officeDocument/2006/relationships/hyperlink" Target="https://techcombank.com/thong-tin/blog/mat-so-tiet-kiem" TargetMode="External"/><Relationship Id="rId675" Type="http://schemas.openxmlformats.org/officeDocument/2006/relationships/drawing" Target="../drawings/drawing9.xml"/><Relationship Id="rId311" Type="http://schemas.openxmlformats.org/officeDocument/2006/relationships/hyperlink" Target="https://techcombank.com/thong-tin/blog/chung-chi-tien-gui-la-gi" TargetMode="External"/><Relationship Id="rId432" Type="http://schemas.openxmlformats.org/officeDocument/2006/relationships/hyperlink" Target="https://techcombank.com/thong-tin/blog/thu-tuc-vay-ngan-hang-mua-nha" TargetMode="External"/><Relationship Id="rId553" Type="http://schemas.openxmlformats.org/officeDocument/2006/relationships/hyperlink" Target="https://techcombank.com/thong-tin/blog/so-tiet-kiem-ngan-hang" TargetMode="External"/><Relationship Id="rId674" Type="http://schemas.openxmlformats.org/officeDocument/2006/relationships/hyperlink" Target="https://techcombank.com/thong-tin/blog/chung-chi-quy-va-co-phieu" TargetMode="External"/><Relationship Id="rId310" Type="http://schemas.openxmlformats.org/officeDocument/2006/relationships/hyperlink" Target="https://techcombank.com/thong-tin/blog/co-nen-gui-chung-chi-tien-gui" TargetMode="External"/><Relationship Id="rId431" Type="http://schemas.openxmlformats.org/officeDocument/2006/relationships/hyperlink" Target="https://techcombank.com/thong-tin/blog/vay-ngan-hang-1-ty-moi-thang-tra-bao-nhieu" TargetMode="External"/><Relationship Id="rId552" Type="http://schemas.openxmlformats.org/officeDocument/2006/relationships/hyperlink" Target="https://techcombank.com/thong-tin/blog/tai-khoan-tiet-kiem" TargetMode="External"/><Relationship Id="rId673" Type="http://schemas.openxmlformats.org/officeDocument/2006/relationships/hyperlink" Target="https://techcombank.com/thong-tin/blog/phuong-phap-dau-tu-chung-chi-quy" TargetMode="External"/><Relationship Id="rId430" Type="http://schemas.openxmlformats.org/officeDocument/2006/relationships/hyperlink" Target="https://techcombank.com/thong-tin/blog/co-nen-vay-ngan-hang-mua-nha" TargetMode="External"/><Relationship Id="rId551" Type="http://schemas.openxmlformats.org/officeDocument/2006/relationships/hyperlink" Target="https://techcombank.com/thong-tin/blog/so-tiet-kiem-ngan-hang" TargetMode="External"/><Relationship Id="rId672" Type="http://schemas.openxmlformats.org/officeDocument/2006/relationships/hyperlink" Target="https://techcombank.com/thong-tin/blog/app-theo-doi-chung-chi-qu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1" t="s">
        <v>0</v>
      </c>
    </row>
    <row r="2">
      <c r="A2" s="3" t="s">
        <v>2</v>
      </c>
      <c r="B2" s="3" t="s">
        <v>4</v>
      </c>
    </row>
    <row r="3" ht="25.5" customHeight="1">
      <c r="A3" s="4" t="s">
        <v>6</v>
      </c>
      <c r="B3" s="5" t="s">
        <v>9</v>
      </c>
    </row>
    <row r="4" ht="25.5" customHeight="1">
      <c r="A4" s="4" t="s">
        <v>11</v>
      </c>
      <c r="B4" s="5" t="s">
        <v>14</v>
      </c>
    </row>
    <row r="5" ht="25.5" customHeight="1">
      <c r="A5" s="4" t="s">
        <v>15</v>
      </c>
      <c r="B5" s="5" t="s">
        <v>17</v>
      </c>
    </row>
    <row r="6" ht="25.5" customHeight="1">
      <c r="A6" s="4" t="s">
        <v>18</v>
      </c>
      <c r="B6" s="5" t="s">
        <v>20</v>
      </c>
    </row>
    <row r="7" ht="25.5" customHeight="1">
      <c r="A7" s="4" t="s">
        <v>21</v>
      </c>
      <c r="B7" s="5" t="s">
        <v>22</v>
      </c>
    </row>
    <row r="8">
      <c r="A8" s="4" t="s">
        <v>24</v>
      </c>
      <c r="B8" s="5" t="s">
        <v>33</v>
      </c>
    </row>
    <row r="9" ht="25.5" customHeight="1">
      <c r="A9" s="4" t="s">
        <v>36</v>
      </c>
      <c r="B9" s="5" t="s">
        <v>38</v>
      </c>
    </row>
    <row r="10">
      <c r="A10" s="10" t="s">
        <v>41</v>
      </c>
      <c r="B10" s="10" t="s">
        <v>46</v>
      </c>
    </row>
    <row r="11">
      <c r="A11" s="10" t="s">
        <v>50</v>
      </c>
      <c r="B11" s="10" t="s">
        <v>52</v>
      </c>
    </row>
    <row r="12">
      <c r="A12" s="10" t="s">
        <v>53</v>
      </c>
      <c r="B12" s="10" t="s">
        <v>55</v>
      </c>
    </row>
    <row r="13">
      <c r="A13" s="10" t="s">
        <v>57</v>
      </c>
      <c r="B13" s="10" t="s">
        <v>60</v>
      </c>
    </row>
    <row r="14">
      <c r="A14" s="10" t="s">
        <v>62</v>
      </c>
      <c r="B14" s="10" t="s">
        <v>64</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6EE9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17.63"/>
    <col customWidth="1" min="3" max="3" width="52.63"/>
    <col customWidth="1" min="4" max="5" width="11.38"/>
    <col customWidth="1" min="6" max="6" width="15.13"/>
    <col customWidth="1" min="7" max="7" width="25.13"/>
    <col customWidth="1" min="8" max="8" width="47.63"/>
    <col customWidth="1" min="9" max="9" width="65.13"/>
    <col customWidth="1" min="10" max="10" width="22.63"/>
  </cols>
  <sheetData>
    <row r="1" ht="33.0" customHeight="1">
      <c r="A1" s="7" t="s">
        <v>12</v>
      </c>
      <c r="B1" s="7" t="s">
        <v>30</v>
      </c>
      <c r="C1" s="7" t="s">
        <v>32</v>
      </c>
      <c r="D1" s="7" t="s">
        <v>34</v>
      </c>
      <c r="E1" s="7" t="s">
        <v>37</v>
      </c>
      <c r="F1" s="7" t="s">
        <v>39</v>
      </c>
      <c r="G1" s="7" t="s">
        <v>42</v>
      </c>
      <c r="H1" s="7" t="s">
        <v>43</v>
      </c>
      <c r="I1" s="7" t="s">
        <v>45</v>
      </c>
      <c r="J1" s="7" t="s">
        <v>49</v>
      </c>
    </row>
    <row r="2" ht="82.5" customHeight="1">
      <c r="A2" s="12">
        <v>1.0</v>
      </c>
      <c r="B2" s="13" t="s">
        <v>68</v>
      </c>
      <c r="C2" s="13" t="s">
        <v>72</v>
      </c>
      <c r="D2" s="21">
        <f>COUNTIF('Kế hoạch chèn link (mới)'!$B$3:$B$2944,C2)</f>
        <v>16</v>
      </c>
      <c r="E2" s="21">
        <f>IFERROR(VLOOKUP(C2,'Link trỏ về từng trang đích'!$B$2:$D$76,3,0),"")</f>
        <v>30</v>
      </c>
      <c r="F2" s="13" t="str">
        <f t="shared" ref="F2:F76" si="1">IF(D2&gt;=E2,"Đủ link","Thiếu "&amp;(E2-D2)&amp;" link")</f>
        <v>Thiếu 14 link</v>
      </c>
      <c r="G2" s="13" t="str">
        <f>IF(IFERROR(VLOOKUP(C2,'Inlink đã chèn'!$B$2:$C$200,2,0),0)&gt;0,"Đã có anchor text trỏ về","Chưa có anchor text trỏ về")</f>
        <v>Chưa có anchor text trỏ về</v>
      </c>
      <c r="H2" s="13" t="str">
        <f>IFERROR(__xludf.DUMMYFUNCTION("IFERROR(TEXTJOIN("", "",TRUE,UNIQUE(FILTER('Kế hoạch chèn link (mới)'!$D$3:$D$2944,'Kế hoạch chèn link (mới)'!$B$3:$B$2944=C2))),"""")"),"lãi suất vay mua ô tô, lãi suất vay mua xe ô tô, lãi suất vay mua ô tô các ngân hàng, mua xe trả góp lãi suất bao nhiêu")</f>
        <v>lãi suất vay mua ô tô, lãi suất vay mua xe ô tô, lãi suất vay mua ô tô các ngân hàng, mua xe trả góp lãi suất bao nhiêu</v>
      </c>
      <c r="I2" s="13" t="str">
        <f>IFERROR(__xludf.DUMMYFUNCTION("IFERROR(TEXTJOIN(CHAR(10),TRUE,FILTER('Kế hoạch chèn link (mới)'!$F$3:$F$2944,'Kế hoạch chèn link (mới)'!$B$3:$B$2944=C2)),"""")"),"https://techcombank.com/thong-tin/blog/nen-mua-xe-tra-gop-hay-tra-thang
https://techcombank.com/thong-tin/blog/thu-tuc-mua-xe-tra-gop
https://techcombank.com/thong-tin/blog/vay-the-chap-xe-o-to-cu
https://techcombank.com/thong-tin/blog/lai-suat-vay-the-ch"&amp;"ap-so-do
https://techcombank.com/thong-tin/blog/doi-xe-xang-lay-xe-dien
https://techcombank.com/thong-tin/blog/co-100-trieu-co-mua-nen-mua-tra-gop
https://techcombank.com/thong-tin/blog/tai-khoan-ngan-hang-la-gi
https://techcombank.com/thong-tin/blog/mua-"&amp;"bao-hiem-o-to-dien
https://techcombank.com/thong-tin/blog/lam-the-thanh-toan-quoc-te
https://techcombank.com/thong-tin/blog/cho-vay-tung-lan
https://techcombank.com/thong-tin/blog/lam-ho-so-tra-gop-dien-thoai
https://techcombank.com/thong-tin/blog/nen-mua"&amp;"-xe-o-to-dien-hay-xe-xang
https://techcombank.com/thong-tin/blog/mo-the-tin-dung-co-loi-ich-gi
https://techcombank.com/thong-tin/blog/mua-nha-tra-gop-dua-truoc-100-trieu
https://techcombank.com/thong-tin/blog/vay-30-trieu
https://techcombank.com/thong-tin"&amp;"/blog/cach-su-dung-the-tin-dung")</f>
        <v>https://techcombank.com/thong-tin/blog/nen-mua-xe-tra-gop-hay-tra-thang
https://techcombank.com/thong-tin/blog/thu-tuc-mua-xe-tra-gop
https://techcombank.com/thong-tin/blog/vay-the-chap-xe-o-to-cu
https://techcombank.com/thong-tin/blog/lai-suat-vay-the-chap-so-do
https://techcombank.com/thong-tin/blog/doi-xe-xang-lay-xe-dien
https://techcombank.com/thong-tin/blog/co-100-trieu-co-mua-nen-mua-tra-gop
https://techcombank.com/thong-tin/blog/tai-khoan-ngan-hang-la-gi
https://techcombank.com/thong-tin/blog/mua-bao-hiem-o-to-dien
https://techcombank.com/thong-tin/blog/lam-the-thanh-toan-quoc-te
https://techcombank.com/thong-tin/blog/cho-vay-tung-lan
https://techcombank.com/thong-tin/blog/lam-ho-so-tra-gop-dien-thoai
https://techcombank.com/thong-tin/blog/nen-mua-xe-o-to-dien-hay-xe-xang
https://techcombank.com/thong-tin/blog/mo-the-tin-dung-co-loi-ich-gi
https://techcombank.com/thong-tin/blog/mua-nha-tra-gop-dua-truoc-100-trieu
https://techcombank.com/thong-tin/blog/vay-30-trieu
https://techcombank.com/thong-tin/blog/cach-su-dung-the-tin-dung</v>
      </c>
      <c r="J2" s="26" t="s">
        <v>188</v>
      </c>
    </row>
    <row r="3" ht="82.5" customHeight="1">
      <c r="A3" s="12">
        <v>2.0</v>
      </c>
      <c r="B3" s="13" t="s">
        <v>196</v>
      </c>
      <c r="C3" s="13" t="s">
        <v>198</v>
      </c>
      <c r="D3" s="21">
        <f>COUNTIF('Kế hoạch chèn link (mới)'!$B$3:$B$2944,C3)</f>
        <v>41</v>
      </c>
      <c r="E3" s="21">
        <f>IFERROR(VLOOKUP(C3,'Link trỏ về từng trang đích'!$B$2:$D$76,3,0),"")</f>
        <v>100</v>
      </c>
      <c r="F3" s="13" t="str">
        <f t="shared" si="1"/>
        <v>Thiếu 59 link</v>
      </c>
      <c r="G3" s="13" t="str">
        <f>IF(IFERROR(VLOOKUP(C3,'Inlink đã chèn'!$B$2:$C$200,2,0),0)&gt;0,"Đã có anchor text trỏ về","Chưa có anchor text trỏ về")</f>
        <v>Chưa có anchor text trỏ về</v>
      </c>
      <c r="H3" s="13" t="str">
        <f>IFERROR(__xludf.DUMMYFUNCTION("IFERROR(TEXTJOIN("", "",TRUE,UNIQUE(FILTER('Kế hoạch chèn link (mới)'!$D$3:$D$2944,'Kế hoạch chèn link (mới)'!$B$3:$B$2944=C3))),"""")"),"cách nộp thuế đất online, đóng thuế đất online, nộp thuế đất online")</f>
        <v>cách nộp thuế đất online, đóng thuế đất online, nộp thuế đất online</v>
      </c>
      <c r="I3" s="13" t="str">
        <f>IFERROR(__xludf.DUMMYFUNCTION("IFERROR(TEXTJOIN(CHAR(10),TRUE,FILTER('Kế hoạch chèn link (mới)'!$F$3:$F$2944,'Kế hoạch chèn link (mới)'!$B$3:$B$2944=C3)),"""")"),"https://techcombank.com/thong-tin/blog/cach-nop-thue-dien-tu
https://techcombank.com/thong-tin/blog/thue-vat-la-gi
https://techcombank.com/thong-tin/blog/nop-thue-hai-quan
https://techcombank.com/thong-tin/blog/nop-tien-mat-vao-tai-khoan-cong-ty
https://t"&amp;"echcombank.com/thong-tin/blog/mau-mo-tai-khoan-doanh-nghiep-techcombank
https://techcombank.com/thong-tin/blog/tin-dung-doanh-nghiep
https://techcombank.com/thong-tin/blog/thue-thu-nhap-ca-nhan
https://techcombank.com/thong-tin/blog/ho-kinh-doanh-la-gi
ht"&amp;"tps://techcombank.com/thong-tin/blog/phat-cham-dang-ky-thue-ho-kinh-doanh
https://techcombank.com/thong-tin/blog/chuyen-nhuong-chung-chi-tien-gui
https://techcombank.com/thong-tin/blog/dong-ma-so-thue-ho-kinh-doanh
https://techcombank.com/thong-tin/blog/k"&amp;"inh-doanh-online
https://techcombank.com/thong-tin/blog/kiem-tra-thue-thu-nhap-ca-nhan
https://techcombank.com/thong-tin/blog/dang-ky-thue-ho-kinh-doanh-ca-the-online
https://techcombank.com/thong-tin/blog/khau-hao
https://techcombank.com/thong-tin/blog/t"&amp;"hu-tuc-vay-ngan-hang-mua-nha
https://techcombank.com/thong-tin/blog/chinh-sach-thue-moi
https://techcombank.com/thong-tin/blog/chuyen-gia-du-doan-gia-bat-dong-san-2025-va-cac-no-luc-tu-ngan-hang
https://techcombank.com/thong-tin/blog/dinh-cu-chau-au
https"&amp;"://techcombank.com/thong-tin/blog/khach-hang-vip-bat-dong-san
https://techcombank.com/thong-tin/blog/cach-lay-lai-tien-da-chuyen-khoan-khi-bi-lua
https://techcombank.com/thong-tin/blog/cho-vay-hop-von-la-gi
https://techcombank.com/thong-tin/blog/chuyen-ti"&amp;"en-tu-my-ve-viet-nam
https://techcombank.com/thong-tin/blog/due-diligence
https://techcombank.com/thong-tin/blog/loi-ich-khi-ho-kinh-doanh-chuyen-len-doanh-nghiep
https://techcombank.com/thong-tin/blog/may-pos-la-gi
https://techcombank.com/thong-tin/blog/"&amp;"mo-tai-khoan-doanh-nghiep
https://techcombank.com/thong-tin/blog/cach-quan-ly-tai-chinh-kinh-doanh
https://techcombank.com/thong-tin/blog/chuan-bi-cho-doanh-nghiep-khoi-nghiep-truoc-nhung-thay-doi-ve-thue
https://techcombank.com/thong-tin/blog/chuyen-doi-"&amp;"hoa-don-dien-tu
https://techcombank.com/thong-tin/blog/cong-ty-xuat-nhap-khau
https://techcombank.com/thong-tin/blog/hoa-don-dien-tu-ho-kinh-doanh
https://techcombank.com/thong-tin/blog/luat-thuong-mai-dien-tu
https://techcombank.com/thong-tin/blog/may-ti"&amp;"nh-tien
https://techcombank.com/thong-tin/blog/cach-tinh-thue-thu-nhap-ca-nhan-2025
https://techcombank.com/thong-tin/blog/bao-lanh-ngan-hang-la-gi
https://techcombank.com/thong-tin/blog/chung-chi-tien-gui-co-duoc-rut-truoc-han
https://techcombank.com/tho"&amp;"ng-tin/blog/chuyen-doi-so-ho-kinh-doanh
https://techcombank.com/thong-tin/blog/ho-so-thu-tuc-xoa-the-chap
https://techcombank.com/thong-tin/blog/lap-ke-hoach-tai-chinh-ca-nhan
https://techcombank.com/thong-tin/blog/luu-y-khi-chuyen-tien-vao-tai-khoan-cong"&amp;"-ty")</f>
        <v>https://techcombank.com/thong-tin/blog/cach-nop-thue-dien-tu
https://techcombank.com/thong-tin/blog/thue-vat-la-gi
https://techcombank.com/thong-tin/blog/nop-thue-hai-quan
https://techcombank.com/thong-tin/blog/nop-tien-mat-vao-tai-khoan-cong-ty
https://techcombank.com/thong-tin/blog/mau-mo-tai-khoan-doanh-nghiep-techcombank
https://techcombank.com/thong-tin/blog/tin-dung-doanh-nghiep
https://techcombank.com/thong-tin/blog/thue-thu-nhap-ca-nhan
https://techcombank.com/thong-tin/blog/ho-kinh-doanh-la-gi
https://techcombank.com/thong-tin/blog/phat-cham-dang-ky-thue-ho-kinh-doanh
https://techcombank.com/thong-tin/blog/chuyen-nhuong-chung-chi-tien-gui
https://techcombank.com/thong-tin/blog/dong-ma-so-thue-ho-kinh-doanh
https://techcombank.com/thong-tin/blog/kinh-doanh-online
https://techcombank.com/thong-tin/blog/kiem-tra-thue-thu-nhap-ca-nhan
https://techcombank.com/thong-tin/blog/dang-ky-thue-ho-kinh-doanh-ca-the-online
https://techcombank.com/thong-tin/blog/khau-hao
https://techcombank.com/thong-tin/blog/thu-tuc-vay-ngan-hang-mua-nha
https://techcombank.com/thong-tin/blog/chinh-sach-thue-moi
https://techcombank.com/thong-tin/blog/chuyen-gia-du-doan-gia-bat-dong-san-2025-va-cac-no-luc-tu-ngan-hang
https://techcombank.com/thong-tin/blog/dinh-cu-chau-au
https://techcombank.com/thong-tin/blog/khach-hang-vip-bat-dong-san
https://techcombank.com/thong-tin/blog/cach-lay-lai-tien-da-chuyen-khoan-khi-bi-lua
https://techcombank.com/thong-tin/blog/cho-vay-hop-von-la-gi
https://techcombank.com/thong-tin/blog/chuyen-tien-tu-my-ve-viet-nam
https://techcombank.com/thong-tin/blog/due-diligence
https://techcombank.com/thong-tin/blog/loi-ich-khi-ho-kinh-doanh-chuyen-len-doanh-nghiep
https://techcombank.com/thong-tin/blog/may-pos-la-gi
https://techcombank.com/thong-tin/blog/mo-tai-khoan-doanh-nghiep
https://techcombank.com/thong-tin/blog/cach-quan-ly-tai-chinh-kinh-doanh
https://techcombank.com/thong-tin/blog/chuan-bi-cho-doanh-nghiep-khoi-nghiep-truoc-nhung-thay-doi-ve-thue
https://techcombank.com/thong-tin/blog/chuyen-doi-hoa-don-dien-tu
https://techcombank.com/thong-tin/blog/cong-ty-xuat-nhap-khau
https://techcombank.com/thong-tin/blog/hoa-don-dien-tu-ho-kinh-doanh
https://techcombank.com/thong-tin/blog/luat-thuong-mai-dien-tu
https://techcombank.com/thong-tin/blog/may-tinh-tien
https://techcombank.com/thong-tin/blog/cach-tinh-thue-thu-nhap-ca-nhan-2025
https://techcombank.com/thong-tin/blog/bao-lanh-ngan-hang-la-gi
https://techcombank.com/thong-tin/blog/chung-chi-tien-gui-co-duoc-rut-truoc-han
https://techcombank.com/thong-tin/blog/chuyen-doi-so-ho-kinh-doanh
https://techcombank.com/thong-tin/blog/ho-so-thu-tuc-xoa-the-chap
https://techcombank.com/thong-tin/blog/lap-ke-hoach-tai-chinh-ca-nhan
https://techcombank.com/thong-tin/blog/luu-y-khi-chuyen-tien-vao-tai-khoan-cong-ty</v>
      </c>
      <c r="J3" s="26" t="s">
        <v>188</v>
      </c>
    </row>
    <row r="4" ht="82.5" customHeight="1">
      <c r="A4" s="12">
        <v>3.0</v>
      </c>
      <c r="B4" s="13" t="s">
        <v>196</v>
      </c>
      <c r="C4" s="13" t="s">
        <v>122</v>
      </c>
      <c r="D4" s="21">
        <f>COUNTIF('Kế hoạch chèn link (mới)'!$B$3:$B$2944,C4)</f>
        <v>33</v>
      </c>
      <c r="E4" s="21">
        <f>IFERROR(VLOOKUP(C4,'Link trỏ về từng trang đích'!$B$2:$D$76,3,0),"")</f>
        <v>50</v>
      </c>
      <c r="F4" s="13" t="str">
        <f t="shared" si="1"/>
        <v>Thiếu 17 link</v>
      </c>
      <c r="G4" s="13" t="str">
        <f>IF(IFERROR(VLOOKUP(C4,'Inlink đã chèn'!$B$2:$C$200,2,0),0)&gt;0,"Đã có anchor text trỏ về","Chưa có anchor text trỏ về")</f>
        <v>Chưa có anchor text trỏ về</v>
      </c>
      <c r="H4" s="13" t="str">
        <f>IFERROR(__xludf.DUMMYFUNCTION("IFERROR(TEXTJOIN("", "",TRUE,UNIQUE(FILTER('Kế hoạch chèn link (mới)'!$D$3:$D$2944,'Kế hoạch chèn link (mới)'!$B$3:$B$2944=C4))),"""")"),"nộp thuế hộ trên etax, nộp thuế online")</f>
        <v>nộp thuế hộ trên etax, nộp thuế online</v>
      </c>
      <c r="I4" s="13" t="str">
        <f>IFERROR(__xludf.DUMMYFUNCTION("IFERROR(TEXTJOIN(CHAR(10),TRUE,FILTER('Kế hoạch chèn link (mới)'!$F$3:$F$2944,'Kế hoạch chèn link (mới)'!$B$3:$B$2944=C4)),"""")"),"https://techcombank.com/thong-tin/blog/lien-ket-tai-khoan-ngan-hang-voi-etax-mobile
https://techcombank.com/thong-tin/blog/ke-khai-thue-ho-kinh-doanh-ca-the-online
https://techcombank.com/thong-tin/blog/quyet-toan-thue-thu-nhap-ca-nhan
https://techcombank"&amp;".com/thong-tin/blog/nop-thue-hai-quan
https://techcombank.com/thong-tin/blog/hoan-thue-thu-nhap-ca-nhan
https://techcombank.com/thong-tin/blog/dang-ky-thue-ho-kinh-doanh-ca-the-online
https://techcombank.com/thong-tin/blog/kiem-tra-thue-ho-kinh-doanh
http"&amp;"s://techcombank.com/thong-tin/blog/thue-thuong-mai-dien-tu
https://techcombank.com/thong-tin/blog/ho-kinh-doanh-dong-thue-nhu-nao
https://techcombank.com/thong-tin/blog/thue-thu-nhap-ca-nhan
https://techcombank.com/thong-tin/blog/tim-hieu-ve-chinh-sach-th"&amp;"ue-moi
https://techcombank.com/thong-tin/blog/hoa-don-dien-tu
https://techcombank.com/thong-tin/blog/tra-cuu-ma-so-thue-ho-kinh-doanh
https://techcombank.com/thong-tin/blog/khai-bao-tai-khoan-ngan-hang-voi-co-quan-thue
https://techcombank.com/thong-tin/bl"&amp;"og/luat-thuong-mai-dien-tu
https://techcombank.com/thong-tin/blog/dang-ky-ma-so-thue-ca-nhan
https://techcombank.com/thong-tin/blog/thue-khoan-ho-kinh-doanh-la-gi
https://techcombank.com/thong-tin/blog/khoi-nghiep-truoc-chinh-sach-thue-moi
https://techcom"&amp;"bank.com/thong-tin/blog/ho-kinh-doanh-la-gi
https://techcombank.com/thong-tin/blog/truy-thu-thue-ho-kinh-doanh
https://techcombank.com/thong-tin/blog/quyet-toan-thue-doanh-nghiep
https://techcombank.com/thong-tin/blog/kinh-doanh-online
https://techcombank"&amp;".com/thong-tin/blog/nop-thue-dat-qua-ngan-hang
https://techcombank.com/thong-tin/blog/dong-ma-so-thue-ho-kinh-doanh
https://techcombank.com/thong-tin/blog/one-stop-shop
https://techcombank.com/thong-tin/blog/top-phan-mem-ban-hang
https://techcombank.com/t"&amp;"hong-tin/blog/doanh-nghiep-moi-thanh-lap-duoc-uu-dai-gi
https://techcombank.com/thong-tin/blog/phat-cham-dang-ky-thue-ho-kinh-doanh
https://techcombank.com/thong-tin/blog/thu-tuc-thanh-lap-doanh-nghiep
https://techcombank.com/thong-tin/blog/tien-chuyen-va"&amp;"o-tai-khoan-co-bi-tinh-thue-khong
https://techcombank.com/thong-tin/blog/tra-cuu-no-thue-hai-quan
https://techcombank.com/thong-tin/blog/cach-tinh-thue-thu-nhap-ca-nhan-2025
https://techcombank.com/thong-tin/blog/thue-doanh-nghiep-2025")</f>
        <v>https://techcombank.com/thong-tin/blog/lien-ket-tai-khoan-ngan-hang-voi-etax-mobile
https://techcombank.com/thong-tin/blog/ke-khai-thue-ho-kinh-doanh-ca-the-online
https://techcombank.com/thong-tin/blog/quyet-toan-thue-thu-nhap-ca-nhan
https://techcombank.com/thong-tin/blog/nop-thue-hai-quan
https://techcombank.com/thong-tin/blog/hoan-thue-thu-nhap-ca-nhan
https://techcombank.com/thong-tin/blog/dang-ky-thue-ho-kinh-doanh-ca-the-online
https://techcombank.com/thong-tin/blog/kiem-tra-thue-ho-kinh-doanh
https://techcombank.com/thong-tin/blog/thue-thuong-mai-dien-tu
https://techcombank.com/thong-tin/blog/ho-kinh-doanh-dong-thue-nhu-nao
https://techcombank.com/thong-tin/blog/thue-thu-nhap-ca-nhan
https://techcombank.com/thong-tin/blog/tim-hieu-ve-chinh-sach-thue-moi
https://techcombank.com/thong-tin/blog/hoa-don-dien-tu
https://techcombank.com/thong-tin/blog/tra-cuu-ma-so-thue-ho-kinh-doanh
https://techcombank.com/thong-tin/blog/khai-bao-tai-khoan-ngan-hang-voi-co-quan-thue
https://techcombank.com/thong-tin/blog/luat-thuong-mai-dien-tu
https://techcombank.com/thong-tin/blog/dang-ky-ma-so-thue-ca-nhan
https://techcombank.com/thong-tin/blog/thue-khoan-ho-kinh-doanh-la-gi
https://techcombank.com/thong-tin/blog/khoi-nghiep-truoc-chinh-sach-thue-moi
https://techcombank.com/thong-tin/blog/ho-kinh-doanh-la-gi
https://techcombank.com/thong-tin/blog/truy-thu-thue-ho-kinh-doanh
https://techcombank.com/thong-tin/blog/quyet-toan-thue-doanh-nghiep
https://techcombank.com/thong-tin/blog/kinh-doanh-online
https://techcombank.com/thong-tin/blog/nop-thue-dat-qua-ngan-hang
https://techcombank.com/thong-tin/blog/dong-ma-so-thue-ho-kinh-doanh
https://techcombank.com/thong-tin/blog/one-stop-shop
https://techcombank.com/thong-tin/blog/top-phan-mem-ban-hang
https://techcombank.com/thong-tin/blog/doanh-nghiep-moi-thanh-lap-duoc-uu-dai-gi
https://techcombank.com/thong-tin/blog/phat-cham-dang-ky-thue-ho-kinh-doanh
https://techcombank.com/thong-tin/blog/thu-tuc-thanh-lap-doanh-nghiep
https://techcombank.com/thong-tin/blog/tien-chuyen-vao-tai-khoan-co-bi-tinh-thue-khong
https://techcombank.com/thong-tin/blog/tra-cuu-no-thue-hai-quan
https://techcombank.com/thong-tin/blog/cach-tinh-thue-thu-nhap-ca-nhan-2025
https://techcombank.com/thong-tin/blog/thue-doanh-nghiep-2025</v>
      </c>
      <c r="J4" s="26" t="s">
        <v>188</v>
      </c>
    </row>
    <row r="5" ht="82.5" customHeight="1">
      <c r="A5" s="12">
        <v>4.0</v>
      </c>
      <c r="B5" s="13" t="s">
        <v>196</v>
      </c>
      <c r="C5" s="13" t="s">
        <v>80</v>
      </c>
      <c r="D5" s="21">
        <f>COUNTIF('Kế hoạch chèn link (mới)'!$B$3:$B$2944,C5)</f>
        <v>50</v>
      </c>
      <c r="E5" s="21">
        <f>IFERROR(VLOOKUP(C5,'Link trỏ về từng trang đích'!$B$2:$D$76,3,0),"")</f>
        <v>50</v>
      </c>
      <c r="F5" s="13" t="str">
        <f t="shared" si="1"/>
        <v>Đủ link</v>
      </c>
      <c r="G5" s="13" t="str">
        <f>IF(IFERROR(VLOOKUP(C5,'Inlink đã chèn'!$B$2:$C$200,2,0),0)&gt;0,"Đã có anchor text trỏ về","Chưa có anchor text trỏ về")</f>
        <v>Chưa có anchor text trỏ về</v>
      </c>
      <c r="H5" s="13" t="str">
        <f>IFERROR(__xludf.DUMMYFUNCTION("IFERROR(TEXTJOIN("", "",TRUE,UNIQUE(FILTER('Kế hoạch chèn link (mới)'!$D$3:$D$2944,'Kế hoạch chèn link (mới)'!$B$3:$B$2944=C5))),"""")"),"thuế thu nhập doanh nghiệp, thuế thu nhập doanh nghiệp 2026")</f>
        <v>thuế thu nhập doanh nghiệp, thuế thu nhập doanh nghiệp 2026</v>
      </c>
      <c r="I5" s="13" t="str">
        <f>IFERROR(__xludf.DUMMYFUNCTION("IFERROR(TEXTJOIN(CHAR(10),TRUE,FILTER('Kế hoạch chèn link (mới)'!$F$3:$F$2944,'Kế hoạch chèn link (mới)'!$B$3:$B$2944=C5)),"""")"),"https://techcombank.com/thong-tin/blog/nhung-chi-phi-khong-duoc-tru-khi-tinh-thue-tndn
https://techcombank.com/thong-tin/blog/quyet-toan-thue-doanh-nghiep
https://techcombank.com/thong-tin/blog/doanh-nghiep-moi-thanh-lap-duoc-uu-dai-gi
https://techcombank"&amp;".com/thong-tin/blog/loi-nhuan
https://techcombank.com/thong-tin/blog/tra-luong-tien-mat
https://techcombank.com/thong-tin/blog/ebitda-la-gi
https://techcombank.com/thong-tin/blog/luu-y-khi-chuyen-doi-tu-ho-kinh-doanh-len-doanh-nghiep
https://techcombank.c"&amp;"om/thong-tin/blog/tiem-nang-chuyen-doi-tu-ho-kinh-doanh-len-doanh-nghiep-sme
https://techcombank.com/thong-tin/blog/wacc-la-gi
https://techcombank.com/thong-tin/blog/cach-su-dung-tai-khoan-cong-ty
https://techcombank.com/thong-tin/blog/khau-hao
https://te"&amp;"chcombank.com/thong-tin/blog/hoan-thue-doanh-nghiep
https://techcombank.com/thong-tin/blog/cach-tinh-thue-thu-nhap-doanh-nghiep
https://techcombank.com/thong-tin/blog/giai-dap-ve-thue-doanh-nghiep
https://techcombank.com/thong-tin/blog/loi-nhuan-rong
http"&amp;"s://techcombank.com/thong-tin/blog/thue-doanh-nghiep
https://techcombank.com/thong-tin/blog/tim-hieu-ve-chinh-sach-thue-moi
https://techcombank.com/thong-tin/blog/ke-khai-thue-doanh-nghiep
https://techcombank.com/thong-tin/blog/chuyen-doi-ho-kinh-doanh-le"&amp;"n-doanh-nghiep
https://techcombank.com/thong-tin/blog/nen-thanh-lap-ho-kinh-doanh-ke-khai-hay-doanh-nghiep
https://techcombank.com/thong-tin/blog/thue-phi-co-dinh-khi-chuyen-doi-tu-ho-kinh-doanh-len-doanh-nghiep
https://techcombank.com/thong-tin/blog/cac-"&amp;"sai-lam-pho-bien-khi-chuyen-doi-ho-kinh-doanh-len-sme
https://techcombank.com/thong-tin/blog/luu-y-khi-chuyen-tien-vao-tai-khoan-cong-ty
https://techcombank.com/thong-tin/blog/hieu-hiet-ve-tuan-thu-thue-cho-cac-doanh-nghiep-khoi-nghiep
https://techcombank"&amp;".com/thong-tin/blog/loi-ich-khi-ho-kinh-doanh-chuyen-len-doanh-nghiep
https://techcombank.com/thong-tin/blog/kiem-tra-ma-so-thue-doanh-nghiep
https://techcombank.com/thong-tin/blog/tra-cuu-no-thue-doanh-nghiep
https://techcombank.com/thong-tin/blog/quan-l"&amp;"y-tai-chinh-doanh-nghiep-la-gi
https://techcombank.com/thong-tin/blog/gia-chung-chi-quy-la-gi
https://techcombank.com/thong-tin/blog/khoi-nghiep-truoc-chinh-sach-thue-moi
https://techcombank.com/thong-tin/blog/roa
https://techcombank.com/thong-tin/blog/to"&amp;"i-uu-hoa-chi-phi-trong-doanh-nghiep
https://techcombank.com/thong-tin/blog/top-phan-mem-ban-hang
https://techcombank.com/thong-tin/blog/dong-tai-khoan-ngan-hang-cong-ty
https://techcombank.com/thong-tin/blog/dieu-kien-thanh-lap-doanh-nghiep
https://techco"&amp;"mbank.com/thong-tin/blog/thu-tuc-thanh-lap-doanh-nghiep
https://techcombank.com/thong-tin/blog/chi-phi-mo-tai-khoan-ngan-hang-cho-cong-ty
https://techcombank.com/thong-tin/blog/tien-dai-loan
https://techcombank.com/thong-tin/blog/mo-tai-khoan-doanh-nghiep"&amp;"
https://techcombank.com/thong-tin/blog/bao-lanh-ngan-hang-la-gi
https://techcombank.com/thong-tin/blog/cach-quan-ly-tai-chinh-kinh-doanh
https://techcombank.com/thong-tin/blog/chuan-bi-cho-doanh-nghiep-khoi-nghiep-truoc-nhung-thay-doi-ve-thue
https://tec"&amp;"hcombank.com/thong-tin/blog/chuyen-doi-so-ho-kinh-doanh
https://techcombank.com/thong-tin/blog/cong-ty-xuat-nhap-khau
https://techcombank.com/thong-tin/blog/nhung-ho-kinh-doanh-duoc-mien-thue
https://techcombank.com/thong-tin/blog/ho-kinh-doanh-dong-thue-"&amp;"nhu-nao
https://techcombank.com/thong-tin/blog/cach-nop-thue-dien-tu
https://techcombank.com/thong-tin/blog/luat-thuong-mai-dien-tu
https://techcombank.com/thong-tin/blog/chinh-sach-thue-moi
https://techcombank.com/thong-tin/blog/thue-doanh-nghiep-2025")</f>
        <v>https://techcombank.com/thong-tin/blog/nhung-chi-phi-khong-duoc-tru-khi-tinh-thue-tndn
https://techcombank.com/thong-tin/blog/quyet-toan-thue-doanh-nghiep
https://techcombank.com/thong-tin/blog/doanh-nghiep-moi-thanh-lap-duoc-uu-dai-gi
https://techcombank.com/thong-tin/blog/loi-nhuan
https://techcombank.com/thong-tin/blog/tra-luong-tien-mat
https://techcombank.com/thong-tin/blog/ebitda-la-gi
https://techcombank.com/thong-tin/blog/luu-y-khi-chuyen-doi-tu-ho-kinh-doanh-len-doanh-nghiep
https://techcombank.com/thong-tin/blog/tiem-nang-chuyen-doi-tu-ho-kinh-doanh-len-doanh-nghiep-sme
https://techcombank.com/thong-tin/blog/wacc-la-gi
https://techcombank.com/thong-tin/blog/cach-su-dung-tai-khoan-cong-ty
https://techcombank.com/thong-tin/blog/khau-hao
https://techcombank.com/thong-tin/blog/hoan-thue-doanh-nghiep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https://techcombank.com/thong-tin/blog/chuyen-doi-ho-kinh-doanh-len-doanh-nghiep
https://techcombank.com/thong-tin/blog/nen-thanh-lap-ho-kinh-doanh-ke-khai-hay-doanh-nghiep
https://techcombank.com/thong-tin/blog/thue-phi-co-dinh-khi-chuyen-doi-tu-ho-kinh-doanh-len-doanh-nghiep
https://techcombank.com/thong-tin/blog/cac-sai-lam-pho-bien-khi-chuyen-doi-ho-kinh-doanh-len-sme
https://techcombank.com/thong-tin/blog/luu-y-khi-chuyen-tien-vao-tai-khoan-cong-ty
https://techcombank.com/thong-tin/blog/hieu-hiet-ve-tuan-thu-thue-cho-cac-doanh-nghiep-khoi-nghiep
https://techcombank.com/thong-tin/blog/loi-ich-khi-ho-kinh-doanh-chuyen-len-doanh-nghiep
https://techcombank.com/thong-tin/blog/kiem-tra-ma-so-thue-doanh-nghiep
https://techcombank.com/thong-tin/blog/tra-cuu-no-thue-doanh-nghiep
https://techcombank.com/thong-tin/blog/quan-ly-tai-chinh-doanh-nghiep-la-gi
https://techcombank.com/thong-tin/blog/gia-chung-chi-quy-la-gi
https://techcombank.com/thong-tin/blog/khoi-nghiep-truoc-chinh-sach-thue-moi
https://techcombank.com/thong-tin/blog/roa
https://techcombank.com/thong-tin/blog/toi-uu-hoa-chi-phi-trong-doanh-nghiep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https://techcombank.com/thong-tin/blog/tien-dai-loan
https://techcombank.com/thong-tin/blog/mo-tai-khoan-doanh-nghiep
https://techcombank.com/thong-tin/blog/bao-lanh-ngan-hang-la-gi
https://techcombank.com/thong-tin/blog/cach-quan-ly-tai-chinh-kinh-doanh
https://techcombank.com/thong-tin/blog/chuan-bi-cho-doanh-nghiep-khoi-nghiep-truoc-nhung-thay-doi-ve-thue
https://techcombank.com/thong-tin/blog/chuyen-doi-so-ho-kinh-doanh
https://techcombank.com/thong-tin/blog/cong-ty-xuat-nhap-khau
https://techcombank.com/thong-tin/blog/nhung-ho-kinh-doanh-duoc-mien-thue
https://techcombank.com/thong-tin/blog/ho-kinh-doanh-dong-thue-nhu-nao
https://techcombank.com/thong-tin/blog/cach-nop-thue-dien-tu
https://techcombank.com/thong-tin/blog/luat-thuong-mai-dien-tu
https://techcombank.com/thong-tin/blog/chinh-sach-thue-moi
https://techcombank.com/thong-tin/blog/thue-doanh-nghiep-2025</v>
      </c>
      <c r="J5" s="26" t="s">
        <v>188</v>
      </c>
    </row>
    <row r="6" ht="82.5" customHeight="1">
      <c r="A6" s="12">
        <v>5.0</v>
      </c>
      <c r="B6" s="13" t="s">
        <v>196</v>
      </c>
      <c r="C6" s="13" t="s">
        <v>461</v>
      </c>
      <c r="D6" s="21">
        <f>COUNTIF('Kế hoạch chèn link (mới)'!$B$3:$B$2944,C6)</f>
        <v>30</v>
      </c>
      <c r="E6" s="21">
        <f>IFERROR(VLOOKUP(C6,'Link trỏ về từng trang đích'!$B$2:$D$76,3,0),"")</f>
        <v>30</v>
      </c>
      <c r="F6" s="13" t="str">
        <f t="shared" si="1"/>
        <v>Đủ link</v>
      </c>
      <c r="G6" s="13" t="str">
        <f>IF(IFERROR(VLOOKUP(C6,'Inlink đã chèn'!$B$2:$C$200,2,0),0)&gt;0,"Đã có anchor text trỏ về","Chưa có anchor text trỏ về")</f>
        <v>Chưa có anchor text trỏ về</v>
      </c>
      <c r="H6" s="13" t="str">
        <f>IFERROR(__xludf.DUMMYFUNCTION("IFERROR(TEXTJOIN("", "",TRUE,UNIQUE(FILTER('Kế hoạch chèn link (mới)'!$D$3:$D$2944,'Kế hoạch chèn link (mới)'!$B$3:$B$2944=C6))),"""")"),"thuế giá trị gia tăng, thuế VAT, thuế GTGT là gì")</f>
        <v>thuế giá trị gia tăng, thuế VAT, thuế GTGT là gì</v>
      </c>
      <c r="I6" s="13" t="str">
        <f>IFERROR(__xludf.DUMMYFUNCTION("IFERROR(TEXTJOIN(CHAR(10),TRUE,FILTER('Kế hoạch chèn link (mới)'!$F$3:$F$2944,'Kế hoạch chèn link (mới)'!$B$3:$B$2944=C6)),"""")"),"https://techcombank.com/thong-tin/blog/ke-khai-thue-doanh-nghiep
https://techcombank.com/thong-tin/blog/hoan-thue-doanh-nghiep
https://techcombank.com/thong-tin/blog/thue-thu-nhap-doanh-nghiep
https://techcombank.com/thong-tin/blog/thue-thuong-mai-dien-tu"&amp;"
https://techcombank.com/thong-tin/blog/nhung-chi-phi-khong-duoc-tru-khi-tinh-thue-tndn
https://techcombank.com/thong-tin/blog/kinh-nghiem-chuyen-doi-tu-ho-kinh-doanh-len-doanh-nghiep
https://techcombank.com/thong-tin/blog/thue-khoan-ho-kinh-doanh-la-gi
h"&amp;"ttps://techcombank.com/thong-tin/blog/cach-su-dung-tai-khoan-cong-ty
https://techcombank.com/thong-tin/blog/gia-dien-sinh-hoat
https://techcombank.com/thong-tin/blog/tra-luong-tien-mat
https://techcombank.com/thong-tin/blog/cong-ty-su-dung-tai-khoan-ca-nh"&amp;"an
https://techcombank.com/thong-tin/blog/vi-dien-tu
https://techcombank.com/thong-tin/blog/hieu-hiet-ve-tuan-thu-thue-cho-cac-doanh-nghiep-khoi-nghiep
https://techcombank.com/thong-tin/blog/thue-ho-kinh-doanh-2025
https://techcombank.com/thong-tin/blog/h"&amp;"o-kinh-doanh-ca-the
https://techcombank.com/thong-tin/blog/thue-phi-co-dinh-khi-chuyen-doi-tu-ho-kinh-doanh-len-doanh-nghiep
https://techcombank.com/thong-tin/blog/cach-tinh-tien-dien-sinh-hoat
https://techcombank.com/thong-tin/blog/thanh-toan-khi-du-lich"&amp;"-thai-lan
https://techcombank.com/thong-tin/blog/nhung-ho-kinh-doanh-duoc-mien-thue
https://techcombank.com/thong-tin/blog/thue-doanh-nghiep
https://techcombank.com/thong-tin/blog/cach-nop-thue-dien-tu
https://techcombank.com/thong-tin/blog/tra-cuu-no-thu"&amp;"e-doanh-nghiep
https://techcombank.com/thong-tin/blog/chuyen-doi-ho-kinh-doanh-len-doanh-nghiep
https://techcombank.com/thong-tin/blog/nen-thanh-lap-ho-kinh-doanh-ke-khai-hay-doanh-nghiep
https://techcombank.com/thong-tin/blog/giai-dap-ve-thue-doanh-nghie"&amp;"p
https://techcombank.com/thong-tin/blog/one-stop-shop
https://techcombank.com/thong-tin/blog/app-chia-tien
https://techcombank.com/thong-tin/blog/hoa-don-dien-tu
https://techcombank.com/thong-tin/blog/ke-khai-thue-ho-kinh-doanh-ca-the-online
https://tech"&amp;"combank.com/thong-tin/blog/may-tinh-tien")</f>
        <v>https://techcombank.com/thong-tin/blog/ke-khai-thue-doanh-nghiep
https://techcombank.com/thong-tin/blog/hoan-thue-doanh-nghiep
https://techcombank.com/thong-tin/blog/thue-thu-nhap-doanh-nghiep
https://techcombank.com/thong-tin/blog/thue-thuong-mai-dien-tu
https://techcombank.com/thong-tin/blog/nhung-chi-phi-khong-duoc-tru-khi-tinh-thue-tndn
https://techcombank.com/thong-tin/blog/kinh-nghiem-chuyen-doi-tu-ho-kinh-doanh-len-doanh-nghiep
https://techcombank.com/thong-tin/blog/thue-khoan-ho-kinh-doanh-la-gi
https://techcombank.com/thong-tin/blog/cach-su-dung-tai-khoan-cong-ty
https://techcombank.com/thong-tin/blog/gia-dien-sinh-hoat
https://techcombank.com/thong-tin/blog/tra-luong-tien-mat
https://techcombank.com/thong-tin/blog/cong-ty-su-dung-tai-khoan-ca-nhan
https://techcombank.com/thong-tin/blog/vi-dien-tu
https://techcombank.com/thong-tin/blog/hieu-hiet-ve-tuan-thu-thue-cho-cac-doanh-nghiep-khoi-nghiep
https://techcombank.com/thong-tin/blog/thue-ho-kinh-doanh-2025
https://techcombank.com/thong-tin/blog/ho-kinh-doanh-ca-the
https://techcombank.com/thong-tin/blog/thue-phi-co-dinh-khi-chuyen-doi-tu-ho-kinh-doanh-len-doanh-nghiep
https://techcombank.com/thong-tin/blog/cach-tinh-tien-dien-sinh-hoat
https://techcombank.com/thong-tin/blog/thanh-toan-khi-du-lich-thai-lan
https://techcombank.com/thong-tin/blog/nhung-ho-kinh-doanh-duoc-mien-thue
https://techcombank.com/thong-tin/blog/thue-doanh-nghiep
https://techcombank.com/thong-tin/blog/cach-nop-thue-dien-tu
https://techcombank.com/thong-tin/blog/tra-cuu-no-thue-doanh-nghiep
https://techcombank.com/thong-tin/blog/chuyen-doi-ho-kinh-doanh-len-doanh-nghiep
https://techcombank.com/thong-tin/blog/nen-thanh-lap-ho-kinh-doanh-ke-khai-hay-doanh-nghiep
https://techcombank.com/thong-tin/blog/giai-dap-ve-thue-doanh-nghiep
https://techcombank.com/thong-tin/blog/one-stop-shop
https://techcombank.com/thong-tin/blog/app-chia-tien
https://techcombank.com/thong-tin/blog/hoa-don-dien-tu
https://techcombank.com/thong-tin/blog/ke-khai-thue-ho-kinh-doanh-ca-the-online
https://techcombank.com/thong-tin/blog/may-tinh-tien</v>
      </c>
      <c r="J6" s="26" t="s">
        <v>188</v>
      </c>
    </row>
    <row r="7" ht="82.5" customHeight="1">
      <c r="A7" s="12">
        <v>6.0</v>
      </c>
      <c r="B7" s="13" t="s">
        <v>196</v>
      </c>
      <c r="C7" s="13" t="s">
        <v>236</v>
      </c>
      <c r="D7" s="21">
        <f>COUNTIF('Kế hoạch chèn link (mới)'!$B$3:$B$2944,C7)</f>
        <v>22</v>
      </c>
      <c r="E7" s="21">
        <f>IFERROR(VLOOKUP(C7,'Link trỏ về từng trang đích'!$B$2:$D$76,3,0),"")</f>
        <v>30</v>
      </c>
      <c r="F7" s="13" t="str">
        <f t="shared" si="1"/>
        <v>Thiếu 8 link</v>
      </c>
      <c r="G7" s="13" t="str">
        <f>IF(IFERROR(VLOOKUP(C7,'Inlink đã chèn'!$B$2:$C$200,2,0),0)&gt;0,"Đã có anchor text trỏ về","Chưa có anchor text trỏ về")</f>
        <v>Chưa có anchor text trỏ về</v>
      </c>
      <c r="H7" s="13" t="str">
        <f>IFERROR(__xludf.DUMMYFUNCTION("IFERROR(TEXTJOIN("", "",TRUE,UNIQUE(FILTER('Kế hoạch chèn link (mới)'!$D$3:$D$2944,'Kế hoạch chèn link (mới)'!$B$3:$B$2944=C7))),"""")"),"tra cứu nợ thuế doanh nghiệp, kiểm tra nợ thuế doanh nghiệp, tra cứu nợ thuế theo mã số thuế")</f>
        <v>tra cứu nợ thuế doanh nghiệp, kiểm tra nợ thuế doanh nghiệp, tra cứu nợ thuế theo mã số thuế</v>
      </c>
      <c r="I7" s="13" t="str">
        <f>IFERROR(__xludf.DUMMYFUNCTION("IFERROR(TEXTJOIN(CHAR(10),TRUE,FILTER('Kế hoạch chèn link (mới)'!$F$3:$F$2944,'Kế hoạch chèn link (mới)'!$B$3:$B$2944=C7)),"""")"),"https://techcombank.com/thong-tin/blog/kiem-tra-ma-so-thue-doanh-nghiep
https://techcombank.com/thong-tin/blog/tra-cuu-no-thue-hai-quan
https://techcombank.com/thong-tin/blog/quyet-toan-thue-doanh-nghiep
https://techcombank.com/thong-tin/blog/tra-cuu-no-t"&amp;"hue-ho-kinh-doanh
https://techcombank.com/thong-tin/blog/hoan-thue-doanh-nghiep
https://techcombank.com/thong-tin/blog/cach-tra-cuu-hoa-don-dien-tu
https://techcombank.com/thong-tin/blog/tra-luong-tien-mat
https://techcombank.com/thong-tin/blog/sao-ke-tai"&amp;"-khoan-doanh-nghiep
https://techcombank.com/thong-tin/blog/quan-ly-tai-chinh-doanh-nghiep-la-gi
https://techcombank.com/thong-tin/blog/cong-ty-xuat-nhap-khau
https://techcombank.com/thong-tin/blog/thue-doanh-nghiep
https://techcombank.com/thong-tin/blog/n"&amp;"op-thue-hai-quan
https://techcombank.com/thong-tin/blog/cach-kiem-tra-tai-khoan-ngan-hang-cua-cong-ty
https://techcombank.com/thong-tin/blog/mo-them-tai-khoan-ngan-hang-cho-cong-ty
https://techcombank.com/thong-tin/blog/tra-cuu-no-thue-ca-nhan
https://tec"&amp;"hcombank.com/thong-tin/blog/tra-cuu-ma-so-thue-ho-kinh-doanh
https://techcombank.com/thong-tin/blog/dong-ma-so-thue-ho-kinh-doanh
https://techcombank.com/thong-tin/blog/kiem-tra-thue-thu-nhap-ca-nhan
https://techcombank.com/thong-tin/blog/tra-cuu-hoa-don-"&amp;"tien-dien
https://techcombank.com/thong-tin/blog/dang-ky-ma-so-thue-ca-nhan
https://techcombank.com/thong-tin/blog/quyet-toan-thue-thu-nhap-ca-nhan
https://techcombank.com/thong-tin/blog/hoan-thue-thu-nhap-ca-nhan")</f>
        <v>https://techcombank.com/thong-tin/blog/kiem-tra-ma-so-thue-doanh-nghiep
https://techcombank.com/thong-tin/blog/tra-cuu-no-thue-hai-quan
https://techcombank.com/thong-tin/blog/quyet-toan-thue-doanh-nghiep
https://techcombank.com/thong-tin/blog/tra-cuu-no-thue-ho-kinh-doanh
https://techcombank.com/thong-tin/blog/hoan-thue-doanh-nghiep
https://techcombank.com/thong-tin/blog/cach-tra-cuu-hoa-don-dien-tu
https://techcombank.com/thong-tin/blog/tra-luong-tien-mat
https://techcombank.com/thong-tin/blog/sao-ke-tai-khoan-doanh-nghiep
https://techcombank.com/thong-tin/blog/quan-ly-tai-chinh-doanh-nghiep-la-gi
https://techcombank.com/thong-tin/blog/cong-ty-xuat-nhap-khau
https://techcombank.com/thong-tin/blog/thue-doanh-nghiep
https://techcombank.com/thong-tin/blog/nop-thue-hai-quan
https://techcombank.com/thong-tin/blog/cach-kiem-tra-tai-khoan-ngan-hang-cua-cong-ty
https://techcombank.com/thong-tin/blog/mo-them-tai-khoan-ngan-hang-cho-cong-ty
https://techcombank.com/thong-tin/blog/tra-cuu-no-thue-ca-nhan
https://techcombank.com/thong-tin/blog/tra-cuu-ma-so-thue-ho-kinh-doanh
https://techcombank.com/thong-tin/blog/dong-ma-so-thue-ho-kinh-doanh
https://techcombank.com/thong-tin/blog/kiem-tra-thue-thu-nhap-ca-nhan
https://techcombank.com/thong-tin/blog/tra-cuu-hoa-don-tien-dien
https://techcombank.com/thong-tin/blog/dang-ky-ma-so-thue-ca-nhan
https://techcombank.com/thong-tin/blog/quyet-toan-thue-thu-nhap-ca-nhan
https://techcombank.com/thong-tin/blog/hoan-thue-thu-nhap-ca-nhan</v>
      </c>
      <c r="J7" s="26" t="s">
        <v>188</v>
      </c>
    </row>
    <row r="8" ht="82.5" customHeight="1">
      <c r="A8" s="12">
        <v>7.0</v>
      </c>
      <c r="B8" s="13" t="s">
        <v>196</v>
      </c>
      <c r="C8" s="13" t="s">
        <v>658</v>
      </c>
      <c r="D8" s="21">
        <f>COUNTIF('Kế hoạch chèn link (mới)'!$B$3:$B$2944,C8)</f>
        <v>30</v>
      </c>
      <c r="E8" s="21">
        <f>IFERROR(VLOOKUP(C8,'Link trỏ về từng trang đích'!$B$2:$D$76,3,0),"")</f>
        <v>30</v>
      </c>
      <c r="F8" s="13" t="str">
        <f t="shared" si="1"/>
        <v>Đủ link</v>
      </c>
      <c r="G8" s="13" t="str">
        <f>IF(IFERROR(VLOOKUP(C8,'Inlink đã chèn'!$B$2:$C$200,2,0),0)&gt;0,"Đã có anchor text trỏ về","Chưa có anchor text trỏ về")</f>
        <v>Chưa có anchor text trỏ về</v>
      </c>
      <c r="H8" s="13" t="str">
        <f>IFERROR(__xludf.DUMMYFUNCTION("IFERROR(TEXTJOIN("", "",TRUE,UNIQUE(FILTER('Kế hoạch chèn link (mới)'!$D$3:$D$2944,'Kế hoạch chèn link (mới)'!$B$3:$B$2944=C8))),"""")"),"thuế doanh nghiệp, các loại thuế doanh nghiệp phải nộp, doanh nghiệp phải nộp những loại thuế nào")</f>
        <v>thuế doanh nghiệp, các loại thuế doanh nghiệp phải nộp, doanh nghiệp phải nộp những loại thuế nào</v>
      </c>
      <c r="I8" s="13" t="str">
        <f>IFERROR(__xludf.DUMMYFUNCTION("IFERROR(TEXTJOIN(CHAR(10),TRUE,FILTER('Kế hoạch chèn link (mới)'!$F$3:$F$2944,'Kế hoạch chèn link (mới)'!$B$3:$B$2944=C8)),"""")"),"https://techcombank.com/thong-tin/blog/giai-dap-ve-thue-doanh-nghiep
https://techcombank.com/thong-tin/blog/hieu-hiet-ve-tuan-thu-thue-cho-cac-doanh-nghiep-khoi-nghiep
https://techcombank.com/thong-tin/blog/thue-phi-co-dinh-khi-chuyen-doi-tu-ho-kinh-doanh"&amp;"-len-doanh-nghiep
https://techcombank.com/thong-tin/blog/dieu-kien-thanh-lap-doanh-nghiep
https://techcombank.com/thong-tin/blog/thue-doanh-nghiep-2025
https://techcombank.com/thong-tin/blog/hoan-thue-doanh-nghiep
https://techcombank.com/thong-tin/blog/ki"&amp;"em-tra-ma-so-thue-doanh-nghiep
https://techcombank.com/thong-tin/blog/quyet-toan-thue-doanh-nghiep
https://techcombank.com/thong-tin/blog/ke-khai-thue-doanh-nghiep
https://techcombank.com/thong-tin/blog/tra-cuu-no-thue-doanh-nghiep
https://techcombank.com"&amp;"/thong-tin/blog/thue-thu-nhap-doanh-nghiep
https://techcombank.com/thong-tin/blog/nhung-chi-phi-khong-duoc-tru-khi-tinh-thue-tndn
https://techcombank.com/thong-tin/blog/huong-dan-dang-ky-thanh-lap-doanh-nghiep
https://techcombank.com/thong-tin/blog/dang-k"&amp;"y-thanh-lap-doanh-nghiep
https://techcombank.com/thong-tin/blog/cach-tinh-thue-thu-nhap-doanh-nghiep
https://techcombank.com/thong-tin/blog/chinh-sach-thue-moi
https://techcombank.com/thong-tin/blog/ho-so-dang-ky-thanh-lap-doanh-nghiep
https://techcombank"&amp;".com/thong-tin/blog/chuan-bi-cho-doanh-nghiep-khoi-nghiep-truoc-nhung-thay-doi-ve-thue
https://techcombank.com/thong-tin/blog/tim-hieu-ve-chinh-sach-thue-moi
https://techcombank.com/thong-tin/blog/dang-ky-thanh-lap-doanh-nghiep-online
https://techcombank."&amp;"com/thong-tin/blog/thu-tuc-thanh-lap-doanh-nghiep
https://techcombank.com/thong-tin/blog/chuyen-doi-ho-kinh-doanh-len-doanh-nghiep
https://techcombank.com/thong-tin/blog/nen-thanh-lap-ho-kinh-doanh-ke-khai-hay-doanh-nghiep
https://techcombank.com/thong-ti"&amp;"n/blog/cac-sai-lam-pho-bien-khi-chuyen-doi-ho-kinh-doanh-len-sme
https://techcombank.com/thong-tin/blog/cong-ty-su-dung-tai-khoan-ca-nhan
https://techcombank.com/thong-tin/blog/doanh-nghiep-moi-thanh-lap-duoc-uu-dai-gi
https://techcombank.com/thong-tin/bl"&amp;"og/bao-lanh-ngan-hang-la-gi
https://techcombank.com/thong-tin/blog/cac-loai-hinh-doanh-nghiep
https://techcombank.com/thong-tin/blog/cach-quan-ly-tai-chinh-kinh-doanh
https://techcombank.com/thong-tin/blog/tra-cuu-no-thue-hai-quan")</f>
        <v>https://techcombank.com/thong-tin/blog/giai-dap-ve-thue-doanh-nghiep
https://techcombank.com/thong-tin/blog/hieu-hiet-ve-tuan-thu-thue-cho-cac-doanh-nghiep-khoi-nghiep
https://techcombank.com/thong-tin/blog/thue-phi-co-dinh-khi-chuyen-doi-tu-ho-kinh-doanh-len-doanh-nghiep
https://techcombank.com/thong-tin/blog/dieu-kien-thanh-lap-doanh-nghiep
https://techcombank.com/thong-tin/blog/thue-doanh-nghiep-2025
https://techcombank.com/thong-tin/blog/hoan-thue-doanh-nghiep
https://techcombank.com/thong-tin/blog/kiem-tra-ma-so-thue-doanh-nghiep
https://techcombank.com/thong-tin/blog/quyet-toan-thue-doanh-nghiep
https://techcombank.com/thong-tin/blog/ke-khai-thue-doanh-nghiep
https://techcombank.com/thong-tin/blog/tra-cuu-no-thue-doanh-nghiep
https://techcombank.com/thong-tin/blog/thue-thu-nhap-doanh-nghiep
https://techcombank.com/thong-tin/blog/nhung-chi-phi-khong-duoc-tru-khi-tinh-thue-tndn
https://techcombank.com/thong-tin/blog/huong-dan-dang-ky-thanh-lap-doanh-nghiep
https://techcombank.com/thong-tin/blog/dang-ky-thanh-lap-doanh-nghiep
https://techcombank.com/thong-tin/blog/cach-tinh-thue-thu-nhap-doanh-nghiep
https://techcombank.com/thong-tin/blog/chinh-sach-thue-moi
https://techcombank.com/thong-tin/blog/ho-so-dang-ky-thanh-lap-doanh-nghiep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https://techcombank.com/thong-tin/blog/chuyen-doi-ho-kinh-doanh-len-doanh-nghiep
https://techcombank.com/thong-tin/blog/nen-thanh-lap-ho-kinh-doanh-ke-khai-hay-doanh-nghiep
https://techcombank.com/thong-tin/blog/cac-sai-lam-pho-bien-khi-chuyen-doi-ho-kinh-doanh-len-sme
https://techcombank.com/thong-tin/blog/cong-ty-su-dung-tai-khoan-ca-nhan
https://techcombank.com/thong-tin/blog/doanh-nghiep-moi-thanh-lap-duoc-uu-dai-gi
https://techcombank.com/thong-tin/blog/bao-lanh-ngan-hang-la-gi
https://techcombank.com/thong-tin/blog/cac-loai-hinh-doanh-nghiep
https://techcombank.com/thong-tin/blog/cach-quan-ly-tai-chinh-kinh-doanh
https://techcombank.com/thong-tin/blog/tra-cuu-no-thue-hai-quan</v>
      </c>
      <c r="J8" s="26" t="s">
        <v>188</v>
      </c>
    </row>
    <row r="9" ht="82.5" customHeight="1">
      <c r="A9" s="12">
        <v>8.0</v>
      </c>
      <c r="B9" s="13" t="s">
        <v>196</v>
      </c>
      <c r="C9" s="13" t="s">
        <v>429</v>
      </c>
      <c r="D9" s="21">
        <f>COUNTIF('Kế hoạch chèn link (mới)'!$B$3:$B$2944,C9)</f>
        <v>29</v>
      </c>
      <c r="E9" s="21">
        <f>IFERROR(VLOOKUP(C9,'Link trỏ về từng trang đích'!$B$2:$D$76,3,0),"")</f>
        <v>30</v>
      </c>
      <c r="F9" s="13" t="str">
        <f t="shared" si="1"/>
        <v>Thiếu 1 link</v>
      </c>
      <c r="G9" s="13" t="str">
        <f>IF(IFERROR(VLOOKUP(C9,'Inlink đã chèn'!$B$2:$C$200,2,0),0)&gt;0,"Đã có anchor text trỏ về","Chưa có anchor text trỏ về")</f>
        <v>Chưa có anchor text trỏ về</v>
      </c>
      <c r="H9" s="13" t="str">
        <f>IFERROR(__xludf.DUMMYFUNCTION("IFERROR(TEXTJOIN("", "",TRUE,UNIQUE(FILTER('Kế hoạch chèn link (mới)'!$D$3:$D$2944,'Kế hoạch chèn link (mới)'!$B$3:$B$2944=C9))),"""")"),"công ty dùng tài khoản cá nhân có được không, công ty sử dụng tài khoản cá nhân")</f>
        <v>công ty dùng tài khoản cá nhân có được không, công ty sử dụng tài khoản cá nhân</v>
      </c>
      <c r="I9" s="13" t="str">
        <f>IFERROR(__xludf.DUMMYFUNCTION("IFERROR(TEXTJOIN(CHAR(10),TRUE,FILTER('Kế hoạch chèn link (mới)'!$F$3:$F$2944,'Kế hoạch chèn link (mới)'!$B$3:$B$2944=C9)),"""")"),"https://techcombank.com/thong-tin/blog/luu-y-khi-chuyen-tien-vao-tai-khoan-cong-ty
https://techcombank.com/thong-tin/blog/mo-tai-khoan-doanh-nghiep
https://techcombank.com/thong-tin/blog/cach-su-dung-tai-khoan-cong-ty
https://techcombank.com/thong-tin/blo"&amp;"g/tien-chuyen-vao-tai-khoan-co-bi-tinh-thue-khong
https://techcombank.com/thong-tin/blog/vay-tin-chap-la-gi
https://techcombank.com/thong-tin/blog/nop-tien-mat-vao-tai-khoan-cong-ty
https://techcombank.com/thong-tin/blog/tai-khoan-cong-ty-co-chuyen-online"&amp;"-duoc-khong
https://techcombank.com/thong-tin/blog/thu-tuc-thanh-lap-doanh-nghiep
https://techcombank.com/thong-tin/blog/cach-kiem-tra-tai-khoan-ngan-hang-cua-cong-ty
https://techcombank.com/thong-tin/blog/dang-ky-nhieu-tai-khoan-ngan-hang-co-sao-khong
ht"&amp;"tps://techcombank.com/thong-tin/blog/app-theo-doi-chung-chi-quy
https://techcombank.com/thong-tin/blog/cac-loai-bao-hiem-hien-nay
https://techcombank.com/thong-tin/blog/tin-dung-tieu-dung
https://techcombank.com/thong-tin/blog/dong-tai-khoan-ngan-hang-con"&amp;"g-ty
https://techcombank.com/thong-tin/blog/cach-tinh-thue-thu-nhap-doanh-nghiep
https://techcombank.com/thong-tin/blog/thanh-toan-tien-dien-bang-the-tin-dung
https://techcombank.com/thong-tin/blog/mau-mo-tai-khoan-doanh-nghiep-techcombank
https://techcom"&amp;"bank.com/thong-tin/blog/chi-phi-mo-tai-khoan-ngan-hang-cho-cong-ty
https://techcombank.com/thong-tin/blog/loi-ich-cua-tri-tue-nhan-tao
https://techcombank.com/thong-tin/blog/cac-loai-hinh-doanh-nghiep
https://techcombank.com/thong-tin/blog/cach-dang-ky-ma"&amp;"-so-thue-ho-kinh-doanh-online
https://techcombank.com/thong-tin/blog/vay-tin-chap-toi-da-duoc-bao-nhieu
https://techcombank.com/thong-tin/blog/co-nen-gui-tiet-kiem-ngan-hang
https://techcombank.com/thong-tin/blog/mat-so-dien-thoai-dang-ky-tai-khoan-ngan-h"&amp;"ang
https://techcombank.com/thong-tin/blog/ghi-chep-chi-tieu
https://techcombank.com/thong-tin/blog/bao-lanh-ngan-hang-la-gi
https://techcombank.com/thong-tin/blog/dao-han-the-tin-dung
https://techcombank.com/thong-tin/blog/lich-su-tin-dung
https://techco"&amp;"mbank.com/thong-tin/blog/phuong-phap-dau-tu-chung-chi-quy")</f>
        <v>https://techcombank.com/thong-tin/blog/luu-y-khi-chuyen-tien-vao-tai-khoan-cong-ty
https://techcombank.com/thong-tin/blog/mo-tai-khoan-doanh-nghiep
https://techcombank.com/thong-tin/blog/cach-su-dung-tai-khoan-cong-ty
https://techcombank.com/thong-tin/blog/tien-chuyen-vao-tai-khoan-co-bi-tinh-thue-khong
https://techcombank.com/thong-tin/blog/vay-tin-chap-la-gi
https://techcombank.com/thong-tin/blog/nop-tien-mat-vao-tai-khoan-cong-ty
https://techcombank.com/thong-tin/blog/tai-khoan-cong-ty-co-chuyen-online-duoc-khong
https://techcombank.com/thong-tin/blog/thu-tuc-thanh-lap-doanh-nghiep
https://techcombank.com/thong-tin/blog/cach-kiem-tra-tai-khoan-ngan-hang-cua-cong-ty
https://techcombank.com/thong-tin/blog/dang-ky-nhieu-tai-khoan-ngan-hang-co-sao-khong
https://techcombank.com/thong-tin/blog/app-theo-doi-chung-chi-quy
https://techcombank.com/thong-tin/blog/cac-loai-bao-hiem-hien-nay
https://techcombank.com/thong-tin/blog/tin-dung-tieu-dung
https://techcombank.com/thong-tin/blog/dong-tai-khoan-ngan-hang-cong-ty
https://techcombank.com/thong-tin/blog/cach-tinh-thue-thu-nhap-doanh-nghiep
https://techcombank.com/thong-tin/blog/thanh-toan-tien-dien-bang-the-tin-dung
https://techcombank.com/thong-tin/blog/mau-mo-tai-khoan-doanh-nghiep-techcombank
https://techcombank.com/thong-tin/blog/chi-phi-mo-tai-khoan-ngan-hang-cho-cong-ty
https://techcombank.com/thong-tin/blog/loi-ich-cua-tri-tue-nhan-tao
https://techcombank.com/thong-tin/blog/cac-loai-hinh-doanh-nghiep
https://techcombank.com/thong-tin/blog/cach-dang-ky-ma-so-thue-ho-kinh-doanh-online
https://techcombank.com/thong-tin/blog/vay-tin-chap-toi-da-duoc-bao-nhieu
https://techcombank.com/thong-tin/blog/co-nen-gui-tiet-kiem-ngan-hang
https://techcombank.com/thong-tin/blog/mat-so-dien-thoai-dang-ky-tai-khoan-ngan-hang
https://techcombank.com/thong-tin/blog/ghi-chep-chi-tieu
https://techcombank.com/thong-tin/blog/bao-lanh-ngan-hang-la-gi
https://techcombank.com/thong-tin/blog/dao-han-the-tin-dung
https://techcombank.com/thong-tin/blog/lich-su-tin-dung
https://techcombank.com/thong-tin/blog/phuong-phap-dau-tu-chung-chi-quy</v>
      </c>
      <c r="J9" s="26" t="s">
        <v>188</v>
      </c>
    </row>
    <row r="10" ht="82.5" customHeight="1">
      <c r="A10" s="12">
        <v>9.0</v>
      </c>
      <c r="B10" s="13" t="s">
        <v>196</v>
      </c>
      <c r="C10" s="13" t="s">
        <v>127</v>
      </c>
      <c r="D10" s="21">
        <f>COUNTIF('Kế hoạch chèn link (mới)'!$B$3:$B$2944,C10)</f>
        <v>22</v>
      </c>
      <c r="E10" s="21">
        <f>IFERROR(VLOOKUP(C10,'Link trỏ về từng trang đích'!$B$2:$D$76,3,0),"")</f>
        <v>30</v>
      </c>
      <c r="F10" s="13" t="str">
        <f t="shared" si="1"/>
        <v>Thiếu 8 link</v>
      </c>
      <c r="G10" s="13" t="str">
        <f>IF(IFERROR(VLOOKUP(C10,'Inlink đã chèn'!$B$2:$C$200,2,0),0)&gt;0,"Đã có anchor text trỏ về","Chưa có anchor text trỏ về")</f>
        <v>Chưa có anchor text trỏ về</v>
      </c>
      <c r="H10" s="13" t="str">
        <f>IFERROR(__xludf.DUMMYFUNCTION("IFERROR(TEXTJOIN("", "",TRUE,UNIQUE(FILTER('Kế hoạch chèn link (mới)'!$D$3:$D$2944,'Kế hoạch chèn link (mới)'!$B$3:$B$2944=C10))),"""")"),"cách tính thuế thu nhập doanh nghiệp, cách tính thuế TNDN, công thức tính thuế TNDN")</f>
        <v>cách tính thuế thu nhập doanh nghiệp, cách tính thuế TNDN, công thức tính thuế TNDN</v>
      </c>
      <c r="I10" s="13" t="str">
        <f>IFERROR(__xludf.DUMMYFUNCTION("IFERROR(TEXTJOIN(CHAR(10),TRUE,FILTER('Kế hoạch chèn link (mới)'!$F$3:$F$2944,'Kế hoạch chèn link (mới)'!$B$3:$B$2944=C10)),"""")"),"https://techcombank.com/thong-tin/blog/nhung-chi-phi-khong-duoc-tru-khi-tinh-thue-tndn
https://techcombank.com/thong-tin/blog/khau-hao
https://techcombank.com/thong-tin/blog/loi-nhuan-rong
https://techcombank.com/thong-tin/blog/chuan-bi-cho-doanh-nghiep-k"&amp;"hoi-nghiep-truoc-nhung-thay-doi-ve-thue
https://techcombank.com/thong-tin/blog/tra-luong-tien-mat
https://techcombank.com/thong-tin/blog/tim-hieu-ve-chinh-sach-thue-moi
https://techcombank.com/thong-tin/blog/ebitda-la-gi
https://techcombank.com/thong-tin/"&amp;"blog/cach-su-dung-tai-khoan-cong-ty
https://techcombank.com/thong-tin/blog/luu-y-khi-chuyen-tien-vao-tai-khoan-cong-ty
https://techcombank.com/thong-tin/blog/doanh-nghiep-moi-thanh-lap-duoc-uu-dai-gi
https://techcombank.com/thong-tin/blog/thue-doanh-nghie"&amp;"p-2025
https://techcombank.com/thong-tin/blog/khoi-nghiep-truoc-chinh-sach-thue-moi
https://techcombank.com/thong-tin/blog/thue-thu-nhap-doanh-nghiep
https://techcombank.com/thong-tin/blog/quyet-toan-thue-doanh-nghiep
https://techcombank.com/thong-tin/blo"&amp;"g/thue-vat-la-gi
https://techcombank.com/thong-tin/blog/cach-tra-cuu-hoa-don-dien-tu
https://techcombank.com/thong-tin/blog/loi-nhuan
https://techcombank.com/thong-tin/blog/thue-doanh-nghiep
https://techcombank.com/thong-tin/blog/cach-tinh-thue-thu-nhap-c"&amp;"a-nhan-2025
https://techcombank.com/thong-tin/blog/co-50-trieu-nen-mua-vang-hay-gui-tiet-kiem
https://techcombank.com/thong-tin/blog/wacc-la-gi
https://techcombank.com/thong-tin/blog/thue-thu-nhap-ca-nhan")</f>
        <v>https://techcombank.com/thong-tin/blog/nhung-chi-phi-khong-duoc-tru-khi-tinh-thue-tndn
https://techcombank.com/thong-tin/blog/khau-hao
https://techcombank.com/thong-tin/blog/loi-nhuan-rong
https://techcombank.com/thong-tin/blog/chuan-bi-cho-doanh-nghiep-khoi-nghiep-truoc-nhung-thay-doi-ve-thue
https://techcombank.com/thong-tin/blog/tra-luong-tien-mat
https://techcombank.com/thong-tin/blog/tim-hieu-ve-chinh-sach-thue-moi
https://techcombank.com/thong-tin/blog/ebitda-la-gi
https://techcombank.com/thong-tin/blog/cach-su-dung-tai-khoan-cong-ty
https://techcombank.com/thong-tin/blog/luu-y-khi-chuyen-tien-vao-tai-khoan-cong-ty
https://techcombank.com/thong-tin/blog/doanh-nghiep-moi-thanh-lap-duoc-uu-dai-gi
https://techcombank.com/thong-tin/blog/thue-doanh-nghiep-2025
https://techcombank.com/thong-tin/blog/khoi-nghiep-truoc-chinh-sach-thue-moi
https://techcombank.com/thong-tin/blog/thue-thu-nhap-doanh-nghiep
https://techcombank.com/thong-tin/blog/quyet-toan-thue-doanh-nghiep
https://techcombank.com/thong-tin/blog/thue-vat-la-gi
https://techcombank.com/thong-tin/blog/cach-tra-cuu-hoa-don-dien-tu
https://techcombank.com/thong-tin/blog/loi-nhuan
https://techcombank.com/thong-tin/blog/thue-doanh-nghiep
https://techcombank.com/thong-tin/blog/cach-tinh-thue-thu-nhap-ca-nhan-2025
https://techcombank.com/thong-tin/blog/co-50-trieu-nen-mua-vang-hay-gui-tiet-kiem
https://techcombank.com/thong-tin/blog/wacc-la-gi
https://techcombank.com/thong-tin/blog/thue-thu-nhap-ca-nhan</v>
      </c>
      <c r="J10" s="26" t="s">
        <v>188</v>
      </c>
    </row>
    <row r="11" ht="82.5" customHeight="1">
      <c r="A11" s="12">
        <v>10.0</v>
      </c>
      <c r="B11" s="13" t="s">
        <v>912</v>
      </c>
      <c r="C11" s="13" t="s">
        <v>914</v>
      </c>
      <c r="D11" s="21">
        <f>COUNTIF('Kế hoạch chèn link (mới)'!$B$3:$B$2944,C11)</f>
        <v>26</v>
      </c>
      <c r="E11" s="21">
        <f>IFERROR(VLOOKUP(C11,'Link trỏ về từng trang đích'!$B$2:$D$76,3,0),"")</f>
        <v>30</v>
      </c>
      <c r="F11" s="13" t="str">
        <f t="shared" si="1"/>
        <v>Thiếu 4 link</v>
      </c>
      <c r="G11" s="13" t="str">
        <f>IF(IFERROR(VLOOKUP(C11,'Inlink đã chèn'!$B$2:$C$200,2,0),0)&gt;0,"Đã có anchor text trỏ về","Chưa có anchor text trỏ về")</f>
        <v>Chưa có anchor text trỏ về</v>
      </c>
      <c r="H11" s="13" t="str">
        <f>IFERROR(__xludf.DUMMYFUNCTION("IFERROR(TEXTJOIN("", "",TRUE,UNIQUE(FILTER('Kế hoạch chèn link (mới)'!$D$3:$D$2944,'Kế hoạch chèn link (mới)'!$B$3:$B$2944=C11))),"""")"),"cách nạp tiền điện thoại viettel, cách nạp tiền viettel, nạp thẻ viettel, cách nạp thẻ viettel")</f>
        <v>cách nạp tiền điện thoại viettel, cách nạp tiền viettel, nạp thẻ viettel, cách nạp thẻ viettel</v>
      </c>
      <c r="I11" s="13" t="str">
        <f>IFERROR(__xludf.DUMMYFUNCTION("IFERROR(TEXTJOIN(CHAR(10),TRUE,FILTER('Kế hoạch chèn link (mới)'!$F$3:$F$2944,'Kế hoạch chèn link (mới)'!$B$3:$B$2944=C11)),"""")"),"https://techcombank.com/thong-tin/blog/nap-tien-dien-thoai-online
https://techcombank.com/thong-tin/blog/thanh-toan-tra-sau-viettel-bang-tai-khoan-ngan-hang
https://techcombank.com/thong-tin/blog/cach-nap-the
https://techcombank.com/thong-tin/blog/cach-na"&amp;"p-the-vina
https://techcombank.com/thong-tin/blog/cach-nap-the-mobi
https://techcombank.com/thong-tin/blog/the-visa-ao-la-gi
https://techcombank.com/thong-tin/blog/cach-nap-tien-vao-the-ghi-no
https://techcombank.com/thong-tin/blog/vi-dien-tu-la-gi
https:"&amp;"//techcombank.com/thong-tin/blog/cach-chuyen-khoan-bang-dien-thoai
https://techcombank.com/thong-tin/blog/shopeepay-la-gi
https://techcombank.com/thong-tin/blog/cach-dong-tien-dien-qua-tai-khoan-ngan-hang
https://techcombank.com/thong-tin/blog/thanh-toan-"&amp;"cuoc-truyen-hinh
https://techcombank.com/thong-tin/blog/thanh-toan-truc-tuyen
https://techcombank.com/thong-tin/blog/voucher-golden-gate
https://techcombank.com/thong-tin/blog/voucher-the-pizza-company
https://techcombank.com/thong-tin/blog/app-dong-tien-"&amp;"dien-online
https://techcombank.com/thong-tin/blog/nap-xu-tiktok
https://techcombank.com/thong-tin/blog/nhung-kho-khan-khi-tiet-kiem-tien
https://techcombank.com/thong-tin/blog/app-vay-tien-nhanh
https://techcombank.com/thong-tin/blog/so-du-tien-gui-la-gi"&amp;"
https://techcombank.com/thong-tin/blog/cach-su-dung-the-visa-techcombank
https://techcombank.com/thong-tin/blog/mat-so-dien-thoai-dang-ky-tai-khoan-ngan-hang
https://techcombank.com/thong-tin/blog/the-tin-dung-la-gi
https://techcombank.com/thong-tin/blog"&amp;"/the-visa-co-may-loai
https://techcombank.com/thong-tin/blog/nen-lam-the-visa-hay-noi-dia
https://techcombank.com/thong-tin/blog/the-visa-khong-thanh-toan-duoc")</f>
        <v>https://techcombank.com/thong-tin/blog/nap-tien-dien-thoai-online
https://techcombank.com/thong-tin/blog/thanh-toan-tra-sau-viettel-bang-tai-khoan-ngan-hang
https://techcombank.com/thong-tin/blog/cach-nap-the
https://techcombank.com/thong-tin/blog/cach-nap-the-vina
https://techcombank.com/thong-tin/blog/cach-nap-the-mobi
https://techcombank.com/thong-tin/blog/the-visa-ao-la-gi
https://techcombank.com/thong-tin/blog/cach-nap-tien-vao-the-ghi-no
https://techcombank.com/thong-tin/blog/vi-dien-tu-la-gi
https://techcombank.com/thong-tin/blog/cach-chuyen-khoan-bang-dien-thoai
https://techcombank.com/thong-tin/blog/shopeepay-la-gi
https://techcombank.com/thong-tin/blog/cach-dong-tien-dien-qua-tai-khoan-ngan-hang
https://techcombank.com/thong-tin/blog/thanh-toan-cuoc-truyen-hinh
https://techcombank.com/thong-tin/blog/thanh-toan-truc-tuyen
https://techcombank.com/thong-tin/blog/voucher-golden-gate
https://techcombank.com/thong-tin/blog/voucher-the-pizza-company
https://techcombank.com/thong-tin/blog/app-dong-tien-dien-online
https://techcombank.com/thong-tin/blog/nap-xu-tiktok
https://techcombank.com/thong-tin/blog/nhung-kho-khan-khi-tiet-kiem-tien
https://techcombank.com/thong-tin/blog/app-vay-tien-nhanh
https://techcombank.com/thong-tin/blog/so-du-tien-gui-la-gi
https://techcombank.com/thong-tin/blog/cach-su-dung-the-visa-techcombank
https://techcombank.com/thong-tin/blog/mat-so-dien-thoai-dang-ky-tai-khoan-ngan-hang
https://techcombank.com/thong-tin/blog/the-tin-dung-la-gi
https://techcombank.com/thong-tin/blog/the-visa-co-may-loai
https://techcombank.com/thong-tin/blog/nen-lam-the-visa-hay-noi-dia
https://techcombank.com/thong-tin/blog/the-visa-khong-thanh-toan-duoc</v>
      </c>
      <c r="J11" s="26" t="s">
        <v>188</v>
      </c>
    </row>
    <row r="12" ht="82.5" customHeight="1">
      <c r="A12" s="12">
        <v>11.0</v>
      </c>
      <c r="B12" s="13" t="s">
        <v>912</v>
      </c>
      <c r="C12" s="13" t="s">
        <v>958</v>
      </c>
      <c r="D12" s="21">
        <f>COUNTIF('Kế hoạch chèn link (mới)'!$B$3:$B$2944,C12)</f>
        <v>50</v>
      </c>
      <c r="E12" s="21">
        <f>IFERROR(VLOOKUP(C12,'Link trỏ về từng trang đích'!$B$2:$D$76,3,0),"")</f>
        <v>50</v>
      </c>
      <c r="F12" s="13" t="str">
        <f t="shared" si="1"/>
        <v>Đủ link</v>
      </c>
      <c r="G12" s="13" t="str">
        <f>IF(IFERROR(VLOOKUP(C12,'Inlink đã chèn'!$B$2:$C$200,2,0),0)&gt;0,"Đã có anchor text trỏ về","Chưa có anchor text trỏ về")</f>
        <v>Chưa có anchor text trỏ về</v>
      </c>
      <c r="H12" s="13" t="str">
        <f>IFERROR(__xludf.DUMMYFUNCTION("IFERROR(TEXTJOIN("", "",TRUE,UNIQUE(FILTER('Kế hoạch chèn link (mới)'!$D$3:$D$2944,'Kế hoạch chèn link (mới)'!$B$3:$B$2944=C12))),"""")"),"giá điện sinh hoạt, giá điện sinh hoạt mới nhất")</f>
        <v>giá điện sinh hoạt, giá điện sinh hoạt mới nhất</v>
      </c>
      <c r="I12" s="13" t="str">
        <f>IFERROR(__xludf.DUMMYFUNCTION("IFERROR(TEXTJOIN(CHAR(10),TRUE,FILTER('Kế hoạch chèn link (mới)'!$F$3:$F$2944,'Kế hoạch chèn link (mới)'!$B$3:$B$2944=C12)),"""")"),"https://techcombank.com/thong-tin/blog/thanh-toan-tien-dien-bang-the-tin-dung
https://techcombank.com/thong-tin/blog/co-loyalty-la-gi
https://techcombank.com/thong-tin/blog/quan-ly-tai-chinh-cho-dan-van-phong
https://techcombank.com/thong-tin/blog/gui-tie"&amp;"n-du-hoc
https://techcombank.com/thong-tin/blog/ebitda-la-gi
https://techcombank.com/thong-tin/blog/remittance-la-gi
https://techcombank.com/thong-tin/blog/sinh-loi-rinh-loc
https://techcombank.com/thong-tin/blog/ty-gia-hoi-doai-la-gi
https://techcombank."&amp;"com/thong-tin/blog/ho-kinh-doanh-can-gi-o-tai-khoan-ngan-hang
https://techcombank.com/thong-tin/blog/gia-chung-chi-quy-la-gi
https://techcombank.com/thong-tin/blog/von-luu-dong-la-gi
https://techcombank.com/thong-tin/blog/bao-hiem-nhan-tho-la-gi
https://t"&amp;"echcombank.com/thong-tin/blog/thoi-gian-hoan-tien-the-tin-dung
https://techcombank.com/thong-tin/blog/techcombank-sinh-loi-tu-dong
https://techcombank.com/thong-tin/blog/chu-ky-so-huong-di-nang-cao-hieu-qua-trong-hoat-dong-ngan-hang
https://techcombank.co"&amp;"m/thong-tin/blog/cach-tiet-kiem-100-trieu-1-nam
https://techcombank.com/thong-tin/blog/ekyc-la-gi
https://techcombank.com/thong-tin/blog/cpi-la-gi
https://techcombank.com/thong-tin/blog/dau-tu-tai-chinh-ca-nhan
https://techcombank.com/thong-tin/blog/hu-ch"&amp;"i-tieu
https://techcombank.com/thong-tin/blog/loi-nhuan
https://techcombank.com/thong-tin/blog/chi-tra-luong-huu
https://techcombank.com/thong-tin/blog/vong-quay-von
https://techcombank.com/thong-tin/blog/kinh-doanh-online
https://techcombank.com/thong-ti"&amp;"n/blog/bung-no-hoat-dong-thanh-toan-truc-tuyen-tai-viet-nam
https://techcombank.com/thong-tin/blog/techcombank-va-cong-cuoc-chuyen-doi-so-nganh-ngan-hang
https://techcombank.com/thong-tin/blog/gia-xang-dau-hom-nay
https://techcombank.com/thong-tin/blog/so"&amp;"-du-tai-khoan-thanh-toan
https://techcombank.com/thong-tin/blog/tra-cuu-hoa-don-tien-dien
https://techcombank.com/thong-tin/blog/app-ngan-hang-co-dung-duoc-o-nuoc-ngoai
https://techcombank.com/thong-tin/blog/cach-dong-tien-dien-qua-tai-khoan-ngan-hang
htt"&amp;"ps://techcombank.com/thong-tin/blog/fintech-la-gi
https://techcombank.com/thong-tin/blog/ngan-hang-dien-tu
https://techcombank.com/thong-tin/blog/ngan-hang-so
https://techcombank.com/thong-tin/blog/thanh-toan-truc-tuyen
https://techcombank.com/thong-tin/b"&amp;"log/the-tin-dung-la-gi
https://techcombank.com/thong-tin/blog/vi-dien-tu
https://techcombank.com/thong-tin/blog/thanh-toan-cuoc-truyen-hinh
https://techcombank.com/thong-tin/blog/thanh-toan-phi-quan-ly-chung-cu
https://techcombank.com/thong-tin/blog/cach-"&amp;"huy-thanh-toan-tien-dien
https://techcombank.com/thong-tin/blog/cach-quan-ly-tai-chinh-kinh-doanh
https://techcombank.com/thong-tin/blog/chuyen-doi-hoa-don-dien-tu
https://techcombank.com/thong-tin/blog/mo-tai-khoan-ngan-hang-bang-so-dien-thoai
https://te"&amp;"chcombank.com/thong-tin/blog/phan-mem-quan-ly-tai-chinh-doanh-nghiep
https://techcombank.com/thong-tin/blog/phan-mem-xuat-hoa-don-dien-tu
https://techcombank.com/thong-tin/blog/app-dong-tien-dien-online
https://techcombank.com/thong-tin/blog/app-mua-truoc"&amp;"-tra-sau
https://techcombank.com/thong-tin/blog/app-ngan-hang
https://techcombank.com/thong-tin/blog/app-quan-ly-chi-tieu
https://techcombank.com/thong-tin/blog/cach-nap-the-viettel")</f>
        <v>https://techcombank.com/thong-tin/blog/thanh-toan-tien-dien-bang-the-tin-dung
https://techcombank.com/thong-tin/blog/co-loyalty-la-gi
https://techcombank.com/thong-tin/blog/quan-ly-tai-chinh-cho-dan-van-phong
https://techcombank.com/thong-tin/blog/gui-tien-du-hoc
https://techcombank.com/thong-tin/blog/ebitda-la-gi
https://techcombank.com/thong-tin/blog/remittance-la-gi
https://techcombank.com/thong-tin/blog/sinh-loi-rinh-loc
https://techcombank.com/thong-tin/blog/ty-gia-hoi-doai-la-gi
https://techcombank.com/thong-tin/blog/ho-kinh-doanh-can-gi-o-tai-khoan-ngan-hang
https://techcombank.com/thong-tin/blog/gia-chung-chi-quy-la-gi
https://techcombank.com/thong-tin/blog/von-luu-dong-la-gi
https://techcombank.com/thong-tin/blog/bao-hiem-nhan-tho-la-gi
https://techcombank.com/thong-tin/blog/thoi-gian-hoan-tien-the-tin-dung
https://techcombank.com/thong-tin/blog/techcombank-sinh-loi-tu-dong
https://techcombank.com/thong-tin/blog/chu-ky-so-huong-di-nang-cao-hieu-qua-trong-hoat-dong-ngan-hang
https://techcombank.com/thong-tin/blog/cach-tiet-kiem-100-trieu-1-nam
https://techcombank.com/thong-tin/blog/ekyc-la-gi
https://techcombank.com/thong-tin/blog/cpi-la-gi
https://techcombank.com/thong-tin/blog/dau-tu-tai-chinh-ca-nhan
https://techcombank.com/thong-tin/blog/hu-chi-tieu
https://techcombank.com/thong-tin/blog/loi-nhuan
https://techcombank.com/thong-tin/blog/chi-tra-luong-huu
https://techcombank.com/thong-tin/blog/vong-quay-von
https://techcombank.com/thong-tin/blog/kinh-doanh-online
https://techcombank.com/thong-tin/blog/bung-no-hoat-dong-thanh-toan-truc-tuyen-tai-viet-nam
https://techcombank.com/thong-tin/blog/techcombank-va-cong-cuoc-chuyen-doi-so-nganh-ngan-hang
https://techcombank.com/thong-tin/blog/gia-xang-dau-hom-nay
https://techcombank.com/thong-tin/blog/so-du-tai-khoan-thanh-toan
https://techcombank.com/thong-tin/blog/tra-cuu-hoa-don-tien-dien
https://techcombank.com/thong-tin/blog/app-ngan-hang-co-dung-duoc-o-nuoc-ngoai
https://techcombank.com/thong-tin/blog/cach-dong-tien-dien-qua-tai-khoan-ngan-hang
https://techcombank.com/thong-tin/blog/fintech-la-gi
https://techcombank.com/thong-tin/blog/ngan-hang-dien-tu
https://techcombank.com/thong-tin/blog/ngan-hang-so
https://techcombank.com/thong-tin/blog/thanh-toan-truc-tuyen
https://techcombank.com/thong-tin/blog/the-tin-dung-la-gi
https://techcombank.com/thong-tin/blog/vi-dien-tu
https://techcombank.com/thong-tin/blog/thanh-toan-cuoc-truyen-hinh
https://techcombank.com/thong-tin/blog/thanh-toan-phi-quan-ly-chung-cu
https://techcombank.com/thong-tin/blog/cach-huy-thanh-toan-tien-dien
https://techcombank.com/thong-tin/blog/cach-quan-ly-tai-chinh-kinh-doanh
https://techcombank.com/thong-tin/blog/chuyen-doi-hoa-don-dien-tu
https://techcombank.com/thong-tin/blog/mo-tai-khoan-ngan-hang-bang-so-dien-thoai
https://techcombank.com/thong-tin/blog/phan-mem-quan-ly-tai-chinh-doanh-nghiep
https://techcombank.com/thong-tin/blog/phan-mem-xuat-hoa-don-dien-tu
https://techcombank.com/thong-tin/blog/app-dong-tien-dien-online
https://techcombank.com/thong-tin/blog/app-mua-truoc-tra-sau
https://techcombank.com/thong-tin/blog/app-ngan-hang
https://techcombank.com/thong-tin/blog/app-quan-ly-chi-tieu
https://techcombank.com/thong-tin/blog/cach-nap-the-viettel</v>
      </c>
      <c r="J12" s="26" t="s">
        <v>188</v>
      </c>
    </row>
    <row r="13" ht="82.5" customHeight="1">
      <c r="A13" s="12">
        <v>12.0</v>
      </c>
      <c r="B13" s="13" t="s">
        <v>912</v>
      </c>
      <c r="C13" s="13" t="s">
        <v>417</v>
      </c>
      <c r="D13" s="21">
        <f>COUNTIF('Kế hoạch chèn link (mới)'!$B$3:$B$2944,C13)</f>
        <v>48</v>
      </c>
      <c r="E13" s="21">
        <f>IFERROR(VLOOKUP(C13,'Link trỏ về từng trang đích'!$B$2:$D$76,3,0),"")</f>
        <v>50</v>
      </c>
      <c r="F13" s="13" t="str">
        <f t="shared" si="1"/>
        <v>Thiếu 2 link</v>
      </c>
      <c r="G13" s="13" t="str">
        <f>IF(IFERROR(VLOOKUP(C13,'Inlink đã chèn'!$B$2:$C$200,2,0),0)&gt;0,"Đã có anchor text trỏ về","Chưa có anchor text trỏ về")</f>
        <v>Chưa có anchor text trỏ về</v>
      </c>
      <c r="H13" s="13" t="str">
        <f>IFERROR(__xludf.DUMMYFUNCTION("IFERROR(TEXTJOIN("", "",TRUE,UNIQUE(FILTER('Kế hoạch chèn link (mới)'!$D$3:$D$2944,'Kế hoạch chèn link (mới)'!$B$3:$B$2944=C13))),"""")"),"thuế thu nhập cá nhân, thuế thu nhập cá nhân năm 2026")</f>
        <v>thuế thu nhập cá nhân, thuế thu nhập cá nhân năm 2026</v>
      </c>
      <c r="I13" s="13" t="str">
        <f>IFERROR(__xludf.DUMMYFUNCTION("IFERROR(TEXTJOIN(CHAR(10),TRUE,FILTER('Kế hoạch chèn link (mới)'!$F$3:$F$2944,'Kế hoạch chèn link (mới)'!$B$3:$B$2944=C13)),"""")"),"https://techcombank.com/thong-tin/blog/quyet-toan-thue-thu-nhap-ca-nhan
https://techcombank.com/thong-tin/blog/hoan-thue-thu-nhap-ca-nhan
https://techcombank.com/thong-tin/blog/tien-chuyen-vao-tai-khoan-co-bi-tinh-thue-khong
https://techcombank.com/thong-"&amp;"tin/blog/kinh-nghiem-chuyen-doi-tu-ho-kinh-doanh-len-doanh-nghiep
https://techcombank.com/thong-tin/blog/thue-khoan-ho-kinh-doanh-la-gi
https://techcombank.com/thong-tin/blog/hieu-hiet-ve-tuan-thu-thue-cho-cac-doanh-nghiep-khoi-nghiep
https://techcombank."&amp;"com/thong-tin/blog/gia-chung-chi-quy-la-gi
https://techcombank.com/thong-tin/blog/ho-kinh-doanh-ca-the
https://techcombank.com/thong-tin/blog/kieu-hoi-la-gi
https://techcombank.com/thong-tin/blog/lai-suat-chung-chi-quy
https://techcombank.com/thong-tin/bl"&amp;"og/tiem-nang-chuyen-doi-tu-ho-kinh-doanh-len-doanh-nghiep-sme
https://techcombank.com/thong-tin/blog/dau-tu-quy-mo
https://techcombank.com/thong-tin/blog/thue-ho-kinh-doanh-2025
https://techcombank.com/thong-tin/blog/luu-y-khi-chuyen-doi-tu-ho-kinh-doanh-"&amp;"len-doanh-nghiep
https://techcombank.com/thong-tin/blog/chuyen-nhuong-chung-chi-tien-gui
https://techcombank.com/thong-tin/blog/cach-nhan-tien-tu-nuoc-ngoai-ve-viet-nam
https://techcombank.com/thong-tin/blog/ho-kinh-doanh-la-gi
https://techcombank.com/tho"&amp;"ng-tin/blog/kinh-doanh-online
https://techcombank.com/thong-tin/blog/thue-doanh-nghiep
https://techcombank.com/thong-tin/blog/sao-ke-luong
https://techcombank.com/thong-tin/blog/dang-ky-ma-so-thue-ca-nhan
https://techcombank.com/thong-tin/blog/cach-tinh-t"&amp;"hue-ho-kinh-doanh-nho-le
https://techcombank.com/thong-tin/blog/tra-cuu-no-thue-ca-nhan
https://techcombank.com/thong-tin/blog/nhung-ho-kinh-doanh-duoc-mien-thue
https://techcombank.com/thong-tin/blog/ho-kinh-doanh-dong-thue-nhu-nao
https://techcombank.co"&amp;"m/thong-tin/blog/kiem-tra-thue-thu-nhap-ca-nhan
https://techcombank.com/thong-tin/blog/ke-khai-thue-doanh-nghiep
https://techcombank.com/thong-tin/blog/giai-dap-ve-thue-doanh-nghiep
https://techcombank.com/thong-tin/blog/chuyen-doi-ho-kinh-doanh-len-doanh"&amp;"-nghiep
https://techcombank.com/thong-tin/blog/bi-quyet-tiet-kiem-tien-mua-nha
https://techcombank.com/thong-tin/blog/thue-phi-co-dinh-khi-chuyen-doi-tu-ho-kinh-doanh-len-doanh-nghiep
https://techcombank.com/thong-tin/blog/app-tra-luong
https://techcomban"&amp;"k.com/thong-tin/blog/chinh-sach-tang-luong-huu
https://techcombank.com/thong-tin/blog/hoc-cach-tiet-kiem-tien-luong
https://techcombank.com/thong-tin/blog/cach-tinh-thue-thu-nhap-doanh-nghiep
https://techcombank.com/thong-tin/blog/tra-cuu-no-thue-doanh-ng"&amp;"hiep
https://techcombank.com/thong-tin/blog/bao-hiem-nhan-tho-bao-nhieu-tien
https://techcombank.com/thong-tin/blog/hu-chi-tieu
https://techcombank.com/thong-tin/blog/nop-thue-dat-qua-ngan-hang
https://techcombank.com/thong-tin/blog/dong-ma-so-thue-ho-kin"&amp;"h-doanh
https://techcombank.com/thong-tin/blog/vay-tien-online
https://techcombank.com/thong-tin/blog/mo-the-tin-dung-khong-can-chung-minh-thu-nhap
https://techcombank.com/thong-tin/blog/hoa-don-dien-tu
https://techcombank.com/thong-tin/blog/kiem-tra-ma-s"&amp;"o-thue-doanh-nghiep
https://techcombank.com/thong-tin/blog/may-tinh-tien
https://techcombank.com/thong-tin/blog/phat-cham-dang-ky-thue-ho-kinh-doanh
https://techcombank.com/thong-tin/blog/thue-vat-la-gi
https://techcombank.com/thong-tin/blog/thue-thuong-m"&amp;"ai-dien-tu")</f>
        <v>https://techcombank.com/thong-tin/blog/quyet-toan-thue-thu-nhap-ca-nhan
https://techcombank.com/thong-tin/blog/hoan-thue-thu-nhap-ca-nhan
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https://techcombank.com/thong-tin/blog/ho-kinh-doanh-ca-the
https://techcombank.com/thong-tin/blog/kieu-hoi-la-gi
https://techcombank.com/thong-tin/blog/lai-suat-chung-chi-quy
https://techcombank.com/thong-tin/blog/tiem-nang-chuyen-doi-tu-ho-kinh-doanh-len-doanh-nghiep-sme
https://techcombank.com/thong-tin/blog/dau-tu-quy-mo
https://techcombank.com/thong-tin/blog/thue-ho-kinh-doanh-2025
https://techcombank.com/thong-tin/blog/luu-y-khi-chuyen-doi-tu-ho-kinh-doanh-len-doanh-nghiep
https://techcombank.com/thong-tin/blog/chuyen-nhuong-chung-chi-tien-gui
https://techcombank.com/thong-tin/blog/cach-nhan-tien-tu-nuoc-ngoai-ve-viet-nam
https://techcombank.com/thong-tin/blog/ho-kinh-doanh-la-gi
https://techcombank.com/thong-tin/blog/kinh-doanh-online
https://techcombank.com/thong-tin/blog/thue-doanh-nghiep
https://techcombank.com/thong-tin/blog/sao-ke-luong
https://techcombank.com/thong-tin/blog/dang-ky-ma-so-thue-ca-nhan
https://techcombank.com/thong-tin/blog/cach-tinh-thue-ho-kinh-doanh-nho-le
https://techcombank.com/thong-tin/blog/tra-cuu-no-thue-ca-nhan
https://techcombank.com/thong-tin/blog/nhung-ho-kinh-doanh-duoc-mien-thue
https://techcombank.com/thong-tin/blog/ho-kinh-doanh-dong-thue-nhu-nao
https://techcombank.com/thong-tin/blog/kiem-tra-thue-thu-nhap-ca-nhan
https://techcombank.com/thong-tin/blog/ke-khai-thue-doanh-nghiep
https://techcombank.com/thong-tin/blog/giai-dap-ve-thue-doanh-nghiep
https://techcombank.com/thong-tin/blog/chuyen-doi-ho-kinh-doanh-len-doanh-nghiep
https://techcombank.com/thong-tin/blog/bi-quyet-tiet-kiem-tien-mua-nha
https://techcombank.com/thong-tin/blog/thue-phi-co-dinh-khi-chuyen-doi-tu-ho-kinh-doanh-len-doanh-nghiep
https://techcombank.com/thong-tin/blog/app-tra-luong
https://techcombank.com/thong-tin/blog/chinh-sach-tang-luong-huu
https://techcombank.com/thong-tin/blog/hoc-cach-tiet-kiem-tien-luong
https://techcombank.com/thong-tin/blog/cach-tinh-thue-thu-nhap-doanh-nghiep
https://techcombank.com/thong-tin/blog/tra-cuu-no-thue-doanh-nghiep
https://techcombank.com/thong-tin/blog/bao-hiem-nhan-tho-bao-nhieu-tien
https://techcombank.com/thong-tin/blog/hu-chi-tieu
https://techcombank.com/thong-tin/blog/nop-thue-dat-qua-ngan-hang
https://techcombank.com/thong-tin/blog/dong-ma-so-thue-ho-kinh-doanh
https://techcombank.com/thong-tin/blog/vay-tien-online
https://techcombank.com/thong-tin/blog/mo-the-tin-dung-khong-can-chung-minh-thu-nhap
https://techcombank.com/thong-tin/blog/hoa-don-dien-tu
https://techcombank.com/thong-tin/blog/kiem-tra-ma-so-thue-doanh-nghiep
https://techcombank.com/thong-tin/blog/may-tinh-tien
https://techcombank.com/thong-tin/blog/phat-cham-dang-ky-thue-ho-kinh-doanh
https://techcombank.com/thong-tin/blog/thue-vat-la-gi
https://techcombank.com/thong-tin/blog/thue-thuong-mai-dien-tu</v>
      </c>
      <c r="J13" s="26" t="s">
        <v>188</v>
      </c>
    </row>
    <row r="14" ht="82.5" customHeight="1">
      <c r="A14" s="12">
        <v>13.0</v>
      </c>
      <c r="B14" s="13" t="s">
        <v>912</v>
      </c>
      <c r="C14" s="13" t="s">
        <v>1127</v>
      </c>
      <c r="D14" s="21">
        <f>COUNTIF('Kế hoạch chèn link (mới)'!$B$3:$B$2944,C14)</f>
        <v>30</v>
      </c>
      <c r="E14" s="21">
        <f>IFERROR(VLOOKUP(C14,'Link trỏ về từng trang đích'!$B$2:$D$76,3,0),"")</f>
        <v>30</v>
      </c>
      <c r="F14" s="13" t="str">
        <f t="shared" si="1"/>
        <v>Đủ link</v>
      </c>
      <c r="G14" s="13" t="str">
        <f>IF(IFERROR(VLOOKUP(C14,'Inlink đã chèn'!$B$2:$C$200,2,0),0)&gt;0,"Đã có anchor text trỏ về","Chưa có anchor text trỏ về")</f>
        <v>Chưa có anchor text trỏ về</v>
      </c>
      <c r="H14" s="13" t="str">
        <f>IFERROR(__xludf.DUMMYFUNCTION("IFERROR(TEXTJOIN("", "",TRUE,UNIQUE(FILTER('Kế hoạch chèn link (mới)'!$D$3:$D$2944,'Kế hoạch chèn link (mới)'!$B$3:$B$2944=C14))),"""")"),"tra số tài khoản ngân hàng, tra tài khoản ngân hàng")</f>
        <v>tra số tài khoản ngân hàng, tra tài khoản ngân hàng</v>
      </c>
      <c r="I14" s="13" t="str">
        <f>IFERROR(__xludf.DUMMYFUNCTION("IFERROR(TEXTJOIN(CHAR(10),TRUE,FILTER('Kế hoạch chèn link (mới)'!$F$3:$F$2944,'Kế hoạch chèn link (mới)'!$B$3:$B$2944=C14)),"""")"),"https://techcombank.com/thong-tin/blog/so-tai-khoan-ngan-hang
https://techcombank.com/thong-tin/blog/so-du-kha-dung
https://techcombank.com/thong-tin/blog/cach-kiem-tra-tai-khoan-ngan-hang-cua-cong-ty
https://techcombank.com/thong-tin/blog/sms-banking
htt"&amp;"ps://techcombank.com/thong-tin/blog/ma-giao-dich-la-gi
https://techcombank.com/thong-tin/blog/co-nen-mua-so-tai-khoan-ngan-hang-dep
https://techcombank.com/thong-tin/blog/cdm
https://techcombank.com/thong-tin/blog/lo-so-tai-khoan-ngan-hang-co-sao-khong
ht"&amp;"tps://techcombank.com/thong-tin/blog/8868
https://techcombank.com/thong-tin/blog/day-so-phat-tai-phat-loc
https://techcombank.com/thong-tin/blog/66666-co-y-nghia-gi
https://techcombank.com/thong-tin/blog/so-8386
https://techcombank.com/thong-tin/blog/so-t"&amp;"he-ngan-hang
https://techcombank.com/thong-tin/blog/so-tai-khoan-dep
https://techcombank.com/thong-tin/blog/99999-co-y-nghia-gi
https://techcombank.com/thong-tin/blog/so-6868
https://techcombank.com/thong-tin/blog/y-nghia-so-68
https://techcombank.com/tho"&amp;"ng-tin/blog/cach-chuyen-tien
https://techcombank.com/thong-tin/blog/vip-ngan-hang
https://techcombank.com/thong-tin/blog/nap-tien-vao-tai-khoan-ngan-hang
https://techcombank.com/thong-tin/blog/1-cmnd-dang-ky-duoc-may-tai-khoan-ngan-hang
https://techcomban"&amp;"k.com/thong-tin/blog/cach-doi-mat-khau-tai-khoan-ngan-hang
https://techcombank.com/thong-tin/blog/mo-tai-khoan-ngan-hang-online-co-an-toan-khong
https://techcombank.com/thong-tin/blog/mo-tai-khoan-ngan-hang-co-mat-phi-khong
https://techcombank.com/thong-t"&amp;"in/blog/cach-chon-so-tai-khoan-dep
https://techcombank.com/thong-tin/blog/so-du-tai-khoan-thanh-toan
https://techcombank.com/thong-tin/blog/so-du-tien-gui-la-gi
https://techcombank.com/thong-tin/blog/cach-chuyen-khoan-bang-dien-thoai
https://techcombank.c"&amp;"om/thong-tin/blog/cach-lay-lai-tien-da-chuyen-khoan-khi-bi-lua
https://techcombank.com/thong-tin/blog/lo-ma-qr-ngan-hang-co-sao-khong")</f>
        <v>https://techcombank.com/thong-tin/blog/so-tai-khoan-ngan-hang
https://techcombank.com/thong-tin/blog/so-du-kha-dung
https://techcombank.com/thong-tin/blog/cach-kiem-tra-tai-khoan-ngan-hang-cua-cong-ty
https://techcombank.com/thong-tin/blog/sms-banking
https://techcombank.com/thong-tin/blog/ma-giao-dich-la-gi
https://techcombank.com/thong-tin/blog/co-nen-mua-so-tai-khoan-ngan-hang-dep
https://techcombank.com/thong-tin/blog/cdm
https://techcombank.com/thong-tin/blog/lo-so-tai-khoan-ngan-hang-co-sao-khong
https://techcombank.com/thong-tin/blog/8868
https://techcombank.com/thong-tin/blog/day-so-phat-tai-phat-loc
https://techcombank.com/thong-tin/blog/66666-co-y-nghia-gi
https://techcombank.com/thong-tin/blog/so-8386
https://techcombank.com/thong-tin/blog/so-the-ngan-hang
https://techcombank.com/thong-tin/blog/so-tai-khoan-dep
https://techcombank.com/thong-tin/blog/99999-co-y-nghia-gi
https://techcombank.com/thong-tin/blog/so-6868
https://techcombank.com/thong-tin/blog/y-nghia-so-68
https://techcombank.com/thong-tin/blog/cach-chuyen-tien
https://techcombank.com/thong-tin/blog/vip-ngan-hang
https://techcombank.com/thong-tin/blog/nap-tien-vao-tai-khoan-ngan-hang
https://techcombank.com/thong-tin/blog/1-cmnd-dang-ky-duoc-may-tai-khoan-ngan-hang
https://techcombank.com/thong-tin/blog/cach-doi-mat-khau-tai-khoan-ngan-hang
https://techcombank.com/thong-tin/blog/mo-tai-khoan-ngan-hang-online-co-an-toan-khong
https://techcombank.com/thong-tin/blog/mo-tai-khoan-ngan-hang-co-mat-phi-khong
https://techcombank.com/thong-tin/blog/cach-chon-so-tai-khoan-dep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v>
      </c>
      <c r="J14" s="26" t="s">
        <v>188</v>
      </c>
    </row>
    <row r="15" ht="82.5" customHeight="1">
      <c r="A15" s="12">
        <v>14.0</v>
      </c>
      <c r="B15" s="13" t="s">
        <v>912</v>
      </c>
      <c r="C15" s="13" t="s">
        <v>1087</v>
      </c>
      <c r="D15" s="21">
        <f>COUNTIF('Kế hoạch chèn link (mới)'!$B$3:$B$2944,C15)</f>
        <v>30</v>
      </c>
      <c r="E15" s="21">
        <f>IFERROR(VLOOKUP(C15,'Link trỏ về từng trang đích'!$B$2:$D$76,3,0),"")</f>
        <v>30</v>
      </c>
      <c r="F15" s="13" t="str">
        <f t="shared" si="1"/>
        <v>Đủ link</v>
      </c>
      <c r="G15" s="13" t="str">
        <f>IF(IFERROR(VLOOKUP(C15,'Inlink đã chèn'!$B$2:$C$200,2,0),0)&gt;0,"Đã có anchor text trỏ về","Chưa có anchor text trỏ về")</f>
        <v>Chưa có anchor text trỏ về</v>
      </c>
      <c r="H15" s="13" t="str">
        <f>IFERROR(__xludf.DUMMYFUNCTION("IFERROR(TEXTJOIN("", "",TRUE,UNIQUE(FILTER('Kế hoạch chèn link (mới)'!$D$3:$D$2944,'Kế hoạch chèn link (mới)'!$B$3:$B$2944=C15))),"""")"),"mở tài khoản ngân hàng online, cách tạo tài khoản ngân hàng")</f>
        <v>mở tài khoản ngân hàng online, cách tạo tài khoản ngân hàng</v>
      </c>
      <c r="I15" s="13" t="str">
        <f>IFERROR(__xludf.DUMMYFUNCTION("IFERROR(TEXTJOIN(CHAR(10),TRUE,FILTER('Kế hoạch chèn link (mới)'!$F$3:$F$2944,'Kế hoạch chèn link (mới)'!$B$3:$B$2944=C15)),"""")"),"https://techcombank.com/thong-tin/blog/mo-tai-khoan-ngan-hang-online-co-an-toan-khong
https://techcombank.com/thong-tin/blog/mo-tai-khoan-ngan-hang-co-mat-phi-khong
https://techcombank.com/thong-tin/blog/tai-khoan-ngan-hang-la-gi
https://techcombank.com/t"&amp;"hong-tin/blog/nho-nguoi-than-mo-tai-khoan-ngan-hang
https://techcombank.com/thong-tin/blog/bao-nhieu-tuoi-duoc-mo-tai-khoan-ngan-hang
https://techcombank.com/thong-tin/blog/xac-thuc-sinh-trac-hoc-khi-chuyen-tien
https://techcombank.com/thong-tin/blog/1-cm"&amp;"nd-dang-ky-duoc-may-tai-khoan-ngan-hang
https://techcombank.com/thong-tin/blog/nap-tien-vao-tai-khoan-ngan-hang
https://techcombank.com/thong-tin/blog/mo-tai-khoan-ngan-hang-duoi-18-tuoi
https://techcombank.com/thong-tin/blog/lien-ket-tai-khoan-ngan-hang-"&amp;"voi-etax-mobile
https://techcombank.com/thong-tin/blog/cach-kiem-tra-tai-khoan-ngan-hang-cua-cong-ty
https://techcombank.com/thong-tin/blog/cach-lien-ket-epass-voi-tai-khoan-ngan-hang
https://techcombank.com/thong-tin/blog/khai-bao-tai-khoan-ngan-hang-voi"&amp;"-co-quan-thue
https://techcombank.com/thong-tin/blog/techcombank-sinh-loi-tu-dong
https://techcombank.com/thong-tin/blog/cach-doi-mat-khau-tai-khoan-ngan-hang
https://techcombank.com/thong-tin/blog/cach-lien-ket-tai-khoan-ngan-hang-voi-vneid
https://techc"&amp;"ombank.com/thong-tin/blog/lo-so-tai-khoan-ngan-hang-co-sao-khong
https://techcombank.com/thong-tin/blog/thue-thu-nhap-ca-nhan
https://techcombank.com/thong-tin/blog/cach-dong-tien-dien-qua-tai-khoan-ngan-hang
https://techcombank.com/thong-tin/blog/mat-so-"&amp;"dien-thoai-dang-ky-tai-khoan-ngan-hang
https://techcombank.com/thong-tin/blog/mo-tai-khoan-doanh-nghiep
https://techcombank.com/thong-tin/blog/dong-tai-khoan-ngan-hang-cong-ty
https://techcombank.com/thong-tin/blog/mo-tai-khoan-ho-kinh-doanh
https://techc"&amp;"ombank.com/thong-tin/blog/co-nen-mua-so-tai-khoan-ngan-hang-dep
https://techcombank.com/thong-tin/blog/nen-mo-tai-khoan-ngan-hang-nao-cho-doanh-nghiep
https://techcombank.com/thong-tin/blog/mo-them-tai-khoan-ngan-hang-cho-cong-ty
https://techcombank.com/t"&amp;"hong-tin/blog/tai-khoan-ngan-hang-chua-toi-da-bao-nhieu-tien
https://techcombank.com/thong-tin/blog/88-la-gi
https://techcombank.com/thong-tin/blog/dang-ky-nhieu-tai-khoan-ngan-hang-co-sao-khong
https://techcombank.com/thong-tin/blog/mau-mo-tai-khoan-doan"&amp;"h-nghiep-techcombank")</f>
        <v>https://techcombank.com/thong-tin/blog/mo-tai-khoan-ngan-hang-online-co-an-toan-khong
https://techcombank.com/thong-tin/blog/mo-tai-khoan-ngan-hang-co-mat-phi-khong
https://techcombank.com/thong-tin/blog/tai-khoan-ngan-hang-la-gi
https://techcombank.com/thong-tin/blog/nho-nguoi-than-mo-tai-khoan-ngan-hang
https://techcombank.com/thong-tin/blog/bao-nhieu-tuoi-duoc-mo-tai-khoan-ngan-hang
https://techcombank.com/thong-tin/blog/xac-thuc-sinh-trac-hoc-khi-chuyen-tien
https://techcombank.com/thong-tin/blog/1-cmnd-dang-ky-duoc-may-tai-khoan-ngan-hang
https://techcombank.com/thong-tin/blog/nap-tien-vao-tai-khoan-ngan-hang
https://techcombank.com/thong-tin/blog/mo-tai-khoan-ngan-hang-duoi-18-tuoi
https://techcombank.com/thong-tin/blog/lien-ket-tai-khoan-ngan-hang-voi-etax-mobile
https://techcombank.com/thong-tin/blog/cach-kiem-tra-tai-khoan-ngan-hang-cua-cong-ty
https://techcombank.com/thong-tin/blog/cach-lien-ket-epass-voi-tai-khoan-ngan-hang
https://techcombank.com/thong-tin/blog/khai-bao-tai-khoan-ngan-hang-voi-co-quan-thue
https://techcombank.com/thong-tin/blog/techcombank-sinh-loi-tu-dong
https://techcombank.com/thong-tin/blog/cach-doi-mat-khau-tai-khoan-ngan-hang
https://techcombank.com/thong-tin/blog/cach-lien-ket-tai-khoan-ngan-hang-voi-vneid
https://techcombank.com/thong-tin/blog/lo-so-tai-khoan-ngan-hang-co-sao-khong
https://techcombank.com/thong-tin/blog/thue-thu-nhap-ca-nhan
https://techcombank.com/thong-tin/blog/cach-dong-tien-dien-qua-tai-khoan-ngan-hang
https://techcombank.com/thong-tin/blog/mat-so-dien-thoai-dang-ky-tai-khoan-ngan-hang
https://techcombank.com/thong-tin/blog/mo-tai-khoan-doanh-nghiep
https://techcombank.com/thong-tin/blog/dong-tai-khoan-ngan-hang-cong-ty
https://techcombank.com/thong-tin/blog/mo-tai-khoan-ho-kinh-doanh
https://techcombank.com/thong-tin/blog/co-nen-mua-so-tai-khoan-ngan-hang-dep
https://techcombank.com/thong-tin/blog/nen-mo-tai-khoan-ngan-hang-nao-cho-doanh-nghiep
https://techcombank.com/thong-tin/blog/mo-them-tai-khoan-ngan-hang-cho-cong-ty
https://techcombank.com/thong-tin/blog/tai-khoan-ngan-hang-chua-toi-da-bao-nhieu-tien
https://techcombank.com/thong-tin/blog/88-la-gi
https://techcombank.com/thong-tin/blog/dang-ky-nhieu-tai-khoan-ngan-hang-co-sao-khong
https://techcombank.com/thong-tin/blog/mau-mo-tai-khoan-doanh-nghiep-techcombank</v>
      </c>
      <c r="J15" s="26" t="s">
        <v>188</v>
      </c>
    </row>
    <row r="16" ht="82.5" customHeight="1">
      <c r="A16" s="12">
        <v>15.0</v>
      </c>
      <c r="B16" s="13" t="s">
        <v>912</v>
      </c>
      <c r="C16" s="13" t="s">
        <v>1241</v>
      </c>
      <c r="D16" s="21">
        <f>COUNTIF('Kế hoạch chèn link (mới)'!$B$3:$B$2944,C16)</f>
        <v>30</v>
      </c>
      <c r="E16" s="21">
        <f>IFERROR(VLOOKUP(C16,'Link trỏ về từng trang đích'!$B$2:$D$76,3,0),"")</f>
        <v>30</v>
      </c>
      <c r="F16" s="13" t="str">
        <f t="shared" si="1"/>
        <v>Đủ link</v>
      </c>
      <c r="G16" s="13" t="str">
        <f>IF(IFERROR(VLOOKUP(C16,'Inlink đã chèn'!$B$2:$C$200,2,0),0)&gt;0,"Đã có anchor text trỏ về","Chưa có anchor text trỏ về")</f>
        <v>Chưa có anchor text trỏ về</v>
      </c>
      <c r="H16" s="13" t="str">
        <f>IFERROR(__xludf.DUMMYFUNCTION("IFERROR(TEXTJOIN("", "",TRUE,UNIQUE(FILTER('Kế hoạch chèn link (mới)'!$D$3:$D$2944,'Kế hoạch chèn link (mới)'!$B$3:$B$2944=C16))),"""")"),"chọn ngân hàng uy tín, ngân hàng uy tín")</f>
        <v>chọn ngân hàng uy tín, ngân hàng uy tín</v>
      </c>
      <c r="I16" s="13" t="str">
        <f>IFERROR(__xludf.DUMMYFUNCTION("IFERROR(TEXTJOIN(CHAR(10),TRUE,FILTER('Kế hoạch chèn link (mới)'!$F$3:$F$2944,'Kế hoạch chèn link (mới)'!$B$3:$B$2944=C16)),"""")"),"https://techcombank.com/thong-tin/blog/gui-tien-ngan-hang-co-an-toan-khong
https://techcombank.com/thong-tin/blog/app-ngan-hang-uy-tin
https://techcombank.com/thong-tin/blog/rui-ro-khi-gui-tiet-kiem-ngan-hang
https://techcombank.com/thong-tin/blog/tin-cha"&amp;"p-doanh-nghiep
https://techcombank.com/thong-tin/blog/quy-dinh-ve-mua-ban-ngoai-te-cua-doanh-nghiep
https://techcombank.com/thong-tin/blog/chuyen-tien-tro-cap-than-nhan-o-nuoc-ngoai
https://techcombank.com/thong-tin/blog/nop-tien-mat-vao-tai-khoan-cong-ty"&amp;"
https://techcombank.com/thong-tin/blog/quy-du-phong-tai-chinh-la-gi
https://techcombank.com/thong-tin/blog/nen-mo-tai-khoan-ngan-hang-nao-cho-doanh-nghiep
https://techcombank.com/thong-tin/blog/kinh-nghiem-gui-tiet-kiem-online
https://techcombank.com/tho"&amp;"ng-tin/blog/co-nen-gui-tiet-kiem-ngan-hang
https://techcombank.com/thong-tin/blog/bao-lanh-vay-von
https://techcombank.com/thong-tin/blog/gia-tri-thuong-hieu
https://techcombank.com/thong-tin/blog/lai-suat-vay-mua-o-to
https://techcombank.com/thong-tin/bl"&amp;"og/nen-vay-tin-chap-o-dau
https://techcombank.com/thong-tin/blog/nen-vay-the-chap-ngan-hang-nao
https://techcombank.com/thong-tin/blog/vay-mua-xe-tra-gop-ngan-hang-nao-tot-nhat
https://techcombank.com/thong-tin/blog/uu-dai-mo-the-tin-dung
https://techcomb"&amp;"ank.com/thong-tin/blog/app-ngan-hang
https://techcombank.com/thong-tin/blog/hoc-sinh-sinh-vien-nen-lam-the-ngan-hang-nao
https://techcombank.com/thong-tin/blog/gui-tiet-kiem-ngoai-te
https://techcombank.com/thong-tin/blog/viet-kieu-co-mo-duoc-tai-khoan-ng"&amp;"an-hang-khong
https://techcombank.com/thong-tin/blog/ty-gia-cac-ngan-hang
https://techcombank.com/thong-tin/blog/lam-the-visa-o-dau
https://techcombank.com/thong-tin/blog/mat-the-tin-dung-co-lam-lai-duoc-khong
https://techcombank.com/thong-tin/blog/lai-su"&amp;"at-chung-chi-tien-gui-cac-ngan-hang
https://techcombank.com/thong-tin/blog/ty-gia-la-gi
https://techcombank.com/thong-tin/blog/dieu-kien-vay-von-ngan-hang
https://techcombank.com/thong-tin/blog/vay-sinh-vien
https://techcombank.com/thong-tin/blog/the-tin-"&amp;"dung-mien-lai-55-ngay")</f>
        <v>https://techcombank.com/thong-tin/blog/gui-tien-ngan-hang-co-an-toan-khong
https://techcombank.com/thong-tin/blog/app-ngan-hang-uy-tin
https://techcombank.com/thong-tin/blog/rui-ro-khi-gui-tiet-kiem-ngan-hang
https://techcombank.com/thong-tin/blog/tin-chap-doanh-nghiep
https://techcombank.com/thong-tin/blog/quy-dinh-ve-mua-ban-ngoai-te-cua-doanh-nghiep
https://techcombank.com/thong-tin/blog/chuyen-tien-tro-cap-than-nhan-o-nuoc-ngoai
https://techcombank.com/thong-tin/blog/nop-tien-mat-vao-tai-khoan-cong-ty
https://techcombank.com/thong-tin/blog/quy-du-phong-tai-chinh-la-gi
https://techcombank.com/thong-tin/blog/nen-mo-tai-khoan-ngan-hang-nao-cho-doanh-nghiep
https://techcombank.com/thong-tin/blog/kinh-nghiem-gui-tiet-kiem-online
https://techcombank.com/thong-tin/blog/co-nen-gui-tiet-kiem-ngan-hang
https://techcombank.com/thong-tin/blog/bao-lanh-vay-von
https://techcombank.com/thong-tin/blog/gia-tri-thuong-hieu
https://techcombank.com/thong-tin/blog/lai-suat-vay-mua-o-to
https://techcombank.com/thong-tin/blog/nen-vay-tin-chap-o-dau
https://techcombank.com/thong-tin/blog/nen-vay-the-chap-ngan-hang-nao
https://techcombank.com/thong-tin/blog/vay-mua-xe-tra-gop-ngan-hang-nao-tot-nhat
https://techcombank.com/thong-tin/blog/uu-dai-mo-the-tin-dung
https://techcombank.com/thong-tin/blog/app-ngan-hang
https://techcombank.com/thong-tin/blog/hoc-sinh-sinh-vien-nen-lam-the-ngan-hang-nao
https://techcombank.com/thong-tin/blog/gui-tiet-kiem-ngoai-te
https://techcombank.com/thong-tin/blog/viet-kieu-co-mo-duoc-tai-khoan-ngan-hang-khong
https://techcombank.com/thong-tin/blog/ty-gia-cac-ngan-hang
https://techcombank.com/thong-tin/blog/lam-the-visa-o-dau
https://techcombank.com/thong-tin/blog/mat-the-tin-dung-co-lam-lai-duoc-khong
https://techcombank.com/thong-tin/blog/lai-suat-chung-chi-tien-gui-cac-ngan-hang
https://techcombank.com/thong-tin/blog/ty-gia-la-gi
https://techcombank.com/thong-tin/blog/dieu-kien-vay-von-ngan-hang
https://techcombank.com/thong-tin/blog/vay-sinh-vien
https://techcombank.com/thong-tin/blog/the-tin-dung-mien-lai-55-ngay</v>
      </c>
      <c r="J16" s="26" t="s">
        <v>188</v>
      </c>
    </row>
    <row r="17" ht="82.5" customHeight="1">
      <c r="A17" s="12">
        <v>16.0</v>
      </c>
      <c r="B17" s="13" t="s">
        <v>912</v>
      </c>
      <c r="C17" s="13" t="s">
        <v>1323</v>
      </c>
      <c r="D17" s="21">
        <f>COUNTIF('Kế hoạch chèn link (mới)'!$B$3:$B$2944,C17)</f>
        <v>28</v>
      </c>
      <c r="E17" s="21">
        <f>IFERROR(VLOOKUP(C17,'Link trỏ về từng trang đích'!$B$2:$D$76,3,0),"")</f>
        <v>30</v>
      </c>
      <c r="F17" s="13" t="str">
        <f t="shared" si="1"/>
        <v>Thiếu 2 link</v>
      </c>
      <c r="G17" s="13" t="str">
        <f>IF(IFERROR(VLOOKUP(C17,'Inlink đã chèn'!$B$2:$C$200,2,0),0)&gt;0,"Đã có anchor text trỏ về","Chưa có anchor text trỏ về")</f>
        <v>Chưa có anchor text trỏ về</v>
      </c>
      <c r="H17" s="13" t="str">
        <f>IFERROR(__xludf.DUMMYFUNCTION("IFERROR(TEXTJOIN("", "",TRUE,UNIQUE(FILTER('Kế hoạch chèn link (mới)'!$D$3:$D$2944,'Kế hoạch chèn link (mới)'!$B$3:$B$2944=C17))),"""")"),"chuyển tiền thành công nhưng chưa nhận được, tiền chuyển khoản bị treo, chuyển khoản thành công nhưng không nhận được tiền")</f>
        <v>chuyển tiền thành công nhưng chưa nhận được, tiền chuyển khoản bị treo, chuyển khoản thành công nhưng không nhận được tiền</v>
      </c>
      <c r="I17" s="13" t="str">
        <f>IFERROR(__xludf.DUMMYFUNCTION("IFERROR(TEXTJOIN(CHAR(10),TRUE,FILTER('Kế hoạch chèn link (mới)'!$F$3:$F$2944,'Kế hoạch chèn link (mới)'!$B$3:$B$2944=C17)),"""")"),"https://techcombank.com/thong-tin/blog/ma-giao-dich-la-gi
https://techcombank.com/thong-tin/blog/cach-chuyen-tien
https://techcombank.com/thong-tin/blog/chuyen-nham-tien-co-lay-lai-duoc-khong
https://techcombank.com/thong-tin/blog/ngan-hang-thu-huong-la-g"&amp;"i
https://techcombank.com/thong-tin/blog/ho-kinh-doanh-can-gi-o-tai-khoan-ngan-hang
https://techcombank.com/thong-tin/blog/ma-qr-ngan-hang-khong-hop-le
https://techcombank.com/thong-tin/blog/luu-y-khi-chuyen-tien-vao-tai-khoan-cong-ty
https://techcombank."&amp;"com/thong-tin/blog/loa-ting-ting
https://techcombank.com/thong-tin/blog/cach-nap-tien-vao-the-ghi-no
https://techcombank.com/thong-tin/blog/cach-chuyen-tien-qua-ma-qr-techcombank
https://techcombank.com/thong-tin/blog/cach-chuyen-khoan-bang-dien-thoai
htt"&amp;"ps://techcombank.com/thong-tin/blog/loa-thong-bao-chuyen-khoan
https://techcombank.com/thong-tin/blog/remittance-la-gi
https://techcombank.com/thong-tin/blog/cdm
https://techcombank.com/thong-tin/blog/cach-tao-ma-qr-code-mien-phi
https://techcombank.com/t"&amp;"hong-tin/blog/cach-lay-lai-tien-da-chuyen-khoan-khi-bi-lua
https://techcombank.com/thong-tin/blog/gui-tien-du-hoc
https://techcombank.com/thong-tin/blog/iban-la-gi
https://techcombank.com/thong-tin/blog/tai-khoan-ngan-hang-bi-khoa
https://techcombank.com/"&amp;"thong-tin/blog/tai-khoan-ngan-hang-con-0-dong-co-sao-khong
https://techcombank.com/thong-tin/blog/vi-dien-tu-la-gi
https://techcombank.com/thong-tin/blog/token-la-gi
https://techcombank.com/thong-tin/blog/xac-thuc-sinh-trac-hoc-khi-chuyen-tien
https://tec"&amp;"hcombank.com/thong-tin/blog/casa-la-gi
https://techcombank.com/thong-tin/blog/the-ghi-no-co-chuyen-khoan-duoc-khong
https://techcombank.com/thong-tin/blog/chuyen-tien-dinh-cu
https://techcombank.com/thong-tin/blog/dinh-cu-chau-au
https://techcombank.com/t"&amp;"hong-tin/blog/cam-nang-dinh-cu-my")</f>
        <v>https://techcombank.com/thong-tin/blog/ma-giao-dich-la-gi
https://techcombank.com/thong-tin/blog/cach-chuyen-tien
https://techcombank.com/thong-tin/blog/chuyen-nham-tien-co-lay-lai-duoc-khong
https://techcombank.com/thong-tin/blog/ngan-hang-thu-huong-la-gi
https://techcombank.com/thong-tin/blog/ho-kinh-doanh-can-gi-o-tai-khoan-ngan-hang
https://techcombank.com/thong-tin/blog/ma-qr-ngan-hang-khong-hop-le
https://techcombank.com/thong-tin/blog/luu-y-khi-chuyen-tien-vao-tai-khoan-cong-ty
https://techcombank.com/thong-tin/blog/loa-ting-ting
https://techcombank.com/thong-tin/blog/cach-nap-tien-vao-the-ghi-no
https://techcombank.com/thong-tin/blog/cach-chuyen-tien-qua-ma-qr-techcombank
https://techcombank.com/thong-tin/blog/cach-chuyen-khoan-bang-dien-thoai
https://techcombank.com/thong-tin/blog/loa-thong-bao-chuyen-khoan
https://techcombank.com/thong-tin/blog/remittance-la-gi
https://techcombank.com/thong-tin/blog/cdm
https://techcombank.com/thong-tin/blog/cach-tao-ma-qr-code-mien-phi
https://techcombank.com/thong-tin/blog/cach-lay-lai-tien-da-chuyen-khoan-khi-bi-lua
https://techcombank.com/thong-tin/blog/gui-tien-du-hoc
https://techcombank.com/thong-tin/blog/iban-la-gi
https://techcombank.com/thong-tin/blog/tai-khoan-ngan-hang-bi-khoa
https://techcombank.com/thong-tin/blog/tai-khoan-ngan-hang-con-0-dong-co-sao-khong
https://techcombank.com/thong-tin/blog/vi-dien-tu-la-gi
https://techcombank.com/thong-tin/blog/token-la-gi
https://techcombank.com/thong-tin/blog/xac-thuc-sinh-trac-hoc-khi-chuyen-tien
https://techcombank.com/thong-tin/blog/casa-la-gi
https://techcombank.com/thong-tin/blog/the-ghi-no-co-chuyen-khoan-duoc-khong
https://techcombank.com/thong-tin/blog/chuyen-tien-dinh-cu
https://techcombank.com/thong-tin/blog/dinh-cu-chau-au
https://techcombank.com/thong-tin/blog/cam-nang-dinh-cu-my</v>
      </c>
      <c r="J17" s="26" t="s">
        <v>188</v>
      </c>
    </row>
    <row r="18" ht="82.5" customHeight="1">
      <c r="A18" s="12">
        <v>17.0</v>
      </c>
      <c r="B18" s="13" t="s">
        <v>912</v>
      </c>
      <c r="C18" s="13" t="s">
        <v>1188</v>
      </c>
      <c r="D18" s="21">
        <f>COUNTIF('Kế hoạch chèn link (mới)'!$B$3:$B$2944,C18)</f>
        <v>28</v>
      </c>
      <c r="E18" s="21">
        <f>IFERROR(VLOOKUP(C18,'Link trỏ về từng trang đích'!$B$2:$D$76,3,0),"")</f>
        <v>30</v>
      </c>
      <c r="F18" s="13" t="str">
        <f t="shared" si="1"/>
        <v>Thiếu 2 link</v>
      </c>
      <c r="G18" s="13" t="str">
        <f>IF(IFERROR(VLOOKUP(C18,'Inlink đã chèn'!$B$2:$C$200,2,0),0)&gt;0,"Đã có anchor text trỏ về","Chưa có anchor text trỏ về")</f>
        <v>Đã có anchor text trỏ về</v>
      </c>
      <c r="H18" s="13" t="str">
        <f>IFERROR(__xludf.DUMMYFUNCTION("IFERROR(TEXTJOIN("", "",TRUE,UNIQUE(FILTER('Kế hoạch chèn link (mới)'!$D$3:$D$2944,'Kế hoạch chèn link (mới)'!$B$3:$B$2944=C18))),"""")"),"độ tuổi mở tài khoản ngân hàng, bao nhiêu tuổi được mở tài khoản ngân hàng")</f>
        <v>độ tuổi mở tài khoản ngân hàng, bao nhiêu tuổi được mở tài khoản ngân hàng</v>
      </c>
      <c r="I18" s="13" t="str">
        <f>IFERROR(__xludf.DUMMYFUNCTION("IFERROR(TEXTJOIN(CHAR(10),TRUE,FILTER('Kế hoạch chèn link (mới)'!$F$3:$F$2944,'Kế hoạch chèn link (mới)'!$B$3:$B$2944=C18)),"""")"),"https://techcombank.com/thong-tin/blog/mo-tai-khoan-ngan-hang-cho-tre-em
https://techcombank.com/thong-tin/blog/hoc-sinh-sinh-vien-nen-lam-the-ngan-hang-nao
https://techcombank.com/thong-tin/blog/cach-lam-the-atm
https://techcombank.com/thong-tin/blog/1-n"&amp;"guoi-co-the-lam-duoc-bao-nhieu-the-atm
https://techcombank.com/thong-tin/blog/lam-the-atm-bao-lau-co
https://techcombank.com/thong-tin/blog/quan-ly-chuoi-cua-hang
https://techcombank.com/thong-tin/blog/cach-chuyen-tien-qua-ma-qr-techcombank
https://techco"&amp;"mbank.com/thong-tin/blog/nho-nguoi-than-mo-tai-khoan-ngan-hang
https://techcombank.com/thong-tin/blog/lam-the-atm-co-mat-phi-khong
https://techcombank.com/thong-tin/blog/ma-otp-la-gi
https://techcombank.com/thong-tin/blog/ngan-hang-so-cho-doanh-nghiep
htt"&amp;"ps://techcombank.com/thong-tin/blog/cach-chon-so-tai-khoan-dep
https://techcombank.com/thong-tin/blog/lam-the-visa-o-dau
https://techcombank.com/thong-tin/blog/mo-tai-khoan-ngan-hang-duoi-18-tuoi
https://techcombank.com/thong-tin/blog/mat-so-dien-thoai-da"&amp;"ng-ky-tai-khoan-ngan-hang
https://techcombank.com/thong-tin/blog/vay-tin-chap-cho-doanh-nghiep-moi-thanh-lap
https://techcombank.com/thong-tin/blog/vi-du-ve-ca-nhan-hoa
https://techcombank.com/thong-tin/blog/lam-the-tin-dung
https://techcombank.com/thong-"&amp;"tin/blog/shopeepay-la-gi
https://techcombank.com/thong-tin/blog/mo-tai-khoan-ho-kinh-doanh
https://techcombank.com/thong-tin/blog/lam-the-visa-online
https://techcombank.com/thong-tin/blog/ty-le-khach-hang-su-dung-chu-ky-so-trong-linh-vuc-ngan-hang-dang-o"&amp;"-muc-5
https://techcombank.com/thong-tin/blog/the-debit-cho-con
https://techcombank.com/thong-tin/blog/lam-the-thanh-toan-quoc-te
https://techcombank.com/thong-tin/blog/vay-thau-chi-bang-so-tiet-kiem
https://techcombank.com/thong-tin/blog/thanh-toan-hoc-p"&amp;"hi-online
https://techcombank.com/thong-tin/blog/tai-khoan-ngan-hang-con-0-dong-co-sao-khong
https://techcombank.com/thong-tin/blog/qr-code-phuong-thuc-thanh-toan-toi-uu-trong-ky-nguyen-so")</f>
        <v>https://techcombank.com/thong-tin/blog/mo-tai-khoan-ngan-hang-cho-tre-em
https://techcombank.com/thong-tin/blog/hoc-sinh-sinh-vien-nen-lam-the-ngan-hang-nao
https://techcombank.com/thong-tin/blog/cach-lam-the-atm
https://techcombank.com/thong-tin/blog/1-nguoi-co-the-lam-duoc-bao-nhieu-the-atm
https://techcombank.com/thong-tin/blog/lam-the-atm-bao-lau-co
https://techcombank.com/thong-tin/blog/quan-ly-chuoi-cua-hang
https://techcombank.com/thong-tin/blog/cach-chuyen-tien-qua-ma-qr-techcombank
https://techcombank.com/thong-tin/blog/nho-nguoi-than-mo-tai-khoan-ngan-hang
https://techcombank.com/thong-tin/blog/lam-the-atm-co-mat-phi-khong
https://techcombank.com/thong-tin/blog/ma-otp-la-gi
https://techcombank.com/thong-tin/blog/ngan-hang-so-cho-doanh-nghiep
https://techcombank.com/thong-tin/blog/cach-chon-so-tai-khoan-dep
https://techcombank.com/thong-tin/blog/lam-the-visa-o-dau
https://techcombank.com/thong-tin/blog/mo-tai-khoan-ngan-hang-duoi-18-tuoi
https://techcombank.com/thong-tin/blog/mat-so-dien-thoai-dang-ky-tai-khoan-ngan-hang
https://techcombank.com/thong-tin/blog/vay-tin-chap-cho-doanh-nghiep-moi-thanh-lap
https://techcombank.com/thong-tin/blog/vi-du-ve-ca-nhan-hoa
https://techcombank.com/thong-tin/blog/lam-the-tin-dung
https://techcombank.com/thong-tin/blog/shopeepay-la-gi
https://techcombank.com/thong-tin/blog/mo-tai-khoan-ho-kinh-doanh
https://techcombank.com/thong-tin/blog/lam-the-visa-online
https://techcombank.com/thong-tin/blog/ty-le-khach-hang-su-dung-chu-ky-so-trong-linh-vuc-ngan-hang-dang-o-muc-5
https://techcombank.com/thong-tin/blog/the-debit-cho-con
https://techcombank.com/thong-tin/blog/lam-the-thanh-toan-quoc-te
https://techcombank.com/thong-tin/blog/vay-thau-chi-bang-so-tiet-kiem
https://techcombank.com/thong-tin/blog/thanh-toan-hoc-phi-online
https://techcombank.com/thong-tin/blog/tai-khoan-ngan-hang-con-0-dong-co-sao-khong
https://techcombank.com/thong-tin/blog/qr-code-phuong-thuc-thanh-toan-toi-uu-trong-ky-nguyen-so</v>
      </c>
      <c r="J18" s="26" t="s">
        <v>188</v>
      </c>
    </row>
    <row r="19" ht="82.5" customHeight="1">
      <c r="A19" s="12">
        <v>18.0</v>
      </c>
      <c r="B19" s="13" t="s">
        <v>912</v>
      </c>
      <c r="C19" s="13" t="s">
        <v>1190</v>
      </c>
      <c r="D19" s="21">
        <f>COUNTIF('Kế hoạch chèn link (mới)'!$B$3:$B$2944,C19)</f>
        <v>30</v>
      </c>
      <c r="E19" s="21">
        <f>IFERROR(VLOOKUP(C19,'Link trỏ về từng trang đích'!$B$2:$D$76,3,0),"")</f>
        <v>30</v>
      </c>
      <c r="F19" s="13" t="str">
        <f t="shared" si="1"/>
        <v>Đủ link</v>
      </c>
      <c r="G19" s="13" t="str">
        <f>IF(IFERROR(VLOOKUP(C19,'Inlink đã chèn'!$B$2:$C$200,2,0),0)&gt;0,"Đã có anchor text trỏ về","Chưa có anchor text trỏ về")</f>
        <v>Chưa có anchor text trỏ về</v>
      </c>
      <c r="H19" s="13" t="str">
        <f>IFERROR(__xludf.DUMMYFUNCTION("IFERROR(TEXTJOIN("", "",TRUE,UNIQUE(FILTER('Kế hoạch chèn link (mới)'!$D$3:$D$2944,'Kế hoạch chèn link (mới)'!$B$3:$B$2944=C19))),"""")"),"mở tài khoản ngân hàng cho học sinh, mở tài khoản ngân hàng dưới 18 tuổi")</f>
        <v>mở tài khoản ngân hàng cho học sinh, mở tài khoản ngân hàng dưới 18 tuổi</v>
      </c>
      <c r="I19" s="13" t="str">
        <f>IFERROR(__xludf.DUMMYFUNCTION("IFERROR(TEXTJOIN(CHAR(10),TRUE,FILTER('Kế hoạch chèn link (mới)'!$F$3:$F$2944,'Kế hoạch chèn link (mới)'!$B$3:$B$2944=C19)),"""")"),"https://techcombank.com/thong-tin/blog/the-debit-cho-con
https://techcombank.com/thong-tin/blog/mo-tai-khoan-ngan-hang-bang-so-dien-thoai
https://techcombank.com/thong-tin/blog/quy-gia-dinh
https://techcombank.com/thong-tin/blog/ma-otp-la-gi
https://techc"&amp;"ombank.com/thong-tin/blog/mo-tai-khoan-ngan-hang-online-co-an-toan-khong
https://techcombank.com/thong-tin/blog/cach-bao-ve-tai-khoan
https://techcombank.com/thong-tin/blog/xac-thuc-sinh-trac-hoc-khi-chuyen-tien
https://techcombank.com/thong-tin/blog/cach"&amp;"-quet-nfc-cccd-tren-iphone
https://techcombank.com/thong-tin/blog/ngan-hang-so-cho-doanh-nghiep
https://techcombank.com/thong-tin/blog/mo-tai-khoan-ho-kinh-doanh
https://techcombank.com/thong-tin/blog/nap-xu-tiktok
https://techcombank.com/thong-tin/blog/h"&amp;"oc-sinh-sinh-vien-nen-lam-the-ngan-hang-nao
https://techcombank.com/thong-tin/blog/so-tai-khoan-ngan-hang
https://techcombank.com/thong-tin/blog/thanh-toan-hoc-phi-online
https://techcombank.com/thong-tin/blog/cach-chon-so-tai-khoan-dep
https://techcomban"&amp;"k.com/thong-tin/blog/dang-ky-nhieu-tai-khoan-ngan-hang-co-sao-khong
https://techcombank.com/thong-tin/blog/cach-chuyen-tien
https://techcombank.com/thong-tin/blog/8868
https://techcombank.com/thong-tin/blog/tai-khoan-ngan-hang-con-0-dong-co-sao-khong
http"&amp;"s://techcombank.com/thong-tin/blog/so-tai-khoan-dep
https://techcombank.com/thong-tin/blog/the-ghi-no-co-chuyen-khoan-duoc-khong
https://techcombank.com/thong-tin/blog/mo-tai-khoan-ngan-hang-trung-so-dien-thoai
https://techcombank.com/thong-tin/blog/shope"&amp;"epay-la-gi
https://techcombank.com/thong-tin/blog/viet-kieu-co-mo-duoc-tai-khoan-ngan-hang-khong
https://techcombank.com/thong-tin/blog/mobile-banking-la-gi
https://techcombank.com/thong-tin/blog/ngan-hang-thu-huong-la-gi
https://techcombank.com/thong-tin"&amp;"/blog/thanh-toan-khong-tien-mat-trong-nganh-giao-duc-co-hoi-va-thach-thuc
https://techcombank.com/thong-tin/blog/ekyc-la-gi
https://techcombank.com/thong-tin/blog/mo-tai-khoan-ngan-hang-cho-tre-em
https://techcombank.com/thong-tin/blog/bao-nhieu-tuoi-duoc"&amp;"-mo-tai-khoan-ngan-hang")</f>
        <v>https://techcombank.com/thong-tin/blog/the-debit-cho-con
https://techcombank.com/thong-tin/blog/mo-tai-khoan-ngan-hang-bang-so-dien-thoai
https://techcombank.com/thong-tin/blog/quy-gia-dinh
https://techcombank.com/thong-tin/blog/ma-otp-la-gi
https://techcombank.com/thong-tin/blog/mo-tai-khoan-ngan-hang-online-co-an-toan-khong
https://techcombank.com/thong-tin/blog/cach-bao-ve-tai-khoan
https://techcombank.com/thong-tin/blog/xac-thuc-sinh-trac-hoc-khi-chuyen-tien
https://techcombank.com/thong-tin/blog/cach-quet-nfc-cccd-tren-iphone
https://techcombank.com/thong-tin/blog/ngan-hang-so-cho-doanh-nghiep
https://techcombank.com/thong-tin/blog/mo-tai-khoan-ho-kinh-doanh
https://techcombank.com/thong-tin/blog/nap-xu-tiktok
https://techcombank.com/thong-tin/blog/hoc-sinh-sinh-vien-nen-lam-the-ngan-hang-nao
https://techcombank.com/thong-tin/blog/so-tai-khoan-ngan-hang
https://techcombank.com/thong-tin/blog/thanh-toan-hoc-phi-online
https://techcombank.com/thong-tin/blog/cach-chon-so-tai-khoan-dep
https://techcombank.com/thong-tin/blog/dang-ky-nhieu-tai-khoan-ngan-hang-co-sao-khong
https://techcombank.com/thong-tin/blog/cach-chuyen-tien
https://techcombank.com/thong-tin/blog/8868
https://techcombank.com/thong-tin/blog/tai-khoan-ngan-hang-con-0-dong-co-sao-khong
https://techcombank.com/thong-tin/blog/so-tai-khoan-dep
https://techcombank.com/thong-tin/blog/the-ghi-no-co-chuyen-khoan-duoc-khong
https://techcombank.com/thong-tin/blog/mo-tai-khoan-ngan-hang-trung-so-dien-thoai
https://techcombank.com/thong-tin/blog/shopeepay-la-gi
https://techcombank.com/thong-tin/blog/viet-kieu-co-mo-duoc-tai-khoan-ngan-hang-khong
https://techcombank.com/thong-tin/blog/mobile-banking-la-gi
https://techcombank.com/thong-tin/blog/ngan-hang-thu-huong-la-gi
https://techcombank.com/thong-tin/blog/thanh-toan-khong-tien-mat-trong-nganh-giao-duc-co-hoi-va-thach-thuc
https://techcombank.com/thong-tin/blog/ekyc-la-gi
https://techcombank.com/thong-tin/blog/mo-tai-khoan-ngan-hang-cho-tre-em
https://techcombank.com/thong-tin/blog/bao-nhieu-tuoi-duoc-mo-tai-khoan-ngan-hang</v>
      </c>
      <c r="J19" s="26" t="s">
        <v>188</v>
      </c>
    </row>
    <row r="20" ht="82.5" customHeight="1">
      <c r="A20" s="12">
        <v>19.0</v>
      </c>
      <c r="B20" s="13" t="s">
        <v>912</v>
      </c>
      <c r="C20" s="13" t="s">
        <v>86</v>
      </c>
      <c r="D20" s="21">
        <f>COUNTIF('Kế hoạch chèn link (mới)'!$B$3:$B$2944,C20)</f>
        <v>30</v>
      </c>
      <c r="E20" s="21">
        <f>IFERROR(VLOOKUP(C20,'Link trỏ về từng trang đích'!$B$2:$D$76,3,0),"")</f>
        <v>30</v>
      </c>
      <c r="F20" s="13" t="str">
        <f t="shared" si="1"/>
        <v>Đủ link</v>
      </c>
      <c r="G20" s="13" t="str">
        <f>IF(IFERROR(VLOOKUP(C20,'Inlink đã chèn'!$B$2:$C$200,2,0),0)&gt;0,"Đã có anchor text trỏ về","Chưa có anchor text trỏ về")</f>
        <v>Chưa có anchor text trỏ về</v>
      </c>
      <c r="H20" s="13" t="str">
        <f>IFERROR(__xludf.DUMMYFUNCTION("IFERROR(TEXTJOIN("", "",TRUE,UNIQUE(FILTER('Kế hoạch chèn link (mới)'!$D$3:$D$2944,'Kế hoạch chèn link (mới)'!$B$3:$B$2944=C20))),"""")"),"nộp tiền vào tài khoản, nạp tiền vào tài khoản ngân hàng")</f>
        <v>nộp tiền vào tài khoản, nạp tiền vào tài khoản ngân hàng</v>
      </c>
      <c r="I20" s="13" t="str">
        <f>IFERROR(__xludf.DUMMYFUNCTION("IFERROR(TEXTJOIN(CHAR(10),TRUE,FILTER('Kế hoạch chèn link (mới)'!$F$3:$F$2944,'Kế hoạch chèn link (mới)'!$B$3:$B$2944=C20)),"""")"),"https://techcombank.com/thong-tin/blog/cdm
https://techcombank.com/thong-tin/blog/cach-nap-tien-vao-the-ghi-no
https://techcombank.com/thong-tin/blog/the-ghi-no-visa-la-gi
https://techcombank.com/thong-tin/blog/cach-su-dung-the-visa-techcombank
https://te"&amp;"chcombank.com/thong-tin/blog/nop-tien-mat-vao-tai-khoan-cong-ty
https://techcombank.com/thong-tin/blog/cong-ty-su-dung-tai-khoan-ca-nhan
https://techcombank.com/thong-tin/blog/gui-tiet-kiem-tich-luy-la-gi
https://techcombank.com/thong-tin/blog/tin-chap-do"&amp;"anh-nghiep
https://techcombank.com/thong-tin/blog/tai-khoan-ngan-hang-con-0-dong-co-sao-khong
https://techcombank.com/thong-tin/blog/cach-su-dung-tai-khoan-cong-ty
https://techcombank.com/thong-tin/blog/cach-nap-the
https://techcombank.com/thong-tin/blog/"&amp;"nap-tien-dien-thoai-online
https://techcombank.com/thong-tin/blog/rut-tien-bang-ma-qr-la-gi-cach-thuc-hien-nhu-the-nao
https://techcombank.com/thong-tin/blog/ma-pin-the-atm
https://techcombank.com/thong-tin/blog/cach-rut-tien-atm
https://techcombank.com/t"&amp;"hong-tin/blog/cach-kich-hoat-the-atm
https://techcombank.com/thong-tin/blog/1-cmnd-dang-ky-duoc-may-tai-khoan-ngan-hang
https://techcombank.com/thong-tin/blog/the-visa-ao-la-gi
https://techcombank.com/thong-tin/blog/cac-loai-the-ngan-hang
https://techcomb"&amp;"ank.com/thong-tin/blog/cach-dong-tien-dien-qua-tai-khoan-ngan-hang
https://techcombank.com/thong-tin/blog/lam-the-atm-co-mat-phi-khong
https://techcombank.com/thong-tin/blog/rut-tien-bang-ma-qr-khac-ngan-hang-duoc-khong
https://techcombank.com/thong-tin/b"&amp;"log/cach-lam-the-atm
https://techcombank.com/thong-tin/blog/the-visa-de-lam-gi
https://techcombank.com/thong-tin/blog/the-atm-khong-rut-duoc-tien
https://techcombank.com/thong-tin/blog/lam-the-atm-bao-lau-co
https://techcombank.com/thong-tin/blog/the-atm-"&amp;"gan-chip
https://techcombank.com/thong-tin/blog/bi-nuot-the-atm-phai-lam-sao
https://techcombank.com/thong-tin/blog/1-nguoi-co-the-lam-duoc-bao-nhieu-the-atm
https://techcombank.com/thong-tin/blog/atm-la-gi")</f>
        <v>https://techcombank.com/thong-tin/blog/cdm
https://techcombank.com/thong-tin/blog/cach-nap-tien-vao-the-ghi-no
https://techcombank.com/thong-tin/blog/the-ghi-no-visa-la-gi
https://techcombank.com/thong-tin/blog/cach-su-dung-the-visa-techcombank
https://techcombank.com/thong-tin/blog/nop-tien-mat-vao-tai-khoan-cong-ty
https://techcombank.com/thong-tin/blog/cong-ty-su-dung-tai-khoan-ca-nhan
https://techcombank.com/thong-tin/blog/gui-tiet-kiem-tich-luy-la-gi
https://techcombank.com/thong-tin/blog/tin-chap-doanh-nghiep
https://techcombank.com/thong-tin/blog/tai-khoan-ngan-hang-con-0-dong-co-sao-khong
https://techcombank.com/thong-tin/blog/cach-su-dung-tai-khoan-cong-ty
https://techcombank.com/thong-tin/blog/cach-nap-the
https://techcombank.com/thong-tin/blog/nap-tien-dien-thoai-online
https://techcombank.com/thong-tin/blog/rut-tien-bang-ma-qr-la-gi-cach-thuc-hien-nhu-the-nao
https://techcombank.com/thong-tin/blog/ma-pin-the-atm
https://techcombank.com/thong-tin/blog/cach-rut-tien-atm
https://techcombank.com/thong-tin/blog/cach-kich-hoat-the-atm
https://techcombank.com/thong-tin/blog/1-cmnd-dang-ky-duoc-may-tai-khoan-ngan-hang
https://techcombank.com/thong-tin/blog/the-visa-ao-la-gi
https://techcombank.com/thong-tin/blog/cac-loai-the-ngan-hang
https://techcombank.com/thong-tin/blog/cach-dong-tien-dien-qua-tai-khoan-ngan-hang
https://techcombank.com/thong-tin/blog/lam-the-atm-co-mat-phi-khong
https://techcombank.com/thong-tin/blog/rut-tien-bang-ma-qr-khac-ngan-hang-duoc-khong
https://techcombank.com/thong-tin/blog/cach-lam-the-atm
https://techcombank.com/thong-tin/blog/the-visa-de-lam-gi
https://techcombank.com/thong-tin/blog/the-atm-khong-rut-duoc-tien
https://techcombank.com/thong-tin/blog/lam-the-atm-bao-lau-co
https://techcombank.com/thong-tin/blog/the-atm-gan-chip
https://techcombank.com/thong-tin/blog/bi-nuot-the-atm-phai-lam-sao
https://techcombank.com/thong-tin/blog/1-nguoi-co-the-lam-duoc-bao-nhieu-the-atm
https://techcombank.com/thong-tin/blog/atm-la-gi</v>
      </c>
      <c r="J20" s="26" t="s">
        <v>188</v>
      </c>
    </row>
    <row r="21" ht="82.5" customHeight="1">
      <c r="A21" s="12">
        <v>20.0</v>
      </c>
      <c r="B21" s="13" t="s">
        <v>912</v>
      </c>
      <c r="C21" s="13" t="s">
        <v>1347</v>
      </c>
      <c r="D21" s="21">
        <f>COUNTIF('Kế hoạch chèn link (mới)'!$B$3:$B$2944,C21)</f>
        <v>30</v>
      </c>
      <c r="E21" s="21">
        <f>IFERROR(VLOOKUP(C21,'Link trỏ về từng trang đích'!$B$2:$D$76,3,0),"")</f>
        <v>30</v>
      </c>
      <c r="F21" s="13" t="str">
        <f t="shared" si="1"/>
        <v>Đủ link</v>
      </c>
      <c r="G21" s="13" t="str">
        <f>IF(IFERROR(VLOOKUP(C21,'Inlink đã chèn'!$B$2:$C$200,2,0),0)&gt;0,"Đã có anchor text trỏ về","Chưa có anchor text trỏ về")</f>
        <v>Chưa có anchor text trỏ về</v>
      </c>
      <c r="H21" s="13" t="str">
        <f>IFERROR(__xludf.DUMMYFUNCTION("IFERROR(TEXTJOIN("", "",TRUE,UNIQUE(FILTER('Kế hoạch chèn link (mới)'!$D$3:$D$2944,'Kế hoạch chèn link (mới)'!$B$3:$B$2944=C21))),"""")"),"sao kê tài khoản ngân hàng, cách sao kê tài khoản ngân hàng")</f>
        <v>sao kê tài khoản ngân hàng, cách sao kê tài khoản ngân hàng</v>
      </c>
      <c r="I21" s="13" t="str">
        <f>IFERROR(__xludf.DUMMYFUNCTION("IFERROR(TEXTJOIN(CHAR(10),TRUE,FILTER('Kế hoạch chèn link (mới)'!$F$3:$F$2944,'Kế hoạch chèn link (mới)'!$B$3:$B$2944=C21)),"""")"),"https://techcombank.com/thong-tin/blog/sao-ke-luong
https://techcombank.com/thong-tin/blog/sao-ke-tai-khoan-doanh-nghiep
https://techcombank.com/thong-tin/blog/giai-ngan-la-gi
https://techcombank.com/thong-tin/blog/the-tin-dung-quoc-te
https://techcombank"&amp;".com/thong-tin/blog/han-muc-thau-chi-la-gi
https://techcombank.com/thong-tin/blog/gui-tien-ngan-hang-co-an-toan-khong
https://techcombank.com/thong-tin/blog/vay-the-chap-qua-luong
https://techcombank.com/thong-tin/blog/tien-chuyen-vao-tai-khoan-co-bi-tinh"&amp;"-thue-khong
https://techcombank.com/thong-tin/blog/ghi-chep-chi-tieu
https://techcombank.com/thong-tin/blog/nang-han-muc-tin-dung
https://techcombank.com/thong-tin/blog/the-debit-cho-con
https://techcombank.com/thong-tin/blog/vi-tra-sau
https://techcomban"&amp;"k.com/thong-tin/blog/loi-ich-cua-viec-tiet-kiem-tien
https://techcombank.com/thong-tin/blog/cach-tiet-kiem-tien-hieu-qua-cho-gia-dinh
https://techcombank.com/thong-tin/blog/app-mua-truoc-tra-sau
https://techcombank.com/thong-tin/blog/phan-mem-lap-ke-hoach"&amp;"-tai-chinh-ca-nhan
https://techcombank.com/thong-tin/blog/so-tai-khoan-ngan-hang
https://techcombank.com/thong-tin/blog/the-tin-dung-den
https://techcombank.com/thong-tin/blog/app-quan-ly-chi-tieu
https://techcombank.com/thong-tin/blog/sao-ke-the-tin-dung"&amp;"-la-gi
https://techcombank.com/thong-tin/blog/cashback-the-thanh-toan
https://techcombank.com/thong-tin/blog/cach-tiet-kiem-tien
https://techcombank.com/thong-tin/blog/mo-the-tin-dung-chi-can-cccd
https://techcombank.com/thong-tin/blog/thoi-gian-hoan-tien"&amp;"-the-tin-dung
https://techcombank.com/thong-tin/blog/the-ghi-no-co-rut-tien-duoc-khong
https://techcombank.com/thong-tin/blog/vay-tien-online
https://techcombank.com/thong-tin/blog/the-visa-co-may-loai
https://techcombank.com/thong-tin/blog/cic-la-gi
http"&amp;"s://techcombank.com/thong-tin/blog/6-chiec-lo-tai-chinh-ca-nhan
https://techcombank.com/thong-tin/blog/the-tin-dung-mien-lai-55-ngay")</f>
        <v>https://techcombank.com/thong-tin/blog/sao-ke-luong
https://techcombank.com/thong-tin/blog/sao-ke-tai-khoan-doanh-nghiep
https://techcombank.com/thong-tin/blog/giai-ngan-la-gi
https://techcombank.com/thong-tin/blog/the-tin-dung-quoc-te
https://techcombank.com/thong-tin/blog/han-muc-thau-chi-la-gi
https://techcombank.com/thong-tin/blog/gui-tien-ngan-hang-co-an-toan-khong
https://techcombank.com/thong-tin/blog/vay-the-chap-qua-luong
https://techcombank.com/thong-tin/blog/tien-chuyen-vao-tai-khoan-co-bi-tinh-thue-khong
https://techcombank.com/thong-tin/blog/ghi-chep-chi-tieu
https://techcombank.com/thong-tin/blog/nang-han-muc-tin-dung
https://techcombank.com/thong-tin/blog/the-debit-cho-con
https://techcombank.com/thong-tin/blog/vi-tra-sau
https://techcombank.com/thong-tin/blog/loi-ich-cua-viec-tiet-kiem-tien
https://techcombank.com/thong-tin/blog/cach-tiet-kiem-tien-hieu-qua-cho-gia-dinh
https://techcombank.com/thong-tin/blog/app-mua-truoc-tra-sau
https://techcombank.com/thong-tin/blog/phan-mem-lap-ke-hoach-tai-chinh-ca-nhan
https://techcombank.com/thong-tin/blog/so-tai-khoan-ngan-hang
https://techcombank.com/thong-tin/blog/the-tin-dung-den
https://techcombank.com/thong-tin/blog/app-quan-ly-chi-tieu
https://techcombank.com/thong-tin/blog/sao-ke-the-tin-dung-la-gi
https://techcombank.com/thong-tin/blog/cashback-the-thanh-toan
https://techcombank.com/thong-tin/blog/cach-tiet-kiem-tien
https://techcombank.com/thong-tin/blog/mo-the-tin-dung-chi-can-cccd
https://techcombank.com/thong-tin/blog/thoi-gian-hoan-tien-the-tin-dung
https://techcombank.com/thong-tin/blog/the-ghi-no-co-rut-tien-duoc-khong
https://techcombank.com/thong-tin/blog/vay-tien-online
https://techcombank.com/thong-tin/blog/the-visa-co-may-loai
https://techcombank.com/thong-tin/blog/cic-la-gi
https://techcombank.com/thong-tin/blog/6-chiec-lo-tai-chinh-ca-nhan
https://techcombank.com/thong-tin/blog/the-tin-dung-mien-lai-55-ngay</v>
      </c>
      <c r="J21" s="26" t="s">
        <v>188</v>
      </c>
    </row>
    <row r="22" ht="82.5" customHeight="1">
      <c r="A22" s="12">
        <v>21.0</v>
      </c>
      <c r="B22" s="13" t="s">
        <v>912</v>
      </c>
      <c r="C22" s="13" t="s">
        <v>1304</v>
      </c>
      <c r="D22" s="21">
        <f>COUNTIF('Kế hoạch chèn link (mới)'!$B$3:$B$2944,C22)</f>
        <v>30</v>
      </c>
      <c r="E22" s="21">
        <f>IFERROR(VLOOKUP(C22,'Link trỏ về từng trang đích'!$B$2:$D$76,3,0),"")</f>
        <v>30</v>
      </c>
      <c r="F22" s="13" t="str">
        <f t="shared" si="1"/>
        <v>Đủ link</v>
      </c>
      <c r="G22" s="13" t="str">
        <f>IF(IFERROR(VLOOKUP(C22,'Inlink đã chèn'!$B$2:$C$200,2,0),0)&gt;0,"Đã có anchor text trỏ về","Chưa có anchor text trỏ về")</f>
        <v>Chưa có anchor text trỏ về</v>
      </c>
      <c r="H22" s="13" t="str">
        <f>IFERROR(__xludf.DUMMYFUNCTION("IFERROR(TEXTJOIN("", "",TRUE,UNIQUE(FILTER('Kế hoạch chèn link (mới)'!$D$3:$D$2944,'Kế hoạch chèn link (mới)'!$B$3:$B$2944=C22))),"""")"),"dãy số phát tài phát lộc, số tài khoản phát tài phát lộc")</f>
        <v>dãy số phát tài phát lộc, số tài khoản phát tài phát lộc</v>
      </c>
      <c r="I22" s="13" t="str">
        <f>IFERROR(__xludf.DUMMYFUNCTION("IFERROR(TEXTJOIN(CHAR(10),TRUE,FILTER('Kế hoạch chèn link (mới)'!$F$3:$F$2944,'Kế hoạch chèn link (mới)'!$B$3:$B$2944=C22)),"""")"),"https://techcombank.com/thong-tin/blog/so-tai-khoan-dep
https://techcombank.com/thong-tin/blog/88-la-gi
https://techcombank.com/thong-tin/blog/so-6868
https://techcombank.com/thong-tin/blog/cach-chon-so-tai-khoan-dep
https://techcombank.com/thong-tin/blog"&amp;"/li-xi-so-dep
https://techcombank.com/thong-tin/blog/8868
https://techcombank.com/thong-tin/blog/66666-co-y-nghia-gi
https://techcombank.com/thong-tin/blog/so-8386
https://techcombank.com/thong-tin/blog/y-nghia-so-68
https://techcombank.com/thong-tin/blog"&amp;"/99999-co-y-nghia-gi
https://techcombank.com/thong-tin/blog/so-the-visa-hop-le
https://techcombank.com/thong-tin/blog/co-nen-mua-so-tai-khoan-ngan-hang-dep
https://techcombank.com/thong-tin/blog/li-xi-tet
https://techcombank.com/thong-tin/blog/vi-du-ve-ca"&amp;"-nhan-hoa
https://techcombank.com/thong-tin/blog/cach-chuyen-tien
https://techcombank.com/thong-tin/blog/the-ghi-no-co-chuyen-khoan-duoc-khong
https://techcombank.com/thong-tin/blog/nen-mo-tai-khoan-ngan-hang-nao-cho-doanh-nghiep
https://techcombank.com/t"&amp;"hong-tin/blog/mo-tai-khoan-doanh-nghiep
https://techcombank.com/thong-tin/blog/tin-dung-tieu-dung
https://techcombank.com/thong-tin/blog/tai-khoan-doanh-nghiep-co-the-khong
https://techcombank.com/thong-tin/blog/chi-phi-mo-tai-khoan-ngan-hang-cho-cong-ty
"&amp;"https://techcombank.com/thong-tin/blog/mo-them-tai-khoan-ngan-hang-cho-cong-ty
https://techcombank.com/thong-tin/blog/chuyen-khoan-lien-ngan-hang
https://techcombank.com/thong-tin/blog/cach-kiem-tra-tai-khoan-ngan-hang
https://techcombank.com/thong-tin/bl"&amp;"og/ngan-hang-so-cho-doanh-nghiep
https://techcombank.com/thong-tin/blog/mo-tai-khoan-ho-kinh-doanh
https://techcombank.com/thong-tin/blog/cach-tinh-thue-thu-nhap-doanh-nghiep
https://techcombank.com/thong-tin/blog/nop-thue-hai-quan
https://techcombank.com"&amp;"/thong-tin/blog/tai-khoan-ngan-hang-bi-khoa
https://techcombank.com/thong-tin/blog/thue-thu-nhap-doanh-nghiep")</f>
        <v>https://techcombank.com/thong-tin/blog/so-tai-khoan-dep
https://techcombank.com/thong-tin/blog/88-la-gi
https://techcombank.com/thong-tin/blog/so-6868
https://techcombank.com/thong-tin/blog/cach-chon-so-tai-khoan-dep
https://techcombank.com/thong-tin/blog/li-xi-so-dep
https://techcombank.com/thong-tin/blog/8868
https://techcombank.com/thong-tin/blog/66666-co-y-nghia-gi
https://techcombank.com/thong-tin/blog/so-8386
https://techcombank.com/thong-tin/blog/y-nghia-so-68
https://techcombank.com/thong-tin/blog/99999-co-y-nghia-gi
https://techcombank.com/thong-tin/blog/so-the-visa-hop-le
https://techcombank.com/thong-tin/blog/co-nen-mua-so-tai-khoan-ngan-hang-dep
https://techcombank.com/thong-tin/blog/li-xi-tet
https://techcombank.com/thong-tin/blog/vi-du-ve-ca-nhan-hoa
https://techcombank.com/thong-tin/blog/cach-chuyen-tien
https://techcombank.com/thong-tin/blog/the-ghi-no-co-chuyen-khoan-duoc-khong
https://techcombank.com/thong-tin/blog/nen-mo-tai-khoan-ngan-hang-nao-cho-doanh-nghiep
https://techcombank.com/thong-tin/blog/mo-tai-khoan-doanh-nghiep
https://techcombank.com/thong-tin/blog/tin-dung-tieu-dung
https://techcombank.com/thong-tin/blog/tai-khoan-doanh-nghiep-co-the-khong
https://techcombank.com/thong-tin/blog/chi-phi-mo-tai-khoan-ngan-hang-cho-cong-ty
https://techcombank.com/thong-tin/blog/mo-them-tai-khoan-ngan-hang-cho-cong-ty
https://techcombank.com/thong-tin/blog/chuyen-khoan-lien-ngan-hang
https://techcombank.com/thong-tin/blog/cach-kiem-tra-tai-khoan-ngan-hang
https://techcombank.com/thong-tin/blog/ngan-hang-so-cho-doanh-nghiep
https://techcombank.com/thong-tin/blog/mo-tai-khoan-ho-kinh-doanh
https://techcombank.com/thong-tin/blog/cach-tinh-thue-thu-nhap-doanh-nghiep
https://techcombank.com/thong-tin/blog/nop-thue-hai-quan
https://techcombank.com/thong-tin/blog/tai-khoan-ngan-hang-bi-khoa
https://techcombank.com/thong-tin/blog/thue-thu-nhap-doanh-nghiep</v>
      </c>
      <c r="J22" s="26" t="s">
        <v>188</v>
      </c>
    </row>
    <row r="23" ht="82.5" customHeight="1">
      <c r="A23" s="12">
        <v>22.0</v>
      </c>
      <c r="B23" s="13" t="s">
        <v>912</v>
      </c>
      <c r="C23" s="13" t="s">
        <v>403</v>
      </c>
      <c r="D23" s="21">
        <f>COUNTIF('Kế hoạch chèn link (mới)'!$B$3:$B$2944,C23)</f>
        <v>17</v>
      </c>
      <c r="E23" s="21">
        <f>IFERROR(VLOOKUP(C23,'Link trỏ về từng trang đích'!$B$2:$D$76,3,0),"")</f>
        <v>30</v>
      </c>
      <c r="F23" s="13" t="str">
        <f t="shared" si="1"/>
        <v>Thiếu 13 link</v>
      </c>
      <c r="G23" s="13" t="str">
        <f>IF(IFERROR(VLOOKUP(C23,'Inlink đã chèn'!$B$2:$C$200,2,0),0)&gt;0,"Đã có anchor text trỏ về","Chưa có anchor text trỏ về")</f>
        <v>Chưa có anchor text trỏ về</v>
      </c>
      <c r="H23" s="13" t="str">
        <f>IFERROR(__xludf.DUMMYFUNCTION("IFERROR(TEXTJOIN("", "",TRUE,UNIQUE(FILTER('Kế hoạch chèn link (mới)'!$D$3:$D$2944,'Kế hoạch chèn link (mới)'!$B$3:$B$2944=C23))),"""")"),"tra cứu thuế TNCN, kiểm tra thuế thu nhập cá nhân, kiểm tra thuế TNCN online")</f>
        <v>tra cứu thuế TNCN, kiểm tra thuế thu nhập cá nhân, kiểm tra thuế TNCN online</v>
      </c>
      <c r="I23" s="13" t="str">
        <f>IFERROR(__xludf.DUMMYFUNCTION("IFERROR(TEXTJOIN(CHAR(10),TRUE,FILTER('Kế hoạch chèn link (mới)'!$F$3:$F$2944,'Kế hoạch chèn link (mới)'!$B$3:$B$2944=C23)),"""")"),"https://techcombank.com/thong-tin/blog/tra-cuu-no-thue-ca-nhan
https://techcombank.com/thong-tin/blog/dang-ky-ma-so-thue-ca-nhan
https://techcombank.com/thong-tin/blog/lien-ket-tai-khoan-ngan-hang-voi-etax-mobile
https://techcombank.com/thong-tin/blog/hoa"&amp;"n-thue-thu-nhap-ca-nhan
https://techcombank.com/thong-tin/blog/quyet-toan-thue-thu-nhap-ca-nhan
https://techcombank.com/thong-tin/blog/phan-mem-lap-ke-hoach-tai-chinh-ca-nhan
https://techcombank.com/thong-tin/blog/tra-luong-tien-mat
https://techcombank.co"&amp;"m/thong-tin/blog/tra-cuu-ma-so-thue-ho-kinh-doanh
https://techcombank.com/thong-tin/blog/cach-tinh-thue-ho-kinh-doanh-nho-le
https://techcombank.com/thong-tin/blog/ho-kinh-doanh-dong-thue-nhu-nao
https://techcombank.com/thong-tin/blog/thue-thu-nhap-ca-nha"&amp;"n
https://techcombank.com/thong-tin/blog/nop-thue-dat-qua-ngan-hang
https://techcombank.com/thong-tin/blog/thay-doi-dia-chi-ho-kinh-doanh
https://techcombank.com/thong-tin/blog/cach-tra-cuu-hoa-don-dien-tu
https://techcombank.com/thong-tin/blog/thanh-toan"&amp;"-khi-du-lich-thai-lan
https://techcombank.com/thong-tin/blog/cach-tinh-thue-thu-nhap-ca-nhan-2025
https://techcombank.com/thong-tin/blog/tra-cuu-no-thue-hai-quan")</f>
        <v>https://techcombank.com/thong-tin/blog/tra-cuu-no-thue-ca-nhan
https://techcombank.com/thong-tin/blog/dang-ky-ma-so-thue-ca-nhan
https://techcombank.com/thong-tin/blog/lien-ket-tai-khoan-ngan-hang-voi-etax-mobile
https://techcombank.com/thong-tin/blog/hoan-thue-thu-nhap-ca-nhan
https://techcombank.com/thong-tin/blog/quyet-toan-thue-thu-nhap-ca-nhan
https://techcombank.com/thong-tin/blog/phan-mem-lap-ke-hoach-tai-chinh-ca-nhan
https://techcombank.com/thong-tin/blog/tra-luong-tien-mat
https://techcombank.com/thong-tin/blog/tra-cuu-ma-so-thue-ho-kinh-doanh
https://techcombank.com/thong-tin/blog/cach-tinh-thue-ho-kinh-doanh-nho-le
https://techcombank.com/thong-tin/blog/ho-kinh-doanh-dong-thue-nhu-nao
https://techcombank.com/thong-tin/blog/thue-thu-nhap-ca-nhan
https://techcombank.com/thong-tin/blog/nop-thue-dat-qua-ngan-hang
https://techcombank.com/thong-tin/blog/thay-doi-dia-chi-ho-kinh-doanh
https://techcombank.com/thong-tin/blog/cach-tra-cuu-hoa-don-dien-tu
https://techcombank.com/thong-tin/blog/thanh-toan-khi-du-lich-thai-lan
https://techcombank.com/thong-tin/blog/cach-tinh-thue-thu-nhap-ca-nhan-2025
https://techcombank.com/thong-tin/blog/tra-cuu-no-thue-hai-quan</v>
      </c>
      <c r="J23" s="26" t="s">
        <v>188</v>
      </c>
    </row>
    <row r="24" ht="82.5" customHeight="1">
      <c r="A24" s="12">
        <v>23.0</v>
      </c>
      <c r="B24" s="13" t="s">
        <v>912</v>
      </c>
      <c r="C24" s="13" t="s">
        <v>1359</v>
      </c>
      <c r="D24" s="21">
        <f>COUNTIF('Kế hoạch chèn link (mới)'!$B$3:$B$2944,C24)</f>
        <v>30</v>
      </c>
      <c r="E24" s="21">
        <f>IFERROR(VLOOKUP(C24,'Link trỏ về từng trang đích'!$B$2:$D$76,3,0),"")</f>
        <v>30</v>
      </c>
      <c r="F24" s="13" t="str">
        <f t="shared" si="1"/>
        <v>Đủ link</v>
      </c>
      <c r="G24" s="13" t="str">
        <f>IF(IFERROR(VLOOKUP(C24,'Inlink đã chèn'!$B$2:$C$200,2,0),0)&gt;0,"Đã có anchor text trỏ về","Chưa có anchor text trỏ về")</f>
        <v>Chưa có anchor text trỏ về</v>
      </c>
      <c r="H24" s="13" t="str">
        <f>IFERROR(__xludf.DUMMYFUNCTION("IFERROR(TEXTJOIN("", "",TRUE,UNIQUE(FILTER('Kế hoạch chèn link (mới)'!$D$3:$D$2944,'Kế hoạch chèn link (mới)'!$B$3:$B$2944=C24))),"""")"),"tên đăng nhập tài khoản ngân hàng, tên đăng nhập")</f>
        <v>tên đăng nhập tài khoản ngân hàng, tên đăng nhập</v>
      </c>
      <c r="I24" s="13" t="str">
        <f>IFERROR(__xludf.DUMMYFUNCTION("IFERROR(TEXTJOIN(CHAR(10),TRUE,FILTER('Kế hoạch chèn link (mới)'!$F$3:$F$2944,'Kế hoạch chèn link (mới)'!$B$3:$B$2944=C24)),"""")"),"https://techcombank.com/thong-tin/blog/cach-doi-mat-khau-tai-khoan-ngan-hang
https://techcombank.com/thong-tin/blog/cach-bao-ve-tai-khoan
https://techcombank.com/thong-tin/blog/mau-mo-tai-khoan-doanh-nghiep-techcombank
https://techcombank.com/thong-tin/bl"&amp;"og/smart-otp-la-gi
https://techcombank.com/thong-tin/blog/cach-mo-tai-khoan
https://techcombank.com/thong-tin/blog/merchant-portal
https://techcombank.com/thong-tin/blog/softpos
https://techcombank.com/thong-tin/blog/mo-tai-khoan-ngan-hang-bang-so-dien-th"&amp;"oai
https://techcombank.com/thong-tin/blog/cach-sao-ke-tai-khoan-ngan-hang
https://techcombank.com/thong-tin/blog/ekyc-la-gi
https://techcombank.com/thong-tin/blog/ma-qr-lam-gia-duoc-khong
https://techcombank.com/thong-tin/blog/mat-so-dien-thoai-dang-ky-t"&amp;"ai-khoan-ngan-hang
https://techcombank.com/thong-tin/blog/cach-kiem-tra-tai-khoan-ngan-hang-cua-cong-ty
https://techcombank.com/thong-tin/blog/lo-so-tai-khoan-ngan-hang-co-sao-khong
https://techcombank.com/thong-tin/blog/lo-ma-qr-ngan-hang-co-sao-khong
ht"&amp;"tps://techcombank.com/thong-tin/blog/mobile-banking-la-gi
https://techcombank.com/thong-tin/blog/rui-ro-khi-gui-tiet-kiem-ngan-hang
https://techcombank.com/thong-tin/blog/cach-kich-hoat-the-atm
https://techcombank.com/thong-tin/blog/gui-ma-qr-ngan-hang
ht"&amp;"tps://techcombank.com/thong-tin/blog/thanh-toan-ve-may-bay-online
https://techcombank.com/thong-tin/blog/ma-otp-la-gi
https://techcombank.com/thong-tin/blog/cach-khoa-the-ngan-hang
https://techcombank.com/thong-tin/blog/thanh-toan-tien-nuoc-online
https:/"&amp;"/techcombank.com/thong-tin/blog/thanh-toan-tra-sau-viettel-bang-tai-khoan-ngan-hang
https://techcombank.com/thong-tin/blog/thanh-toan-hoa-don-tieu-dung
https://techcombank.com/thong-tin/blog/cach-lam-the-atm
https://techcombank.com/thong-tin/blog/ngan-han"&amp;"g-thu-huong-la-gi
https://techcombank.com/thong-tin/blog/cach-gui-tiet-kiem-online
https://techcombank.com/thong-tin/blog/cach-nap-tien-vao-the-ghi-no
https://techcombank.com/thong-tin/blog/tai-khoan-ngan-hang-bi-khoa")</f>
        <v>https://techcombank.com/thong-tin/blog/cach-doi-mat-khau-tai-khoan-ngan-hang
https://techcombank.com/thong-tin/blog/cach-bao-ve-tai-khoan
https://techcombank.com/thong-tin/blog/mau-mo-tai-khoan-doanh-nghiep-techcombank
https://techcombank.com/thong-tin/blog/smart-otp-la-gi
https://techcombank.com/thong-tin/blog/cach-mo-tai-khoan
https://techcombank.com/thong-tin/blog/merchant-portal
https://techcombank.com/thong-tin/blog/softpos
https://techcombank.com/thong-tin/blog/mo-tai-khoan-ngan-hang-bang-so-dien-thoai
https://techcombank.com/thong-tin/blog/cach-sao-ke-tai-khoan-ngan-hang
https://techcombank.com/thong-tin/blog/ekyc-la-gi
https://techcombank.com/thong-tin/blog/ma-qr-lam-gia-duoc-khong
https://techcombank.com/thong-tin/blog/mat-so-dien-thoai-dang-ky-tai-khoan-ngan-hang
https://techcombank.com/thong-tin/blog/cach-kiem-tra-tai-khoan-ngan-hang-cua-cong-ty
https://techcombank.com/thong-tin/blog/lo-so-tai-khoan-ngan-hang-co-sao-khong
https://techcombank.com/thong-tin/blog/lo-ma-qr-ngan-hang-co-sao-khong
https://techcombank.com/thong-tin/blog/mobile-banking-la-gi
https://techcombank.com/thong-tin/blog/rui-ro-khi-gui-tiet-kiem-ngan-hang
https://techcombank.com/thong-tin/blog/cach-kich-hoat-the-atm
https://techcombank.com/thong-tin/blog/gui-ma-qr-ngan-hang
https://techcombank.com/thong-tin/blog/thanh-toan-ve-may-bay-online
https://techcombank.com/thong-tin/blog/ma-otp-la-gi
https://techcombank.com/thong-tin/blog/cach-khoa-the-ngan-hang
https://techcombank.com/thong-tin/blog/thanh-toan-tien-nuoc-online
https://techcombank.com/thong-tin/blog/thanh-toan-tra-sau-viettel-bang-tai-khoan-ngan-hang
https://techcombank.com/thong-tin/blog/thanh-toan-hoa-don-tieu-dung
https://techcombank.com/thong-tin/blog/cach-lam-the-atm
https://techcombank.com/thong-tin/blog/ngan-hang-thu-huong-la-gi
https://techcombank.com/thong-tin/blog/cach-gui-tiet-kiem-online
https://techcombank.com/thong-tin/blog/cach-nap-tien-vao-the-ghi-no
https://techcombank.com/thong-tin/blog/tai-khoan-ngan-hang-bi-khoa</v>
      </c>
      <c r="J24" s="26" t="s">
        <v>188</v>
      </c>
    </row>
    <row r="25" ht="82.5" customHeight="1">
      <c r="A25" s="12">
        <v>24.0</v>
      </c>
      <c r="B25" s="13" t="s">
        <v>912</v>
      </c>
      <c r="C25" s="13" t="s">
        <v>551</v>
      </c>
      <c r="D25" s="21">
        <f>COUNTIF('Kế hoạch chèn link (mới)'!$B$3:$B$2944,C25)</f>
        <v>30</v>
      </c>
      <c r="E25" s="21">
        <f>IFERROR(VLOOKUP(C25,'Link trỏ về từng trang đích'!$B$2:$D$76,3,0),"")</f>
        <v>30</v>
      </c>
      <c r="F25" s="13" t="str">
        <f t="shared" si="1"/>
        <v>Đủ link</v>
      </c>
      <c r="G25" s="13" t="str">
        <f>IF(IFERROR(VLOOKUP(C25,'Inlink đã chèn'!$B$2:$C$200,2,0),0)&gt;0,"Đã có anchor text trỏ về","Chưa có anchor text trỏ về")</f>
        <v>Chưa có anchor text trỏ về</v>
      </c>
      <c r="H25" s="13" t="str">
        <f>IFERROR(__xludf.DUMMYFUNCTION("IFERROR(TEXTJOIN("", "",TRUE,UNIQUE(FILTER('Kế hoạch chèn link (mới)'!$D$3:$D$2944,'Kế hoạch chèn link (mới)'!$B$3:$B$2944=C25))),"""")"),"thuế thu nhập cá nhân, thuế TNCN, mức đóng thuế thu nhập cá nhân")</f>
        <v>thuế thu nhập cá nhân, thuế TNCN, mức đóng thuế thu nhập cá nhân</v>
      </c>
      <c r="I25" s="13" t="str">
        <f>IFERROR(__xludf.DUMMYFUNCTION("IFERROR(TEXTJOIN(CHAR(10),TRUE,FILTER('Kế hoạch chèn link (mới)'!$F$3:$F$2944,'Kế hoạch chèn link (mới)'!$B$3:$B$2944=C25)),"""")"),"https://techcombank.com/thong-tin/blog/tien-chuyen-vao-tai-khoan-co-bi-tinh-thue-khong
https://techcombank.com/thong-tin/blog/kinh-nghiem-chuyen-doi-tu-ho-kinh-doanh-len-doanh-nghiep
https://techcombank.com/thong-tin/blog/thue-khoan-ho-kinh-doanh-la-gi
ht"&amp;"tps://techcombank.com/thong-tin/blog/hieu-hiet-ve-tuan-thu-thue-cho-cac-doanh-nghiep-khoi-nghiep
https://techcombank.com/thong-tin/blog/gia-chung-chi-quy-la-gi
https://techcombank.com/thong-tin/blog/kieu-hoi-la-gi
https://techcombank.com/thong-tin/blog/ca"&amp;"ch-nhan-tien-tu-nuoc-ngoai-ve-viet-nam
https://techcombank.com/thong-tin/blog/chuyen-nhuong-chung-chi-tien-gui
https://techcombank.com/thong-tin/blog/dau-tu-quy-mo
https://techcombank.com/thong-tin/blog/tra-cuu-no-thue-ca-nhan
https://techcombank.com/thon"&amp;"g-tin/blog/thue-ho-kinh-doanh-2025
https://techcombank.com/thong-tin/blog/khoi-nghiep-truoc-chinh-sach-thue-moi
https://techcombank.com/thong-tin/blog/sao-ke-luong
https://techcombank.com/thong-tin/blog/cach-nop-thue-dien-tu
https://techcombank.com/thong-"&amp;"tin/blog/giai-dap-ve-thue-doanh-nghiep
https://techcombank.com/thong-tin/blog/chuyen-doi-ho-kinh-doanh-len-doanh-nghiep
https://techcombank.com/thong-tin/blog/cach-tinh-thue-ho-kinh-doanh-nho-le
https://techcombank.com/thong-tin/blog/nhung-ho-kinh-doanh-d"&amp;"uoc-mien-thue
https://techcombank.com/thong-tin/blog/app-tra-luong
https://techcombank.com/thong-tin/blog/ke-khai-thue-doanh-nghiep
https://techcombank.com/thong-tin/blog/chinh-sach-tang-luong-huu
https://techcombank.com/thong-tin/blog/hoc-cach-tiet-kiem-"&amp;"tien-luong
https://techcombank.com/thong-tin/blog/tra-cuu-no-thue-doanh-nghiep
https://techcombank.com/thong-tin/blog/may-tinh-tien
https://techcombank.com/thong-tin/blog/thue-thuong-mai-dien-tu
https://techcombank.com/thong-tin/blog/ke-khai-thue-ho-kinh-"&amp;"doanh-ca-the-online
https://techcombank.com/thong-tin/blog/hoan-thue-thu-nhap-ca-nhan
https://techcombank.com/thong-tin/blog/cach-tinh-thue-thu-nhap-ca-nhan-2025
https://techcombank.com/thong-tin/blog/quyet-toan-thue-thu-nhap-ca-nhan
https://techcombank.c"&amp;"om/thong-tin/blog/dang-ky-ma-so-thue-ca-nhan")</f>
        <v>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https://techcombank.com/thong-tin/blog/kieu-hoi-la-gi
https://techcombank.com/thong-tin/blog/cach-nhan-tien-tu-nuoc-ngoai-ve-viet-nam
https://techcombank.com/thong-tin/blog/chuyen-nhuong-chung-chi-tien-gui
https://techcombank.com/thong-tin/blog/dau-tu-quy-mo
https://techcombank.com/thong-tin/blog/tra-cuu-no-thue-ca-nhan
https://techcombank.com/thong-tin/blog/thue-ho-kinh-doanh-2025
https://techcombank.com/thong-tin/blog/khoi-nghiep-truoc-chinh-sach-thue-moi
https://techcombank.com/thong-tin/blog/sao-ke-luong
https://techcombank.com/thong-tin/blog/cach-nop-thue-dien-tu
https://techcombank.com/thong-tin/blog/giai-dap-ve-thue-doanh-nghiep
https://techcombank.com/thong-tin/blog/chuyen-doi-ho-kinh-doanh-len-doanh-nghiep
https://techcombank.com/thong-tin/blog/cach-tinh-thue-ho-kinh-doanh-nho-le
https://techcombank.com/thong-tin/blog/nhung-ho-kinh-doanh-duoc-mien-thue
https://techcombank.com/thong-tin/blog/app-tra-luong
https://techcombank.com/thong-tin/blog/ke-khai-thue-doanh-nghiep
https://techcombank.com/thong-tin/blog/chinh-sach-tang-luong-huu
https://techcombank.com/thong-tin/blog/hoc-cach-tiet-kiem-tien-luong
https://techcombank.com/thong-tin/blog/tra-cuu-no-thue-doanh-nghiep
https://techcombank.com/thong-tin/blog/may-tinh-tien
https://techcombank.com/thong-tin/blog/thue-thuong-mai-dien-tu
https://techcombank.com/thong-tin/blog/ke-khai-thue-ho-kinh-doanh-ca-the-online
https://techcombank.com/thong-tin/blog/hoan-thue-thu-nhap-ca-nhan
https://techcombank.com/thong-tin/blog/cach-tinh-thue-thu-nhap-ca-nhan-2025
https://techcombank.com/thong-tin/blog/quyet-toan-thue-thu-nhap-ca-nhan
https://techcombank.com/thong-tin/blog/dang-ky-ma-so-thue-ca-nhan</v>
      </c>
      <c r="J25" s="26" t="s">
        <v>188</v>
      </c>
    </row>
    <row r="26" ht="82.5" customHeight="1">
      <c r="A26" s="12">
        <v>25.0</v>
      </c>
      <c r="B26" s="13" t="s">
        <v>912</v>
      </c>
      <c r="C26" s="13" t="s">
        <v>1079</v>
      </c>
      <c r="D26" s="21">
        <f>COUNTIF('Kế hoạch chèn link (mới)'!$B$3:$B$2944,C26)</f>
        <v>30</v>
      </c>
      <c r="E26" s="21">
        <f>IFERROR(VLOOKUP(C26,'Link trỏ về từng trang đích'!$B$2:$D$76,3,0),"")</f>
        <v>30</v>
      </c>
      <c r="F26" s="13" t="str">
        <f t="shared" si="1"/>
        <v>Đủ link</v>
      </c>
      <c r="G26" s="13" t="str">
        <f>IF(IFERROR(VLOOKUP(C26,'Inlink đã chèn'!$B$2:$C$200,2,0),0)&gt;0,"Đã có anchor text trỏ về","Chưa có anchor text trỏ về")</f>
        <v>Chưa có anchor text trỏ về</v>
      </c>
      <c r="H26" s="13" t="str">
        <f>IFERROR(__xludf.DUMMYFUNCTION("IFERROR(TEXTJOIN("", "",TRUE,UNIQUE(FILTER('Kế hoạch chèn link (mới)'!$D$3:$D$2944,'Kế hoạch chèn link (mới)'!$B$3:$B$2944=C26))),"""")"),"rút tiền không cần thẻ, rút tiền bằng mã QR, cách rút tiền bằng mã QR")</f>
        <v>rút tiền không cần thẻ, rút tiền bằng mã QR, cách rút tiền bằng mã QR</v>
      </c>
      <c r="I26" s="13" t="str">
        <f>IFERROR(__xludf.DUMMYFUNCTION("IFERROR(TEXTJOIN(CHAR(10),TRUE,FILTER('Kế hoạch chèn link (mới)'!$F$3:$F$2944,'Kế hoạch chèn link (mới)'!$B$3:$B$2944=C26)),"""")"),"https://techcombank.com/thong-tin/blog/the-atm-khong-rut-duoc-tien
https://techcombank.com/thong-tin/blog/thue-ho-kinh-doanh-2025
https://techcombank.com/thong-tin/blog/app-ngan-hang-uy-tin
https://techcombank.com/thong-tin/blog/cach-su-dung-the-ghi-no
ht"&amp;"tps://techcombank.com/thong-tin/blog/the-ghi-no-co-rut-tien-duoc-khong
https://techcombank.com/thong-tin/blog/cach-kich-hoat-the-atm
https://techcombank.com/thong-tin/blog/so-tai-khoan-ngan-hang
https://techcombank.com/thong-tin/blog/cac-loai-the-ngan-han"&amp;"g
https://techcombank.com/thong-tin/blog/lam-the-visa-online
https://techcombank.com/thong-tin/blog/quet-ma-qr-techcombank
https://techcombank.com/thong-tin/blog/gui-ma-qr-ngan-hang
https://techcombank.com/thong-tin/blog/cach-tao-ma-qr
https://techcombank"&amp;".com/thong-tin/blog/ma-qr-ngan-hang-khong-hop-le
https://techcombank.com/thong-tin/blog/ma-qr-lam-gia-duoc-khong
https://techcombank.com/thong-tin/blog/ma-qr-techcombank
https://techcombank.com/thong-tin/blog/thanh-toan-bang-ma-qr
https://techcombank.com/"&amp;"thong-tin/blog/lam-ma-qr-ngan-hang-co-mat-phi-khong
https://techcombank.com/thong-tin/blog/cach-tao-ma-qr-code-mien-phi
https://techcombank.com/thong-tin/blog/tao-ma-qr-thanh-toan-cho-cua-hang
https://techcombank.com/thong-tin/blog/pos
https://techcombank"&amp;".com/thong-tin/blog/qr-code-doanh-nghiep
https://techcombank.com/thong-tin/blog/qr-dong
https://techcombank.com/thong-tin/blog/thanh-toan-ma-qr-tro-thanh-phuong-thuc-duoc-ua-chuong-va-trien-khai-manh-me
https://techcombank.com/thong-tin/blog/softpos
https"&amp;"://techcombank.com/thong-tin/blog/rut-tien-mat-tu-tai-khoan-doanh-nghiep
https://techcombank.com/thong-tin/blog/in-ma-qr-ngan-hang
https://techcombank.com/thong-tin/blog/mm-yy-la-gi
https://techcombank.com/thong-tin/blog/cdm
https://techcombank.com/thong-"&amp;"tin/blog/lam-the-atm-co-mat-phi-khong
https://techcombank.com/thong-tin/blog/tra-cuu-han-muc-the-tin-dung")</f>
        <v>https://techcombank.com/thong-tin/blog/the-atm-khong-rut-duoc-tien
https://techcombank.com/thong-tin/blog/thue-ho-kinh-doanh-2025
https://techcombank.com/thong-tin/blog/app-ngan-hang-uy-tin
https://techcombank.com/thong-tin/blog/cach-su-dung-the-ghi-no
https://techcombank.com/thong-tin/blog/the-ghi-no-co-rut-tien-duoc-khong
https://techcombank.com/thong-tin/blog/cach-kich-hoat-the-atm
https://techcombank.com/thong-tin/blog/so-tai-khoan-ngan-hang
https://techcombank.com/thong-tin/blog/cac-loai-the-ngan-hang
https://techcombank.com/thong-tin/blog/lam-the-visa-online
https://techcombank.com/thong-tin/blog/quet-ma-qr-techcombank
https://techcombank.com/thong-tin/blog/gui-ma-qr-ngan-hang
https://techcombank.com/thong-tin/blog/cach-tao-ma-qr
https://techcombank.com/thong-tin/blog/ma-qr-ngan-hang-khong-hop-le
https://techcombank.com/thong-tin/blog/ma-qr-lam-gia-duoc-khong
https://techcombank.com/thong-tin/blog/ma-qr-techcombank
https://techcombank.com/thong-tin/blog/thanh-toan-bang-ma-qr
https://techcombank.com/thong-tin/blog/lam-ma-qr-ngan-hang-co-mat-phi-khong
https://techcombank.com/thong-tin/blog/cach-tao-ma-qr-code-mien-phi
https://techcombank.com/thong-tin/blog/tao-ma-qr-thanh-toan-cho-cua-hang
https://techcombank.com/thong-tin/blog/pos
https://techcombank.com/thong-tin/blog/qr-code-doanh-nghiep
https://techcombank.com/thong-tin/blog/qr-dong
https://techcombank.com/thong-tin/blog/thanh-toan-ma-qr-tro-thanh-phuong-thuc-duoc-ua-chuong-va-trien-khai-manh-me
https://techcombank.com/thong-tin/blog/softpos
https://techcombank.com/thong-tin/blog/rut-tien-mat-tu-tai-khoan-doanh-nghiep
https://techcombank.com/thong-tin/blog/in-ma-qr-ngan-hang
https://techcombank.com/thong-tin/blog/mm-yy-la-gi
https://techcombank.com/thong-tin/blog/cdm
https://techcombank.com/thong-tin/blog/lam-the-atm-co-mat-phi-khong
https://techcombank.com/thong-tin/blog/tra-cuu-han-muc-the-tin-dung</v>
      </c>
      <c r="J26" s="26" t="s">
        <v>188</v>
      </c>
    </row>
    <row r="27" ht="82.5" customHeight="1">
      <c r="A27" s="12">
        <v>26.0</v>
      </c>
      <c r="B27" s="13" t="s">
        <v>912</v>
      </c>
      <c r="C27" s="13" t="s">
        <v>1314</v>
      </c>
      <c r="D27" s="21">
        <f>COUNTIF('Kế hoạch chèn link (mới)'!$B$3:$B$2944,C27)</f>
        <v>30</v>
      </c>
      <c r="E27" s="21">
        <f>IFERROR(VLOOKUP(C27,'Link trỏ về từng trang đích'!$B$2:$D$76,3,0),"")</f>
        <v>30</v>
      </c>
      <c r="F27" s="13" t="str">
        <f t="shared" si="1"/>
        <v>Đủ link</v>
      </c>
      <c r="G27" s="13" t="str">
        <f>IF(IFERROR(VLOOKUP(C27,'Inlink đã chèn'!$B$2:$C$200,2,0),0)&gt;0,"Đã có anchor text trỏ về","Chưa có anchor text trỏ về")</f>
        <v>Chưa có anchor text trỏ về</v>
      </c>
      <c r="H27" s="13" t="str">
        <f>IFERROR(__xludf.DUMMYFUNCTION("IFERROR(TEXTJOIN("", "",TRUE,UNIQUE(FILTER('Kế hoạch chèn link (mới)'!$D$3:$D$2944,'Kế hoạch chèn link (mới)'!$B$3:$B$2944=C27))),"""")"),"cách quét NFC căn cước, quét NFC CCCD, quét NFC CCCD trên iPhone")</f>
        <v>cách quét NFC căn cước, quét NFC CCCD, quét NFC CCCD trên iPhone</v>
      </c>
      <c r="I27" s="13" t="str">
        <f>IFERROR(__xludf.DUMMYFUNCTION("IFERROR(TEXTJOIN(CHAR(10),TRUE,FILTER('Kế hoạch chèn link (mới)'!$F$3:$F$2944,'Kế hoạch chèn link (mới)'!$B$3:$B$2944=C27)),"""")"),"https://techcombank.com/thong-tin/blog/cach-dang-ky-dinh-danh-muc-2
https://techcombank.com/thong-tin/blog/xac-thuc-sinh-trac-hoc-khi-chuyen-tien
https://techcombank.com/thong-tin/blog/ekyc-la-gi
https://techcombank.com/thong-tin/blog/mo-tai-khoan-ngan-ha"&amp;"ng-bang-so-dien-thoai
https://techcombank.com/thong-tin/blog/the-mastercard-la-gi
https://techcombank.com/thong-tin/blog/cach-khoa-the-ngan-hang
https://techcombank.com/thong-tin/blog/app-vay-tien-nhanh
https://techcombank.com/thong-tin/blog/cach-chon-so-"&amp;"tai-khoan-dep
https://techcombank.com/thong-tin/blog/bao-nhieu-tuoi-duoc-mo-tai-khoan-ngan-hang
https://techcombank.com/thong-tin/blog/lam-the-thanh-toan-quoc-te
https://techcombank.com/thong-tin/blog/phong-cho-san-bay-noi-bai
https://techcombank.com/thon"&amp;"g-tin/blog/sang-ngang-the-tin-dung
https://techcombank.com/thong-tin/blog/bib-techcombank
https://techcombank.com/thong-tin/blog/mo-tai-khoan-ngan-hang-online-co-an-toan-khong
https://techcombank.com/thong-tin/blog/cach-mo-tai-khoan
https://techcombank.co"&amp;"m/thong-tin/blog/spaylater
https://techcombank.com/thong-tin/blog/thanh-toan-khong-cham-tuong-lai-cua-thanh-toan-so-tai-viet-nam
https://techcombank.com/thong-tin/blog/the-debit
https://techcombank.com/thong-tin/blog/mo-tai-khoan-ngan-hang-cho-tre-em
http"&amp;"s://techcombank.com/thong-tin/blog/viet-kieu-co-mo-duoc-tai-khoan-ngan-hang-khong
https://techcombank.com/thong-tin/blog/vay-ngan-hang-chi-can-cccd
https://techcombank.com/thong-tin/blog/chuyen-doi-so-ho-kinh-doanh
https://techcombank.com/thong-tin/blog/m"&amp;"a-pin-the-atm
https://techcombank.com/thong-tin/blog/mua-ve-xem-phim
https://techcombank.com/thong-tin/blog/cach-lien-ket-tai-khoan-ngan-hang-voi-vneid
https://techcombank.com/thong-tin/blog/smart-otp-la-gi
https://techcombank.com/thong-tin/blog/cach-dang"&amp;"-ky-the-visa
https://techcombank.com/thong-tin/blog/lam-the-visa-online
https://techcombank.com/thong-tin/blog/phong-cho-san-bay-tan-son-nhat
https://techcombank.com/thong-tin/blog/the-atm-gan-chip")</f>
        <v>https://techcombank.com/thong-tin/blog/cach-dang-ky-dinh-danh-muc-2
https://techcombank.com/thong-tin/blog/xac-thuc-sinh-trac-hoc-khi-chuyen-tien
https://techcombank.com/thong-tin/blog/ekyc-la-gi
https://techcombank.com/thong-tin/blog/mo-tai-khoan-ngan-hang-bang-so-dien-thoai
https://techcombank.com/thong-tin/blog/the-mastercard-la-gi
https://techcombank.com/thong-tin/blog/cach-khoa-the-ngan-hang
https://techcombank.com/thong-tin/blog/app-vay-tien-nhanh
https://techcombank.com/thong-tin/blog/cach-chon-so-tai-khoan-dep
https://techcombank.com/thong-tin/blog/bao-nhieu-tuoi-duoc-mo-tai-khoan-ngan-hang
https://techcombank.com/thong-tin/blog/lam-the-thanh-toan-quoc-te
https://techcombank.com/thong-tin/blog/phong-cho-san-bay-noi-bai
https://techcombank.com/thong-tin/blog/sang-ngang-the-tin-dung
https://techcombank.com/thong-tin/blog/bib-techcombank
https://techcombank.com/thong-tin/blog/mo-tai-khoan-ngan-hang-online-co-an-toan-khong
https://techcombank.com/thong-tin/blog/cach-mo-tai-khoan
https://techcombank.com/thong-tin/blog/spaylater
https://techcombank.com/thong-tin/blog/thanh-toan-khong-cham-tuong-lai-cua-thanh-toan-so-tai-viet-nam
https://techcombank.com/thong-tin/blog/the-debit
https://techcombank.com/thong-tin/blog/mo-tai-khoan-ngan-hang-cho-tre-em
https://techcombank.com/thong-tin/blog/viet-kieu-co-mo-duoc-tai-khoan-ngan-hang-khong
https://techcombank.com/thong-tin/blog/vay-ngan-hang-chi-can-cccd
https://techcombank.com/thong-tin/blog/chuyen-doi-so-ho-kinh-doanh
https://techcombank.com/thong-tin/blog/ma-pin-the-atm
https://techcombank.com/thong-tin/blog/mua-ve-xem-phim
https://techcombank.com/thong-tin/blog/cach-lien-ket-tai-khoan-ngan-hang-voi-vneid
https://techcombank.com/thong-tin/blog/smart-otp-la-gi
https://techcombank.com/thong-tin/blog/cach-dang-ky-the-visa
https://techcombank.com/thong-tin/blog/lam-the-visa-online
https://techcombank.com/thong-tin/blog/phong-cho-san-bay-tan-son-nhat
https://techcombank.com/thong-tin/blog/the-atm-gan-chip</v>
      </c>
      <c r="J27" s="26" t="s">
        <v>188</v>
      </c>
    </row>
    <row r="28" ht="82.5" customHeight="1">
      <c r="A28" s="12">
        <v>27.0</v>
      </c>
      <c r="B28" s="13" t="s">
        <v>912</v>
      </c>
      <c r="C28" s="13" t="s">
        <v>1369</v>
      </c>
      <c r="D28" s="21">
        <f>COUNTIF('Kế hoạch chèn link (mới)'!$B$3:$B$2944,C28)</f>
        <v>30</v>
      </c>
      <c r="E28" s="21">
        <f>IFERROR(VLOOKUP(C28,'Link trỏ về từng trang đích'!$B$2:$D$76,3,0),"")</f>
        <v>30</v>
      </c>
      <c r="F28" s="13" t="str">
        <f t="shared" si="1"/>
        <v>Đủ link</v>
      </c>
      <c r="G28" s="13" t="str">
        <f>IF(IFERROR(VLOOKUP(C28,'Inlink đã chèn'!$B$2:$C$200,2,0),0)&gt;0,"Đã có anchor text trỏ về","Chưa có anchor text trỏ về")</f>
        <v>Chưa có anchor text trỏ về</v>
      </c>
      <c r="H28" s="13" t="str">
        <f>IFERROR(__xludf.DUMMYFUNCTION("IFERROR(TEXTJOIN("", "",TRUE,UNIQUE(FILTER('Kế hoạch chèn link (mới)'!$D$3:$D$2944,'Kế hoạch chèn link (mới)'!$B$3:$B$2944=C28))),"""")"),"eco card, Techcombank Eco, thẻ Eco")</f>
        <v>eco card, Techcombank Eco, thẻ Eco</v>
      </c>
      <c r="I28" s="13" t="str">
        <f>IFERROR(__xludf.DUMMYFUNCTION("IFERROR(TEXTJOIN(CHAR(10),TRUE,FILTER('Kế hoạch chèn link (mới)'!$F$3:$F$2944,'Kế hoạch chèn link (mới)'!$B$3:$B$2944=C28)),"""")"),"https://techcombank.com/thong-tin/blog/san-pham-xanh
https://techcombank.com/thong-tin/blog/dau-chan-carbon
https://techcombank.com/thong-tin/blog/phi-rut-tien-mat-the-tin-dung
https://techcombank.com/thong-tin/blog/qr-code-doanh-nghiep
https://techcomban"&amp;"k.com/thong-tin/blog/han-muc-thau-chi-la-gi
https://techcombank.com/thong-tin/blog/rut-tien-tiet-kiem-truoc-thoi-han
https://techcombank.com/thong-tin/blog/the-tin-dung-mien-phi-thuong-nien
https://techcombank.com/thong-tin/blog/voucher-starbucks
https://"&amp;"techcombank.com/thong-tin/blog/esg
https://techcombank.com/thong-tin/blog/the-tin-dung-techcombank-visa-eco
https://techcombank.com/thong-tin/blog/lam-the-visa-o-dau
https://techcombank.com/thong-tin/blog/lam-the-atm-bao-lau-co
https://techcombank.com/tho"&amp;"ng-tin/blog/lam-the-atm-co-mat-phi-khong
https://techcombank.com/thong-tin/blog/lam-the-thanh-toan-quoc-te
https://techcombank.com/thong-tin/blog/the-ghi-no-la-gi
https://techcombank.com/thong-tin/blog/the-tin-dung-nao-nhieu-uu-dai-nhat
https://techcomban"&amp;"k.com/thong-tin/blog/mr-eco
https://techcombank.com/thong-tin/blog/tra-gop-hoc-phi
https://techcombank.com/thong-tin/blog/uu-dai-the-tin-dung
https://techcombank.com/thong-tin/blog/cac-loai-the-tin-dung
https://techcombank.com/thong-tin/blog/oneu
https://"&amp;"techcombank.com/thong-tin/blog/cach-lam-the-atm
https://techcombank.com/thong-tin/blog/mo-the-ghi-no
https://techcombank.com/thong-tin/blog/tieu-dung-ben-vung
https://techcombank.com/thong-tin/blog/phi-thuong-nien-la-gi
https://techcombank.com/thong-tin/b"&amp;"log/the-tin-dung-quoc-te
https://techcombank.com/thong-tin/blog/the-tin-dung-hoan-tien
https://techcombank.com/thong-tin/blog/xu-huong-tieu-dung
https://techcombank.com/thong-tin/blog/giao-thong-xanh
https://techcombank.com/thong-tin/blog/lam-the-visa-mat"&amp;"-bao-lau")</f>
        <v>https://techcombank.com/thong-tin/blog/san-pham-xanh
https://techcombank.com/thong-tin/blog/dau-chan-carbon
https://techcombank.com/thong-tin/blog/phi-rut-tien-mat-the-tin-dung
https://techcombank.com/thong-tin/blog/qr-code-doanh-nghiep
https://techcombank.com/thong-tin/blog/han-muc-thau-chi-la-gi
https://techcombank.com/thong-tin/blog/rut-tien-tiet-kiem-truoc-thoi-han
https://techcombank.com/thong-tin/blog/the-tin-dung-mien-phi-thuong-nien
https://techcombank.com/thong-tin/blog/voucher-starbucks
https://techcombank.com/thong-tin/blog/esg
https://techcombank.com/thong-tin/blog/the-tin-dung-techcombank-visa-eco
https://techcombank.com/thong-tin/blog/lam-the-visa-o-dau
https://techcombank.com/thong-tin/blog/lam-the-atm-bao-lau-co
https://techcombank.com/thong-tin/blog/lam-the-atm-co-mat-phi-khong
https://techcombank.com/thong-tin/blog/lam-the-thanh-toan-quoc-te
https://techcombank.com/thong-tin/blog/the-ghi-no-la-gi
https://techcombank.com/thong-tin/blog/the-tin-dung-nao-nhieu-uu-dai-nhat
https://techcombank.com/thong-tin/blog/mr-eco
https://techcombank.com/thong-tin/blog/tra-gop-hoc-phi
https://techcombank.com/thong-tin/blog/uu-dai-the-tin-dung
https://techcombank.com/thong-tin/blog/cac-loai-the-tin-dung
https://techcombank.com/thong-tin/blog/oneu
https://techcombank.com/thong-tin/blog/cach-lam-the-atm
https://techcombank.com/thong-tin/blog/mo-the-ghi-no
https://techcombank.com/thong-tin/blog/tieu-dung-ben-vung
https://techcombank.com/thong-tin/blog/phi-thuong-nien-la-gi
https://techcombank.com/thong-tin/blog/the-tin-dung-quoc-te
https://techcombank.com/thong-tin/blog/the-tin-dung-hoan-tien
https://techcombank.com/thong-tin/blog/xu-huong-tieu-dung
https://techcombank.com/thong-tin/blog/giao-thong-xanh
https://techcombank.com/thong-tin/blog/lam-the-visa-mat-bao-lau</v>
      </c>
      <c r="J28" s="26" t="s">
        <v>188</v>
      </c>
    </row>
    <row r="29" ht="82.5" customHeight="1">
      <c r="A29" s="12">
        <v>28.0</v>
      </c>
      <c r="B29" s="13" t="s">
        <v>1481</v>
      </c>
      <c r="C29" s="13" t="s">
        <v>283</v>
      </c>
      <c r="D29" s="21">
        <f>COUNTIF('Kế hoạch chèn link (mới)'!$B$3:$B$2944,C29)</f>
        <v>156</v>
      </c>
      <c r="E29" s="21">
        <f>IFERROR(VLOOKUP(C29,'Link trỏ về từng trang đích'!$B$2:$D$76,3,0),"")</f>
        <v>200</v>
      </c>
      <c r="F29" s="13" t="str">
        <f t="shared" si="1"/>
        <v>Thiếu 44 link</v>
      </c>
      <c r="G29" s="13" t="str">
        <f>IF(IFERROR(VLOOKUP(C29,'Inlink đã chèn'!$B$2:$C$200,2,0),0)&gt;0,"Đã có anchor text trỏ về","Chưa có anchor text trỏ về")</f>
        <v>Chưa có anchor text trỏ về</v>
      </c>
      <c r="H29" s="13" t="str">
        <f>IFERROR(__xludf.DUMMYFUNCTION("IFERROR(TEXTJOIN("", "",TRUE,UNIQUE(FILTER('Kế hoạch chèn link (mới)'!$D$3:$D$2944,'Kế hoạch chèn link (mới)'!$B$3:$B$2944=C29))),"""")"),"cic là gì, kiểm tra cic, tra cứu cic, tra cứu cic miễn phí")</f>
        <v>cic là gì, kiểm tra cic, tra cứu cic, tra cứu cic miễn phí</v>
      </c>
      <c r="I29" s="13" t="str">
        <f>IFERROR(__xludf.DUMMYFUNCTION("IFERROR(TEXTJOIN(CHAR(10),TRUE,FILTER('Kế hoạch chèn link (mới)'!$F$3:$F$2944,'Kế hoạch chèn link (mới)'!$B$3:$B$2944=C29)),"""")"),"https://techcombank.com/thong-tin/blog/diem-tin-dung
https://techcombank.com/thong-tin/blog/no-nhom-3
https://techcombank.com/thong-tin/blog/lich-su-tin-dung
https://techcombank.com/thong-tin/blog/no-chu-y-la-gi
https://techcombank.com/thong-tin/blog/no-x"&amp;"au-nhom-2
https://techcombank.com/thong-tin/blog/kinh-nghiem-vay-tien-mua-nha
https://techcombank.com/thong-tin/blog/kiem-tra-no-xau
https://techcombank.com/thong-tin/blog/no-xau
https://techcombank.com/thong-tin/blog/no-xau-la-gi
https://techcombank.com/"&amp;"thong-tin/blog/xep-hang-tin-dung
https://techcombank.com/thong-tin/blog/vay-von-doanh-nghiep-khong-the-chap
https://techcombank.com/thong-tin/blog/qua-han-thanh-toan-the-tin-dung-1-ngay
https://techcombank.com/thong-tin/blog/no-xau-co-lam-the-visa-duoc-kh"&amp;"ong
https://techcombank.com/thong-tin/blog/spaylater
https://techcombank.com/thong-tin/blog/app-mua-truoc-tra-sau
https://techcombank.com/thong-tin/blog/no-the-tin-dung-qua-han
https://techcombank.com/thong-tin/blog/luu-y-khi-su-dung-the-tin-dung
https://"&amp;"techcombank.com/thong-tin/blog/no-xau-co-vay-the-chap-duoc-khong
https://techcombank.com/thong-tin/blog/vay-tin-chap-khong-tra-duoc-co-sao-khong
https://techcombank.com/thong-tin/blog/du-no-tin-dung-la-gi
https://techcombank.com/thong-tin/blog/du-no-la-gi"&amp;"
https://techcombank.com/thong-tin/blog/cam-ket-tin-dung
https://techcombank.com/thong-tin/blog/vay-han-muc-la-gi
https://techcombank.com/thong-tin/blog/vay-tin-chap-toi-da-duoc-bao-nhieu
https://techcombank.com/thong-tin/blog/vay-tra-gop
https://techcomb"&amp;"ank.com/thong-tin/blog/ho-so-vay-von-cua-doanh-nghiep-gom-nhung-gi
https://techcombank.com/thong-tin/blog/han-muc-thau-chi-la-gi
https://techcombank.com/thong-tin/blog/no-xau-mo-the-tin-dung-duoc-khong
https://techcombank.com/thong-tin/blog/vay-tin-chap-n"&amp;"o-xau
https://techcombank.com/thong-tin/blog/han-muc-tra-gop-the-tin-dung
https://techcombank.com/thong-tin/blog/han-muc-the-tin-dung
https://techcombank.com/thong-tin/blog/ngan-hang-so-cho-doanh-nghiep
https://techcombank.com/thong-tin/blog/giai-ngan-la-"&amp;"gi
https://techcombank.com/thong-tin/blog/the-ghi-no-visa-la-gi
https://techcombank.com/thong-tin/blog/tra-gop-lazada
https://techcombank.com/thong-tin/blog/tra-gop-shopee
https://techcombank.com/thong-tin/blog/thanh-toan-tra-gop-qua-the-tin-dung
https://"&amp;"techcombank.com/thong-tin/blog/tous-les-jours
https://techcombank.com/thong-tin/blog/the-visa-co-can-mat-khau-khong
https://techcombank.com/thong-tin/blog/kich-hoat-the-tin-dung-techcombank
https://techcombank.com/thong-tin/blog/cach-kich-hoat-the-atm
htt"&amp;"ps://techcombank.com/thong-tin/blog/the-tin-dung-hoan-tien
https://techcombank.com/thong-tin/blog/sang-ngang-the-tin-dung
https://techcombank.com/thong-tin/blog/thanh-toan-online-bang-the-tin-dung
https://techcombank.com/thong-tin/blog/the-tin-dung-ao
htt"&amp;"ps://techcombank.com/thong-tin/blog/the-tin-dung-co-ma-pin-khong
https://techcombank.com/thong-tin/blog/mat-the-tin-dung-co-lam-lai-duoc-khong
https://techcombank.com/thong-tin/blog/ghi-chep-chi-tieu
https://techcombank.com/thong-tin/blog/voucher-highland"&amp;"
https://techcombank.com/thong-tin/blog/lam-the-tin-dung
https://techcombank.com/thong-tin/blog/the-tin-dung-mien-lai-55-ngay
https://techcombank.com/thong-tin/blog/khach-hang-vip-bat-dong-san
https://techcombank.com/thong-tin/blog/the-tin-dung-la-gi
http"&amp;"s://techcombank.com/thong-tin/blog/cach-huy-the-tin-dung
https://techcombank.com/thong-tin/blog/chuyen-tien-tu-han-sang-viet-nam
https://techcombank.com/thong-tin/blog/in-ma-qr-ngan-hang
https://techcombank.com/thong-tin/blog/cac-loai-the-tin-dung
https:/"&amp;"/techcombank.com/thong-tin/blog/gui-tien-du-hoc
https://techcombank.com/thong-tin/blog/ma-qr-techcombank
https://techcombank.com/thong-tin/blog/chuyen-tien-tu-my-ve-viet-nam
https://techcombank.com/thong-tin/blog/cach-lam-the-ngan-hang-chay-quang-cao-face"&amp;"book
https://techcombank.com/thong-tin/blog/uu-diem-cua-blockchain
https://techcombank.com/thong-tin/blog/mm-yy-la-gi
https://techcombank.com/thong-tin/blog/tin-dung-doanh-nghiep
https://techcombank.com/thong-tin/blog/voucher-the-pizza-company
https://tec"&amp;"hcombank.com/thong-tin/blog/chuyen-khoan-thanh-cong-nhung-khong-nhan-duoc-tien
https://techcombank.com/thong-tin/blog/thanh-toan-quoc-te
https://techcombank.com/thong-tin/blog/the-mastercard-la-gi
https://techcombank.com/thong-tin/blog/vang-14k-gia-hom-na"&amp;"y
https://techcombank.com/thong-tin/blog/cach-su-dung-the-visa-techcombank
https://techcombank.com/thong-tin/blog/mua-nha-tra-gop-dua-truoc-100-trieu
https://techcombank.com/thong-tin/blog/di-du-lich-nuoc-ngoai-can-chuan-bi-gi
https://techcombank.com/thon"&amp;"g-tin/blog/ngan-hang-thu-huong-la-gi
https://techcombank.com/thong-tin/blog/the-visa-khong-thanh-toan-duoc
https://techcombank.com/thong-tin/blog/6-chiec-lo-tai-chinh-ca-nhan
https://techcombank.com/thong-tin/blog/lam-the-visa-online
https://techcombank.c"&amp;"om/thong-tin/blog/dat-ve-may-bay
https://techcombank.com/thong-tin/blog/remittance-la-gi
https://techcombank.com/thong-tin/blog/cach-tao-ma-qr
https://techcombank.com/thong-tin/blog/the-visa-co-thanh-toan-quoc-te-duoc-khong
https://techcombank.com/thong-t"&amp;"in/blog/vay-15-trieu
https://techcombank.com/thong-tin/blog/thu-tuc-chuyen-tien-ra-nuoc-ngoai
https://techcombank.com/thong-tin/blog/qr-dong
https://techcombank.com/thong-tin/blog/bao-hiem-vat-chat-xe-o-to
https://techcombank.com/thong-tin/blog/quy-trinh-"&amp;"cho-vay-tieu-dung
https://techcombank.com/thong-tin/blog/cach-mo-tai-khoan
https://techcombank.com/thong-tin/blog/so-sanh-bao-hiem-suc-khoe-bo-sung
https://techcombank.com/thong-tin/blog/rut-tien-mat-tu-tai-khoan-doanh-nghiep
https://techcombank.com/thong"&amp;"-tin/blog/the-chap-la-gi
https://techcombank.com/thong-tin/blog/cach-lien-ket-epass-voi-tai-khoan-ngan-hang
https://techcombank.com/thong-tin/blog/tai-khoan-thanh-toan-la-gi
https://techcombank.com/thong-tin/blog/chuyen-tien-tro-cap-than-nhan-o-nuoc-ngoai"&amp;"
https://techcombank.com/thong-tin/blog/dieu-kien-mua-usd-tu-ngan-hang
https://techcombank.com/thong-tin/blog/mo-tai-khoan-ngan-hang-bang-so-dien-thoai
https://techcombank.com/thong-tin/blog/thanh-toan-khi-du-lich-han-quoc
https://techcombank.com/thong-ti"&amp;"n/blog/ty-gia-hoi-doai-la-gi
https://techcombank.com/thong-tin/blog/thanh-toan-bang-ma-qr
https://techcombank.com/thong-tin/blog/tai-khoan-ngan-hang-duoi-50k-co-bi-khoa-khong
https://techcombank.com/thong-tin/blog/truy-thu-thue-ho-kinh-doanh
https://techc"&amp;"ombank.com/thong-tin/blog/nap-xu-tiktok
https://techcombank.com/thong-tin/blog/cac-loai-the-ngan-hang
https://techcombank.com/thong-tin/blog/iban-la-gi
https://techcombank.com/thong-tin/blog/cach-thanh-toan-quang-cao-tiktok
https://techcombank.com/thong-t"&amp;"in/blog/cach-sao-ke-tai-khoan-ngan-hang
https://techcombank.com/thong-tin/blog/cach-nap-the-viettel
https://techcombank.com/thong-tin/blog/the-debit
https://techcombank.com/thong-tin/blog/cac-loai-bao-hiem-suc-khoe
https://techcombank.com/thong-tin/blog/w"&amp;"acc-la-gi
https://techcombank.com/thong-tin/blog/luat-thuong-mai-dien-tu
https://techcombank.com/thong-tin/blog/the-napas-la-gi
https://techcombank.com/thong-tin/blog/cach-nap-the-vina
https://techcombank.com/thong-tin/blog/dac-san-nha-trang
https://techc"&amp;"ombank.com/thong-tin/blog/the-ghi-no-la-gi
https://techcombank.com/thong-tin/blog/cach-lien-ket-tai-khoan-ngan-hang-voi-vneid
https://techcombank.com/thong-tin/blog/the-atm-gan-chip
https://techcombank.com/thong-tin/blog/quy-trinh-gui-tien-tiet-kiem
https"&amp;"://techcombank.com/thong-tin/blog/ma-pin-the-atm
https://techcombank.com/thong-tin/blog/bao-hiem-suc-khoe-la-gi
https://techcombank.com/thong-tin/blog/sms-banking
https://techcombank.com/thong-tin/blog/the-atm-tu
https://techcombank.com/thong-tin/blog/han"&amp;"-muc-vay-the-chap-so-do
https://techcombank.com/thong-tin/blog/kinh-nghiem-vay-the-chap-ngan-hang
https://techcombank.com/thong-tin/blog/sao-ke-the-tin-dung-la-gi
https://techcombank.com/thong-tin/blog/thanh-toan-tien-internet-online
https://techcombank.c"&amp;"om/thong-tin/blog/thanh-toan-cuoc-truyen-hinh
https://techcombank.com/thong-tin/blog/so-the-tin-dung
https://techcombank.com/thong-tin/blog/merchant-portal
https://techcombank.com/thong-tin/blog/softpos
https://techcombank.com/thong-tin/blog/bao-lanh-thuc"&amp;"-hien-hop-dong
https://techcombank.com/thong-tin/blog/so-cvv-la-gi
https://techcombank.com/thong-tin/blog/cach-kiem-tra-tai-khoan-ngan-hang
https://techcombank.com/thong-tin/blog/nop-thue-dat-qua-ngan-hang
https://techcombank.com/thong-tin/blog/tai-khoan-"&amp;"ngan-hang-bi-khoa
https://techcombank.com/thong-tin/blog/ma-swift-ngan-hang
https://techcombank.com/thong-tin/blog/ma-mcc
https://techcombank.com/thong-tin/blog/so-the-visa-hop-le
https://techcombank.com/thong-tin/blog/cua-hang-tien-loi
https://techcomban"&amp;"k.com/thong-tin/blog/app-dong-tien-dien-online
https://techcombank.com/thong-tin/blog/ten-dang-nhap-tai-khoan-ngan-hang-la-gi
https://techcombank.com/thong-tin/blog/thanh-toan-ve-may-bay-online
https://techcombank.com/thong-tin/blog/so-the-ngan-hang
https"&amp;"://techcombank.com/thong-tin/blog/chuyen-tien-tu-duc-ve-viet-nam
https://techcombank.com/thong-tin/blog/mua-ve-xem-phim
https://techcombank.com/thong-tin/blog/1-yen-bang-bao-nhieu-tien-viet-nam
https://techcombank.com/thong-tin/blog/merchant-la-gi
https:/"&amp;"/techcombank.com/thong-tin/blog/dieu-kien-thanh-lap-doanh-nghiep
https://techcombank.com/thong-tin/blog/thanh-toan-khi-du-lich-hong-kong
https://techcombank.com/thong-tin/blog/thanh-toan-khi-du-lich-singapore
https://techcombank.com/thong-tin/blog/cach-tr"&amp;"a-cuu-hoa-don-dien-tu
https://techcombank.com/thong-tin/blog/the-ghi-no-co-rut-tien-duoc-khong
https://techcombank.com/thong-tin/blog/cach-nap-the-mobi
https://techcombank.com/thong-tin/blog/atm-la-gi
https://techcombank.com/thong-tin/blog/kiem-tra-thue-t"&amp;"hu-nhap-ca-nhan
https://techcombank.com/thong-tin/blog/kiem-tra-ma-so-thue-doanh-nghiep
https://techcombank.com/thong-tin/blog/tra-cuu-han-muc-the-tin-dung
https://techcombank.com/thong-tin/blog/phi-thuong-nien-la-gi")</f>
        <v>https://techcombank.com/thong-tin/blog/diem-tin-dung
https://techcombank.com/thong-tin/blog/no-nhom-3
https://techcombank.com/thong-tin/blog/lich-su-tin-dung
https://techcombank.com/thong-tin/blog/no-chu-y-la-gi
https://techcombank.com/thong-tin/blog/no-xau-nhom-2
https://techcombank.com/thong-tin/blog/kinh-nghiem-vay-tien-mua-nha
https://techcombank.com/thong-tin/blog/kiem-tra-no-xau
https://techcombank.com/thong-tin/blog/no-xau
https://techcombank.com/thong-tin/blog/no-xau-la-gi
https://techcombank.com/thong-tin/blog/xep-hang-tin-dung
https://techcombank.com/thong-tin/blog/vay-von-doanh-nghiep-khong-the-chap
https://techcombank.com/thong-tin/blog/qua-han-thanh-toan-the-tin-dung-1-ngay
https://techcombank.com/thong-tin/blog/no-xau-co-lam-the-visa-duoc-khong
https://techcombank.com/thong-tin/blog/spaylater
https://techcombank.com/thong-tin/blog/app-mua-truoc-tra-sau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https://techcombank.com/thong-tin/blog/vay-tin-chap-toi-da-duoc-bao-nhieu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https://techcombank.com/thong-tin/blog/han-muc-tra-gop-the-tin-dung
https://techcombank.com/thong-tin/blog/han-muc-the-tin-dung
https://techcombank.com/thong-tin/blog/ngan-hang-so-cho-doanh-nghiep
https://techcombank.com/thong-tin/blog/giai-ngan-la-gi
https://techcombank.com/thong-tin/blog/the-ghi-no-visa-la-gi
https://techcombank.com/thong-tin/blog/tra-gop-lazada
https://techcombank.com/thong-tin/blog/tra-gop-shopee
https://techcombank.com/thong-tin/blog/thanh-toan-tra-gop-qua-the-tin-dung
https://techcombank.com/thong-tin/blog/tous-les-jours
https://techcombank.com/thong-tin/blog/the-visa-co-can-mat-khau-khong
https://techcombank.com/thong-tin/blog/kich-hoat-the-tin-dung-techcombank
https://techcombank.com/thong-tin/blog/cach-kich-hoat-the-atm
https://techcombank.com/thong-tin/blog/the-tin-dung-hoan-tien
https://techcombank.com/thong-tin/blog/sang-ngang-the-tin-dung
https://techcombank.com/thong-tin/blog/thanh-toan-online-bang-the-tin-dung
https://techcombank.com/thong-tin/blog/the-tin-dung-ao
https://techcombank.com/thong-tin/blog/the-tin-dung-co-ma-pin-khong
https://techcombank.com/thong-tin/blog/mat-the-tin-dung-co-lam-lai-duoc-khong
https://techcombank.com/thong-tin/blog/ghi-chep-chi-tieu
https://techcombank.com/thong-tin/blog/voucher-highland
https://techcombank.com/thong-tin/blog/lam-the-tin-dung
https://techcombank.com/thong-tin/blog/the-tin-dung-mien-lai-55-ngay
https://techcombank.com/thong-tin/blog/khach-hang-vip-bat-dong-san
https://techcombank.com/thong-tin/blog/the-tin-dung-la-gi
https://techcombank.com/thong-tin/blog/cach-huy-the-tin-dung
https://techcombank.com/thong-tin/blog/chuyen-tien-tu-han-sang-viet-nam
https://techcombank.com/thong-tin/blog/in-ma-qr-ngan-hang
https://techcombank.com/thong-tin/blog/cac-loai-the-tin-dung
https://techcombank.com/thong-tin/blog/gui-tien-du-hoc
https://techcombank.com/thong-tin/blog/ma-qr-techcombank
https://techcombank.com/thong-tin/blog/chuyen-tien-tu-my-ve-viet-nam
https://techcombank.com/thong-tin/blog/cach-lam-the-ngan-hang-chay-quang-cao-facebook
https://techcombank.com/thong-tin/blog/uu-diem-cua-blockchain
https://techcombank.com/thong-tin/blog/mm-yy-la-gi
https://techcombank.com/thong-tin/blog/tin-dung-doanh-nghiep
https://techcombank.com/thong-tin/blog/voucher-the-pizza-company
https://techcombank.com/thong-tin/blog/chuyen-khoan-thanh-cong-nhung-khong-nhan-duoc-tien
https://techcombank.com/thong-tin/blog/thanh-toan-quoc-te
https://techcombank.com/thong-tin/blog/the-mastercard-la-gi
https://techcombank.com/thong-tin/blog/vang-14k-gia-hom-nay
https://techcombank.com/thong-tin/blog/cach-su-dung-the-visa-techcombank
https://techcombank.com/thong-tin/blog/mua-nha-tra-gop-dua-truoc-100-trieu
https://techcombank.com/thong-tin/blog/di-du-lich-nuoc-ngoai-can-chuan-bi-gi
https://techcombank.com/thong-tin/blog/ngan-hang-thu-huong-la-gi
https://techcombank.com/thong-tin/blog/the-visa-khong-thanh-toan-duoc
https://techcombank.com/thong-tin/blog/6-chiec-lo-tai-chinh-ca-nhan
https://techcombank.com/thong-tin/blog/lam-the-visa-online
https://techcombank.com/thong-tin/blog/dat-ve-may-bay
https://techcombank.com/thong-tin/blog/remittance-la-gi
https://techcombank.com/thong-tin/blog/cach-tao-ma-qr
https://techcombank.com/thong-tin/blog/the-visa-co-thanh-toan-quoc-te-duoc-khong
https://techcombank.com/thong-tin/blog/vay-15-trieu
https://techcombank.com/thong-tin/blog/thu-tuc-chuyen-tien-ra-nuoc-ngoai
https://techcombank.com/thong-tin/blog/qr-dong
https://techcombank.com/thong-tin/blog/bao-hiem-vat-chat-xe-o-to
https://techcombank.com/thong-tin/blog/quy-trinh-cho-vay-tieu-dung
https://techcombank.com/thong-tin/blog/cach-mo-tai-khoan
https://techcombank.com/thong-tin/blog/so-sanh-bao-hiem-suc-khoe-bo-sung
https://techcombank.com/thong-tin/blog/rut-tien-mat-tu-tai-khoan-doanh-nghiep
https://techcombank.com/thong-tin/blog/the-chap-la-gi
https://techcombank.com/thong-tin/blog/cach-lien-ket-epass-voi-tai-khoan-ngan-hang
https://techcombank.com/thong-tin/blog/tai-khoan-thanh-toan-la-gi
https://techcombank.com/thong-tin/blog/chuyen-tien-tro-cap-than-nhan-o-nuoc-ngoai
https://techcombank.com/thong-tin/blog/dieu-kien-mua-usd-tu-ngan-hang
https://techcombank.com/thong-tin/blog/mo-tai-khoan-ngan-hang-bang-so-dien-thoai
https://techcombank.com/thong-tin/blog/thanh-toan-khi-du-lich-han-quoc
https://techcombank.com/thong-tin/blog/ty-gia-hoi-doai-la-gi
https://techcombank.com/thong-tin/blog/thanh-toan-bang-ma-qr
https://techcombank.com/thong-tin/blog/tai-khoan-ngan-hang-duoi-50k-co-bi-khoa-khong
https://techcombank.com/thong-tin/blog/truy-thu-thue-ho-kinh-doanh
https://techcombank.com/thong-tin/blog/nap-xu-tiktok
https://techcombank.com/thong-tin/blog/cac-loai-the-ngan-hang
https://techcombank.com/thong-tin/blog/iban-la-gi
https://techcombank.com/thong-tin/blog/cach-thanh-toan-quang-cao-tiktok
https://techcombank.com/thong-tin/blog/cach-sao-ke-tai-khoan-ngan-hang
https://techcombank.com/thong-tin/blog/cach-nap-the-viettel
https://techcombank.com/thong-tin/blog/the-debit
https://techcombank.com/thong-tin/blog/cac-loai-bao-hiem-suc-khoe
https://techcombank.com/thong-tin/blog/wacc-la-gi
https://techcombank.com/thong-tin/blog/luat-thuong-mai-dien-tu
https://techcombank.com/thong-tin/blog/the-napas-la-gi
https://techcombank.com/thong-tin/blog/cach-nap-the-vina
https://techcombank.com/thong-tin/blog/dac-san-nha-trang
https://techcombank.com/thong-tin/blog/the-ghi-no-la-gi
https://techcombank.com/thong-tin/blog/cach-lien-ket-tai-khoan-ngan-hang-voi-vneid
https://techcombank.com/thong-tin/blog/the-atm-gan-chip
https://techcombank.com/thong-tin/blog/quy-trinh-gui-tien-tiet-kiem
https://techcombank.com/thong-tin/blog/ma-pin-the-atm
https://techcombank.com/thong-tin/blog/bao-hiem-suc-khoe-la-gi
https://techcombank.com/thong-tin/blog/sms-banking
https://techcombank.com/thong-tin/blog/the-atm-tu
https://techcombank.com/thong-tin/blog/han-muc-vay-the-chap-so-do
https://techcombank.com/thong-tin/blog/kinh-nghiem-vay-the-chap-ngan-hang
https://techcombank.com/thong-tin/blog/sao-ke-the-tin-dung-la-gi
https://techcombank.com/thong-tin/blog/thanh-toan-tien-internet-online
https://techcombank.com/thong-tin/blog/thanh-toan-cuoc-truyen-hinh
https://techcombank.com/thong-tin/blog/so-the-tin-dung
https://techcombank.com/thong-tin/blog/merchant-portal
https://techcombank.com/thong-tin/blog/softpos
https://techcombank.com/thong-tin/blog/bao-lanh-thuc-hien-hop-dong
https://techcombank.com/thong-tin/blog/so-cvv-la-gi
https://techcombank.com/thong-tin/blog/cach-kiem-tra-tai-khoan-ngan-hang
https://techcombank.com/thong-tin/blog/nop-thue-dat-qua-ngan-hang
https://techcombank.com/thong-tin/blog/tai-khoan-ngan-hang-bi-khoa
https://techcombank.com/thong-tin/blog/ma-swift-ngan-hang
https://techcombank.com/thong-tin/blog/ma-mcc
https://techcombank.com/thong-tin/blog/so-the-visa-hop-le
https://techcombank.com/thong-tin/blog/cua-hang-tien-loi
https://techcombank.com/thong-tin/blog/app-dong-tien-dien-online
https://techcombank.com/thong-tin/blog/ten-dang-nhap-tai-khoan-ngan-hang-la-gi
https://techcombank.com/thong-tin/blog/thanh-toan-ve-may-bay-online
https://techcombank.com/thong-tin/blog/so-the-ngan-hang
https://techcombank.com/thong-tin/blog/chuyen-tien-tu-duc-ve-viet-nam
https://techcombank.com/thong-tin/blog/mua-ve-xem-phim
https://techcombank.com/thong-tin/blog/1-yen-bang-bao-nhieu-tien-viet-nam
https://techcombank.com/thong-tin/blog/merchant-la-gi
https://techcombank.com/thong-tin/blog/dieu-kien-thanh-lap-doanh-nghiep
https://techcombank.com/thong-tin/blog/thanh-toan-khi-du-lich-hong-kong
https://techcombank.com/thong-tin/blog/thanh-toan-khi-du-lich-singapore
https://techcombank.com/thong-tin/blog/cach-tra-cuu-hoa-don-dien-tu
https://techcombank.com/thong-tin/blog/the-ghi-no-co-rut-tien-duoc-khong
https://techcombank.com/thong-tin/blog/cach-nap-the-mobi
https://techcombank.com/thong-tin/blog/atm-la-gi
https://techcombank.com/thong-tin/blog/kiem-tra-thue-thu-nhap-ca-nhan
https://techcombank.com/thong-tin/blog/kiem-tra-ma-so-thue-doanh-nghiep
https://techcombank.com/thong-tin/blog/tra-cuu-han-muc-the-tin-dung
https://techcombank.com/thong-tin/blog/phi-thuong-nien-la-gi</v>
      </c>
      <c r="J29" s="26" t="s">
        <v>188</v>
      </c>
    </row>
    <row r="30" ht="82.5" customHeight="1">
      <c r="A30" s="12">
        <v>29.0</v>
      </c>
      <c r="B30" s="13" t="s">
        <v>1481</v>
      </c>
      <c r="C30" s="13" t="s">
        <v>494</v>
      </c>
      <c r="D30" s="21">
        <f>COUNTIF('Kế hoạch chèn link (mới)'!$B$3:$B$2944,C30)</f>
        <v>50</v>
      </c>
      <c r="E30" s="21">
        <f>IFERROR(VLOOKUP(C30,'Link trỏ về từng trang đích'!$B$2:$D$76,3,0),"")</f>
        <v>50</v>
      </c>
      <c r="F30" s="13" t="str">
        <f t="shared" si="1"/>
        <v>Đủ link</v>
      </c>
      <c r="G30" s="13" t="str">
        <f>IF(IFERROR(VLOOKUP(C30,'Inlink đã chèn'!$B$2:$C$200,2,0),0)&gt;0,"Đã có anchor text trỏ về","Chưa có anchor text trỏ về")</f>
        <v>Chưa có anchor text trỏ về</v>
      </c>
      <c r="H30" s="13" t="str">
        <f>IFERROR(__xludf.DUMMYFUNCTION("IFERROR(TEXTJOIN("", "",TRUE,UNIQUE(FILTER('Kế hoạch chèn link (mới)'!$D$3:$D$2944,'Kế hoạch chèn link (mới)'!$B$3:$B$2944=C30))),"""")"),"rút tiền thẻ tín dụng, quẹt thẻ tín dụng lấy tiền mặt")</f>
        <v>rút tiền thẻ tín dụng, quẹt thẻ tín dụng lấy tiền mặt</v>
      </c>
      <c r="I30" s="13" t="str">
        <f>IFERROR(__xludf.DUMMYFUNCTION("IFERROR(TEXTJOIN(CHAR(10),TRUE,FILTER('Kế hoạch chèn link (mới)'!$F$3:$F$2944,'Kế hoạch chèn link (mới)'!$B$3:$B$2944=C30)),"""")"),"https://techcombank.com/thong-tin/blog/phi-rut-tien-mat-the-tin-dung
https://techcombank.com/thong-tin/blog/the-visa-co-rut-tien-duoc-khong
https://techcombank.com/thong-tin/blog/the-tin-dung-co-chuyen-khoan-duoc-khong
https://techcombank.com/thong-tin/bl"&amp;"og/in-ma-qr-ngan-hang
https://techcombank.com/thong-tin/blog/ty-le-thanh-toan-khong-dung-tien-mat-trong-linh-vuc-y-te-con-han-che
https://techcombank.com/thong-tin/blog/may-pos-la-gi
https://techcombank.com/thong-tin/blog/qua-han-thanh-toan-the-tin-dung-1"&amp;"-ngay
https://techcombank.com/thong-tin/blog/mo-the-tin-dung-co-loi-ich-gi
https://techcombank.com/thong-tin/blog/vi-dien-tu
https://techcombank.com/thong-tin/blog/mat-the-tin-dung-co-bi-mat-tien-khong
https://techcombank.com/thong-tin/blog/merchant-la-gi"&amp;"
https://techcombank.com/thong-tin/blog/rut-tien-mat-tu-tai-khoan-doanh-nghiep
https://techcombank.com/thong-tin/blog/cdm
https://techcombank.com/thong-tin/blog/rut-tien-bang-ma-qr-khac-ngan-hang-duoc-khong
https://techcombank.com/thong-tin/blog/the-visa-"&amp;"de-lam-gi
https://techcombank.com/thong-tin/blog/the-atm-khong-rut-duoc-tien
https://techcombank.com/thong-tin/blog/rut-tien-bang-ma-qr-la-gi-cach-thuc-hien-nhu-the-nao
https://techcombank.com/thong-tin/blog/thanh-toan-khong-dung-tien-mat-tro-thanh-xu-huo"&amp;"ng-tang-truong-chong-mat
https://techcombank.com/thong-tin/blog/tin-dung-la-gi
https://techcombank.com/thong-tin/blog/the-tin-dung-quoc-te
https://techcombank.com/thong-tin/blog/the-visa-ao-la-gi
https://techcombank.com/thong-tin/blog/cach-su-dung-the-tin"&amp;"-dung
https://techcombank.com/thong-tin/blog/tien-gui-khong-ky-han
https://techcombank.com/thong-tin/blog/xu-huong-thanh-toan-khong-dung-tien-mat-tai-viet-nam
https://techcombank.com/thong-tin/blog/cach-rut-tien-atm
https://techcombank.com/thong-tin/blog/"&amp;"lam-the-tin-dung-co-mat-phi-khong
https://techcombank.com/thong-tin/blog/cach-su-dung-the-visa-techcombank
https://techcombank.com/thong-tin/blog/the-tin-dung-co-ma-pin-khong
https://techcombank.com/thong-tin/blog/the-visa
https://techcombank.com/thong-ti"&amp;"n/blog/cay-atm-gan-day
https://techcombank.com/thong-tin/blog/cach-su-dung-the-ghi-no
https://techcombank.com/thong-tin/blog/the-ghi-no-co-rut-tien-duoc-khong
https://techcombank.com/thong-tin/blog/han-muc-tra-gop-the-tin-dung
https://techcombank.com/thon"&amp;"g-tin/blog/sao-ke-the-tin-dung-la-gi
https://techcombank.com/thong-tin/blog/cach-tiet-kiem-tien-cua-nguoi-nhat
https://techcombank.com/thong-tin/blog/mo-the-tin-dung-han-muc-cao
https://techcombank.com/thong-tin/blog/the-tin-dung-noi-dia
https://techcomba"&amp;"nk.com/thong-tin/blog/tra-gop-qua-the-tin-dung
https://techcombank.com/thong-tin/blog/the-ghi-no-visa-la-gi
https://techcombank.com/thong-tin/blog/lam-ho-so-tra-gop-dien-thoai
https://techcombank.com/thong-tin/blog/tra-gop-shopee
https://techcombank.com/t"&amp;"hong-tin/blog/app-chia-tien
https://techcombank.com/thong-tin/blog/bung-no-hoat-dong-thanh-toan-truc-tuyen-tai-viet-nam
https://techcombank.com/thong-tin/blog/eco-card
https://techcombank.com/thong-tin/blog/lam-the-atm-bao-lau-co
https://techcombank.com/t"&amp;"hong-tin/blog/lam-the-visa-online
https://techcombank.com/thong-tin/blog/mo-tai-khoan-ngan-hang-cho-tre-em
https://techcombank.com/thong-tin/blog/rui-ro-khi-gui-tiet-kiem-online
https://techcombank.com/thong-tin/blog/so-du-kha-dung
https://techcombank.com"&amp;"/thong-tin/blog/so-du-tai-khoan-thanh-toan")</f>
        <v>https://techcombank.com/thong-tin/blog/phi-rut-tien-mat-the-tin-dung
https://techcombank.com/thong-tin/blog/the-visa-co-rut-tien-duoc-khong
https://techcombank.com/thong-tin/blog/the-tin-dung-co-chuyen-khoan-duoc-khong
https://techcombank.com/thong-tin/blog/in-ma-qr-ngan-hang
https://techcombank.com/thong-tin/blog/ty-le-thanh-toan-khong-dung-tien-mat-trong-linh-vuc-y-te-con-han-che
https://techcombank.com/thong-tin/blog/may-pos-la-gi
https://techcombank.com/thong-tin/blog/qua-han-thanh-toan-the-tin-dung-1-ngay
https://techcombank.com/thong-tin/blog/mo-the-tin-dung-co-loi-ich-gi
https://techcombank.com/thong-tin/blog/vi-dien-tu
https://techcombank.com/thong-tin/blog/mat-the-tin-dung-co-bi-mat-tien-khong
https://techcombank.com/thong-tin/blog/merchant-la-gi
https://techcombank.com/thong-tin/blog/rut-tien-mat-tu-tai-khoan-doanh-nghiep
https://techcombank.com/thong-tin/blog/cdm
https://techcombank.com/thong-tin/blog/rut-tien-bang-ma-qr-khac-ngan-hang-duoc-khong
https://techcombank.com/thong-tin/blog/the-visa-de-lam-gi
https://techcombank.com/thong-tin/blog/the-atm-khong-rut-duoc-tien
https://techcombank.com/thong-tin/blog/rut-tien-bang-ma-qr-la-gi-cach-thuc-hien-nhu-the-nao
https://techcombank.com/thong-tin/blog/thanh-toan-khong-dung-tien-mat-tro-thanh-xu-huong-tang-truong-chong-mat
https://techcombank.com/thong-tin/blog/tin-dung-la-gi
https://techcombank.com/thong-tin/blog/the-tin-dung-quoc-te
https://techcombank.com/thong-tin/blog/the-visa-ao-la-gi
https://techcombank.com/thong-tin/blog/cach-su-dung-the-tin-dung
https://techcombank.com/thong-tin/blog/tien-gui-khong-ky-han
https://techcombank.com/thong-tin/blog/xu-huong-thanh-toan-khong-dung-tien-mat-tai-viet-nam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https://techcombank.com/thong-tin/blog/cach-su-dung-the-ghi-no
https://techcombank.com/thong-tin/blog/the-ghi-no-co-rut-tien-duoc-khong
https://techcombank.com/thong-tin/blog/han-muc-tra-gop-the-tin-dung
https://techcombank.com/thong-tin/blog/sao-ke-the-tin-dung-la-gi
https://techcombank.com/thong-tin/blog/cach-tiet-kiem-tien-cua-nguoi-nhat
https://techcombank.com/thong-tin/blog/mo-the-tin-dung-han-muc-cao
https://techcombank.com/thong-tin/blog/the-tin-dung-noi-dia
https://techcombank.com/thong-tin/blog/tra-gop-qua-the-tin-dung
https://techcombank.com/thong-tin/blog/the-ghi-no-visa-la-gi
https://techcombank.com/thong-tin/blog/lam-ho-so-tra-gop-dien-thoai
https://techcombank.com/thong-tin/blog/tra-gop-shopee
https://techcombank.com/thong-tin/blog/app-chia-tien
https://techcombank.com/thong-tin/blog/bung-no-hoat-dong-thanh-toan-truc-tuyen-tai-viet-nam
https://techcombank.com/thong-tin/blog/eco-card
https://techcombank.com/thong-tin/blog/lam-the-atm-bao-lau-co
https://techcombank.com/thong-tin/blog/lam-the-visa-online
https://techcombank.com/thong-tin/blog/mo-tai-khoan-ngan-hang-cho-tre-em
https://techcombank.com/thong-tin/blog/rui-ro-khi-gui-tiet-kiem-online
https://techcombank.com/thong-tin/blog/so-du-kha-dung
https://techcombank.com/thong-tin/blog/so-du-tai-khoan-thanh-toan</v>
      </c>
      <c r="J30" s="26" t="s">
        <v>188</v>
      </c>
    </row>
    <row r="31" ht="82.5" customHeight="1">
      <c r="A31" s="12">
        <v>30.0</v>
      </c>
      <c r="B31" s="13" t="s">
        <v>1481</v>
      </c>
      <c r="C31" s="13" t="s">
        <v>861</v>
      </c>
      <c r="D31" s="21">
        <f>COUNTIF('Kế hoạch chèn link (mới)'!$B$3:$B$2944,C31)</f>
        <v>30</v>
      </c>
      <c r="E31" s="21">
        <f>IFERROR(VLOOKUP(C31,'Link trỏ về từng trang đích'!$B$2:$D$76,3,0),"")</f>
        <v>30</v>
      </c>
      <c r="F31" s="13" t="str">
        <f t="shared" si="1"/>
        <v>Đủ link</v>
      </c>
      <c r="G31" s="13" t="str">
        <f>IF(IFERROR(VLOOKUP(C31,'Inlink đã chèn'!$B$2:$C$200,2,0),0)&gt;0,"Đã có anchor text trỏ về","Chưa có anchor text trỏ về")</f>
        <v>Chưa có anchor text trỏ về</v>
      </c>
      <c r="H31" s="13" t="str">
        <f>IFERROR(__xludf.DUMMYFUNCTION("IFERROR(TEXTJOIN("", "",TRUE,UNIQUE(FILTER('Kế hoạch chèn link (mới)'!$D$3:$D$2944,'Kế hoạch chèn link (mới)'!$B$3:$B$2944=C31))),"""")"),"làm thẻ tín dụng, mở thẻ tín dụng")</f>
        <v>làm thẻ tín dụng, mở thẻ tín dụng</v>
      </c>
      <c r="I31" s="13" t="str">
        <f>IFERROR(__xludf.DUMMYFUNCTION("IFERROR(TEXTJOIN(CHAR(10),TRUE,FILTER('Kế hoạch chèn link (mới)'!$F$3:$F$2944,'Kế hoạch chèn link (mới)'!$B$3:$B$2944=C31)),"""")"),"https://techcombank.com/thong-tin/blog/lam-the-tin-dung-co-mat-phi-khong
https://techcombank.com/thong-tin/blog/no-xau-mo-the-tin-dung-duoc-khong
https://techcombank.com/thong-tin/blog/the-tin-dung-ao
https://techcombank.com/thong-tin/blog/mo-the-tin-dung"&amp;"-han-muc-cao
https://techcombank.com/thong-tin/blog/the-tin-dung-phu-la-gi
https://techcombank.com/thong-tin/blog/co-nen-dung-the-tin-dung-khong
https://techcombank.com/thong-tin/blog/no-xau-co-lam-the-visa-duoc-khong
https://techcombank.com/thong-tin/blo"&amp;"g/uu-dai-mo-the-tin-dung
https://techcombank.com/thong-tin/blog/khong-su-dung-the-tin-dung-co-mat-phi-khong
https://techcombank.com/thong-tin/blog/mua-iphone-17
https://techcombank.com/thong-tin/blog/the-visa-de-lam-gi
https://techcombank.com/thong-tin/bl"&amp;"og/tai-khoan-doanh-nghiep-co-the-khong
https://techcombank.com/thong-tin/blog/uu-dai-the-tin-dung-techcombank-signature
https://techcombank.com/thong-tin/blog/the-tin-dung-mien-phi-thuong-nien
https://techcombank.com/thong-tin/blog/mat-the-tin-dung-co-bi-"&amp;"mat-tien-khong
https://techcombank.com/thong-tin/blog/the-tin-dung-nao-nhieu-uu-dai-nhat
https://techcombank.com/thong-tin/blog/tra-cuu-han-muc-the-tin-dung
https://techcombank.com/thong-tin/blog/ma-buu-chinh-the-tin-dung
https://techcombank.com/thong-tin"&amp;"/blog/the-tin-dung-quoc-te
https://techcombank.com/thong-tin/blog/mm-yy-la-gi
https://techcombank.com/thong-tin/blog/uu-dai-mua-ve-may-bay-bang-the-tin-dung
https://techcombank.com/thong-tin/blog/lam-the-atm-co-mat-phi-khong
https://techcombank.com/thong-"&amp;"tin/blog/cach-lam-the-ngan-hang-chay-quang-cao-facebook
https://techcombank.com/thong-tin/blog/eco-card
https://techcombank.com/thong-tin/blog/cach-lam-the-atm
https://techcombank.com/thong-tin/blog/the-visa-co-can-mat-khau-khong
https://techcombank.com/t"&amp;"hong-tin/blog/mua-truoc-tra-sau
https://techcombank.com/thong-tin/blog/the-tin-dung-het-han
https://techcombank.com/thong-tin/blog/the-napas-la-gi
https://techcombank.com/thong-tin/blog/lam-the-atm-bao-lau-co")</f>
        <v>https://techcombank.com/thong-tin/blog/lam-the-tin-dung-co-mat-phi-khong
https://techcombank.com/thong-tin/blog/no-xau-mo-the-tin-dung-duoc-khong
https://techcombank.com/thong-tin/blog/the-tin-dung-ao
https://techcombank.com/thong-tin/blog/mo-the-tin-dung-han-muc-cao
https://techcombank.com/thong-tin/blog/the-tin-dung-phu-la-gi
https://techcombank.com/thong-tin/blog/co-nen-dung-the-tin-dung-khong
https://techcombank.com/thong-tin/blog/no-xau-co-lam-the-visa-duoc-khong
https://techcombank.com/thong-tin/blog/uu-dai-mo-the-tin-dung
https://techcombank.com/thong-tin/blog/khong-su-dung-the-tin-dung-co-mat-phi-khong
https://techcombank.com/thong-tin/blog/mua-iphone-17
https://techcombank.com/thong-tin/blog/the-visa-de-lam-gi
https://techcombank.com/thong-tin/blog/tai-khoan-doanh-nghiep-co-the-khong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https://techcombank.com/thong-tin/blog/tra-cuu-han-muc-the-tin-dung
https://techcombank.com/thong-tin/blog/ma-buu-chinh-the-tin-dung
https://techcombank.com/thong-tin/blog/the-tin-dung-quoc-te
https://techcombank.com/thong-tin/blog/mm-yy-la-gi
https://techcombank.com/thong-tin/blog/uu-dai-mua-ve-may-bay-bang-the-tin-dung
https://techcombank.com/thong-tin/blog/lam-the-atm-co-mat-phi-khong
https://techcombank.com/thong-tin/blog/cach-lam-the-ngan-hang-chay-quang-cao-facebook
https://techcombank.com/thong-tin/blog/eco-card
https://techcombank.com/thong-tin/blog/cach-lam-the-atm
https://techcombank.com/thong-tin/blog/the-visa-co-can-mat-khau-khong
https://techcombank.com/thong-tin/blog/mua-truoc-tra-sau
https://techcombank.com/thong-tin/blog/the-tin-dung-het-han
https://techcombank.com/thong-tin/blog/the-napas-la-gi
https://techcombank.com/thong-tin/blog/lam-the-atm-bao-lau-co</v>
      </c>
      <c r="J31" s="26" t="s">
        <v>188</v>
      </c>
    </row>
    <row r="32" ht="82.5" customHeight="1">
      <c r="A32" s="12">
        <v>31.0</v>
      </c>
      <c r="B32" s="13" t="s">
        <v>1481</v>
      </c>
      <c r="C32" s="13" t="s">
        <v>1595</v>
      </c>
      <c r="D32" s="21">
        <f>COUNTIF('Kế hoạch chèn link (mới)'!$B$3:$B$2944,C32)</f>
        <v>21</v>
      </c>
      <c r="E32" s="21">
        <f>IFERROR(VLOOKUP(C32,'Link trỏ về từng trang đích'!$B$2:$D$76,3,0),"")</f>
        <v>30</v>
      </c>
      <c r="F32" s="13" t="str">
        <f t="shared" si="1"/>
        <v>Thiếu 9 link</v>
      </c>
      <c r="G32" s="13" t="str">
        <f>IF(IFERROR(VLOOKUP(C32,'Inlink đã chèn'!$B$2:$C$200,2,0),0)&gt;0,"Đã có anchor text trỏ về","Chưa có anchor text trỏ về")</f>
        <v>Chưa có anchor text trỏ về</v>
      </c>
      <c r="H32" s="13" t="str">
        <f>IFERROR(__xludf.DUMMYFUNCTION("IFERROR(TEXTJOIN("", "",TRUE,UNIQUE(FILTER('Kế hoạch chèn link (mới)'!$D$3:$D$2944,'Kế hoạch chèn link (mới)'!$B$3:$B$2944=C32))),"""")"),"Techcombank Everyday, thẻ tín dụng Techcombank Everyday")</f>
        <v>Techcombank Everyday, thẻ tín dụng Techcombank Everyday</v>
      </c>
      <c r="I32" s="13" t="str">
        <f>IFERROR(__xludf.DUMMYFUNCTION("IFERROR(TEXTJOIN(CHAR(10),TRUE,FILTER('Kế hoạch chèn link (mới)'!$F$3:$F$2944,'Kế hoạch chèn link (mới)'!$B$3:$B$2944=C32)),"""")"),"https://techcombank.com/thong-tin/blog/anh-trai-vuot-ngan-chong-gai-mua-2
https://techcombank.com/thong-tin/blog/mo-the-tin-dung-co-loi-ich-gi
https://techcombank.com/thong-tin/blog/lam-ho-so-tra-gop-dien-thoai
https://techcombank.com/thong-tin/blog/loyal"&amp;"ty-la-gi
https://techcombank.com/thong-tin/blog/rut-tien-mat-tu-the-tin-dung
https://techcombank.com/thong-tin/blog/uu-dai-mua-ve-may-bay-bang-the-tin-dung
https://techcombank.com/thong-tin/blog/mat-the-tin-dung-co-bi-mat-tien-khong
https://techcombank.co"&amp;"m/thong-tin/blog/so-cvv-la-gi
https://techcombank.com/thong-tin/blog/mua-iphone-17
https://techcombank.com/thong-tin/blog/mua-truoc-tra-sau
https://techcombank.com/thong-tin/blog/tra-cuu-han-muc-the-tin-dung
https://techcombank.com/thong-tin/blog/the-ghi-"&amp;"no-va-the-tin-dung
https://techcombank.com/thong-tin/blog/the-tin-dung-het-han
https://techcombank.com/thong-tin/blog/cach-huy-the-tin-dung
https://techcombank.com/thong-tin/blog/ma-buu-chinh-the-tin-dung
https://techcombank.com/thong-tin/blog/thanh-toan-"&amp;"tra-gop-qua-the-tin-dung
https://techcombank.com/thong-tin/blog/qua-han-thanh-toan-the-tin-dung-1-ngay
https://techcombank.com/thong-tin/blog/thanh-toan-truc-tuyen
https://techcombank.com/thong-tin/blog/cach-thanh-toan-the-tin-dung
https://techcombank.com"&amp;"/thong-tin/blog/the-tin-dung-den
https://techcombank.com/thong-tin/blog/dao-han-the-tin-dung")</f>
        <v>https://techcombank.com/thong-tin/blog/anh-trai-vuot-ngan-chong-gai-mua-2
https://techcombank.com/thong-tin/blog/mo-the-tin-dung-co-loi-ich-gi
https://techcombank.com/thong-tin/blog/lam-ho-so-tra-gop-dien-thoai
https://techcombank.com/thong-tin/blog/loyalty-la-gi
https://techcombank.com/thong-tin/blog/rut-tien-mat-tu-the-tin-dung
https://techcombank.com/thong-tin/blog/uu-dai-mua-ve-may-bay-bang-the-tin-dung
https://techcombank.com/thong-tin/blog/mat-the-tin-dung-co-bi-mat-tien-khong
https://techcombank.com/thong-tin/blog/so-cvv-la-gi
https://techcombank.com/thong-tin/blog/mua-iphone-17
https://techcombank.com/thong-tin/blog/mua-truoc-tra-sau
https://techcombank.com/thong-tin/blog/tra-cuu-han-muc-the-tin-dung
https://techcombank.com/thong-tin/blog/the-ghi-no-va-the-tin-dung
https://techcombank.com/thong-tin/blog/the-tin-dung-het-han
https://techcombank.com/thong-tin/blog/cach-huy-the-tin-dung
https://techcombank.com/thong-tin/blog/ma-buu-chinh-the-tin-dung
https://techcombank.com/thong-tin/blog/thanh-toan-tra-gop-qua-the-tin-dung
https://techcombank.com/thong-tin/blog/qua-han-thanh-toan-the-tin-dung-1-ngay
https://techcombank.com/thong-tin/blog/thanh-toan-truc-tuyen
https://techcombank.com/thong-tin/blog/cach-thanh-toan-the-tin-dung
https://techcombank.com/thong-tin/blog/the-tin-dung-den
https://techcombank.com/thong-tin/blog/dao-han-the-tin-dung</v>
      </c>
      <c r="J32" s="26" t="s">
        <v>188</v>
      </c>
    </row>
    <row r="33" ht="82.5" customHeight="1">
      <c r="A33" s="12">
        <v>32.0</v>
      </c>
      <c r="B33" s="13" t="s">
        <v>1481</v>
      </c>
      <c r="C33" s="13" t="s">
        <v>990</v>
      </c>
      <c r="D33" s="21">
        <f>COUNTIF('Kế hoạch chèn link (mới)'!$B$3:$B$2944,C33)</f>
        <v>30</v>
      </c>
      <c r="E33" s="21">
        <f>IFERROR(VLOOKUP(C33,'Link trỏ về từng trang đích'!$B$2:$D$76,3,0),"")</f>
        <v>30</v>
      </c>
      <c r="F33" s="13" t="str">
        <f t="shared" si="1"/>
        <v>Đủ link</v>
      </c>
      <c r="G33" s="13" t="str">
        <f>IF(IFERROR(VLOOKUP(C33,'Inlink đã chèn'!$B$2:$C$200,2,0),0)&gt;0,"Đã có anchor text trỏ về","Chưa có anchor text trỏ về")</f>
        <v>Chưa có anchor text trỏ về</v>
      </c>
      <c r="H33" s="13" t="str">
        <f>IFERROR(__xludf.DUMMYFUNCTION("IFERROR(TEXTJOIN("", "",TRUE,UNIQUE(FILTER('Kế hoạch chèn link (mới)'!$D$3:$D$2944,'Kế hoạch chèn link (mới)'!$B$3:$B$2944=C33))),"""")"),"thẻ tín dụng hoàn tiền, thẻ cashback, thẻ hoàn tiền")</f>
        <v>thẻ tín dụng hoàn tiền, thẻ cashback, thẻ hoàn tiền</v>
      </c>
      <c r="I33" s="13" t="str">
        <f>IFERROR(__xludf.DUMMYFUNCTION("IFERROR(TEXTJOIN(CHAR(10),TRUE,FILTER('Kế hoạch chèn link (mới)'!$F$3:$F$2944,'Kế hoạch chèn link (mới)'!$B$3:$B$2944=C33)),"""")"),"https://techcombank.com/thong-tin/blog/thanh-toan-tien-dien-bang-the-tin-dung
https://techcombank.com/thong-tin/blog/cashback-the-thanh-toan
https://techcombank.com/thong-tin/blog/the-tin-dung-mien-phi-thuong-nien
https://techcombank.com/thong-tin/blog/uu"&amp;"-dai-mo-the-tin-dung
https://techcombank.com/thong-tin/blog/cach-su-dung-the-tin-dung
https://techcombank.com/thong-tin/blog/tai-khoan-doanh-nghiep-co-the-khong
https://techcombank.com/thong-tin/blog/mm-yy-la-gi
https://techcombank.com/thong-tin/blog/uu-d"&amp;"ai-mua-ve-may-bay-bang-the-tin-dung
https://techcombank.com/thong-tin/blog/so-cvv-la-gi
https://techcombank.com/thong-tin/blog/cach-lam-the-ngan-hang-chay-quang-cao-facebook
https://techcombank.com/thong-tin/blog/the-visa-co-can-mat-khau-khong
https://tec"&amp;"hcombank.com/thong-tin/blog/the-ghi-no-va-the-tin-dung
https://techcombank.com/thong-tin/blog/cach-huy-the-tin-dung
https://techcombank.com/thong-tin/blog/co-nen-dung-the-tin-dung-khong
https://techcombank.com/thong-tin/blog/the-tin-dung-quoc-te
https://t"&amp;"echcombank.com/thong-tin/blog/phi-rut-tien-mat-the-tin-dung
https://techcombank.com/thong-tin/blog/tiet-kiem-khi-di-du-lich
https://techcombank.com/thong-tin/blog/the-tin-dung-den
https://techcombank.com/thong-tin/blog/4p-pizza
https://techcombank.com/tho"&amp;"ng-tin/blog/cach-nap-the-mobi
https://techcombank.com/thong-tin/blog/cach-nap-the-vina
https://techcombank.com/thong-tin/blog/uu-dai-the-tin-dung-techcombank-signature
https://techcombank.com/thong-tin/blog/cac-loai-the-tin-dung
https://techcombank.com/th"&amp;"ong-tin/blog/the-tin-dung-nao-nhieu-uu-dai-nhat
https://techcombank.com/thong-tin/blog/mua-iphone-17
https://techcombank.com/thong-tin/blog/mua-truoc-tra-sau
https://techcombank.com/thong-tin/blog/the-tin-dung-het-han
https://techcombank.com/thong-tin/blo"&amp;"g/ma-buu-chinh-the-tin-dung
https://techcombank.com/thong-tin/blog/cach-thanh-toan-the-tin-dung
https://techcombank.com/thong-tin/blog/cac-loai-the-ngan-hang")</f>
        <v>https://techcombank.com/thong-tin/blog/thanh-toan-tien-dien-bang-the-tin-dung
https://techcombank.com/thong-tin/blog/cashback-the-thanh-toan
https://techcombank.com/thong-tin/blog/the-tin-dung-mien-phi-thuong-nien
https://techcombank.com/thong-tin/blog/uu-dai-mo-the-tin-dung
https://techcombank.com/thong-tin/blog/cach-su-dung-the-tin-dung
https://techcombank.com/thong-tin/blog/tai-khoan-doanh-nghiep-co-the-khong
https://techcombank.com/thong-tin/blog/mm-yy-la-gi
https://techcombank.com/thong-tin/blog/uu-dai-mua-ve-may-bay-bang-the-tin-dung
https://techcombank.com/thong-tin/blog/so-cvv-la-gi
https://techcombank.com/thong-tin/blog/cach-lam-the-ngan-hang-chay-quang-cao-facebook
https://techcombank.com/thong-tin/blog/the-visa-co-can-mat-khau-khong
https://techcombank.com/thong-tin/blog/the-ghi-no-va-the-tin-dung
https://techcombank.com/thong-tin/blog/cach-huy-the-tin-dung
https://techcombank.com/thong-tin/blog/co-nen-dung-the-tin-dung-khong
https://techcombank.com/thong-tin/blog/the-tin-dung-quoc-te
https://techcombank.com/thong-tin/blog/phi-rut-tien-mat-the-tin-dung
https://techcombank.com/thong-tin/blog/tiet-kiem-khi-di-du-lich
https://techcombank.com/thong-tin/blog/the-tin-dung-den
https://techcombank.com/thong-tin/blog/4p-pizza
https://techcombank.com/thong-tin/blog/cach-nap-the-mobi
https://techcombank.com/thong-tin/blog/cach-nap-the-vina
https://techcombank.com/thong-tin/blog/uu-dai-the-tin-dung-techcombank-signature
https://techcombank.com/thong-tin/blog/cac-loai-the-tin-dung
https://techcombank.com/thong-tin/blog/the-tin-dung-nao-nhieu-uu-dai-nhat
https://techcombank.com/thong-tin/blog/mua-iphone-17
https://techcombank.com/thong-tin/blog/mua-truoc-tra-sau
https://techcombank.com/thong-tin/blog/the-tin-dung-het-han
https://techcombank.com/thong-tin/blog/ma-buu-chinh-the-tin-dung
https://techcombank.com/thong-tin/blog/cach-thanh-toan-the-tin-dung
https://techcombank.com/thong-tin/blog/cac-loai-the-ngan-hang</v>
      </c>
      <c r="J33" s="26" t="s">
        <v>188</v>
      </c>
    </row>
    <row r="34" ht="82.5" customHeight="1">
      <c r="A34" s="12">
        <v>33.0</v>
      </c>
      <c r="B34" s="13" t="s">
        <v>1481</v>
      </c>
      <c r="C34" s="13" t="s">
        <v>880</v>
      </c>
      <c r="D34" s="21">
        <f>COUNTIF('Kế hoạch chèn link (mới)'!$B$3:$B$2944,C34)</f>
        <v>45</v>
      </c>
      <c r="E34" s="21">
        <f>IFERROR(VLOOKUP(C34,'Link trỏ về từng trang đích'!$B$2:$D$76,3,0),"")</f>
        <v>50</v>
      </c>
      <c r="F34" s="13" t="str">
        <f t="shared" si="1"/>
        <v>Thiếu 5 link</v>
      </c>
      <c r="G34" s="13" t="str">
        <f>IF(IFERROR(VLOOKUP(C34,'Inlink đã chèn'!$B$2:$C$200,2,0),0)&gt;0,"Đã có anchor text trỏ về","Chưa có anchor text trỏ về")</f>
        <v>Chưa có anchor text trỏ về</v>
      </c>
      <c r="H34" s="13" t="str">
        <f>IFERROR(__xludf.DUMMYFUNCTION("IFERROR(TEXTJOIN("", "",TRUE,UNIQUE(FILTER('Kế hoạch chèn link (mới)'!$D$3:$D$2944,'Kế hoạch chèn link (mới)'!$B$3:$B$2944=C34))),"""")"),"hủy thẻ tín dụng, cách hủy thẻ tín dụng")</f>
        <v>hủy thẻ tín dụng, cách hủy thẻ tín dụng</v>
      </c>
      <c r="I34" s="13" t="str">
        <f>IFERROR(__xludf.DUMMYFUNCTION("IFERROR(TEXTJOIN(CHAR(10),TRUE,FILTER('Kế hoạch chèn link (mới)'!$F$3:$F$2944,'Kế hoạch chèn link (mới)'!$B$3:$B$2944=C34)),"""")"),"https://techcombank.com/thong-tin/blog/phi-thuong-nien-la-gi
https://techcombank.com/thong-tin/blog/khong-su-dung-the-tin-dung-co-mat-phi-khong
https://techcombank.com/thong-tin/blog/cach-khoa-the-ngan-hang
https://techcombank.com/thong-tin/blog/lam-the-t"&amp;"in-dung-co-mat-phi-khong
https://techcombank.com/thong-tin/blog/the-tin-dung-bi-khoa
https://techcombank.com/thong-tin/blog/the-tin-dung-het-han
https://techcombank.com/thong-tin/blog/mat-the-tin-dung-co-bi-mat-tien-khong
https://techcombank.com/thong-tin"&amp;"/blog/tai-khoan-doanh-nghiep-co-the-khong
https://techcombank.com/thong-tin/blog/cac-loai-the-tin-dung
https://techcombank.com/thong-tin/blog/uu-dai-mua-ve-may-bay-bang-the-tin-dung
https://techcombank.com/thong-tin/blog/the-tin-dung-nao-nhieu-uu-dai-nhat"&amp;"
https://techcombank.com/thong-tin/blog/cach-lam-the-ngan-hang-chay-quang-cao-facebook
https://techcombank.com/thong-tin/blog/mua-iphone-17
https://techcombank.com/thong-tin/blog/mua-truoc-tra-sau
https://techcombank.com/thong-tin/blog/tra-cuu-han-muc-the"&amp;"-tin-dung
https://techcombank.com/thong-tin/blog/the-ghi-no-va-the-tin-dung
https://techcombank.com/thong-tin/blog/dao-han-the-tin-dung
https://techcombank.com/thong-tin/blog/thanh-toan-online-bang-the-tin-dung
https://techcombank.com/thong-tin/blog/uu-da"&amp;"i-mo-the-tin-dung
https://techcombank.com/thong-tin/blog/the-tin-dung-co-chuyen-khoan-duoc-khong
https://techcombank.com/thong-tin/blog/the-tin-dung-techcombank-visa-eco
https://techcombank.com/thong-tin/blog/mo-the-tin-dung-han-muc-cao
https://techcomban"&amp;"k.com/thong-tin/blog/uu-dai-the-tin-dung
https://techcombank.com/thong-tin/blog/lai-suat-the-tin-dung
https://techcombank.com/thong-tin/blog/mo-the-tin-dung-co-loi-ich-gi
https://techcombank.com/thong-tin/blog/the-tin-dung-ao
https://techcombank.com/thong"&amp;"-tin/blog/thanh-toan-toi-thieu-the-tin-dung
https://techcombank.com/thong-tin/blog/tra-gop-shopee
https://techcombank.com/thong-tin/blog/thanh-toan-tien-dien-bang-the-tin-dung
https://techcombank.com/thong-tin/blog/thanh-toan-tra-gop-qua-the-tin-dung
http"&amp;"s://techcombank.com/thong-tin/blog/lam-the-tin-dung
https://techcombank.com/thong-tin/blog/sao-ke-the-tin-dung-la-gi
https://techcombank.com/thong-tin/blog/mm-yy-la-gi
https://techcombank.com/thong-tin/blog/the-tin-dung-mien-phi-thuong-nien
https://techco"&amp;"mbank.com/thong-tin/blog/so-cvv-la-gi
https://techcombank.com/thong-tin/blog/the-visa-co-can-mat-khau-khong
https://techcombank.com/thong-tin/blog/ma-buu-chinh-the-tin-dung
https://techcombank.com/thong-tin/blog/the-tin-dung-den
https://techcombank.com/th"&amp;"ong-tin/blog/3d-secure
https://techcombank.com/thong-tin/blog/tra-gop-lazada
https://techcombank.com/thong-tin/blog/the-tin-dung-co-ma-pin-khong
https://techcombank.com/thong-tin/blog/cic-la-gi
https://techcombank.com/thong-tin/blog/the-tin-dung-noi-dia
h"&amp;"ttps://techcombank.com/thong-tin/blog/lam-ho-so-tra-gop-dien-thoai
https://techcombank.com/thong-tin/blog/thanh-toan-quoc-te")</f>
        <v>https://techcombank.com/thong-tin/blog/phi-thuong-nien-la-gi
https://techcombank.com/thong-tin/blog/khong-su-dung-the-tin-dung-co-mat-phi-khong
https://techcombank.com/thong-tin/blog/cach-khoa-the-ngan-hang
https://techcombank.com/thong-tin/blog/lam-the-tin-dung-co-mat-phi-khong
https://techcombank.com/thong-tin/blog/the-tin-dung-bi-khoa
https://techcombank.com/thong-tin/blog/the-tin-dung-het-han
https://techcombank.com/thong-tin/blog/mat-the-tin-dung-co-bi-mat-tien-khong
https://techcombank.com/thong-tin/blog/tai-khoan-doanh-nghiep-co-the-khong
https://techcombank.com/thong-tin/blog/cac-loai-the-tin-dung
https://techcombank.com/thong-tin/blog/uu-dai-mua-ve-may-bay-bang-the-tin-dung
https://techcombank.com/thong-tin/blog/the-tin-dung-nao-nhieu-uu-dai-nhat
https://techcombank.com/thong-tin/blog/cach-lam-the-ngan-hang-chay-quang-cao-facebook
https://techcombank.com/thong-tin/blog/mua-iphone-17
https://techcombank.com/thong-tin/blog/mua-truoc-tra-sau
https://techcombank.com/thong-tin/blog/tra-cuu-han-muc-the-tin-dung
https://techcombank.com/thong-tin/blog/the-ghi-no-va-the-tin-dung
https://techcombank.com/thong-tin/blog/dao-han-the-tin-dung
https://techcombank.com/thong-tin/blog/thanh-toan-online-bang-the-tin-dung
https://techcombank.com/thong-tin/blog/uu-dai-mo-the-tin-dung
https://techcombank.com/thong-tin/blog/the-tin-dung-co-chuyen-khoan-duoc-khong
https://techcombank.com/thong-tin/blog/the-tin-dung-techcombank-visa-eco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https://techcombank.com/thong-tin/blog/tra-gop-shopee
https://techcombank.com/thong-tin/blog/thanh-toan-tien-dien-bang-the-tin-dung
https://techcombank.com/thong-tin/blog/thanh-toan-tra-gop-qua-the-tin-dung
https://techcombank.com/thong-tin/blog/lam-the-tin-dung
https://techcombank.com/thong-tin/blog/sao-ke-the-tin-dung-la-gi
https://techcombank.com/thong-tin/blog/mm-yy-la-gi
https://techcombank.com/thong-tin/blog/the-tin-dung-mien-phi-thuong-nien
https://techcombank.com/thong-tin/blog/so-cvv-la-gi
https://techcombank.com/thong-tin/blog/the-visa-co-can-mat-khau-khong
https://techcombank.com/thong-tin/blog/ma-buu-chinh-the-tin-dung
https://techcombank.com/thong-tin/blog/the-tin-dung-den
https://techcombank.com/thong-tin/blog/3d-secure
https://techcombank.com/thong-tin/blog/tra-gop-lazada
https://techcombank.com/thong-tin/blog/the-tin-dung-co-ma-pin-khong
https://techcombank.com/thong-tin/blog/cic-la-gi
https://techcombank.com/thong-tin/blog/the-tin-dung-noi-dia
https://techcombank.com/thong-tin/blog/lam-ho-so-tra-gop-dien-thoai
https://techcombank.com/thong-tin/blog/thanh-toan-quoc-te</v>
      </c>
      <c r="J34" s="26" t="s">
        <v>188</v>
      </c>
    </row>
    <row r="35" ht="82.5" customHeight="1">
      <c r="A35" s="12">
        <v>34.0</v>
      </c>
      <c r="B35" s="13" t="s">
        <v>1481</v>
      </c>
      <c r="C35" s="13" t="s">
        <v>1225</v>
      </c>
      <c r="D35" s="21">
        <f>COUNTIF('Kế hoạch chèn link (mới)'!$B$3:$B$2944,C35)</f>
        <v>30</v>
      </c>
      <c r="E35" s="21">
        <f>IFERROR(VLOOKUP(C35,'Link trỏ về từng trang đích'!$B$2:$D$76,3,0),"")</f>
        <v>30</v>
      </c>
      <c r="F35" s="13" t="str">
        <f t="shared" si="1"/>
        <v>Đủ link</v>
      </c>
      <c r="G35" s="13" t="str">
        <f>IF(IFERROR(VLOOKUP(C35,'Inlink đã chèn'!$B$2:$C$200,2,0),0)&gt;0,"Đã có anchor text trỏ về","Chưa có anchor text trỏ về")</f>
        <v>Chưa có anchor text trỏ về</v>
      </c>
      <c r="H35" s="13" t="str">
        <f>IFERROR(__xludf.DUMMYFUNCTION("IFERROR(TEXTJOIN("", "",TRUE,UNIQUE(FILTER('Kế hoạch chèn link (mới)'!$D$3:$D$2944,'Kế hoạch chèn link (mới)'!$B$3:$B$2944=C35))),"""")"),"xếp hạng tín dụng cá nhân, xếp hạng tín dụng")</f>
        <v>xếp hạng tín dụng cá nhân, xếp hạng tín dụng</v>
      </c>
      <c r="I35" s="13" t="str">
        <f>IFERROR(__xludf.DUMMYFUNCTION("IFERROR(TEXTJOIN(CHAR(10),TRUE,FILTER('Kế hoạch chèn link (mới)'!$F$3:$F$2944,'Kế hoạch chèn link (mới)'!$B$3:$B$2944=C35)),"""")"),"https://techcombank.com/thong-tin/blog/lich-su-tin-dung
https://techcombank.com/thong-tin/blog/cach-su-dung-the-tin-dung
https://techcombank.com/thong-tin/blog/du-no-tin-dung-la-gi
https://techcombank.com/thong-tin/blog/dao-han-la-gi
https://techcombank.c"&amp;"om/thong-tin/blog/vay-tin-chap-ho-kinh-doanh
https://techcombank.com/thong-tin/blog/no-xau-co-vay-the-chap-duoc-khong
https://techcombank.com/thong-tin/blog/tin-dung-la-gi
https://techcombank.com/thong-tin/blog/no-xau
https://techcombank.com/thong-tin/blo"&amp;"g/no-xau-la-gi
https://techcombank.com/thong-tin/blog/thi-truong-trai-phieu-co-hoi-dau-tu-trai-phieu-vang-du-lai-suat-thap
https://techcombank.com/thong-tin/blog/kinh-nghiem-vay-tien-mua-nha
https://techcombank.com/thong-tin/blog/no-xau-nhom-2
https://tec"&amp;"hcombank.com/thong-tin/blog/no-the-tin-dung-qua-han
https://techcombank.com/thong-tin/blog/nghich-ly-nha-dau-tu-che-trai-phieu-lai-suat-cao-ua-ma-an-toan-du-lai-suat-thap-hon-05-1
https://techcombank.com/thong-tin/blog/bi-quyet-lua-chon-trai-phieu-an-toan"&amp;"-cho-nha-dau-tu
https://techcombank.com/thong-tin/blog/cho-vay-hop-von-la-gi
https://techcombank.com/thong-tin/blog/co-nen-mua-bao-hiem-nhan-tho
https://techcombank.com/thong-tin/blog/dao-tao-the-he-ke-can
https://techcombank.com/thong-tin/blog/khau-vi-nh"&amp;"a-dau-tu-tpdn-thay-doi-the-nao-sau-nhung-bien-dong-vua-qua
https://techcombank.com/thong-tin/blog/mat-the-tin-dung-co-lam-lai-duoc-khong
https://techcombank.com/thong-tin/blog/nen-mo-tai-khoan-ngan-hang-nao-cho-doanh-nghiep
https://techcombank.com/thong-t"&amp;"in/blog/ngan-hang-uy-tin
https://techcombank.com/thong-tin/blog/nha-dau-tu-giao-dich-trai-phieu-truc-tuyen-tang-manh-tro-lai
https://techcombank.com/thong-tin/blog/vay-the-chap-khong-tra-duoc
https://techcombank.com/thong-tin/blog/kiem-tra-no-xau
https://"&amp;"techcombank.com/thong-tin/blog/thanh-toan-khoan-vay
https://techcombank.com/thong-tin/blog/nang-han-muc-tin-dung
https://techcombank.com/thong-tin/blog/spaylater
https://techcombank.com/thong-tin/blog/luu-y-khi-su-dung-the-tin-dung
https://techcombank.com"&amp;"/thong-tin/blog/vay-tin-chap-no-xau")</f>
        <v>https://techcombank.com/thong-tin/blog/lich-su-tin-dung
https://techcombank.com/thong-tin/blog/cach-su-dung-the-tin-dung
https://techcombank.com/thong-tin/blog/du-no-tin-dung-la-gi
https://techcombank.com/thong-tin/blog/dao-han-la-gi
https://techcombank.com/thong-tin/blog/vay-tin-chap-ho-kinh-doanh
https://techcombank.com/thong-tin/blog/no-xau-co-vay-the-chap-duoc-khong
https://techcombank.com/thong-tin/blog/tin-dung-la-gi
https://techcombank.com/thong-tin/blog/no-xau
https://techcombank.com/thong-tin/blog/no-xau-la-gi
https://techcombank.com/thong-tin/blog/thi-truong-trai-phieu-co-hoi-dau-tu-trai-phieu-vang-du-lai-suat-thap
https://techcombank.com/thong-tin/blog/kinh-nghiem-vay-tien-mua-nha
https://techcombank.com/thong-tin/blog/no-xau-nhom-2
https://techcombank.com/thong-tin/blog/no-the-tin-dung-qua-han
https://techcombank.com/thong-tin/blog/nghich-ly-nha-dau-tu-che-trai-phieu-lai-suat-cao-ua-ma-an-toan-du-lai-suat-thap-hon-05-1
https://techcombank.com/thong-tin/blog/bi-quyet-lua-chon-trai-phieu-an-toan-cho-nha-dau-tu
https://techcombank.com/thong-tin/blog/cho-vay-hop-von-la-gi
https://techcombank.com/thong-tin/blog/co-nen-mua-bao-hiem-nhan-tho
https://techcombank.com/thong-tin/blog/dao-tao-the-he-ke-can
https://techcombank.com/thong-tin/blog/khau-vi-nha-dau-tu-tpdn-thay-doi-the-nao-sau-nhung-bien-dong-vua-qua
https://techcombank.com/thong-tin/blog/mat-the-tin-dung-co-lam-lai-duoc-khong
https://techcombank.com/thong-tin/blog/nen-mo-tai-khoan-ngan-hang-nao-cho-doanh-nghiep
https://techcombank.com/thong-tin/blog/ngan-hang-uy-tin
https://techcombank.com/thong-tin/blog/nha-dau-tu-giao-dich-trai-phieu-truc-tuyen-tang-manh-tro-lai
https://techcombank.com/thong-tin/blog/vay-the-chap-khong-tra-duoc
https://techcombank.com/thong-tin/blog/kiem-tra-no-xau
https://techcombank.com/thong-tin/blog/thanh-toan-khoan-vay
https://techcombank.com/thong-tin/blog/nang-han-muc-tin-dung
https://techcombank.com/thong-tin/blog/spaylater
https://techcombank.com/thong-tin/blog/luu-y-khi-su-dung-the-tin-dung
https://techcombank.com/thong-tin/blog/vay-tin-chap-no-xau</v>
      </c>
      <c r="J35" s="26" t="s">
        <v>188</v>
      </c>
    </row>
    <row r="36" ht="82.5" customHeight="1">
      <c r="A36" s="12">
        <v>35.0</v>
      </c>
      <c r="B36" s="13" t="s">
        <v>1481</v>
      </c>
      <c r="C36" s="13" t="s">
        <v>51</v>
      </c>
      <c r="D36" s="21">
        <f>COUNTIF('Kế hoạch chèn link (mới)'!$B$3:$B$2944,C36)</f>
        <v>30</v>
      </c>
      <c r="E36" s="21">
        <f>IFERROR(VLOOKUP(C36,'Link trỏ về từng trang đích'!$B$2:$D$76,3,0),"")</f>
        <v>30</v>
      </c>
      <c r="F36" s="13" t="str">
        <f t="shared" si="1"/>
        <v>Đủ link</v>
      </c>
      <c r="G36" s="13" t="str">
        <f>IF(IFERROR(VLOOKUP(C36,'Inlink đã chèn'!$B$2:$C$200,2,0),0)&gt;0,"Đã có anchor text trỏ về","Chưa có anchor text trỏ về")</f>
        <v>Chưa có anchor text trỏ về</v>
      </c>
      <c r="H36" s="13" t="str">
        <f>IFERROR(__xludf.DUMMYFUNCTION("IFERROR(TEXTJOIN("", "",TRUE,UNIQUE(FILTER('Kế hoạch chèn link (mới)'!$D$3:$D$2944,'Kế hoạch chèn link (mới)'!$B$3:$B$2944=C36))),"""")"),"thanh toán dư nợ thẻ tín dụng, trả nợ thẻ tín dụng, cách thanh toán thẻ tín dụng")</f>
        <v>thanh toán dư nợ thẻ tín dụng, trả nợ thẻ tín dụng, cách thanh toán thẻ tín dụng</v>
      </c>
      <c r="I36" s="13" t="str">
        <f>IFERROR(__xludf.DUMMYFUNCTION("IFERROR(TEXTJOIN(CHAR(10),TRUE,FILTER('Kế hoạch chèn link (mới)'!$F$3:$F$2944,'Kế hoạch chèn link (mới)'!$B$3:$B$2944=C36)),"""")"),"https://techcombank.com/thong-tin/blog/the-tin-dung-mien-lai-55-ngay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https://techcombank.com/thong-tin/blog/sao-ke-tai-khoan-doanh-nghiep
https://techcombank.com/thong-tin/"&amp;"blog/cac-loai-the-tin-dung
https://techcombank.com/thong-tin/blog/the-tin-dung-mien-phi-thuong-nien
https://techcombank.com/thong-tin/blog/uu-dai-mua-ve-may-bay-bang-the-tin-dung
https://techcombank.com/thong-tin/blog/mat-the-tin-dung-co-bi-mat-tien-khong"&amp;"
https://techcombank.com/thong-tin/blog/the-tin-dung-nao-nhieu-uu-dai-nhat
https://techcombank.com/thong-tin/blog/cach-lam-the-ngan-hang-chay-quang-cao-facebook
https://techcombank.com/thong-tin/blog/mua-iphone-17
https://techcombank.com/thong-tin/blog/th"&amp;"e-visa-co-can-mat-khau-khong
https://techcombank.com/thong-tin/blog/mua-truoc-tra-sau
https://techcombank.com/thong-tin/blog/ma-buu-chinh-the-tin-dung
https://techcombank.com/thong-tin/blog/loyalty-la-gi
https://techcombank.com/thong-tin/blog/the-tin-dung"&amp;"-den
https://techcombank.com/thong-tin/blog/cac-loai-the-ngan-hang
https://techcombank.com/thong-tin/blog/cach-doi-mat-khau-tai-khoan-ngan-hang
https://techcombank.com/thong-tin/blog/uu-dai-the-tin-dung-techcombank-signature
https://techcombank.com/thong-"&amp;"tin/blog/so-cvv-la-gi
https://techcombank.com/thong-tin/blog/the-ghi-no-va-the-tin-dung
https://techcombank.com/thong-tin/blog/du-no-la-gi
https://techcombank.com/thong-tin/blog/tai-khoan-doanh-nghiep-co-the-khong
https://techcombank.com/thong-tin/blog/th"&amp;"e-tin-dung-het-han
https://techcombank.com/thong-tin/blog/co-nen-dung-the-tin-dung-khong
https://techcombank.com/thong-tin/blog/han-muc-the-tin-dung")</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https://techcombank.com/thong-tin/blog/sao-ke-tai-khoan-doanh-nghiep
https://techcombank.com/thong-tin/blog/cac-loai-the-tin-dung
https://techcombank.com/thong-tin/blog/the-tin-dung-mien-phi-thuong-nien
https://techcombank.com/thong-tin/blog/uu-dai-mua-ve-may-bay-bang-the-tin-dung
https://techcombank.com/thong-tin/blog/mat-the-tin-dung-co-bi-mat-tien-khong
https://techcombank.com/thong-tin/blog/the-tin-dung-nao-nhieu-uu-dai-nhat
https://techcombank.com/thong-tin/blog/cach-lam-the-ngan-hang-chay-quang-cao-facebook
https://techcombank.com/thong-tin/blog/mua-iphone-17
https://techcombank.com/thong-tin/blog/the-visa-co-can-mat-khau-khong
https://techcombank.com/thong-tin/blog/mua-truoc-tra-sau
https://techcombank.com/thong-tin/blog/ma-buu-chinh-the-tin-dung
https://techcombank.com/thong-tin/blog/loyalty-la-gi
https://techcombank.com/thong-tin/blog/the-tin-dung-den
https://techcombank.com/thong-tin/blog/cac-loai-the-ngan-hang
https://techcombank.com/thong-tin/blog/cach-doi-mat-khau-tai-khoan-ngan-hang
https://techcombank.com/thong-tin/blog/uu-dai-the-tin-dung-techcombank-signature
https://techcombank.com/thong-tin/blog/so-cvv-la-gi
https://techcombank.com/thong-tin/blog/the-ghi-no-va-the-tin-dung
https://techcombank.com/thong-tin/blog/du-no-la-gi
https://techcombank.com/thong-tin/blog/tai-khoan-doanh-nghiep-co-the-khong
https://techcombank.com/thong-tin/blog/the-tin-dung-het-han
https://techcombank.com/thong-tin/blog/co-nen-dung-the-tin-dung-khong
https://techcombank.com/thong-tin/blog/han-muc-the-tin-dung</v>
      </c>
      <c r="J36" s="26" t="s">
        <v>188</v>
      </c>
    </row>
    <row r="37" ht="82.5" customHeight="1">
      <c r="A37" s="12">
        <v>36.0</v>
      </c>
      <c r="B37" s="13" t="s">
        <v>1634</v>
      </c>
      <c r="C37" s="13" t="s">
        <v>1126</v>
      </c>
      <c r="D37" s="21">
        <f>COUNTIF('Kế hoạch chèn link (mới)'!$B$3:$B$2944,C37)</f>
        <v>30</v>
      </c>
      <c r="E37" s="21">
        <f>IFERROR(VLOOKUP(C37,'Link trỏ về từng trang đích'!$B$2:$D$76,3,0),"")</f>
        <v>30</v>
      </c>
      <c r="F37" s="13" t="str">
        <f t="shared" si="1"/>
        <v>Đủ link</v>
      </c>
      <c r="G37" s="13" t="str">
        <f>IF(IFERROR(VLOOKUP(C37,'Inlink đã chèn'!$B$2:$C$200,2,0),0)&gt;0,"Đã có anchor text trỏ về","Chưa có anchor text trỏ về")</f>
        <v>Chưa có anchor text trỏ về</v>
      </c>
      <c r="H37" s="13" t="str">
        <f>IFERROR(__xludf.DUMMYFUNCTION("IFERROR(TEXTJOIN("", "",TRUE,UNIQUE(FILTER('Kế hoạch chèn link (mới)'!$D$3:$D$2944,'Kế hoạch chèn link (mới)'!$B$3:$B$2944=C37))),"""")"),"chứng chỉ tiền gửi, chứng chỉ tiền gửi là gì")</f>
        <v>chứng chỉ tiền gửi, chứng chỉ tiền gửi là gì</v>
      </c>
      <c r="I37" s="13" t="str">
        <f>IFERROR(__xludf.DUMMYFUNCTION("IFERROR(TEXTJOIN(CHAR(10),TRUE,FILTER('Kế hoạch chèn link (mới)'!$F$3:$F$2944,'Kế hoạch chèn link (mới)'!$B$3:$B$2944=C37)),"""")"),"https://techcombank.com/thong-tin/blog/chung-chi-tien-gui-khac-gi-so-tiet-kiem
https://techcombank.com/thong-tin/blog/co-nen-gui-chung-chi-tien-gui
https://techcombank.com/thong-tin/blog/cach-tinh-loi-nhuan-chung-chi-tien-gui
https://techcombank.com/thong"&amp;"-tin/blog/lai-suat-chung-chi-tien-gui-cac-ngan-hang
https://techcombank.com/thong-tin/blog/tien-nhan-roi-nen-lam-gi
https://techcombank.com/thong-tin/blog/nguyen-tac-quan-ly-tai-chinh-ca-nhan
https://techcombank.com/thong-tin/blog/thanh-khoan-la-gi
https:"&amp;"//techcombank.com/thong-tin/blog/tat-toan
https://techcombank.com/thong-tin/blog/dau-tu-quy-mo
https://techcombank.com/thong-tin/blog/dau-tu-tai-chinh-ca-nhan
https://techcombank.com/thong-tin/blog/mo-so-tiet-kiem-can-bao-nhieu-tien
https://techcombank.co"&amp;"m/thong-tin/blog/6-chiec-lo-tai-chinh-ca-nhan
https://techcombank.com/thong-tin/blog/lam-phat-la-gi
https://techcombank.com/thong-tin/blog/cac-chung-chi-quy-o-viet-nam
https://techcombank.com/thong-tin/blog/the-napas-la-gi
https://techcombank.com/thong-ti"&amp;"n/blog/kinh-nghiem-gui-tiet-kiem-online
https://techcombank.com/thong-tin/blog/vay-the-chap-toi-da-duoc-bao-nhieu
https://techcombank.com/thong-tin/blog/app-ngan-hang-uy-tin
https://techcombank.com/thong-tin/blog/gui-tiet-kiem-hang-thang
https://techcomba"&amp;"nk.com/thong-tin/blog/app-ngan-hang
https://techcombank.com/thong-tin/blog/ca-nhan-hoa
https://techcombank.com/thong-tin/blog/tai-sao-gui-tiet-kiem-online-lai-suat-cao-hon
https://techcombank.com/thong-tin/blog/chung-chi-tien-gui-co-duoc-bao-hiem-khong
ht"&amp;"tps://techcombank.com/thong-tin/blog/quan-ly-tai-chinh-cho-dan-van-phong
https://techcombank.com/thong-tin/blog/gui-tien-ngan-hang-co-an-toan-khong
https://techcombank.com/thong-tin/blog/tat-toan-chung-chi-tien-gui
https://techcombank.com/thong-tin/blog/g"&amp;"ui-tiet-kiem-vang
https://techcombank.com/thong-tin/blog/nen-gui-tiet-kiem-thong-thuong-hay-tich-luy
https://techcombank.com/thong-tin/blog/gui-tiet-kiem-ngan-hang-van-la-lua-chon-an-toan-trong-thoi-ky-kinh-te-con-nhieu-bien-dong
https://techcombank.com/t"&amp;"hong-tin/blog/dau-tu-trai-phieu-doanh-nghiep-dung-ham-lai-suat-cao")</f>
        <v>https://techcombank.com/thong-tin/blog/chung-chi-tien-gui-khac-gi-so-tiet-kiem
https://techcombank.com/thong-tin/blog/co-nen-gui-chung-chi-tien-gui
https://techcombank.com/thong-tin/blog/cach-tinh-loi-nhuan-chung-chi-tien-gui
https://techcombank.com/thong-tin/blog/lai-suat-chung-chi-tien-gui-cac-ngan-hang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https://techcombank.com/thong-tin/blog/the-napas-la-gi
https://techcombank.com/thong-tin/blog/kinh-nghiem-gui-tiet-kiem-online
https://techcombank.com/thong-tin/blog/vay-the-chap-toi-da-duoc-bao-nhieu
https://techcombank.com/thong-tin/blog/app-ngan-hang-uy-tin
https://techcombank.com/thong-tin/blog/gui-tiet-kiem-hang-thang
https://techcombank.com/thong-tin/blog/app-ngan-hang
https://techcombank.com/thong-tin/blog/ca-nhan-hoa
https://techcombank.com/thong-tin/blog/tai-sao-gui-tiet-kiem-online-lai-suat-cao-hon
https://techcombank.com/thong-tin/blog/chung-chi-tien-gui-co-duoc-bao-hiem-khong
https://techcombank.com/thong-tin/blog/quan-ly-tai-chinh-cho-dan-van-phong
https://techcombank.com/thong-tin/blog/gui-tien-ngan-hang-co-an-toan-khong
https://techcombank.com/thong-tin/blog/tat-toan-chung-chi-tien-gui
https://techcombank.com/thong-tin/blog/gui-tiet-kiem-vang
https://techcombank.com/thong-tin/blog/nen-gui-tiet-kiem-thong-thuong-hay-tich-luy
https://techcombank.com/thong-tin/blog/gui-tiet-kiem-ngan-hang-van-la-lua-chon-an-toan-trong-thoi-ky-kinh-te-con-nhieu-bien-dong
https://techcombank.com/thong-tin/blog/dau-tu-trai-phieu-doanh-nghiep-dung-ham-lai-suat-cao</v>
      </c>
      <c r="J37" s="26" t="s">
        <v>188</v>
      </c>
    </row>
    <row r="38" ht="82.5" customHeight="1">
      <c r="A38" s="12">
        <v>37.0</v>
      </c>
      <c r="B38" s="13" t="s">
        <v>1634</v>
      </c>
      <c r="C38" s="13" t="s">
        <v>855</v>
      </c>
      <c r="D38" s="21">
        <f>COUNTIF('Kế hoạch chèn link (mới)'!$B$3:$B$2944,C38)</f>
        <v>28</v>
      </c>
      <c r="E38" s="21">
        <f>IFERROR(VLOOKUP(C38,'Link trỏ về từng trang đích'!$B$2:$D$76,3,0),"")</f>
        <v>30</v>
      </c>
      <c r="F38" s="13" t="str">
        <f t="shared" si="1"/>
        <v>Thiếu 2 link</v>
      </c>
      <c r="G38" s="13" t="str">
        <f>IF(IFERROR(VLOOKUP(C38,'Inlink đã chèn'!$B$2:$C$200,2,0),0)&gt;0,"Đã có anchor text trỏ về","Chưa có anchor text trỏ về")</f>
        <v>Chưa có anchor text trỏ về</v>
      </c>
      <c r="H38" s="13" t="str">
        <f>IFERROR(__xludf.DUMMYFUNCTION("IFERROR(TEXTJOIN("", "",TRUE,UNIQUE(FILTER('Kế hoạch chèn link (mới)'!$D$3:$D$2944,'Kế hoạch chèn link (mới)'!$B$3:$B$2944=C38))),"""")"),"lợi suất chứng chỉ tiền gửi, lãi suất chứng chỉ tiền gửi, lãi suất chứng chỉ tiền gửi các ngân hàng")</f>
        <v>lợi suất chứng chỉ tiền gửi, lãi suất chứng chỉ tiền gửi, lãi suất chứng chỉ tiền gửi các ngân hàng</v>
      </c>
      <c r="I38" s="13" t="str">
        <f>IFERROR(__xludf.DUMMYFUNCTION("IFERROR(TEXTJOIN(CHAR(10),TRUE,FILTER('Kế hoạch chèn link (mới)'!$F$3:$F$2944,'Kế hoạch chèn link (mới)'!$B$3:$B$2944=C38)),"""")"),"https://techcombank.com/thong-tin/blog/cach-tinh-loi-nhuan-chung-chi-tien-gui
https://techcombank.com/thong-tin/blog/tat-toan-chung-chi-tien-gui
https://techcombank.com/thong-tin/blog/chung-chi-tien-gui-co-duoc-rut-truoc-han
https://techcombank.com/thong-"&amp;"tin/blog/chuyen-nhuong-chung-chi-tien-gui
https://techcombank.com/thong-tin/blog/chung-chi-tien-gui-co-duoc-bao-hiem-khong
https://techcombank.com/thong-tin/blog/co-nen-gui-chung-chi-tien-gui
https://techcombank.com/thong-tin/blog/dau-tu-trai-phieu-doanh-"&amp;"nghiep-dung-ham-lai-suat-cao
https://techcombank.com/thong-tin/blog/quan-ly-tai-chinh-doanh-nghiep-nho
https://techcombank.com/thong-tin/blog/so-tiet-kiem-ngan-hang
https://techcombank.com/thong-tin/blog/gui-tiet-kiem-theo-ngay
https://techcombank.com/tho"&amp;"ng-tin/blog/lai-kep-ngan-hang
https://techcombank.com/thong-tin/blog/tat-toan-so-tiet-kiem
https://techcombank.com/thong-tin/blog/lai-suat-chung-chi-quy
https://techcombank.com/thong-tin/blog/quan-ly-tai-chinh-doanh-nghiep-la-gi
https://techcombank.com/th"&amp;"ong-tin/blog/the-tin-dung-ao
https://techcombank.com/thong-tin/blog/chung-chi-tien-gui-la-gi
https://techcombank.com/thong-tin/blog/chon-kenh-dau-tu-an-toan-trong-boi-canh-thi-truong-bien-dong
https://techcombank.com/thong-tin/blog/chung-chi-tien-gui-co-p"&amp;"hai-la-trai-phieu-khong
https://techcombank.com/thong-tin/blog/tien-gui-co-ky-han
https://techcombank.com/thong-tin/blog/thi-truong-trai-phieu-co-hoi-dau-tu-trai-phieu-vang-du-lai-suat-thap
https://techcombank.com/thong-tin/blog/cach-quan-ly-tai-san
https"&amp;"://techcombank.com/thong-tin/blog/esg
https://techcombank.com/thong-tin/blog/nim-la-gi
https://techcombank.com/thong-tin/blog/tinh-thanh-khoan-la-gi
https://techcombank.com/thong-tin/blog/tien-nhan-roi-nen-lam-gi
https://techcombank.com/thong-tin/blog/ngu"&amp;"yen-tac-quan-ly-tai-chinh-ca-nhan
https://techcombank.com/thong-tin/blog/thanh-khoan-la-gi
https://techcombank.com/thong-tin/blog/hoc-sinh-sinh-vien-nen-lam-the-ngan-hang-nao")</f>
        <v>https://techcombank.com/thong-tin/blog/cach-tinh-loi-nhuan-chung-chi-tien-gui
https://techcombank.com/thong-tin/blog/tat-toan-chung-chi-tien-gui
https://techcombank.com/thong-tin/blog/chung-chi-tien-gui-co-duoc-rut-truoc-han
https://techcombank.com/thong-tin/blog/chuyen-nhuong-chung-chi-tien-gui
https://techcombank.com/thong-tin/blog/chung-chi-tien-gui-co-duoc-bao-hiem-khong
https://techcombank.com/thong-tin/blog/co-nen-gui-chung-chi-tien-gui
https://techcombank.com/thong-tin/blog/dau-tu-trai-phieu-doanh-nghiep-dung-ham-lai-suat-cao
https://techcombank.com/thong-tin/blog/quan-ly-tai-chinh-doanh-nghiep-nho
https://techcombank.com/thong-tin/blog/so-tiet-kiem-ngan-hang
https://techcombank.com/thong-tin/blog/gui-tiet-kiem-theo-ngay
https://techcombank.com/thong-tin/blog/lai-kep-ngan-hang
https://techcombank.com/thong-tin/blog/tat-toan-so-tiet-kiem
https://techcombank.com/thong-tin/blog/lai-suat-chung-chi-quy
https://techcombank.com/thong-tin/blog/quan-ly-tai-chinh-doanh-nghiep-la-gi
https://techcombank.com/thong-tin/blog/the-tin-dung-ao
https://techcombank.com/thong-tin/blog/chung-chi-tien-gui-la-gi
https://techcombank.com/thong-tin/blog/chon-kenh-dau-tu-an-toan-trong-boi-canh-thi-truong-bien-dong
https://techcombank.com/thong-tin/blog/chung-chi-tien-gui-co-phai-la-trai-phieu-khong
https://techcombank.com/thong-tin/blog/tien-gui-co-ky-han
https://techcombank.com/thong-tin/blog/thi-truong-trai-phieu-co-hoi-dau-tu-trai-phieu-vang-du-lai-suat-thap
https://techcombank.com/thong-tin/blog/cach-quan-ly-tai-san
https://techcombank.com/thong-tin/blog/esg
https://techcombank.com/thong-tin/blog/nim-la-gi
https://techcombank.com/thong-tin/blog/tinh-thanh-khoan-la-gi
https://techcombank.com/thong-tin/blog/tien-nhan-roi-nen-lam-gi
https://techcombank.com/thong-tin/blog/nguyen-tac-quan-ly-tai-chinh-ca-nhan
https://techcombank.com/thong-tin/blog/thanh-khoan-la-gi
https://techcombank.com/thong-tin/blog/hoc-sinh-sinh-vien-nen-lam-the-ngan-hang-nao</v>
      </c>
      <c r="J38" s="26" t="s">
        <v>188</v>
      </c>
    </row>
    <row r="39" ht="82.5" customHeight="1">
      <c r="A39" s="12">
        <v>38.0</v>
      </c>
      <c r="B39" s="13" t="s">
        <v>1662</v>
      </c>
      <c r="C39" s="13" t="s">
        <v>95</v>
      </c>
      <c r="D39" s="21">
        <f>COUNTIF('Kế hoạch chèn link (mới)'!$B$3:$B$2944,C39)</f>
        <v>30</v>
      </c>
      <c r="E39" s="21">
        <f>IFERROR(VLOOKUP(C39,'Link trỏ về từng trang đích'!$B$2:$D$76,3,0),"")</f>
        <v>30</v>
      </c>
      <c r="F39" s="13" t="str">
        <f t="shared" si="1"/>
        <v>Đủ link</v>
      </c>
      <c r="G39" s="13" t="str">
        <f>IF(IFERROR(VLOOKUP(C39,'Inlink đã chèn'!$B$2:$C$200,2,0),0)&gt;0,"Đã có anchor text trỏ về","Chưa có anchor text trỏ về")</f>
        <v>Chưa có anchor text trỏ về</v>
      </c>
      <c r="H39" s="13" t="str">
        <f>IFERROR(__xludf.DUMMYFUNCTION("IFERROR(TEXTJOIN("", "",TRUE,UNIQUE(FILTER('Kế hoạch chèn link (mới)'!$D$3:$D$2944,'Kế hoạch chèn link (mới)'!$B$3:$B$2944=C39))),"""")"),"tỷ giá Nhân dân tệ, 1 Tệ bằng bao nhiêu tiền Việt")</f>
        <v>tỷ giá Nhân dân tệ, 1 Tệ bằng bao nhiêu tiền Việt</v>
      </c>
      <c r="I39" s="13" t="str">
        <f>IFERROR(__xludf.DUMMYFUNCTION("IFERROR(TEXTJOIN(CHAR(10),TRUE,FILTER('Kế hoạch chèn link (mới)'!$F$3:$F$2944,'Kế hoạch chèn link (mới)'!$B$3:$B$2944=C39)),"""")"),"https://techcombank.com/thong-tin/blog/tien-trung-quoc
https://techcombank.com/thong-tin/blog/1000-te-bang-bao-nhieu-tien-viet
https://techcombank.com/thong-tin/blog/1-van-te-bang-bao-nhieu-tien-viet
https://techcombank.com/thong-tin/blog/thanh-toan-khi-d"&amp;"u-lich-trung-quoc
https://techcombank.com/thong-tin/blog/1-man-bang-bao-nhieu-tien-viet
https://techcombank.com/thong-tin/blog/han-muc-mua-ngoai-te-khi-di-du-lich
https://techcombank.com/thong-tin/blog/tai-khoan-ngan-hang-la-gi
https://techcombank.com/tho"&amp;"ng-tin/blog/chuyen-tien-tu-duc-ve-viet-nam
https://techcombank.com/thong-tin/blog/cach-nhan-tien-tu-nuoc-ngoai-ve-viet-nam
https://techcombank.com/thong-tin/blog/phi-chuyen-doi-ngoai-te
https://techcombank.com/thong-tin/blog/1000-won-bang-bao-nhieu-tien-v"&amp;"iet
https://techcombank.com/thong-tin/blog/tien-dai-loan
https://techcombank.com/thong-tin/blog/1-dong-do-la-my-bang-bao-nhieu-tien-viet-nam
https://techcombank.com/thong-tin/blog/1000-yen-bang-bao-nhieu-tien-viet
https://techcombank.com/thong-tin/blog/1-"&amp;"won-bang-bao-nhieu-tien-viet
https://techcombank.com/thong-tin/blog/1-do-uc-bang-bao-nhieu-tien-viet
https://techcombank.com/thong-tin/blog/1-cent-bang-bao-nhieu-tien-viet
https://techcombank.com/thong-tin/blog/1-euro-bang-bao-nhieu-tien-viet
https://tech"&amp;"combank.com/thong-tin/blog/1-trieu-won-bang-bao-nhieu-tien-viet
https://techcombank.com/thong-tin/blog/tien-lao
https://techcombank.com/thong-tin/blog/thanh-toan-bang-the-quoc-te
https://techcombank.com/thong-tin/blog/ngoai-te-la-gi
https://techcombank.co"&amp;"m/thong-tin/blog/di-du-lich-nuoc-ngoai-can-chuan-bi-gi
https://techcombank.com/thong-tin/blog/quy-dinh-ve-mua-ban-ngoai-te-cua-doanh-nghiep
https://techcombank.com/thong-tin/blog/ngoai-hoi-la-gi
https://techcombank.com/thong-tin/blog/ty-gia-cac-ngan-hang
"&amp;"https://techcombank.com/thong-tin/blog/ty-gia-la-gi
https://techcombank.com/thong-tin/blog/doi-tien-do-o-dau
https://techcombank.com/thong-tin/blog/cach-tinh-ty-gia-ky-han
https://techcombank.com/thong-tin/blog/chuyen-tien-tro-cap-than-nhan-o-nuoc-ngoai")</f>
        <v>https://techcombank.com/thong-tin/blog/tien-trung-quoc
https://techcombank.com/thong-tin/blog/1000-te-bang-bao-nhieu-tien-viet
https://techcombank.com/thong-tin/blog/1-van-te-bang-bao-nhieu-tien-viet
https://techcombank.com/thong-tin/blog/thanh-toan-khi-du-lich-trung-quoc
https://techcombank.com/thong-tin/blog/1-man-bang-bao-nhieu-tien-viet
https://techcombank.com/thong-tin/blog/han-muc-mua-ngoai-te-khi-di-du-lich
https://techcombank.com/thong-tin/blog/tai-khoan-ngan-hang-la-gi
https://techcombank.com/thong-tin/blog/chuyen-tien-tu-duc-ve-viet-nam
https://techcombank.com/thong-tin/blog/cach-nhan-tien-tu-nuoc-ngoai-ve-viet-nam
https://techcombank.com/thong-tin/blog/phi-chuyen-doi-ngoai-te
https://techcombank.com/thong-tin/blog/1000-won-bang-bao-nhieu-tien-viet
https://techcombank.com/thong-tin/blog/tien-dai-loan
https://techcombank.com/thong-tin/blog/1-dong-do-la-my-bang-bao-nhieu-tien-viet-nam
https://techcombank.com/thong-tin/blog/1000-yen-bang-bao-nhieu-tien-viet
https://techcombank.com/thong-tin/blog/1-won-bang-bao-nhieu-tien-viet
https://techcombank.com/thong-tin/blog/1-do-uc-bang-bao-nhieu-tien-viet
https://techcombank.com/thong-tin/blog/1-cent-bang-bao-nhieu-tien-viet
https://techcombank.com/thong-tin/blog/1-euro-bang-bao-nhieu-tien-viet
https://techcombank.com/thong-tin/blog/1-trieu-won-bang-bao-nhieu-tien-viet
https://techcombank.com/thong-tin/blog/tien-lao
https://techcombank.com/thong-tin/blog/thanh-toan-bang-the-quoc-te
https://techcombank.com/thong-tin/blog/ngoai-te-la-gi
https://techcombank.com/thong-tin/blog/di-du-lich-nuoc-ngoai-can-chuan-bi-gi
https://techcombank.com/thong-tin/blog/quy-dinh-ve-mua-ban-ngoai-te-cua-doanh-nghiep
https://techcombank.com/thong-tin/blog/ngoai-hoi-la-gi
https://techcombank.com/thong-tin/blog/ty-gia-cac-ngan-hang
https://techcombank.com/thong-tin/blog/ty-gia-la-gi
https://techcombank.com/thong-tin/blog/doi-tien-do-o-dau
https://techcombank.com/thong-tin/blog/cach-tinh-ty-gia-ky-han
https://techcombank.com/thong-tin/blog/chuyen-tien-tro-cap-than-nhan-o-nuoc-ngoai</v>
      </c>
      <c r="J39" s="26" t="s">
        <v>188</v>
      </c>
    </row>
    <row r="40" ht="82.5" customHeight="1">
      <c r="A40" s="12">
        <v>39.0</v>
      </c>
      <c r="B40" s="13" t="s">
        <v>1662</v>
      </c>
      <c r="C40" s="13" t="s">
        <v>173</v>
      </c>
      <c r="D40" s="21">
        <f>COUNTIF('Kế hoạch chèn link (mới)'!$B$3:$B$2944,C40)</f>
        <v>30</v>
      </c>
      <c r="E40" s="21">
        <f>IFERROR(VLOOKUP(C40,'Link trỏ về từng trang đích'!$B$2:$D$76,3,0),"")</f>
        <v>30</v>
      </c>
      <c r="F40" s="13" t="str">
        <f t="shared" si="1"/>
        <v>Đủ link</v>
      </c>
      <c r="G40" s="13" t="str">
        <f>IF(IFERROR(VLOOKUP(C40,'Inlink đã chèn'!$B$2:$C$200,2,0),0)&gt;0,"Đã có anchor text trỏ về","Chưa có anchor text trỏ về")</f>
        <v>Chưa có anchor text trỏ về</v>
      </c>
      <c r="H40" s="13" t="str">
        <f>IFERROR(__xludf.DUMMYFUNCTION("IFERROR(TEXTJOIN("", "",TRUE,UNIQUE(FILTER('Kế hoạch chèn link (mới)'!$D$3:$D$2944,'Kế hoạch chèn link (mới)'!$B$3:$B$2944=C40))),"""")"),"tỷ giá USD/VND, 1 đô bằng bao nhiêu tiền Việt")</f>
        <v>tỷ giá USD/VND, 1 đô bằng bao nhiêu tiền Việt</v>
      </c>
      <c r="I40" s="13" t="str">
        <f>IFERROR(__xludf.DUMMYFUNCTION("IFERROR(TEXTJOIN(CHAR(10),TRUE,FILTER('Kế hoạch chèn link (mới)'!$F$3:$F$2944,'Kế hoạch chèn link (mới)'!$B$3:$B$2944=C40)),"""")"),"https://techcombank.com/thong-tin/blog/xu-huong-ty-gia-usd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https://"&amp;"techcombank.com/thong-tin/blog/lai-suat-gui-tiet-kiem-usd
https://techcombank.com/thong-tin/blog/gui-tiet-kiem-usd
https://techcombank.com/thong-tin/blog/1-trieu-do-bang-bao-nhieu-tien-viet
https://techcombank.com/thong-tin/blog/1-te-bang-bao-nhieu-tien-v"&amp;"iet-nam
https://techcombank.com/thong-tin/blog/tien-trung-quoc
https://techcombank.com/thong-tin/blog/1-van-te-bang-bao-nhieu-tien-viet
https://techcombank.com/thong-tin/blog/tien-dai-loan
https://techcombank.com/thong-tin/blog/1-won-bang-bao-nhieu-tien-v"&amp;"iet
https://techcombank.com/thong-tin/blog/chuyen-tien-di-uc
https://techcombank.com/thong-tin/blog/tien-singapore
https://techcombank.com/thong-tin/blog/1000-won-bang-bao-nhieu-tien-viet
https://techcombank.com/thong-tin/blog/chuyen-tien-tu-nhat-ve-viet-"&amp;"nam
https://techcombank.com/thong-tin/blog/1000-te-bang-bao-nhieu-tien-viet
https://techcombank.com/thong-tin/blog/100-riel-bang-bao-nhieu-tien-viet-nam
https://techcombank.com/thong-tin/blog/tien-indonesia
https://techcombank.com/thong-tin/blog/gui-tien-"&amp;"du-hoc
https://techcombank.com/thong-tin/blog/tien-nhat
https://techcombank.com/thong-tin/blog/vay-du-hoc
https://techcombank.com/thong-tin/blog/tien-malaysia
https://techcombank.com/thong-tin/blog/1-chi-vang-bao-nhieu-tien
https://techcombank.com/thong-t"&amp;"in/blog/tien-lao
https://techcombank.com/thong-tin/blog/ty-gia-hoi-doai-la-gi")</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https://techcombank.com/thong-tin/blog/lai-suat-gui-tiet-kiem-usd
https://techcombank.com/thong-tin/blog/gui-tiet-kiem-usd
https://techcombank.com/thong-tin/blog/1-trieu-do-bang-bao-nhieu-tien-viet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https://techcombank.com/thong-tin/blog/chuyen-tien-di-uc
https://techcombank.com/thong-tin/blog/tien-singapore
https://techcombank.com/thong-tin/blog/1000-won-bang-bao-nhieu-tien-viet
https://techcombank.com/thong-tin/blog/chuyen-tien-tu-nhat-ve-viet-nam
https://techcombank.com/thong-tin/blog/1000-te-bang-bao-nhieu-tien-viet
https://techcombank.com/thong-tin/blog/100-riel-bang-bao-nhieu-tien-viet-nam
https://techcombank.com/thong-tin/blog/tien-indonesia
https://techcombank.com/thong-tin/blog/gui-tien-du-hoc
https://techcombank.com/thong-tin/blog/tien-nhat
https://techcombank.com/thong-tin/blog/vay-du-hoc
https://techcombank.com/thong-tin/blog/tien-malaysia
https://techcombank.com/thong-tin/blog/1-chi-vang-bao-nhieu-tien
https://techcombank.com/thong-tin/blog/tien-lao
https://techcombank.com/thong-tin/blog/ty-gia-hoi-doai-la-gi</v>
      </c>
      <c r="J40" s="26" t="s">
        <v>188</v>
      </c>
    </row>
    <row r="41" ht="82.5" customHeight="1">
      <c r="A41" s="12">
        <v>40.0</v>
      </c>
      <c r="B41" s="13" t="s">
        <v>1662</v>
      </c>
      <c r="C41" s="13" t="s">
        <v>783</v>
      </c>
      <c r="D41" s="21">
        <f>COUNTIF('Kế hoạch chèn link (mới)'!$B$3:$B$2944,C41)</f>
        <v>30</v>
      </c>
      <c r="E41" s="21">
        <f>IFERROR(VLOOKUP(C41,'Link trỏ về từng trang đích'!$B$2:$D$76,3,0),"")</f>
        <v>30</v>
      </c>
      <c r="F41" s="13" t="str">
        <f t="shared" si="1"/>
        <v>Đủ link</v>
      </c>
      <c r="G41" s="13" t="str">
        <f>IF(IFERROR(VLOOKUP(C41,'Inlink đã chèn'!$B$2:$C$200,2,0),0)&gt;0,"Đã có anchor text trỏ về","Chưa có anchor text trỏ về")</f>
        <v>Chưa có anchor text trỏ về</v>
      </c>
      <c r="H41" s="13" t="str">
        <f>IFERROR(__xludf.DUMMYFUNCTION("IFERROR(TEXTJOIN("", "",TRUE,UNIQUE(FILTER('Kế hoạch chèn link (mới)'!$D$3:$D$2944,'Kế hoạch chèn link (mới)'!$B$3:$B$2944=C41))),"""")"),"tiền Nhật, tiền Yên Nhật")</f>
        <v>tiền Nhật, tiền Yên Nhật</v>
      </c>
      <c r="I41" s="13" t="str">
        <f>IFERROR(__xludf.DUMMYFUNCTION("IFERROR(TEXTJOIN(CHAR(10),TRUE,FILTER('Kế hoạch chèn link (mới)'!$F$3:$F$2944,'Kế hoạch chèn link (mới)'!$B$3:$B$2944=C41)),"""")"),"https://techcombank.com/thong-tin/blog/1-man-bang-bao-nhieu-tien-viet
https://techcombank.com/thong-tin/blog/chuyen-tien-tu-nhat-ve-viet-nam
https://techcombank.com/thong-tin/blog/thanh-toan-khi-du-lich-nhat-ban
https://techcombank.com/thong-tin/blog/cach"&amp;"-tiet-kiem-tien-cua-nguoi-nhat
https://techcombank.com/thong-tin/blog/1000-yen-bang-bao-nhieu-tien-viet
https://techcombank.com/thong-tin/blog/cach-tinh-lai-suat-tien-gui-tiet-kiem
https://techcombank.com/thong-tin/blog/han-muc-mua-ngoai-te-khi-di-du-lich"&amp;"
https://techcombank.com/thong-tin/blog/1-dong-do-la-my-bang-bao-nhieu-tien-viet-nam
https://techcombank.com/thong-tin/blog/1-te-bang-bao-nhieu-tien-viet-nam
https://techcombank.com/thong-tin/blog/tien-trung-quoc
https://techcombank.com/thong-tin/blog/gui"&amp;"-tiet-kiem-lay-lai-hang-thang
https://techcombank.com/thong-tin/blog/tien-singapore
https://techcombank.com/thong-tin/blog/1000-won-bang-bao-nhieu-tien-viet
https://techcombank.com/thong-tin/blog/chuyen-tien-tu-han-sang-viet-nam
https://techcombank.com/th"&amp;"ong-tin/blog/1-van-te-bang-bao-nhieu-tien-viet
https://techcombank.com/thong-tin/blog/1000-te-bang-bao-nhieu-tien-viet
https://techcombank.com/thong-tin/blog/100-riel-bang-bao-nhieu-tien-viet-nam
https://techcombank.com/thong-tin/blog/tien-indonesia
https"&amp;"://techcombank.com/thong-tin/blog/nop-thue-hai-quan
https://techcombank.com/thong-tin/blog/chuyen-tien-di-uc
https://techcombank.com/thong-tin/blog/tien-dai-loan
https://techcombank.com/thong-tin/blog/nen-de-tien-trong-the-hay-gui-tiet-kiem
https://techco"&amp;"mbank.com/thong-tin/blog/1-won-bang-bao-nhieu-tien-viet
https://techcombank.com/thong-tin/blog/1-do-uc-bang-bao-nhieu-tien-viet
https://techcombank.com/thong-tin/blog/ma-swift-ngan-hang
https://techcombank.com/thong-tin/blog/co-nen-gui-tiet-kiem-online
ht"&amp;"tps://techcombank.com/thong-tin/blog/vnd-to-myr
https://techcombank.com/thong-tin/blog/thu-tuc-chuyen-tien-ra-nuoc-ngoai
https://techcombank.com/thong-tin/blog/cach-nhan-tien-tu-nuoc-ngoai-ve-viet-nam
https://techcombank.com/thong-tin/blog/1-chi-vang-bao-"&amp;"nhieu-tien")</f>
        <v>https://techcombank.com/thong-tin/blog/1-man-bang-bao-nhieu-tien-viet
https://techcombank.com/thong-tin/blog/chuyen-tien-tu-nhat-ve-viet-nam
https://techcombank.com/thong-tin/blog/thanh-toan-khi-du-lich-nhat-ban
https://techcombank.com/thong-tin/blog/cach-tiet-kiem-tien-cua-nguoi-nhat
https://techcombank.com/thong-tin/blog/1000-yen-bang-bao-nhieu-tien-viet
https://techcombank.com/thong-tin/blog/cach-tinh-lai-suat-tien-gui-tiet-kiem
https://techcombank.com/thong-tin/blog/han-muc-mua-ngoai-te-khi-di-du-lich
https://techcombank.com/thong-tin/blog/1-dong-do-la-my-bang-bao-nhieu-tien-viet-nam
https://techcombank.com/thong-tin/blog/1-te-bang-bao-nhieu-tien-viet-nam
https://techcombank.com/thong-tin/blog/tien-trung-quoc
https://techcombank.com/thong-tin/blog/gui-tiet-kiem-lay-lai-hang-thang
https://techcombank.com/thong-tin/blog/tien-singapore
https://techcombank.com/thong-tin/blog/1000-won-bang-bao-nhieu-tien-viet
https://techcombank.com/thong-tin/blog/chuyen-tien-tu-han-sang-viet-nam
https://techcombank.com/thong-tin/blog/1-van-te-bang-bao-nhieu-tien-viet
https://techcombank.com/thong-tin/blog/1000-te-bang-bao-nhieu-tien-viet
https://techcombank.com/thong-tin/blog/100-riel-bang-bao-nhieu-tien-viet-nam
https://techcombank.com/thong-tin/blog/tien-indonesia
https://techcombank.com/thong-tin/blog/nop-thue-hai-quan
https://techcombank.com/thong-tin/blog/chuyen-tien-di-uc
https://techcombank.com/thong-tin/blog/tien-dai-loan
https://techcombank.com/thong-tin/blog/nen-de-tien-trong-the-hay-gui-tiet-kiem
https://techcombank.com/thong-tin/blog/1-won-bang-bao-nhieu-tien-viet
https://techcombank.com/thong-tin/blog/1-do-uc-bang-bao-nhieu-tien-viet
https://techcombank.com/thong-tin/blog/ma-swift-ngan-hang
https://techcombank.com/thong-tin/blog/co-nen-gui-tiet-kiem-online
https://techcombank.com/thong-tin/blog/vnd-to-myr
https://techcombank.com/thong-tin/blog/thu-tuc-chuyen-tien-ra-nuoc-ngoai
https://techcombank.com/thong-tin/blog/cach-nhan-tien-tu-nuoc-ngoai-ve-viet-nam
https://techcombank.com/thong-tin/blog/1-chi-vang-bao-nhieu-tien</v>
      </c>
      <c r="J41" s="26" t="s">
        <v>188</v>
      </c>
    </row>
    <row r="42" ht="82.5" customHeight="1">
      <c r="A42" s="12">
        <v>41.0</v>
      </c>
      <c r="B42" s="13" t="s">
        <v>1662</v>
      </c>
      <c r="C42" s="13" t="s">
        <v>1115</v>
      </c>
      <c r="D42" s="21">
        <f>COUNTIF('Kế hoạch chèn link (mới)'!$B$3:$B$2944,C42)</f>
        <v>27</v>
      </c>
      <c r="E42" s="21">
        <f>IFERROR(VLOOKUP(C42,'Link trỏ về từng trang đích'!$B$2:$D$76,3,0),"")</f>
        <v>30</v>
      </c>
      <c r="F42" s="13" t="str">
        <f t="shared" si="1"/>
        <v>Thiếu 3 link</v>
      </c>
      <c r="G42" s="13" t="str">
        <f>IF(IFERROR(VLOOKUP(C42,'Inlink đã chèn'!$B$2:$C$200,2,0),0)&gt;0,"Đã có anchor text trỏ về","Chưa có anchor text trỏ về")</f>
        <v>Chưa có anchor text trỏ về</v>
      </c>
      <c r="H42" s="13" t="str">
        <f>IFERROR(__xludf.DUMMYFUNCTION("IFERROR(TEXTJOIN("", "",TRUE,UNIQUE(FILTER('Kế hoạch chèn link (mới)'!$D$3:$D$2944,'Kế hoạch chèn link (mới)'!$B$3:$B$2944=C42))),"""")"),"tỷ giá Yên Nhật, 1 Yên bằng bao nhiêu tiền Việt")</f>
        <v>tỷ giá Yên Nhật, 1 Yên bằng bao nhiêu tiền Việt</v>
      </c>
      <c r="I42" s="13" t="str">
        <f>IFERROR(__xludf.DUMMYFUNCTION("IFERROR(TEXTJOIN(CHAR(10),TRUE,FILTER('Kế hoạch chèn link (mới)'!$F$3:$F$2944,'Kế hoạch chèn link (mới)'!$B$3:$B$2944=C42)),"""")"),"https://techcombank.com/thong-tin/blog/tien-nhat
https://techcombank.com/thong-tin/blog/1-man-bang-bao-nhieu-tien-viet
https://techcombank.com/thong-tin/blog/1000-yen-bang-bao-nhieu-tien-viet
https://techcombank.com/thong-tin/blog/chuyen-tien-tu-nhat-ve-v"&amp;"iet-nam
https://techcombank.com/thong-tin/blog/cach-rut-tien-atm
https://techcombank.com/thong-tin/blog/1-dong-do-la-my-bang-bao-nhieu-tien-viet-nam
https://techcombank.com/thong-tin/blog/1-te-bang-bao-nhieu-tien-viet-nam
https://techcombank.com/thong-tin"&amp;"/blog/tien-trung-quoc
https://techcombank.com/thong-tin/blog/1-van-tien-dai-loan-bang-bao-nhieu-tien-viet
https://techcombank.com/thong-tin/blog/1-van-te-bang-bao-nhieu-tien-viet
https://techcombank.com/thong-tin/blog/1-trieu-do-bang-bao-nhieu-tien-viet
h"&amp;"ttps://techcombank.com/thong-tin/blog/tien-dai-loan
https://techcombank.com/thong-tin/blog/1-cent-bang-bao-nhieu-tien-viet
https://techcombank.com/thong-tin/blog/1-won-bang-bao-nhieu-tien-viet
https://techcombank.com/thong-tin/blog/1-do-uc-bang-bao-nhieu-"&amp;"tien-viet
https://techcombank.com/thong-tin/blog/vi-dien-tu-la-gi
https://techcombank.com/thong-tin/blog/shopeepay-la-gi
https://techcombank.com/thong-tin/blog/tien-lao
https://techcombank.com/thong-tin/blog/thanh-toan-khi-du-lich-nhat-ban
https://techcom"&amp;"bank.com/thong-tin/blog/doi-tien-do-o-dau
https://techcombank.com/thong-tin/blog/1000-won-bang-bao-nhieu-tien-viet
https://techcombank.com/thong-tin/blog/100-riel-bang-bao-nhieu-tien-viet-nam
https://techcombank.com/thong-tin/blog/tien-indonesia
https://t"&amp;"echcombank.com/thong-tin/blog/chuyen-tien-di-uc
https://techcombank.com/thong-tin/blog/tien-thai-lan
https://techcombank.com/thong-tin/blog/tien-malaysia
https://techcombank.com/thong-tin/blog/vnd-to-myr")</f>
        <v>https://techcombank.com/thong-tin/blog/tien-nhat
https://techcombank.com/thong-tin/blog/1-man-bang-bao-nhieu-tien-viet
https://techcombank.com/thong-tin/blog/1000-yen-bang-bao-nhieu-tien-viet
https://techcombank.com/thong-tin/blog/chuyen-tien-tu-nhat-ve-viet-nam
https://techcombank.com/thong-tin/blog/cach-rut-tien-atm
https://techcombank.com/thong-tin/blog/1-dong-do-la-my-bang-bao-nhieu-tien-viet-nam
https://techcombank.com/thong-tin/blog/1-te-bang-bao-nhieu-tien-viet-nam
https://techcombank.com/thong-tin/blog/tien-trung-quoc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https://techcombank.com/thong-tin/blog/vi-dien-tu-la-gi
https://techcombank.com/thong-tin/blog/shopeepay-la-gi
https://techcombank.com/thong-tin/blog/tien-lao
https://techcombank.com/thong-tin/blog/thanh-toan-khi-du-lich-nhat-ban
https://techcombank.com/thong-tin/blog/doi-tien-do-o-dau
https://techcombank.com/thong-tin/blog/1000-won-bang-bao-nhieu-tien-viet
https://techcombank.com/thong-tin/blog/100-riel-bang-bao-nhieu-tien-viet-nam
https://techcombank.com/thong-tin/blog/tien-indonesia
https://techcombank.com/thong-tin/blog/chuyen-tien-di-uc
https://techcombank.com/thong-tin/blog/tien-thai-lan
https://techcombank.com/thong-tin/blog/tien-malaysia
https://techcombank.com/thong-tin/blog/vnd-to-myr</v>
      </c>
      <c r="J42" s="26" t="s">
        <v>188</v>
      </c>
    </row>
    <row r="43" ht="82.5" customHeight="1">
      <c r="A43" s="12">
        <v>42.0</v>
      </c>
      <c r="B43" s="13" t="s">
        <v>1662</v>
      </c>
      <c r="C43" s="13" t="s">
        <v>340</v>
      </c>
      <c r="D43" s="21">
        <f>COUNTIF('Kế hoạch chèn link (mới)'!$B$3:$B$2944,C43)</f>
        <v>21</v>
      </c>
      <c r="E43" s="21">
        <f>IFERROR(VLOOKUP(C43,'Link trỏ về từng trang đích'!$B$2:$D$76,3,0),"")</f>
        <v>30</v>
      </c>
      <c r="F43" s="13" t="str">
        <f t="shared" si="1"/>
        <v>Thiếu 9 link</v>
      </c>
      <c r="G43" s="13" t="str">
        <f>IF(IFERROR(VLOOKUP(C43,'Inlink đã chèn'!$B$2:$C$200,2,0),0)&gt;0,"Đã có anchor text trỏ về","Chưa có anchor text trỏ về")</f>
        <v>Chưa có anchor text trỏ về</v>
      </c>
      <c r="H43" s="13" t="str">
        <f>IFERROR(__xludf.DUMMYFUNCTION("IFERROR(TEXTJOIN("", "",TRUE,UNIQUE(FILTER('Kế hoạch chèn link (mới)'!$D$3:$D$2944,'Kế hoạch chèn link (mới)'!$B$3:$B$2944=C43))),"""")"),"tỷ giá Won, 1 Won bằng bao nhiêu tiền Việt")</f>
        <v>tỷ giá Won, 1 Won bằng bao nhiêu tiền Việt</v>
      </c>
      <c r="I43" s="13" t="str">
        <f>IFERROR(__xludf.DUMMYFUNCTION("IFERROR(TEXTJOIN(CHAR(10),TRUE,FILTER('Kế hoạch chèn link (mới)'!$F$3:$F$2944,'Kế hoạch chèn link (mới)'!$B$3:$B$2944=C43)),"""")"),"https://techcombank.com/thong-tin/blog/1-trieu-won-bang-bao-nhieu-tien-viet
https://techcombank.com/thong-tin/blog/1000-won-bang-bao-nhieu-tien-viet
https://techcombank.com/thong-tin/blog/thanh-toan-khi-du-lich-han-quoc
https://techcombank.com/thong-tin/b"&amp;"log/chuyen-tien-tu-han-sang-viet-nam
https://techcombank.com/thong-tin/blog/ty-gia-cac-ngan-hang
https://techcombank.com/thong-tin/blog/1-dong-do-la-my-bang-bao-nhieu-tien-viet-nam
https://techcombank.com/thong-tin/blog/1-te-bang-bao-nhieu-tien-viet-nam
h"&amp;"ttps://techcombank.com/thong-tin/blog/1-cent-bang-bao-nhieu-tien-viet
https://techcombank.com/thong-tin/blog/1-van-tien-dai-loan-bang-bao-nhieu-tien-viet
https://techcombank.com/thong-tin/blog/1-man-bang-bao-nhieu-tien-viet
https://techcombank.com/thong-t"&amp;"in/blog/doi-tien-do-o-dau
https://techcombank.com/thong-tin/blog/di-du-lich-nuoc-ngoai-can-chuan-bi-gi
https://techcombank.com/thong-tin/blog/tien-nhat
https://techcombank.com/thong-tin/blog/100-riel-bang-bao-nhieu-tien-viet-nam
https://techcombank.com/th"&amp;"ong-tin/blog/tien-indonesia
https://techcombank.com/thong-tin/blog/dieu-kien-mua-usd-tu-ngan-hang
https://techcombank.com/thong-tin/blog/chuyen-tien-di-uc
https://techcombank.com/thong-tin/blog/chuyen-tien-dinh-cu
https://techcombank.com/thong-tin/blog/ha"&amp;"n-muc-mua-ngoai-te-khi-di-du-lich
https://techcombank.com/thong-tin/blog/thanh-toan-bang-the-quoc-te
https://techcombank.com/thong-tin/blog/vay-du-hoc")</f>
        <v>https://techcombank.com/thong-tin/blog/1-trieu-won-bang-bao-nhieu-tien-viet
https://techcombank.com/thong-tin/blog/1000-won-bang-bao-nhieu-tien-viet
https://techcombank.com/thong-tin/blog/thanh-toan-khi-du-lich-han-quoc
https://techcombank.com/thong-tin/blog/chuyen-tien-tu-han-sang-viet-nam
https://techcombank.com/thong-tin/blog/ty-gia-cac-ngan-hang
https://techcombank.com/thong-tin/blog/1-dong-do-la-my-bang-bao-nhieu-tien-viet-nam
https://techcombank.com/thong-tin/blog/1-te-bang-bao-nhieu-tien-viet-nam
https://techcombank.com/thong-tin/blog/1-cent-bang-bao-nhieu-tien-viet
https://techcombank.com/thong-tin/blog/1-van-tien-dai-loan-bang-bao-nhieu-tien-viet
https://techcombank.com/thong-tin/blog/1-man-bang-bao-nhieu-tien-viet
https://techcombank.com/thong-tin/blog/doi-tien-do-o-dau
https://techcombank.com/thong-tin/blog/di-du-lich-nuoc-ngoai-can-chuan-bi-gi
https://techcombank.com/thong-tin/blog/tien-nhat
https://techcombank.com/thong-tin/blog/100-riel-bang-bao-nhieu-tien-viet-nam
https://techcombank.com/thong-tin/blog/tien-indonesia
https://techcombank.com/thong-tin/blog/dieu-kien-mua-usd-tu-ngan-hang
https://techcombank.com/thong-tin/blog/chuyen-tien-di-uc
https://techcombank.com/thong-tin/blog/chuyen-tien-dinh-cu
https://techcombank.com/thong-tin/blog/han-muc-mua-ngoai-te-khi-di-du-lich
https://techcombank.com/thong-tin/blog/thanh-toan-bang-the-quoc-te
https://techcombank.com/thong-tin/blog/vay-du-hoc</v>
      </c>
      <c r="J43" s="26" t="s">
        <v>188</v>
      </c>
    </row>
    <row r="44" ht="82.5" customHeight="1">
      <c r="A44" s="12">
        <v>43.0</v>
      </c>
      <c r="B44" s="13" t="s">
        <v>1662</v>
      </c>
      <c r="C44" s="13" t="s">
        <v>143</v>
      </c>
      <c r="D44" s="21">
        <f>COUNTIF('Kế hoạch chèn link (mới)'!$B$3:$B$2944,C44)</f>
        <v>19</v>
      </c>
      <c r="E44" s="21">
        <f>IFERROR(VLOOKUP(C44,'Link trỏ về từng trang đích'!$B$2:$D$76,3,0),"")</f>
        <v>30</v>
      </c>
      <c r="F44" s="13" t="str">
        <f t="shared" si="1"/>
        <v>Thiếu 11 link</v>
      </c>
      <c r="G44" s="13" t="str">
        <f>IF(IFERROR(VLOOKUP(C44,'Inlink đã chèn'!$B$2:$C$200,2,0),0)&gt;0,"Đã có anchor text trỏ về","Chưa có anchor text trỏ về")</f>
        <v>Chưa có anchor text trỏ về</v>
      </c>
      <c r="H44" s="13" t="str">
        <f>IFERROR(__xludf.DUMMYFUNCTION("IFERROR(TEXTJOIN("", "",TRUE,UNIQUE(FILTER('Kế hoạch chèn link (mới)'!$D$3:$D$2944,'Kế hoạch chèn link (mới)'!$B$3:$B$2944=C44))),"""")"),"Tân Đài tệ, tỷ giá Đài tệ, tiền Đài Loan")</f>
        <v>Tân Đài tệ, tỷ giá Đài tệ, tiền Đài Loan</v>
      </c>
      <c r="I44" s="13" t="str">
        <f>IFERROR(__xludf.DUMMYFUNCTION("IFERROR(TEXTJOIN(CHAR(10),TRUE,FILTER('Kế hoạch chèn link (mới)'!$F$3:$F$2944,'Kế hoạch chèn link (mới)'!$B$3:$B$2944=C44)),"""")"),"https://techcombank.com/thong-tin/blog/1-van-tien-dai-loan-bang-bao-nhieu-tien-viet
https://techcombank.com/thong-tin/blog/ngoai-te-la-gi
https://techcombank.com/thong-tin/blog/ty-gia-cac-ngan-hang
https://techcombank.com/thong-tin/blog/han-muc-mua-ngoai-"&amp;"te-khi-di-du-lich
https://techcombank.com/thong-tin/blog/shang-chi
https://techcombank.com/thong-tin/blog/doi-tien-do-o-dau
https://techcombank.com/thong-tin/blog/chuyen-tien-tu-nhat-ve-viet-nam
https://techcombank.com/thong-tin/blog/di-du-lich-nuoc-ngoai"&amp;"-can-chuan-bi-gi
https://techcombank.com/thong-tin/blog/tien-nhat
https://techcombank.com/thong-tin/blog/100-riel-bang-bao-nhieu-tien-viet-nam
https://techcombank.com/thong-tin/blog/tien-indonesia
https://techcombank.com/thong-tin/blog/dieu-kien-mua-usd-t"&amp;"u-ngan-hang
https://techcombank.com/thong-tin/blog/chuyen-tien-di-uc
https://techcombank.com/thong-tin/blog/gui-tien-du-hoc
https://techcombank.com/thong-tin/blog/vay-the-chap-hop-dong-mua-ban-can-ho
https://techcombank.com/thong-tin/blog/thu-tuc-chuyen-t"&amp;"ien-ra-nuoc-ngoai
https://techcombank.com/thong-tin/blog/gui-tien-sang-nuoc-ngoai
https://techcombank.com/thong-tin/blog/chuyen-tien-tu-duc-ve-viet-nam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https://techcombank.com/thong-tin/blog/shang-chi
https://techcombank.com/thong-tin/blog/doi-tien-do-o-dau
https://techcombank.com/thong-tin/blog/chuyen-tien-tu-nhat-ve-viet-nam
https://techcombank.com/thong-tin/blog/di-du-lich-nuoc-ngoai-can-chuan-bi-gi
https://techcombank.com/thong-tin/blog/tien-nhat
https://techcombank.com/thong-tin/blog/100-riel-bang-bao-nhieu-tien-viet-nam
https://techcombank.com/thong-tin/blog/tien-indonesia
https://techcombank.com/thong-tin/blog/dieu-kien-mua-usd-tu-ngan-hang
https://techcombank.com/thong-tin/blog/chuyen-tien-di-uc
https://techcombank.com/thong-tin/blog/gui-tien-du-hoc
https://techcombank.com/thong-tin/blog/vay-the-chap-hop-dong-mua-ban-can-ho
https://techcombank.com/thong-tin/blog/thu-tuc-chuyen-tien-ra-nuoc-ngoai
https://techcombank.com/thong-tin/blog/gui-tien-sang-nuoc-ngoai
https://techcombank.com/thong-tin/blog/chuyen-tien-tu-duc-ve-viet-nam
https://techcombank.com/thong-tin/blog/cach-nhan-tien-tu-nuoc-ngoai-ve-viet-nam</v>
      </c>
      <c r="J44" s="26" t="s">
        <v>188</v>
      </c>
    </row>
    <row r="45" ht="82.5" customHeight="1">
      <c r="A45" s="12">
        <v>44.0</v>
      </c>
      <c r="B45" s="13" t="s">
        <v>1662</v>
      </c>
      <c r="C45" s="13" t="s">
        <v>779</v>
      </c>
      <c r="D45" s="21">
        <f>COUNTIF('Kế hoạch chèn link (mới)'!$B$3:$B$2944,C45)</f>
        <v>14</v>
      </c>
      <c r="E45" s="21">
        <f>IFERROR(VLOOKUP(C45,'Link trỏ về từng trang đích'!$B$2:$D$76,3,0),"")</f>
        <v>30</v>
      </c>
      <c r="F45" s="13" t="str">
        <f t="shared" si="1"/>
        <v>Thiếu 16 link</v>
      </c>
      <c r="G45" s="13" t="str">
        <f>IF(IFERROR(VLOOKUP(C45,'Inlink đã chèn'!$B$2:$C$200,2,0),0)&gt;0,"Đã có anchor text trỏ về","Chưa có anchor text trỏ về")</f>
        <v>Chưa có anchor text trỏ về</v>
      </c>
      <c r="H45" s="13" t="str">
        <f>IFERROR(__xludf.DUMMYFUNCTION("IFERROR(TEXTJOIN("", "",TRUE,UNIQUE(FILTER('Kế hoạch chèn link (mới)'!$D$3:$D$2944,'Kế hoạch chèn link (mới)'!$B$3:$B$2944=C45))),"""")"),"1 Man bằng bao nhiêu tiền Việt, 1 Man Nhật")</f>
        <v>1 Man bằng bao nhiêu tiền Việt, 1 Man Nhật</v>
      </c>
      <c r="I45" s="13" t="str">
        <f>IFERROR(__xludf.DUMMYFUNCTION("IFERROR(TEXTJOIN(CHAR(10),TRUE,FILTER('Kế hoạch chèn link (mới)'!$F$3:$F$2944,'Kế hoạch chèn link (mới)'!$B$3:$B$2944=C45)),"""")"),"https://techcombank.com/thong-tin/blog/1000-yen-bang-bao-nhieu-tien-viet
https://techcombank.com/thong-tin/blog/tien-nhat
https://techcombank.com/thong-tin/blog/1-yen-bang-bao-nhieu-tien-viet-nam
https://techcombank.com/thong-tin/blog/chuyen-tien-tu-nhat-"&amp;"ve-viet-nam
https://techcombank.com/thong-tin/blog/cach-rut-tien-atm
https://techcombank.com/thong-tin/blog/1-van-tien-dai-loan-bang-bao-nhieu-tien-viet
https://techcombank.com/thong-tin/blog/vi-dien-tu-la-gi
https://techcombank.com/thong-tin/blog/shopeep"&amp;"ay-la-gi
https://techcombank.com/thong-tin/blog/1-euro-bang-bao-nhieu-tien-viet
https://techcombank.com/thong-tin/blog/1-trieu-won-bang-bao-nhieu-tien-viet
https://techcombank.com/thong-tin/blog/1-cent-bang-bao-nhieu-tien-viet
https://techcombank.com/thon"&amp;"g-tin/blog/tien-thai-lan
https://techcombank.com/thong-tin/blog/tien-lao
https://techcombank.com/thong-tin/blog/atm-la-gi")</f>
        <v>https://techcombank.com/thong-tin/blog/1000-yen-bang-bao-nhieu-tien-viet
https://techcombank.com/thong-tin/blog/tien-nhat
https://techcombank.com/thong-tin/blog/1-yen-bang-bao-nhieu-tien-viet-nam
https://techcombank.com/thong-tin/blog/chuyen-tien-tu-nhat-ve-viet-nam
https://techcombank.com/thong-tin/blog/cach-rut-tien-atm
https://techcombank.com/thong-tin/blog/1-van-tien-dai-loan-bang-bao-nhieu-tien-viet
https://techcombank.com/thong-tin/blog/vi-dien-tu-la-gi
https://techcombank.com/thong-tin/blog/shopeepay-la-gi
https://techcombank.com/thong-tin/blog/1-euro-bang-bao-nhieu-tien-viet
https://techcombank.com/thong-tin/blog/1-trieu-won-bang-bao-nhieu-tien-viet
https://techcombank.com/thong-tin/blog/1-cent-bang-bao-nhieu-tien-viet
https://techcombank.com/thong-tin/blog/tien-thai-lan
https://techcombank.com/thong-tin/blog/tien-lao
https://techcombank.com/thong-tin/blog/atm-la-gi</v>
      </c>
      <c r="J45" s="26" t="s">
        <v>188</v>
      </c>
    </row>
    <row r="46" ht="82.5" customHeight="1">
      <c r="A46" s="12">
        <v>45.0</v>
      </c>
      <c r="B46" s="13" t="s">
        <v>1662</v>
      </c>
      <c r="C46" s="13" t="s">
        <v>1130</v>
      </c>
      <c r="D46" s="21">
        <f>COUNTIF('Kế hoạch chèn link (mới)'!$B$3:$B$2944,C46)</f>
        <v>21</v>
      </c>
      <c r="E46" s="21">
        <f>IFERROR(VLOOKUP(C46,'Link trỏ về từng trang đích'!$B$2:$D$76,3,0),"")</f>
        <v>30</v>
      </c>
      <c r="F46" s="13" t="str">
        <f t="shared" si="1"/>
        <v>Thiếu 9 link</v>
      </c>
      <c r="G46" s="13" t="str">
        <f>IF(IFERROR(VLOOKUP(C46,'Inlink đã chèn'!$B$2:$C$200,2,0),0)&gt;0,"Đã có anchor text trỏ về","Chưa có anchor text trỏ về")</f>
        <v>Chưa có anchor text trỏ về</v>
      </c>
      <c r="H46" s="13" t="str">
        <f>IFERROR(__xludf.DUMMYFUNCTION("IFERROR(TEXTJOIN("", "",TRUE,UNIQUE(FILTER('Kế hoạch chèn link (mới)'!$D$3:$D$2944,'Kế hoạch chèn link (mới)'!$B$3:$B$2944=C46))),"""")"),"tiền Baht, tiền Thái Lan, tiền Baht Thái")</f>
        <v>tiền Baht, tiền Thái Lan, tiền Baht Thái</v>
      </c>
      <c r="I46" s="13" t="str">
        <f>IFERROR(__xludf.DUMMYFUNCTION("IFERROR(TEXTJOIN(CHAR(10),TRUE,FILTER('Kế hoạch chèn link (mới)'!$F$3:$F$2944,'Kế hoạch chèn link (mới)'!$B$3:$B$2944=C46)),"""")"),"https://techcombank.com/thong-tin/blog/thanh-toan-khi-du-lich-thai-lan
https://techcombank.com/thong-tin/blog/thanh-toan-qr-thai-lan
https://techcombank.com/thong-tin/blog/tai-tro-fifa-world-cup
https://techcombank.com/thong-tin/blog/ebitda-la-gi
https://"&amp;"techcombank.com/thong-tin/blog/cach-tiet-kiem-tien-hieu-qua-cho-gia-dinh
https://techcombank.com/thong-tin/blog/dieu-kien-thanh-lap-doanh-nghiep
https://techcombank.com/thong-tin/blog/chuyen-doi-so-nganh-ngan-hang-thach-thuc-va-co-hoi
https://techcombank."&amp;"com/thong-tin/blog/gia-tri-thuong-hieu
https://techcombank.com/thong-tin/blog/phan-mem-quan-ly-tai-chinh-doanh-nghiep
https://techcombank.com/thong-tin/blog/techcombank-va-cong-cuoc-chuyen-doi-so-nganh-ngan-hang
https://techcombank.com/thong-tin/blog/gui-"&amp;"tien-sang-nuoc-ngoai
https://techcombank.com/thong-tin/blog/vay-sieu-toc
https://techcombank.com/thong-tin/blog/1-trieu-do-bang-bao-nhieu-tien-viet
https://techcombank.com/thong-tin/blog/the-tin-dung-noi-dia
https://techcombank.com/thong-tin/blog/cach-tha"&amp;"nh-toan-quang-cao-tiktok
https://techcombank.com/thong-tin/blog/atm-la-gi
https://techcombank.com/thong-tin/blog/cac-loai-bao-hiem-suc-khoe
https://techcombank.com/thong-tin/blog/nhan-tien-western-union
https://techcombank.com/thong-tin/blog/chuyen-khoan-"&amp;"lien-ngan-hang
https://techcombank.com/thong-tin/blog/the-debit
https://techcombank.com/thong-tin/blog/li-xi-tet")</f>
        <v>https://techcombank.com/thong-tin/blog/thanh-toan-khi-du-lich-thai-lan
https://techcombank.com/thong-tin/blog/thanh-toan-qr-thai-lan
https://techcombank.com/thong-tin/blog/tai-tro-fifa-world-cup
https://techcombank.com/thong-tin/blog/ebitda-la-gi
https://techcombank.com/thong-tin/blog/cach-tiet-kiem-tien-hieu-qua-cho-gia-dinh
https://techcombank.com/thong-tin/blog/dieu-kien-thanh-lap-doanh-nghiep
https://techcombank.com/thong-tin/blog/chuyen-doi-so-nganh-ngan-hang-thach-thuc-va-co-hoi
https://techcombank.com/thong-tin/blog/gia-tri-thuong-hieu
https://techcombank.com/thong-tin/blog/phan-mem-quan-ly-tai-chinh-doanh-nghiep
https://techcombank.com/thong-tin/blog/techcombank-va-cong-cuoc-chuyen-doi-so-nganh-ngan-hang
https://techcombank.com/thong-tin/blog/gui-tien-sang-nuoc-ngoai
https://techcombank.com/thong-tin/blog/vay-sieu-toc
https://techcombank.com/thong-tin/blog/1-trieu-do-bang-bao-nhieu-tien-viet
https://techcombank.com/thong-tin/blog/the-tin-dung-noi-dia
https://techcombank.com/thong-tin/blog/cach-thanh-toan-quang-cao-tiktok
https://techcombank.com/thong-tin/blog/atm-la-gi
https://techcombank.com/thong-tin/blog/cac-loai-bao-hiem-suc-khoe
https://techcombank.com/thong-tin/blog/nhan-tien-western-union
https://techcombank.com/thong-tin/blog/chuyen-khoan-lien-ngan-hang
https://techcombank.com/thong-tin/blog/the-debit
https://techcombank.com/thong-tin/blog/li-xi-tet</v>
      </c>
      <c r="J46" s="26" t="s">
        <v>188</v>
      </c>
    </row>
    <row r="47" ht="82.5" customHeight="1">
      <c r="A47" s="12">
        <v>46.0</v>
      </c>
      <c r="B47" s="13" t="s">
        <v>1662</v>
      </c>
      <c r="C47" s="13" t="s">
        <v>576</v>
      </c>
      <c r="D47" s="21">
        <f>COUNTIF('Kế hoạch chèn link (mới)'!$B$3:$B$2944,C47)</f>
        <v>30</v>
      </c>
      <c r="E47" s="21">
        <f>IFERROR(VLOOKUP(C47,'Link trỏ về từng trang đích'!$B$2:$D$76,3,0),"")</f>
        <v>30</v>
      </c>
      <c r="F47" s="13" t="str">
        <f t="shared" si="1"/>
        <v>Đủ link</v>
      </c>
      <c r="G47" s="13" t="str">
        <f>IF(IFERROR(VLOOKUP(C47,'Inlink đã chèn'!$B$2:$C$200,2,0),0)&gt;0,"Đã có anchor text trỏ về","Chưa có anchor text trỏ về")</f>
        <v>Chưa có anchor text trỏ về</v>
      </c>
      <c r="H47" s="13" t="str">
        <f>IFERROR(__xludf.DUMMYFUNCTION("IFERROR(TEXTJOIN("", "",TRUE,UNIQUE(FILTER('Kế hoạch chèn link (mới)'!$D$3:$D$2944,'Kế hoạch chèn link (mới)'!$B$3:$B$2944=C47))),"""")"),"1 triệu đô bằng bao nhiêu tiền Việt")</f>
        <v>1 triệu đô bằng bao nhiêu tiền Việt</v>
      </c>
      <c r="I47" s="13" t="str">
        <f>IFERROR(__xludf.DUMMYFUNCTION("IFERROR(TEXTJOIN(CHAR(10),TRUE,FILTER('Kế hoạch chèn link (mới)'!$F$3:$F$2944,'Kế hoạch chèn link (mới)'!$B$3:$B$2944=C47)),"""")"),"https://techcombank.com/thong-tin/blog/1-dong-do-la-my-bang-bao-nhieu-tien-viet-nam
https://techcombank.com/thong-tin/blog/tien-lao
https://techcombank.com/thong-tin/blog/1-trieu-won-bang-bao-nhieu-tien-viet
https://techcombank.com/thong-tin/blog/1-yen-ba"&amp;"ng-bao-nhieu-tien-viet-nam
https://techcombank.com/thong-tin/blog/1-van-tien-dai-loan-bang-bao-nhieu-tien-viet
https://techcombank.com/thong-tin/blog/ma-pin-the-atm
https://techcombank.com/thong-tin/blog/vi-dien-tu-la-gi
https://techcombank.com/thong-tin/"&amp;"blog/1-euro-bang-bao-nhieu-tien-viet
https://techcombank.com/thong-tin/blog/1-do-uc-bang-bao-nhieu-tien-viet
https://techcombank.com/thong-tin/blog/doi-tien-do-o-dau
https://techcombank.com/thong-tin/blog/vnd-to-myr
https://techcombank.com/thong-tin/blog/"&amp;"dinar-kuwait
https://techcombank.com/thong-tin/blog/ngoai-hoi-la-gi
https://techcombank.com/thong-tin/blog/ty-gia-hoi-doai-la-gi
https://techcombank.com/thong-tin/blog/ngoai-te-la-gi
https://techcombank.com/thong-tin/blog/chuyen-tien-tu-my-ve-viet-nam
htt"&amp;"ps://techcombank.com/thong-tin/blog/tien-malaysia
https://techcombank.com/thong-tin/blog/xu-huong-ty-gia-usd
https://techcombank.com/thong-tin/blog/chuyen-tien-tro-cap-than-nhan-o-nuoc-ngoai
https://techcombank.com/thong-tin/blog/gui-tiet-kiem-usd
https:/"&amp;"/techcombank.com/thong-tin/blog/thanh-toan-bang-the-quoc-te
https://techcombank.com/thong-tin/blog/1-chi-vang-bao-nhieu-tien
https://techcombank.com/thong-tin/blog/cach-tinh-gia-vang
https://techcombank.com/thong-tin/blog/dieu-kien-mua-usd-tu-ngan-hang
ht"&amp;"tps://techcombank.com/thong-tin/blog/dinh-cu-chau-au
https://techcombank.com/thong-tin/blog/du-bao-gia-vang
https://techcombank.com/thong-tin/blog/gia-ca-phe-hom-nay
https://techcombank.com/thong-tin/blog/kieu-hoi-la-gi
https://techcombank.com/thong-tin/b"&amp;"log/phi-chuyen-doi-ngoai-te
https://techcombank.com/thong-tin/blog/tien-thai-lan")</f>
        <v>https://techcombank.com/thong-tin/blog/1-dong-do-la-my-bang-bao-nhieu-tien-viet-nam
https://techcombank.com/thong-tin/blog/tien-lao
https://techcombank.com/thong-tin/blog/1-trieu-won-bang-bao-nhieu-tien-viet
https://techcombank.com/thong-tin/blog/1-yen-bang-bao-nhieu-tien-viet-nam
https://techcombank.com/thong-tin/blog/1-van-tien-dai-loan-bang-bao-nhieu-tien-viet
https://techcombank.com/thong-tin/blog/ma-pin-the-atm
https://techcombank.com/thong-tin/blog/vi-dien-tu-la-gi
https://techcombank.com/thong-tin/blog/1-euro-bang-bao-nhieu-tien-viet
https://techcombank.com/thong-tin/blog/1-do-uc-bang-bao-nhieu-tien-viet
https://techcombank.com/thong-tin/blog/doi-tien-do-o-dau
https://techcombank.com/thong-tin/blog/vnd-to-myr
https://techcombank.com/thong-tin/blog/dinar-kuwait
https://techcombank.com/thong-tin/blog/ngoai-hoi-la-gi
https://techcombank.com/thong-tin/blog/ty-gia-hoi-doai-la-gi
https://techcombank.com/thong-tin/blog/ngoai-te-la-gi
https://techcombank.com/thong-tin/blog/chuyen-tien-tu-my-ve-viet-nam
https://techcombank.com/thong-tin/blog/tien-malaysia
https://techcombank.com/thong-tin/blog/xu-huong-ty-gia-usd
https://techcombank.com/thong-tin/blog/chuyen-tien-tro-cap-than-nhan-o-nuoc-ngoai
https://techcombank.com/thong-tin/blog/gui-tiet-kiem-usd
https://techcombank.com/thong-tin/blog/thanh-toan-bang-the-quoc-te
https://techcombank.com/thong-tin/blog/1-chi-vang-bao-nhieu-tien
https://techcombank.com/thong-tin/blog/cach-tinh-gia-vang
https://techcombank.com/thong-tin/blog/dieu-kien-mua-usd-tu-ngan-hang
https://techcombank.com/thong-tin/blog/dinh-cu-chau-au
https://techcombank.com/thong-tin/blog/du-bao-gia-vang
https://techcombank.com/thong-tin/blog/gia-ca-phe-hom-nay
https://techcombank.com/thong-tin/blog/kieu-hoi-la-gi
https://techcombank.com/thong-tin/blog/phi-chuyen-doi-ngoai-te
https://techcombank.com/thong-tin/blog/tien-thai-lan</v>
      </c>
      <c r="J47" s="26" t="s">
        <v>188</v>
      </c>
    </row>
    <row r="48" ht="82.5" customHeight="1">
      <c r="A48" s="12">
        <v>47.0</v>
      </c>
      <c r="B48" s="13" t="s">
        <v>1662</v>
      </c>
      <c r="C48" s="13" t="s">
        <v>337</v>
      </c>
      <c r="D48" s="21">
        <f>COUNTIF('Kế hoạch chèn link (mới)'!$B$3:$B$2944,C48)</f>
        <v>9</v>
      </c>
      <c r="E48" s="21">
        <f>IFERROR(VLOOKUP(C48,'Link trỏ về từng trang đích'!$B$2:$D$76,3,0),"")</f>
        <v>30</v>
      </c>
      <c r="F48" s="13" t="str">
        <f t="shared" si="1"/>
        <v>Thiếu 21 link</v>
      </c>
      <c r="G48" s="13" t="str">
        <f>IF(IFERROR(VLOOKUP(C48,'Inlink đã chèn'!$B$2:$C$200,2,0),0)&gt;0,"Đã có anchor text trỏ về","Chưa có anchor text trỏ về")</f>
        <v>Chưa có anchor text trỏ về</v>
      </c>
      <c r="H48" s="13" t="str">
        <f>IFERROR(__xludf.DUMMYFUNCTION("IFERROR(TEXTJOIN("", "",TRUE,UNIQUE(FILTER('Kế hoạch chèn link (mới)'!$D$3:$D$2944,'Kế hoạch chèn link (mới)'!$B$3:$B$2944=C48))),"""")"),"1,000 won, 1000 Won bằng bao nhiêu tiền Việt")</f>
        <v>1,000 won, 1000 Won bằng bao nhiêu tiền Việt</v>
      </c>
      <c r="I48" s="13" t="str">
        <f>IFERROR(__xludf.DUMMYFUNCTION("IFERROR(TEXTJOIN(CHAR(10),TRUE,FILTER('Kế hoạch chèn link (mới)'!$F$3:$F$2944,'Kế hoạch chèn link (mới)'!$B$3:$B$2944=C48)),"""")"),"https://techcombank.com/thong-tin/blog/1-won-bang-bao-nhieu-tien-viet
https://techcombank.com/thong-tin/blog/1-trieu-won-bang-bao-nhieu-tien-viet
https://techcombank.com/thong-tin/blog/thanh-toan-khi-du-lich-han-quoc
https://techcombank.com/thong-tin/blog"&amp;"/chuyen-tien-tu-han-sang-viet-nam
https://techcombank.com/thong-tin/blog/tous-les-jours
https://techcombank.com/thong-tin/blog/voucher-highland
https://techcombank.com/thong-tin/blog/tien-thai-lan
https://techcombank.com/thong-tin/blog/1000-te-bang-bao-nh"&amp;"ieu-tien-viet
https://techcombank.com/thong-tin/blog/thanh-toan-bang-the-quoc-te")</f>
        <v>https://techcombank.com/thong-tin/blog/1-won-bang-bao-nhieu-tien-viet
https://techcombank.com/thong-tin/blog/1-trieu-won-bang-bao-nhieu-tien-viet
https://techcombank.com/thong-tin/blog/thanh-toan-khi-du-lich-han-quoc
https://techcombank.com/thong-tin/blog/chuyen-tien-tu-han-sang-viet-nam
https://techcombank.com/thong-tin/blog/tous-les-jours
https://techcombank.com/thong-tin/blog/voucher-highland
https://techcombank.com/thong-tin/blog/tien-thai-lan
https://techcombank.com/thong-tin/blog/1000-te-bang-bao-nhieu-tien-viet
https://techcombank.com/thong-tin/blog/thanh-toan-bang-the-quoc-te</v>
      </c>
      <c r="J48" s="26" t="s">
        <v>188</v>
      </c>
    </row>
    <row r="49" ht="82.5" customHeight="1">
      <c r="A49" s="12">
        <v>48.0</v>
      </c>
      <c r="B49" s="13" t="s">
        <v>1662</v>
      </c>
      <c r="C49" s="13" t="s">
        <v>1128</v>
      </c>
      <c r="D49" s="21">
        <f>COUNTIF('Kế hoạch chèn link (mới)'!$B$3:$B$2944,C49)</f>
        <v>30</v>
      </c>
      <c r="E49" s="21">
        <f>IFERROR(VLOOKUP(C49,'Link trỏ về từng trang đích'!$B$2:$D$76,3,0),"")</f>
        <v>30</v>
      </c>
      <c r="F49" s="13" t="str">
        <f t="shared" si="1"/>
        <v>Đủ link</v>
      </c>
      <c r="G49" s="13" t="str">
        <f>IF(IFERROR(VLOOKUP(C49,'Inlink đã chèn'!$B$2:$C$200,2,0),0)&gt;0,"Đã có anchor text trỏ về","Chưa có anchor text trỏ về")</f>
        <v>Chưa có anchor text trỏ về</v>
      </c>
      <c r="H49" s="13" t="str">
        <f>IFERROR(__xludf.DUMMYFUNCTION("IFERROR(TEXTJOIN("", "",TRUE,UNIQUE(FILTER('Kế hoạch chèn link (mới)'!$D$3:$D$2944,'Kế hoạch chèn link (mới)'!$B$3:$B$2944=C49))),"""")"),"nhận kiều hối, nhận tiền từ nước ngoài, cách nhận tiền từ nước ngoài về Việt Nam")</f>
        <v>nhận kiều hối, nhận tiền từ nước ngoài, cách nhận tiền từ nước ngoài về Việt Nam</v>
      </c>
      <c r="I49" s="13" t="str">
        <f>IFERROR(__xludf.DUMMYFUNCTION("IFERROR(TEXTJOIN(CHAR(10),TRUE,FILTER('Kế hoạch chèn link (mới)'!$F$3:$F$2944,'Kế hoạch chèn link (mới)'!$B$3:$B$2944=C49)),"""")"),"https://techcombank.com/thong-tin/blog/remittance-la-gi
https://techcombank.com/thong-tin/blog/nhan-tien-western-union
https://techcombank.com/thong-tin/blog/ma-swift-ngan-hang
https://techcombank.com/thong-tin/blog/1-euro-bang-bao-nhieu-tien-viet
https:/"&amp;"/techcombank.com/thong-tin/blog/tien-singapore
https://techcombank.com/thong-tin/blog/1000-te-bang-bao-nhieu-tien-viet
https://techcombank.com/thong-tin/blog/1-do-uc-bang-bao-nhieu-tien-viet
https://techcombank.com/thong-tin/blog/tien-thai-lan
https://tec"&amp;"hcombank.com/thong-tin/blog/ty-gia-hoi-doai-la-gi
https://techcombank.com/thong-tin/blog/ty-gia-la-gi
https://techcombank.com/thong-tin/blog/xu-huong-ty-gia-usd
https://techcombank.com/thong-tin/blog/1-trieu-do-bang-bao-nhieu-tien-viet
https://techcombank"&amp;".com/thong-tin/blog/1-man-bang-bao-nhieu-tien-viet
https://techcombank.com/thong-tin/blog/tien-trung-quoc
https://techcombank.com/thong-tin/blog/1-van-te-bang-bao-nhieu-tien-viet
https://techcombank.com/thong-tin/blog/chi-phi-mo-tai-khoan-ngan-hang-cho-co"&amp;"ng-ty
https://techcombank.com/thong-tin/blog/tien-malaysia
https://techcombank.com/thong-tin/blog/iban-la-gi
https://techcombank.com/thong-tin/blog/han-muc-mua-ngoai-te-khi-di-du-lich
https://techcombank.com/thong-tin/blog/thanh-toan-quoc-te
https://techc"&amp;"ombank.com/thong-tin/blog/the-ghi-no-noi-dia
https://techcombank.com/thong-tin/blog/lam-the-thanh-toan-quoc-te
https://techcombank.com/thong-tin/blog/the-visa-co-thanh-toan-quoc-te-duoc-khong
https://techcombank.com/thong-tin/blog/chuyen-tien-dinh-cu
http"&amp;"s://techcombank.com/thong-tin/blog/thanh-toan-bang-the-quoc-te
https://techcombank.com/thong-tin/blog/ngoai-te-la-gi
https://techcombank.com/thong-tin/blog/nen-lam-the-visa-hay-noi-dia
https://techcombank.com/thong-tin/blog/dinh-cu-chau-au
https://techcom"&amp;"bank.com/thong-tin/blog/thu-tuc-chuyen-tien-ra-nuoc-ngoai
https://techcombank.com/thong-tin/blog/gui-tien-sang-nuoc-ngoai")</f>
        <v>https://techcombank.com/thong-tin/blog/remittance-la-gi
https://techcombank.com/thong-tin/blog/nhan-tien-western-union
https://techcombank.com/thong-tin/blog/ma-swift-ngan-hang
https://techcombank.com/thong-tin/blog/1-euro-bang-bao-nhieu-tien-viet
https://techcombank.com/thong-tin/blog/tien-singapore
https://techcombank.com/thong-tin/blog/1000-te-bang-bao-nhieu-tien-viet
https://techcombank.com/thong-tin/blog/1-do-uc-bang-bao-nhieu-tien-viet
https://techcombank.com/thong-tin/blog/tien-thai-lan
https://techcombank.com/thong-tin/blog/ty-gia-hoi-doai-la-gi
https://techcombank.com/thong-tin/blog/ty-gia-la-gi
https://techcombank.com/thong-tin/blog/xu-huong-ty-gia-usd
https://techcombank.com/thong-tin/blog/1-trieu-do-bang-bao-nhieu-tien-viet
https://techcombank.com/thong-tin/blog/1-man-bang-bao-nhieu-tien-viet
https://techcombank.com/thong-tin/blog/tien-trung-quoc
https://techcombank.com/thong-tin/blog/1-van-te-bang-bao-nhieu-tien-viet
https://techcombank.com/thong-tin/blog/chi-phi-mo-tai-khoan-ngan-hang-cho-cong-ty
https://techcombank.com/thong-tin/blog/tien-malaysia
https://techcombank.com/thong-tin/blog/iban-la-gi
https://techcombank.com/thong-tin/blog/han-muc-mua-ngoai-te-khi-di-du-lich
https://techcombank.com/thong-tin/blog/thanh-toan-quoc-te
https://techcombank.com/thong-tin/blog/the-ghi-no-noi-dia
https://techcombank.com/thong-tin/blog/lam-the-thanh-toan-quoc-te
https://techcombank.com/thong-tin/blog/the-visa-co-thanh-toan-quoc-te-duoc-khong
https://techcombank.com/thong-tin/blog/chuyen-tien-dinh-cu
https://techcombank.com/thong-tin/blog/thanh-toan-bang-the-quoc-te
https://techcombank.com/thong-tin/blog/ngoai-te-la-gi
https://techcombank.com/thong-tin/blog/nen-lam-the-visa-hay-noi-dia
https://techcombank.com/thong-tin/blog/dinh-cu-chau-au
https://techcombank.com/thong-tin/blog/thu-tuc-chuyen-tien-ra-nuoc-ngoai
https://techcombank.com/thong-tin/blog/gui-tien-sang-nuoc-ngoai</v>
      </c>
      <c r="J49" s="26" t="s">
        <v>188</v>
      </c>
    </row>
    <row r="50" ht="82.5" customHeight="1">
      <c r="A50" s="12">
        <v>49.0</v>
      </c>
      <c r="B50" s="13" t="s">
        <v>1662</v>
      </c>
      <c r="C50" s="13" t="s">
        <v>897</v>
      </c>
      <c r="D50" s="21">
        <f>COUNTIF('Kế hoạch chèn link (mới)'!$B$3:$B$2944,C50)</f>
        <v>18</v>
      </c>
      <c r="E50" s="21">
        <f>IFERROR(VLOOKUP(C50,'Link trỏ về từng trang đích'!$B$2:$D$76,3,0),"")</f>
        <v>30</v>
      </c>
      <c r="F50" s="13" t="str">
        <f t="shared" si="1"/>
        <v>Thiếu 12 link</v>
      </c>
      <c r="G50" s="13" t="str">
        <f>IF(IFERROR(VLOOKUP(C50,'Inlink đã chèn'!$B$2:$C$200,2,0),0)&gt;0,"Đã có anchor text trỏ về","Chưa có anchor text trỏ về")</f>
        <v>Chưa có anchor text trỏ về</v>
      </c>
      <c r="H50" s="13" t="str">
        <f>IFERROR(__xludf.DUMMYFUNCTION("IFERROR(TEXTJOIN("", "",TRUE,UNIQUE(FILTER('Kế hoạch chèn link (mới)'!$D$3:$D$2944,'Kế hoạch chèn link (mới)'!$B$3:$B$2944=C50))),"""")"),"đổi tiền đô ở đâu, đổi USD ở đâu")</f>
        <v>đổi tiền đô ở đâu, đổi USD ở đâu</v>
      </c>
      <c r="I50" s="13" t="str">
        <f>IFERROR(__xludf.DUMMYFUNCTION("IFERROR(TEXTJOIN(CHAR(10),TRUE,FILTER('Kế hoạch chèn link (mới)'!$F$3:$F$2944,'Kế hoạch chèn link (mới)'!$B$3:$B$2944=C50)),"""")"),"https://techcombank.com/thong-tin/blog/di-du-lich-nuoc-ngoai-can-chuan-bi-gi
https://techcombank.com/thong-tin/blog/1-trieu-do-bang-bao-nhieu-tien-viet
https://techcombank.com/thong-tin/blog/tien-malaysia
https://techcombank.com/thong-tin/blog/rut-tien-ma"&amp;"t-tu-tai-khoan-doanh-nghiep
https://techcombank.com/thong-tin/blog/chuyen-tien-tro-cap-than-nhan-o-nuoc-ngoai
https://techcombank.com/thong-tin/blog/bao-hiem-suc-khoe-la-gi
https://techcombank.com/thong-tin/blog/ho-kinh-doanh-can-gi-o-tai-khoan-ngan-hang
"&amp;"https://techcombank.com/thong-tin/blog/nhan-tien-western-union
https://techcombank.com/thong-tin/blog/vang-24k
https://techcombank.com/thong-tin/blog/bao-hiem-sinh-ky-la-gi
https://techcombank.com/thong-tin/blog/techcombank-sinh-loi-tu-dong
https://techco"&amp;"mbank.com/thong-tin/blog/phi-chuyen-doi-ngoai-te
https://techcombank.com/thong-tin/blog/cach-tiet-kiem-tien-theo-tuan
https://techcombank.com/thong-tin/blog/tien-singapore
https://techcombank.com/thong-tin/blog/thanh-toan-qr-thai-lan
https://techcombank.c"&amp;"om/thong-tin/blog/chuyen-tien-tu-my-ve-viet-nam
https://techcombank.com/thong-tin/blog/npv-la-gi
https://techcombank.com/thong-tin/blog/vnd-to-myr")</f>
        <v>https://techcombank.com/thong-tin/blog/di-du-lich-nuoc-ngoai-can-chuan-bi-gi
https://techcombank.com/thong-tin/blog/1-trieu-do-bang-bao-nhieu-tien-viet
https://techcombank.com/thong-tin/blog/tien-malaysia
https://techcombank.com/thong-tin/blog/rut-tien-mat-tu-tai-khoan-doanh-nghiep
https://techcombank.com/thong-tin/blog/chuyen-tien-tro-cap-than-nhan-o-nuoc-ngoai
https://techcombank.com/thong-tin/blog/bao-hiem-suc-khoe-la-gi
https://techcombank.com/thong-tin/blog/ho-kinh-doanh-can-gi-o-tai-khoan-ngan-hang
https://techcombank.com/thong-tin/blog/nhan-tien-western-union
https://techcombank.com/thong-tin/blog/vang-24k
https://techcombank.com/thong-tin/blog/bao-hiem-sinh-ky-la-gi
https://techcombank.com/thong-tin/blog/techcombank-sinh-loi-tu-dong
https://techcombank.com/thong-tin/blog/phi-chuyen-doi-ngoai-te
https://techcombank.com/thong-tin/blog/cach-tiet-kiem-tien-theo-tuan
https://techcombank.com/thong-tin/blog/tien-singapore
https://techcombank.com/thong-tin/blog/thanh-toan-qr-thai-lan
https://techcombank.com/thong-tin/blog/chuyen-tien-tu-my-ve-viet-nam
https://techcombank.com/thong-tin/blog/npv-la-gi
https://techcombank.com/thong-tin/blog/vnd-to-myr</v>
      </c>
      <c r="J50" s="26" t="s">
        <v>188</v>
      </c>
    </row>
    <row r="51" ht="82.5" customHeight="1">
      <c r="A51" s="12">
        <v>50.0</v>
      </c>
      <c r="B51" s="13" t="s">
        <v>1765</v>
      </c>
      <c r="C51" s="13" t="s">
        <v>165</v>
      </c>
      <c r="D51" s="21">
        <f>COUNTIF('Kế hoạch chèn link (mới)'!$B$3:$B$2944,C51)</f>
        <v>11</v>
      </c>
      <c r="E51" s="21">
        <f>IFERROR(VLOOKUP(C51,'Link trỏ về từng trang đích'!$B$2:$D$76,3,0),"")</f>
        <v>30</v>
      </c>
      <c r="F51" s="13" t="str">
        <f t="shared" si="1"/>
        <v>Thiếu 19 link</v>
      </c>
      <c r="G51" s="13" t="str">
        <f>IF(IFERROR(VLOOKUP(C51,'Inlink đã chèn'!$B$2:$C$200,2,0),0)&gt;0,"Đã có anchor text trỏ về","Chưa có anchor text trỏ về")</f>
        <v>Chưa có anchor text trỏ về</v>
      </c>
      <c r="H51" s="13" t="str">
        <f>IFERROR(__xludf.DUMMYFUNCTION("IFERROR(TEXTJOIN("", "",TRUE,UNIQUE(FILTER('Kế hoạch chèn link (mới)'!$D$3:$D$2944,'Kế hoạch chèn link (mới)'!$B$3:$B$2944=C51))),"""")"),"vay ngân hàng 1 tỷ mỗi tháng trả bao nhiêu, vay 1 tỷ mỗi tháng trả bao nhiêu, vay 1 tỷ trong 20 năm mỗi tháng trả bao nhiêu")</f>
        <v>vay ngân hàng 1 tỷ mỗi tháng trả bao nhiêu, vay 1 tỷ mỗi tháng trả bao nhiêu, vay 1 tỷ trong 20 năm mỗi tháng trả bao nhiêu</v>
      </c>
      <c r="I51" s="13" t="str">
        <f>IFERROR(__xludf.DUMMYFUNCTION("IFERROR(TEXTJOIN(CHAR(10),TRUE,FILTER('Kế hoạch chèn link (mới)'!$F$3:$F$2944,'Kế hoạch chèn link (mới)'!$B$3:$B$2944=C51)),"""")"),"https://techcombank.com/thong-tin/blog/co-nen-vay-ngan-hang-mua-nha
https://techcombank.com/thong-tin/blog/lai-suat-vay-the-chap
https://techcombank.com/thong-tin/blog/vay-20-trieu
https://techcombank.com/thong-tin/blog/nhu-cau-vay-tieu-dung-cua-nguoi-vie"&amp;"t-du-kien-tang-manh-trong-thoi-gian-toi
https://techcombank.com/thong-tin/blog/cho-vay-tung-lan
https://techcombank.com/thong-tin/blog/bao-hiem-trung
https://techcombank.com/thong-tin/blog/vay-40-trieu
https://techcombank.com/thong-tin/blog/luong-huu
http"&amp;"s://techcombank.com/thong-tin/blog/dang-vay-tra-gop-co-vay-them-duoc-khong
https://techcombank.com/thong-tin/blog/tra-gop-qua-the-tin-dung
https://techcombank.com/thong-tin/blog/thu-tuc-mua-xe-tra-gop")</f>
        <v>https://techcombank.com/thong-tin/blog/co-nen-vay-ngan-hang-mua-nha
https://techcombank.com/thong-tin/blog/lai-suat-vay-the-chap
https://techcombank.com/thong-tin/blog/vay-20-trieu
https://techcombank.com/thong-tin/blog/nhu-cau-vay-tieu-dung-cua-nguoi-viet-du-kien-tang-manh-trong-thoi-gian-toi
https://techcombank.com/thong-tin/blog/cho-vay-tung-lan
https://techcombank.com/thong-tin/blog/bao-hiem-trung
https://techcombank.com/thong-tin/blog/vay-40-trieu
https://techcombank.com/thong-tin/blog/luong-huu
https://techcombank.com/thong-tin/blog/dang-vay-tra-gop-co-vay-them-duoc-khong
https://techcombank.com/thong-tin/blog/tra-gop-qua-the-tin-dung
https://techcombank.com/thong-tin/blog/thu-tuc-mua-xe-tra-gop</v>
      </c>
      <c r="J51" s="26" t="s">
        <v>188</v>
      </c>
    </row>
    <row r="52" ht="82.5" customHeight="1">
      <c r="A52" s="12">
        <v>51.0</v>
      </c>
      <c r="B52" s="13" t="s">
        <v>1771</v>
      </c>
      <c r="C52" s="13" t="s">
        <v>1770</v>
      </c>
      <c r="D52" s="21">
        <f>COUNTIF('Kế hoạch chèn link (mới)'!$B$3:$B$2944,C52)</f>
        <v>30</v>
      </c>
      <c r="E52" s="21">
        <f>IFERROR(VLOOKUP(C52,'Link trỏ về từng trang đích'!$B$2:$D$76,3,0),"")</f>
        <v>30</v>
      </c>
      <c r="F52" s="13" t="str">
        <f t="shared" si="1"/>
        <v>Đủ link</v>
      </c>
      <c r="G52" s="13" t="str">
        <f>IF(IFERROR(VLOOKUP(C52,'Inlink đã chèn'!$B$2:$C$200,2,0),0)&gt;0,"Đã có anchor text trỏ về","Chưa có anchor text trỏ về")</f>
        <v>Chưa có anchor text trỏ về</v>
      </c>
      <c r="H52" s="13" t="str">
        <f>IFERROR(__xludf.DUMMYFUNCTION("IFERROR(TEXTJOIN("", "",TRUE,UNIQUE(FILTER('Kế hoạch chèn link (mới)'!$D$3:$D$2944,'Kế hoạch chèn link (mới)'!$B$3:$B$2944=C52))),"""")"),"cách lấy voucher Traveloka, voucher Traveloka")</f>
        <v>cách lấy voucher Traveloka, voucher Traveloka</v>
      </c>
      <c r="I52" s="13" t="str">
        <f>IFERROR(__xludf.DUMMYFUNCTION("IFERROR(TEXTJOIN(CHAR(10),TRUE,FILTER('Kế hoạch chèn link (mới)'!$F$3:$F$2944,'Kế hoạch chèn link (mới)'!$B$3:$B$2944=C52)),"""")"),"https://techcombank.com/thong-tin/blog/voucher-the-pizza-company
https://techcombank.com/thong-tin/blog/ma-giam-gia-al-frescos
https://techcombank.com/thong-tin/blog/voucher-coopmart
https://techcombank.com/thong-tin/blog/voucher-jollibee
https://techcomb"&amp;"ank.com/thong-tin/blog/giam-gia-be
https://techcombank.com/thong-tin/blog/voucher-katinat
https://techcombank.com/thong-tin/blog/ma-giam-gia-phela
https://techcombank.com/thong-tin/blog/kichi-kichi
https://techcombank.com/thong-tin/blog/ma-giam-gia-shopee"&amp;"
https://techcombank.com/thong-tin/blog/voucher-starbucks
https://techcombank.com/thong-tin/blog/cua-hang-tien-loi
https://techcombank.com/thong-tin/blog/ma-giam-xanh-sm
https://techcombank.com/thong-tin/blog/voucher-kfc
https://techcombank.com/thong-tin/"&amp;"blog/mr-eco
https://techcombank.com/thong-tin/blog/voucher-phuc-long
https://techcombank.com/thong-tin/blog/voucher-grab
https://techcombank.com/thong-tin/blog/dat-xe-xanh-sm
https://techcombank.com/thong-tin/blog/tous-les-jours
https://techcombank.com/th"&amp;"ong-tin/blog/voucher-xanh-sm
https://techcombank.com/thong-tin/blog/quy-gia-dinh
https://techcombank.com/thong-tin/blog/dat-ve-may-bay
https://techcombank.com/thong-tin/blog/mua-ve-may-bay-gia-re
https://techcombank.com/thong-tin/blog/thanh-toan-khi-du-li"&amp;"ch-thai-lan
https://techcombank.com/thong-tin/blog/mua-ve-xem-phim
https://techcombank.com/thong-tin/blog/ban-do-du-lich
https://techcombank.com/thong-tin/blog/cach-thanh-toan-quang-cao-tiktok
https://techcombank.com/thong-tin/blog/chuong-trinh-khach-hang"&amp;"-than-thiet
https://techcombank.com/thong-tin/blog/dac-san-hai-phong
https://techcombank.com/thong-tin/blog/shang-chi
https://techcombank.com/thong-tin/blog/voucher-golden-gate")</f>
        <v>https://techcombank.com/thong-tin/blog/voucher-the-pizza-company
https://techcombank.com/thong-tin/blog/ma-giam-gia-al-frescos
https://techcombank.com/thong-tin/blog/voucher-coopmart
https://techcombank.com/thong-tin/blog/voucher-jollibee
https://techcombank.com/thong-tin/blog/giam-gia-be
https://techcombank.com/thong-tin/blog/voucher-katinat
https://techcombank.com/thong-tin/blog/ma-giam-gia-phela
https://techcombank.com/thong-tin/blog/kichi-kichi
https://techcombank.com/thong-tin/blog/ma-giam-gia-shopee
https://techcombank.com/thong-tin/blog/voucher-starbucks
https://techcombank.com/thong-tin/blog/cua-hang-tien-loi
https://techcombank.com/thong-tin/blog/ma-giam-xanh-sm
https://techcombank.com/thong-tin/blog/voucher-kfc
https://techcombank.com/thong-tin/blog/mr-eco
https://techcombank.com/thong-tin/blog/voucher-phuc-long
https://techcombank.com/thong-tin/blog/voucher-grab
https://techcombank.com/thong-tin/blog/dat-xe-xanh-sm
https://techcombank.com/thong-tin/blog/tous-les-jours
https://techcombank.com/thong-tin/blog/voucher-xanh-sm
https://techcombank.com/thong-tin/blog/quy-gia-dinh
https://techcombank.com/thong-tin/blog/dat-ve-may-bay
https://techcombank.com/thong-tin/blog/mua-ve-may-bay-gia-re
https://techcombank.com/thong-tin/blog/thanh-toan-khi-du-lich-thai-lan
https://techcombank.com/thong-tin/blog/mua-ve-xem-phim
https://techcombank.com/thong-tin/blog/ban-do-du-lich
https://techcombank.com/thong-tin/blog/cach-thanh-toan-quang-cao-tiktok
https://techcombank.com/thong-tin/blog/chuong-trinh-khach-hang-than-thiet
https://techcombank.com/thong-tin/blog/dac-san-hai-phong
https://techcombank.com/thong-tin/blog/shang-chi
https://techcombank.com/thong-tin/blog/voucher-golden-gate</v>
      </c>
      <c r="J52" s="26" t="s">
        <v>188</v>
      </c>
    </row>
    <row r="53" ht="82.5" customHeight="1">
      <c r="A53" s="12">
        <v>52.0</v>
      </c>
      <c r="B53" s="13" t="s">
        <v>1589</v>
      </c>
      <c r="C53" s="13" t="s">
        <v>610</v>
      </c>
      <c r="D53" s="21">
        <f>COUNTIF('Kế hoạch chèn link (mới)'!$B$3:$B$2944,C53)</f>
        <v>50</v>
      </c>
      <c r="E53" s="21">
        <f>IFERROR(VLOOKUP(C53,'Link trỏ về từng trang đích'!$B$2:$D$76,3,0),"")</f>
        <v>50</v>
      </c>
      <c r="F53" s="13" t="str">
        <f t="shared" si="1"/>
        <v>Đủ link</v>
      </c>
      <c r="G53" s="13" t="str">
        <f>IF(IFERROR(VLOOKUP(C53,'Inlink đã chèn'!$B$2:$C$200,2,0),0)&gt;0,"Đã có anchor text trỏ về","Chưa có anchor text trỏ về")</f>
        <v>Chưa có anchor text trỏ về</v>
      </c>
      <c r="H53" s="13" t="str">
        <f>IFERROR(__xludf.DUMMYFUNCTION("IFERROR(TEXTJOIN("", "",TRUE,UNIQUE(FILTER('Kế hoạch chèn link (mới)'!$D$3:$D$2944,'Kế hoạch chèn link (mới)'!$B$3:$B$2944=C53))),"""")"),"thuế hộ kinh doanh, hộ kinh doanh đóng thuế như thế nào")</f>
        <v>thuế hộ kinh doanh, hộ kinh doanh đóng thuế như thế nào</v>
      </c>
      <c r="I53" s="13" t="str">
        <f>IFERROR(__xludf.DUMMYFUNCTION("IFERROR(TEXTJOIN(CHAR(10),TRUE,FILTER('Kế hoạch chèn link (mới)'!$F$3:$F$2944,'Kế hoạch chèn link (mới)'!$B$3:$B$2944=C53)),"""")"),"https://techcombank.com/thong-tin/blog/thue-khoan-ho-kinh-doanh-la-gi
https://techcombank.com/thong-tin/blog/truy-thu-thue-ho-kinh-doanh
https://techcombank.com/thong-tin/blog/dong-ma-so-thue-ho-kinh-doanh
https://techcombank.com/thong-tin/blog/phat-cham-"&amp;"dang-ky-thue-ho-kinh-doanh
https://techcombank.com/thong-tin/blog/cach-nop-thue-dien-tu
https://techcombank.com/thong-tin/blog/tra-cuu-no-thue-ho-kinh-doanh
https://techcombank.com/thong-tin/blog/kiem-tra-thue-ho-kinh-doanh
https://techcombank.com/thong-t"&amp;"in/blog/cach-dang-ky-ma-so-thue-ho-kinh-doanh-online
https://techcombank.com/thong-tin/blog/tra-cuu-ma-so-thue-ho-kinh-doanh
https://techcombank.com/thong-tin/blog/dang-ky-thue-ho-kinh-doanh-ca-the-online
https://techcombank.com/thong-tin/blog/ke-khai-thu"&amp;"e-ho-kinh-doanh-ca-the-online
https://techcombank.com/thong-tin/blog/barcode-la-gi
https://techcombank.com/thong-tin/blog/chinh-sach-thue-moi
https://techcombank.com/thong-tin/blog/hoa-don-dien-tu
https://techcombank.com/thong-tin/blog/hoan-thue-doanh-ngh"&amp;"iep
https://techcombank.com/thong-tin/blog/thanh-lap-ho-kinh-doanh-ca-the
https://techcombank.com/thong-tin/blog/cach-tao-ma-qr
https://techcombank.com/thong-tin/blog/kiem-tra-thue-thu-nhap-ca-nhan
https://techcombank.com/thong-tin/blog/loi-ich-khi-ho-kin"&amp;"h-doanh-chuyen-len-doanh-nghiep
https://techcombank.com/thong-tin/blog/tiem-nang-chuyen-doi-tu-ho-kinh-doanh-len-doanh-nghiep-sme
https://techcombank.com/thong-tin/blog/khoi-nghiep-truoc-chinh-sach-thue-moi
https://techcombank.com/thong-tin/blog/cach-tra-"&amp;"cuu-hoa-don-dien-tu
https://techcombank.com/thong-tin/blog/thanh-toan-khong-dung-tien-mat
https://techcombank.com/thong-tin/blog/mo-tai-khoan-ho-kinh-doanh
https://techcombank.com/thong-tin/blog/nop-thue-dat-qua-ngan-hang
https://techcombank.com/thong-tin"&amp;"/blog/vay-tin-chap-ho-kinh-doanh
https://techcombank.com/thong-tin/blog/lien-ket-tai-khoan-ngan-hang-voi-etax-mobile
https://techcombank.com/thong-tin/blog/cac-sai-lam-pho-bien-khi-chuyen-doi-ho-kinh-doanh-len-sme
https://techcombank.com/thong-tin/blog/gi"&amp;"ay-phep-kinh-doanh
https://techcombank.com/thong-tin/blog/tra-cuu-no-thue-ca-nhan
https://techcombank.com/thong-tin/blog/chuyen-doi-hoa-don-dien-tu
https://techcombank.com/thong-tin/blog/khai-bao-tai-khoan-ngan-hang-voi-co-quan-thue
https://techcombank.co"&amp;"m/thong-tin/blog/dang-ky-kinh-doanh-la-gi
https://techcombank.com/thong-tin/blog/thay-doi-dia-chi-ho-kinh-doanh
https://techcombank.com/thong-tin/blog/luu-y-khi-chuyen-doi-tu-ho-kinh-doanh-len-doanh-nghiep
https://techcombank.com/thong-tin/blog/merchant-l"&amp;"a-gi
https://techcombank.com/thong-tin/blog/chuyen-doi-so-ho-kinh-doanh
https://techcombank.com/thong-tin/blog/luat-thuong-mai-dien-tu
https://techcombank.com/thong-tin/blog/hoa-don-dien-tu-ho-kinh-doanh
https://techcombank.com/thong-tin/blog/may-pos-la-g"&amp;"i
https://techcombank.com/thong-tin/blog/may-tinh-tien
https://techcombank.com/thong-tin/blog/phan-mem-xuat-hoa-don-dien-tu
https://techcombank.com/thong-tin/blog/thue-vat-la-gi
https://techcombank.com/thong-tin/blog/top-phan-mem-ban-hang
https://techcomb"&amp;"ank.com/thong-tin/blog/dieu-kien-thanh-lap-doanh-nghiep
https://techcombank.com/thong-tin/blog/khau-hao-la-gi
https://techcombank.com/thong-tin/blog/loi-nhuan-rong
https://techcombank.com/thong-tin/blog/quan-ly-tai-chinh-doanh-nghiep-nho
https://techcomba"&amp;"nk.com/thong-tin/blog/thue-doanh-nghiep-2025
https://techcombank.com/thong-tin/blog/tra-cuu-no-thue-hai-quan")</f>
        <v>https://techcombank.com/thong-tin/blog/thue-khoan-ho-kinh-doanh-la-gi
https://techcombank.com/thong-tin/blog/truy-thu-thue-ho-kinh-doanh
https://techcombank.com/thong-tin/blog/dong-ma-so-thue-ho-kinh-doanh
https://techcombank.com/thong-tin/blog/phat-cham-dang-ky-thue-ho-kinh-doanh
https://techcombank.com/thong-tin/blog/cach-nop-thue-dien-tu
https://techcombank.com/thong-tin/blog/tra-cuu-no-thue-ho-kinh-doanh
https://techcombank.com/thong-tin/blog/kiem-tra-thue-ho-kinh-doanh
https://techcombank.com/thong-tin/blog/cach-dang-ky-ma-so-thue-ho-kinh-doanh-online
https://techcombank.com/thong-tin/blog/tra-cuu-ma-so-thue-ho-kinh-doanh
https://techcombank.com/thong-tin/blog/dang-ky-thue-ho-kinh-doanh-ca-the-online
https://techcombank.com/thong-tin/blog/ke-khai-thue-ho-kinh-doanh-ca-the-online
https://techcombank.com/thong-tin/blog/barcode-la-gi
https://techcombank.com/thong-tin/blog/chinh-sach-thue-moi
https://techcombank.com/thong-tin/blog/hoa-don-dien-tu
https://techcombank.com/thong-tin/blog/hoan-thue-doanh-nghiep
https://techcombank.com/thong-tin/blog/thanh-lap-ho-kinh-doanh-ca-the
https://techcombank.com/thong-tin/blog/cach-tao-ma-qr
https://techcombank.com/thong-tin/blog/kiem-tra-thue-thu-nhap-ca-nhan
https://techcombank.com/thong-tin/blog/loi-ich-khi-ho-kinh-doanh-chuyen-len-doanh-nghiep
https://techcombank.com/thong-tin/blog/tiem-nang-chuyen-doi-tu-ho-kinh-doanh-len-doanh-nghiep-sme
https://techcombank.com/thong-tin/blog/khoi-nghiep-truoc-chinh-sach-thue-moi
https://techcombank.com/thong-tin/blog/cach-tra-cuu-hoa-don-dien-tu
https://techcombank.com/thong-tin/blog/thanh-toan-khong-dung-tien-mat
https://techcombank.com/thong-tin/blog/mo-tai-khoan-ho-kinh-doanh
https://techcombank.com/thong-tin/blog/nop-thue-dat-qua-ngan-hang
https://techcombank.com/thong-tin/blog/vay-tin-chap-ho-kinh-doanh
https://techcombank.com/thong-tin/blog/lien-ket-tai-khoan-ngan-hang-voi-etax-mobile
https://techcombank.com/thong-tin/blog/cac-sai-lam-pho-bien-khi-chuyen-doi-ho-kinh-doanh-len-sme
https://techcombank.com/thong-tin/blog/giay-phep-kinh-doanh
https://techcombank.com/thong-tin/blog/tra-cuu-no-thue-ca-nhan
https://techcombank.com/thong-tin/blog/chuyen-doi-hoa-don-dien-tu
https://techcombank.com/thong-tin/blog/khai-bao-tai-khoan-ngan-hang-voi-co-quan-thue
https://techcombank.com/thong-tin/blog/dang-ky-kinh-doanh-la-gi
https://techcombank.com/thong-tin/blog/thay-doi-dia-chi-ho-kinh-doanh
https://techcombank.com/thong-tin/blog/luu-y-khi-chuyen-doi-tu-ho-kinh-doanh-len-doanh-nghiep
https://techcombank.com/thong-tin/blog/merchant-la-gi
https://techcombank.com/thong-tin/blog/chuyen-doi-so-ho-kinh-doanh
https://techcombank.com/thong-tin/blog/luat-thuong-mai-dien-tu
https://techcombank.com/thong-tin/blog/hoa-don-dien-tu-ho-kinh-doanh
https://techcombank.com/thong-tin/blog/may-pos-la-gi
https://techcombank.com/thong-tin/blog/may-tinh-tien
https://techcombank.com/thong-tin/blog/phan-mem-xuat-hoa-don-dien-tu
https://techcombank.com/thong-tin/blog/thue-vat-la-gi
https://techcombank.com/thong-tin/blog/top-phan-mem-ban-hang
https://techcombank.com/thong-tin/blog/dieu-kien-thanh-lap-doanh-nghiep
https://techcombank.com/thong-tin/blog/khau-hao-la-gi
https://techcombank.com/thong-tin/blog/loi-nhuan-rong
https://techcombank.com/thong-tin/blog/quan-ly-tai-chinh-doanh-nghiep-nho
https://techcombank.com/thong-tin/blog/thue-doanh-nghiep-2025
https://techcombank.com/thong-tin/blog/tra-cuu-no-thue-hai-quan</v>
      </c>
      <c r="J53" s="26" t="s">
        <v>188</v>
      </c>
    </row>
    <row r="54" ht="82.5" customHeight="1">
      <c r="A54" s="12">
        <v>53.0</v>
      </c>
      <c r="B54" s="13" t="s">
        <v>1589</v>
      </c>
      <c r="C54" s="13" t="s">
        <v>1778</v>
      </c>
      <c r="D54" s="21">
        <f>COUNTIF('Kế hoạch chèn link (mới)'!$B$3:$B$2944,C54)</f>
        <v>30</v>
      </c>
      <c r="E54" s="21">
        <f>IFERROR(VLOOKUP(C54,'Link trỏ về từng trang đích'!$B$2:$D$76,3,0),"")</f>
        <v>30</v>
      </c>
      <c r="F54" s="13" t="str">
        <f t="shared" si="1"/>
        <v>Đủ link</v>
      </c>
      <c r="G54" s="13" t="str">
        <f>IF(IFERROR(VLOOKUP(C54,'Inlink đã chèn'!$B$2:$C$200,2,0),0)&gt;0,"Đã có anchor text trỏ về","Chưa có anchor text trỏ về")</f>
        <v>Chưa có anchor text trỏ về</v>
      </c>
      <c r="H54" s="13" t="str">
        <f>IFERROR(__xludf.DUMMYFUNCTION("IFERROR(TEXTJOIN("", "",TRUE,UNIQUE(FILTER('Kế hoạch chèn link (mới)'!$D$3:$D$2944,'Kế hoạch chèn link (mới)'!$B$3:$B$2944=C54))),"""")"),"mô hình kinh doanh, mô hình kinh doanh là gì")</f>
        <v>mô hình kinh doanh, mô hình kinh doanh là gì</v>
      </c>
      <c r="I54" s="13" t="str">
        <f>IFERROR(__xludf.DUMMYFUNCTION("IFERROR(TEXTJOIN(CHAR(10),TRUE,FILTER('Kế hoạch chèn link (mới)'!$F$3:$F$2944,'Kế hoạch chèn link (mới)'!$B$3:$B$2944=C54)),"""")"),"https://techcombank.com/thong-tin/blog/nhuong-quyen-la-gi
https://techcombank.com/thong-tin/blog/kinh-doanh-online
https://techcombank.com/thong-tin/blog/dao-tao-the-he-ke-can
https://techcombank.com/thong-tin/blog/roa
https://techcombank.com/thong-tin/bl"&amp;"og/softpos
https://techcombank.com/thong-tin/blog/pos
https://techcombank.com/thong-tin/blog/nim-la-gi
https://techcombank.com/thong-tin/blog/kinh-nghiem-chuyen-doi-tu-ho-kinh-doanh-len-doanh-nghiep
https://techcombank.com/thong-tin/blog/thanh-toan-bang-m"&amp;"a-qr
https://techcombank.com/thong-tin/blog/vay-ngan-han
https://techcombank.com/thong-tin/blog/chuyen-doi-xanh
https://techcombank.com/thong-tin/blog/gia-cao-su
https://techcombank.com/thong-tin/blog/dang-ky-thue-ho-kinh-doanh-ca-the-online
https://techc"&amp;"ombank.com/thong-tin/blog/barcode-la-gi
https://techcombank.com/thong-tin/blog/gia-ca-phe-hom-nay
https://techcombank.com/thong-tin/blog/loa-thong-bao-chuyen-khoan
https://techcombank.com/thong-tin/blog/loa-ting-ting
https://techcombank.com/thong-tin/blog"&amp;"/one-stop-shop
https://techcombank.com/thong-tin/blog/cac-loai-hinh-doanh-nghiep
https://techcombank.com/thong-tin/blog/top-phan-mem-ban-hang
https://techcombank.com/thong-tin/blog/ho-kinh-doanh-ca-the
https://techcombank.com/thong-tin/blog/nen-thanh-lap-"&amp;"ho-kinh-doanh-ke-khai-hay-doanh-nghiep
https://techcombank.com/thong-tin/blog/huong-dan-dang-ky-thanh-lap-doanh-nghiep
https://techcombank.com/thong-tin/blog/quan-ly-chuoi-cua-hang
https://techcombank.com/thong-tin/blog/tieu-dung-ben-vung
https://techcomb"&amp;"ank.com/thong-tin/blog/thue-phi-co-dinh-khi-chuyen-doi-tu-ho-kinh-doanh-len-doanh-nghiep
https://techcombank.com/thong-tin/blog/tim-hieu-ve-chinh-sach-thue-moi
https://techcombank.com/thong-tin/blog/tiem-nang-chuyen-doi-tu-ho-kinh-doanh-len-doanh-nghiep-s"&amp;"me
https://techcombank.com/thong-tin/blog/giay-phep-kinh-doanh
https://techcombank.com/thong-tin/blog/dang-ky-kinh-doanh-la-gi")</f>
        <v>https://techcombank.com/thong-tin/blog/nhuong-quyen-la-gi
https://techcombank.com/thong-tin/blog/kinh-doanh-online
https://techcombank.com/thong-tin/blog/dao-tao-the-he-ke-can
https://techcombank.com/thong-tin/blog/roa
https://techcombank.com/thong-tin/blog/softpos
https://techcombank.com/thong-tin/blog/pos
https://techcombank.com/thong-tin/blog/nim-la-gi
https://techcombank.com/thong-tin/blog/kinh-nghiem-chuyen-doi-tu-ho-kinh-doanh-len-doanh-nghiep
https://techcombank.com/thong-tin/blog/thanh-toan-bang-ma-qr
https://techcombank.com/thong-tin/blog/vay-ngan-han
https://techcombank.com/thong-tin/blog/chuyen-doi-xanh
https://techcombank.com/thong-tin/blog/gia-cao-su
https://techcombank.com/thong-tin/blog/dang-ky-thue-ho-kinh-doanh-ca-the-online
https://techcombank.com/thong-tin/blog/barcode-la-gi
https://techcombank.com/thong-tin/blog/gia-ca-phe-hom-nay
https://techcombank.com/thong-tin/blog/loa-thong-bao-chuyen-khoan
https://techcombank.com/thong-tin/blog/loa-ting-ting
https://techcombank.com/thong-tin/blog/one-stop-shop
https://techcombank.com/thong-tin/blog/cac-loai-hinh-doanh-nghiep
https://techcombank.com/thong-tin/blog/top-phan-mem-ban-hang
https://techcombank.com/thong-tin/blog/ho-kinh-doanh-ca-the
https://techcombank.com/thong-tin/blog/nen-thanh-lap-ho-kinh-doanh-ke-khai-hay-doanh-nghiep
https://techcombank.com/thong-tin/blog/huong-dan-dang-ky-thanh-lap-doanh-nghiep
https://techcombank.com/thong-tin/blog/quan-ly-chuoi-cua-hang
https://techcombank.com/thong-tin/blog/tieu-dung-ben-vung
https://techcombank.com/thong-tin/blog/thue-phi-co-dinh-khi-chuyen-doi-tu-ho-kinh-doanh-len-doanh-nghiep
https://techcombank.com/thong-tin/blog/tim-hieu-ve-chinh-sach-thue-moi
https://techcombank.com/thong-tin/blog/tiem-nang-chuyen-doi-tu-ho-kinh-doanh-len-doanh-nghiep-sme
https://techcombank.com/thong-tin/blog/giay-phep-kinh-doanh
https://techcombank.com/thong-tin/blog/dang-ky-kinh-doanh-la-gi</v>
      </c>
      <c r="J54" s="26" t="s">
        <v>188</v>
      </c>
    </row>
    <row r="55" ht="82.5" customHeight="1">
      <c r="A55" s="12">
        <v>54.0</v>
      </c>
      <c r="B55" s="13" t="s">
        <v>1589</v>
      </c>
      <c r="C55" s="13" t="s">
        <v>1214</v>
      </c>
      <c r="D55" s="21">
        <f>COUNTIF('Kế hoạch chèn link (mới)'!$B$3:$B$2944,C55)</f>
        <v>30</v>
      </c>
      <c r="E55" s="21">
        <f>IFERROR(VLOOKUP(C55,'Link trỏ về từng trang đích'!$B$2:$D$76,3,0),"")</f>
        <v>30</v>
      </c>
      <c r="F55" s="13" t="str">
        <f t="shared" si="1"/>
        <v>Đủ link</v>
      </c>
      <c r="G55" s="13" t="str">
        <f>IF(IFERROR(VLOOKUP(C55,'Inlink đã chèn'!$B$2:$C$200,2,0),0)&gt;0,"Đã có anchor text trỏ về","Chưa có anchor text trỏ về")</f>
        <v>Chưa có anchor text trỏ về</v>
      </c>
      <c r="H55" s="13" t="str">
        <f>IFERROR(__xludf.DUMMYFUNCTION("IFERROR(TEXTJOIN("", "",TRUE,UNIQUE(FILTER('Kế hoạch chèn link (mới)'!$D$3:$D$2944,'Kế hoạch chèn link (mới)'!$B$3:$B$2944=C55))),"""")"),"cách gửi mã QR ngân hàng, gửi mã QR ngân hàng")</f>
        <v>cách gửi mã QR ngân hàng, gửi mã QR ngân hàng</v>
      </c>
      <c r="I55" s="13" t="str">
        <f>IFERROR(__xludf.DUMMYFUNCTION("IFERROR(TEXTJOIN(CHAR(10),TRUE,FILTER('Kế hoạch chèn link (mới)'!$F$3:$F$2944,'Kế hoạch chèn link (mới)'!$B$3:$B$2944=C55)),"""")"),"https://techcombank.com/thong-tin/blog/cach-tao-ma-qr
https://techcombank.com/thong-tin/blog/in-ma-qr-ngan-hang
https://techcombank.com/thong-tin/blog/lo-ma-qr-ngan-hang-co-sao-khong
https://techcombank.com/thong-tin/blog/lam-ma-qr-ngan-hang-co-mat-phi-kh"&amp;"ong
https://techcombank.com/thong-tin/blog/ma-qr-ngan-hang-khong-hop-le
https://techcombank.com/thong-tin/blog/quet-ma-qr-techcombank
https://techcombank.com/thong-tin/blog/tao-ma-qr-thanh-toan-cho-cua-hang
https://techcombank.com/thong-tin/blog/thanh-toa"&amp;"n-bang-ma-qr
https://techcombank.com/thong-tin/blog/thanh-toan-truc-tuyen
https://techcombank.com/thong-tin/blog/rut-tien-bang-ma-qr-la-gi-cach-thuc-hien-nhu-the-nao
https://techcombank.com/thong-tin/blog/cach-rut-tien-atm
https://techcombank.com/thong-ti"&amp;"n/blog/cach-chuyen-tien
https://techcombank.com/thong-tin/blog/thanh-toan-qr-thai-lan
https://techcombank.com/thong-tin/blog/one-stop-shop
https://techcombank.com/thong-tin/blog/loa-thong-bao-chuyen-khoan
https://techcombank.com/thong-tin/blog/app-chia-ti"&amp;"en
https://techcombank.com/thong-tin/blog/chuyen-doi-so-ho-kinh-doanh
https://techcombank.com/thong-tin/blog/pos
https://techcombank.com/thong-tin/blog/merchant-la-gi
https://techcombank.com/thong-tin/blog/ma-qr-techcombank
https://techcombank.com/thong-t"&amp;"in/blog/so-sanh-ma-qr-va-ma-vach
https://techcombank.com/thong-tin/blog/qr-code-doanh-nghiep
https://techcombank.com/thong-tin/blog/qr-dong
https://techcombank.com/thong-tin/blog/rut-tien-bang-ma-qr-khac-ngan-hang-duoc-khong
https://techcombank.com/thong-"&amp;"tin/blog/thanh-toan-ma-qr-tro-thanh-phuong-thuc-duoc-ua-chuong-va-trien-khai-manh-me
https://techcombank.com/thong-tin/blog/qr-code-phuong-thuc-thanh-toan-toi-uu-trong-ky-nguyen-so
https://techcombank.com/thong-tin/blog/cach-chuyen-khoan-bang-dien-thoai
h"&amp;"ttps://techcombank.com/thong-tin/blog/cach-chuyen-tien-qua-ma-qr-techcombank
https://techcombank.com/thong-tin/blog/top-phan-mem-ban-hang
https://techcombank.com/thong-tin/blog/loa-ting-ting")</f>
        <v>https://techcombank.com/thong-tin/blog/cach-tao-ma-qr
https://techcombank.com/thong-tin/blog/in-ma-qr-ngan-hang
https://techcombank.com/thong-tin/blog/lo-ma-qr-ngan-hang-co-sao-khong
https://techcombank.com/thong-tin/blog/lam-ma-qr-ngan-hang-co-mat-phi-khong
https://techcombank.com/thong-tin/blog/ma-qr-ngan-hang-khong-hop-le
https://techcombank.com/thong-tin/blog/quet-ma-qr-techcombank
https://techcombank.com/thong-tin/blog/tao-ma-qr-thanh-toan-cho-cua-hang
https://techcombank.com/thong-tin/blog/thanh-toan-bang-ma-qr
https://techcombank.com/thong-tin/blog/thanh-toan-truc-tuyen
https://techcombank.com/thong-tin/blog/rut-tien-bang-ma-qr-la-gi-cach-thuc-hien-nhu-the-nao
https://techcombank.com/thong-tin/blog/cach-rut-tien-atm
https://techcombank.com/thong-tin/blog/cach-chuyen-tien
https://techcombank.com/thong-tin/blog/thanh-toan-qr-thai-lan
https://techcombank.com/thong-tin/blog/one-stop-shop
https://techcombank.com/thong-tin/blog/loa-thong-bao-chuyen-khoan
https://techcombank.com/thong-tin/blog/app-chia-tien
https://techcombank.com/thong-tin/blog/chuyen-doi-so-ho-kinh-doanh
https://techcombank.com/thong-tin/blog/pos
https://techcombank.com/thong-tin/blog/merchant-la-gi
https://techcombank.com/thong-tin/blog/ma-qr-techcombank
https://techcombank.com/thong-tin/blog/so-sanh-ma-qr-va-ma-vach
https://techcombank.com/thong-tin/blog/qr-code-doanh-nghiep
https://techcombank.com/thong-tin/blog/qr-dong
https://techcombank.com/thong-tin/blog/rut-tien-bang-ma-qr-khac-ngan-hang-duoc-khong
https://techcombank.com/thong-tin/blog/thanh-toan-ma-qr-tro-thanh-phuong-thuc-duoc-ua-chuong-va-trien-khai-manh-me
https://techcombank.com/thong-tin/blog/qr-code-phuong-thuc-thanh-toan-toi-uu-trong-ky-nguyen-so
https://techcombank.com/thong-tin/blog/cach-chuyen-khoan-bang-dien-thoai
https://techcombank.com/thong-tin/blog/cach-chuyen-tien-qua-ma-qr-techcombank
https://techcombank.com/thong-tin/blog/top-phan-mem-ban-hang
https://techcombank.com/thong-tin/blog/loa-ting-ting</v>
      </c>
      <c r="J55" s="26" t="s">
        <v>188</v>
      </c>
    </row>
    <row r="56" ht="82.5" customHeight="1">
      <c r="A56" s="12">
        <v>55.0</v>
      </c>
      <c r="B56" s="13" t="s">
        <v>1589</v>
      </c>
      <c r="C56" s="13" t="s">
        <v>1</v>
      </c>
      <c r="D56" s="21">
        <f>COUNTIF('Kế hoạch chèn link (mới)'!$B$3:$B$2944,C56)</f>
        <v>30</v>
      </c>
      <c r="E56" s="21">
        <f>IFERROR(VLOOKUP(C56,'Link trỏ về từng trang đích'!$B$2:$D$76,3,0),"")</f>
        <v>30</v>
      </c>
      <c r="F56" s="13" t="str">
        <f t="shared" si="1"/>
        <v>Đủ link</v>
      </c>
      <c r="G56" s="13" t="str">
        <f>IF(IFERROR(VLOOKUP(C56,'Inlink đã chèn'!$B$2:$C$200,2,0),0)&gt;0,"Đã có anchor text trỏ về","Chưa có anchor text trỏ về")</f>
        <v>Chưa có anchor text trỏ về</v>
      </c>
      <c r="H56" s="13" t="str">
        <f>IFERROR(__xludf.DUMMYFUNCTION("IFERROR(TEXTJOIN("", "",TRUE,UNIQUE(FILTER('Kế hoạch chèn link (mới)'!$D$3:$D$2944,'Kế hoạch chèn link (mới)'!$B$3:$B$2944=C56))),"""")"),"mở tài khoản hộ kinh doanh, tài khoản hộ kinh doanh, cách mở tài khoản hộ kinh doanh")</f>
        <v>mở tài khoản hộ kinh doanh, tài khoản hộ kinh doanh, cách mở tài khoản hộ kinh doanh</v>
      </c>
      <c r="I56" s="13" t="str">
        <f>IFERROR(__xludf.DUMMYFUNCTION("IFERROR(TEXTJOIN(CHAR(10),TRUE,FILTER('Kế hoạch chèn link (mới)'!$F$3:$F$2944,'Kế hoạch chèn link (mới)'!$B$3:$B$2944=C56)),"""")"),"https://techcombank.com/thong-tin/blog/thanh-lap-ho-kinh-doanh-ca-the
https://techcombank.com/thong-tin/blog/khai-bao-tai-khoan-ngan-hang-voi-co-quan-thue
https://techcombank.com/thong-tin/blog/ho-kinh-doanh-can-gi-o-tai-khoan-ngan-hang
https://techcomban"&amp;"k.com/thong-tin/blog/ho-kinh-doanh-ca-the
https://techcombank.com/thong-tin/blog/cach-dang-ky-ma-so-thue-ho-kinh-doanh-online
https://techcombank.com/thong-tin/blog/may-pos-la-gi
https://techcombank.com/thong-tin/blog/quan-ly-chuoi-cua-hang
https://techco"&amp;"mbank.com/thong-tin/blog/phan-mem-xuat-hoa-don-dien-tu
https://techcombank.com/thong-tin/blog/cach-tinh-thue-ho-kinh-doanh-nho-le
https://techcombank.com/thong-tin/blog/tra-cuu-no-thue-ho-kinh-doanh
https://techcombank.com/thong-tin/blog/kiem-tra-thue-ho-"&amp;"kinh-doanh
https://techcombank.com/thong-tin/blog/ho-kinh-doanh-la-gi
https://techcombank.com/thong-tin/blog/nen-thanh-lap-ho-kinh-doanh-ke-khai-hay-doanh-nghiep
https://techcombank.com/thong-tin/blog/thu-tuc-vay-von-kinh-doanh-nho
https://techcombank.com"&amp;"/thong-tin/blog/truy-thu-thue-ho-kinh-doanh
https://techcombank.com/thong-tin/blog/thay-doi-dia-chi-ho-kinh-doanh
https://techcombank.com/thong-tin/blog/nhung-ho-kinh-doanh-duoc-mien-thue
https://techcombank.com/thong-tin/blog/barcode-la-gi
https://techco"&amp;"mbank.com/thong-tin/blog/tra-cuu-ma-so-thue-ho-kinh-doanh
https://techcombank.com/thong-tin/blog/loi-ich-khi-ho-kinh-doanh-chuyen-len-doanh-nghiep
https://techcombank.com/thong-tin/blog/cac-sai-lam-pho-bien-khi-chuyen-doi-ho-kinh-doanh-len-sme
https://tec"&amp;"hcombank.com/thong-tin/blog/giay-phep-kinh-doanh
https://techcombank.com/thong-tin/blog/cach-tao-ma-qr
https://techcombank.com/thong-tin/blog/lai-suat-vay-kinh-doanh
https://techcombank.com/thong-tin/blog/thanh-toan-khong-dung-tien-mat
https://techcombank"&amp;".com/thong-tin/blog/vay-tin-chap-ho-kinh-doanh
https://techcombank.com/thong-tin/blog/chuyen-doi-hoa-don-dien-tu
https://techcombank.com/thong-tin/blog/dang-ky-kinh-doanh-la-gi
https://techcombank.com/thong-tin/blog/luu-y-khi-chuyen-doi-tu-ho-kinh-doanh-l"&amp;"en-doanh-nghiep
https://techcombank.com/thong-tin/blog/thue-ho-kinh-doanh-2025")</f>
        <v>https://techcombank.com/thong-tin/blog/thanh-lap-ho-kinh-doanh-ca-the
https://techcombank.com/thong-tin/blog/khai-bao-tai-khoan-ngan-hang-voi-co-quan-thue
https://techcombank.com/thong-tin/blog/ho-kinh-doanh-can-gi-o-tai-khoan-ngan-hang
https://techcombank.com/thong-tin/blog/ho-kinh-doanh-ca-the
https://techcombank.com/thong-tin/blog/cach-dang-ky-ma-so-thue-ho-kinh-doanh-online
https://techcombank.com/thong-tin/blog/may-pos-la-gi
https://techcombank.com/thong-tin/blog/quan-ly-chuoi-cua-hang
https://techcombank.com/thong-tin/blog/phan-mem-xuat-hoa-don-dien-tu
https://techcombank.com/thong-tin/blog/cach-tinh-thue-ho-kinh-doanh-nho-le
https://techcombank.com/thong-tin/blog/tra-cuu-no-thue-ho-kinh-doanh
https://techcombank.com/thong-tin/blog/kiem-tra-thue-ho-kinh-doanh
https://techcombank.com/thong-tin/blog/ho-kinh-doanh-la-gi
https://techcombank.com/thong-tin/blog/nen-thanh-lap-ho-kinh-doanh-ke-khai-hay-doanh-nghiep
https://techcombank.com/thong-tin/blog/thu-tuc-vay-von-kinh-doanh-nho
https://techcombank.com/thong-tin/blog/truy-thu-thue-ho-kinh-doanh
https://techcombank.com/thong-tin/blog/thay-doi-dia-chi-ho-kinh-doanh
https://techcombank.com/thong-tin/blog/nhung-ho-kinh-doanh-duoc-mien-thue
https://techcombank.com/thong-tin/blog/barcode-la-gi
https://techcombank.com/thong-tin/blog/tra-cuu-ma-so-thue-ho-kinh-doanh
https://techcombank.com/thong-tin/blog/loi-ich-khi-ho-kinh-doanh-chuyen-len-doanh-nghiep
https://techcombank.com/thong-tin/blog/cac-sai-lam-pho-bien-khi-chuyen-doi-ho-kinh-doanh-len-sme
https://techcombank.com/thong-tin/blog/giay-phep-kinh-doanh
https://techcombank.com/thong-tin/blog/cach-tao-ma-qr
https://techcombank.com/thong-tin/blog/lai-suat-vay-kinh-doanh
https://techcombank.com/thong-tin/blog/thanh-toan-khong-dung-tien-mat
https://techcombank.com/thong-tin/blog/vay-tin-chap-ho-kinh-doanh
https://techcombank.com/thong-tin/blog/chuyen-doi-hoa-don-dien-tu
https://techcombank.com/thong-tin/blog/dang-ky-kinh-doanh-la-gi
https://techcombank.com/thong-tin/blog/luu-y-khi-chuyen-doi-tu-ho-kinh-doanh-len-doanh-nghiep
https://techcombank.com/thong-tin/blog/thue-ho-kinh-doanh-2025</v>
      </c>
      <c r="J56" s="26" t="s">
        <v>188</v>
      </c>
    </row>
    <row r="57" ht="82.5" customHeight="1">
      <c r="A57" s="12">
        <v>56.0</v>
      </c>
      <c r="B57" s="13" t="s">
        <v>1589</v>
      </c>
      <c r="C57" s="13" t="s">
        <v>392</v>
      </c>
      <c r="D57" s="21">
        <f>COUNTIF('Kế hoạch chèn link (mới)'!$B$3:$B$2944,C57)</f>
        <v>23</v>
      </c>
      <c r="E57" s="21">
        <f>IFERROR(VLOOKUP(C57,'Link trỏ về từng trang đích'!$B$2:$D$76,3,0),"")</f>
        <v>30</v>
      </c>
      <c r="F57" s="13" t="str">
        <f t="shared" si="1"/>
        <v>Thiếu 7 link</v>
      </c>
      <c r="G57" s="13" t="str">
        <f>IF(IFERROR(VLOOKUP(C57,'Inlink đã chèn'!$B$2:$C$200,2,0),0)&gt;0,"Đã có anchor text trỏ về","Chưa có anchor text trỏ về")</f>
        <v>Chưa có anchor text trỏ về</v>
      </c>
      <c r="H57" s="13" t="str">
        <f>IFERROR(__xludf.DUMMYFUNCTION("IFERROR(TEXTJOIN("", "",TRUE,UNIQUE(FILTER('Kế hoạch chèn link (mới)'!$D$3:$D$2944,'Kế hoạch chèn link (mới)'!$B$3:$B$2944=C57))),"""")"),"cách tính thuế hộ kinh doanh, cách tính thuế hộ kinh doanh nhỏ lẻ")</f>
        <v>cách tính thuế hộ kinh doanh, cách tính thuế hộ kinh doanh nhỏ lẻ</v>
      </c>
      <c r="I57" s="13" t="str">
        <f>IFERROR(__xludf.DUMMYFUNCTION("IFERROR(TEXTJOIN(CHAR(10),TRUE,FILTER('Kế hoạch chèn link (mới)'!$F$3:$F$2944,'Kế hoạch chèn link (mới)'!$B$3:$B$2944=C57)),"""")"),"https://techcombank.com/thong-tin/blog/ke-khai-thue-ho-kinh-doanh-ca-the-online
https://techcombank.com/thong-tin/blog/kiem-tra-thue-ho-kinh-doanh
https://techcombank.com/thong-tin/blog/thue-thuong-mai-dien-tu
https://techcombank.com/thong-tin/blog/chinh-"&amp;"sach-thue-moi
https://techcombank.com/thong-tin/blog/ho-kinh-doanh-ca-the
https://techcombank.com/thong-tin/blog/ho-kinh-doanh-la-gi
https://techcombank.com/thong-tin/blog/thanh-lap-ho-kinh-doanh-ca-the
https://techcombank.com/thong-tin/blog/loi-ich-khi-h"&amp;"o-kinh-doanh-chuyen-len-doanh-nghiep
https://techcombank.com/thong-tin/blog/thanh-toan-khong-dung-tien-mat
https://techcombank.com/thong-tin/blog/tra-cuu-no-thue-ho-kinh-doanh
https://techcombank.com/thong-tin/blog/lien-ket-tai-khoan-ngan-hang-voi-etax-mo"&amp;"bile
https://techcombank.com/thong-tin/blog/hoa-don-dien-tu
https://techcombank.com/thong-tin/blog/truy-thu-thue-ho-kinh-doanh
https://techcombank.com/thong-tin/blog/chuyen-doi-hoa-don-dien-tu
https://techcombank.com/thong-tin/blog/dang-ky-kinh-doanh-la-g"&amp;"i
https://techcombank.com/thong-tin/blog/thay-doi-dia-chi-ho-kinh-doanh
https://techcombank.com/thong-tin/blog/cach-dang-ky-ma-so-thue-ho-kinh-doanh-online
https://techcombank.com/thong-tin/blog/luu-y-khi-chuyen-doi-tu-ho-kinh-doanh-len-doanh-nghiep
https"&amp;"://techcombank.com/thong-tin/blog/barcode-la-gi
https://techcombank.com/thong-tin/blog/phat-cham-dang-ky-thue-ho-kinh-doanh
https://techcombank.com/thong-tin/blog/thue-vat-la-gi
https://techcombank.com/thong-tin/blog/ho-kinh-doanh-dong-thue-nhu-nao
https:"&amp;"//techcombank.com/thong-tin/blog/khau-hao-la-gi")</f>
        <v>https://techcombank.com/thong-tin/blog/ke-khai-thue-ho-kinh-doanh-ca-the-online
https://techcombank.com/thong-tin/blog/kiem-tra-thue-ho-kinh-doanh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https://techcombank.com/thong-tin/blog/loi-ich-khi-ho-kinh-doanh-chuyen-len-doanh-nghiep
https://techcombank.com/thong-tin/blog/thanh-toan-khong-dung-tien-mat
https://techcombank.com/thong-tin/blog/tra-cuu-no-thue-ho-kinh-doanh
https://techcombank.com/thong-tin/blog/lien-ket-tai-khoan-ngan-hang-voi-etax-mobile
https://techcombank.com/thong-tin/blog/hoa-don-dien-tu
https://techcombank.com/thong-tin/blog/truy-thu-thue-ho-kinh-doanh
https://techcombank.com/thong-tin/blog/chuyen-doi-hoa-don-dien-tu
https://techcombank.com/thong-tin/blog/dang-ky-kinh-doanh-la-gi
https://techcombank.com/thong-tin/blog/thay-doi-dia-chi-ho-kinh-doanh
https://techcombank.com/thong-tin/blog/cach-dang-ky-ma-so-thue-ho-kinh-doanh-online
https://techcombank.com/thong-tin/blog/luu-y-khi-chuyen-doi-tu-ho-kinh-doanh-len-doanh-nghiep
https://techcombank.com/thong-tin/blog/barcode-la-gi
https://techcombank.com/thong-tin/blog/phat-cham-dang-ky-thue-ho-kinh-doanh
https://techcombank.com/thong-tin/blog/thue-vat-la-gi
https://techcombank.com/thong-tin/blog/ho-kinh-doanh-dong-thue-nhu-nao
https://techcombank.com/thong-tin/blog/khau-hao-la-gi</v>
      </c>
      <c r="J57" s="26" t="s">
        <v>188</v>
      </c>
    </row>
    <row r="58" ht="82.5" customHeight="1">
      <c r="A58" s="12">
        <v>57.0</v>
      </c>
      <c r="B58" s="13" t="s">
        <v>1598</v>
      </c>
      <c r="C58" s="13" t="s">
        <v>367</v>
      </c>
      <c r="D58" s="21">
        <f>COUNTIF('Kế hoạch chèn link (mới)'!$B$3:$B$2944,C58)</f>
        <v>45</v>
      </c>
      <c r="E58" s="21">
        <f>IFERROR(VLOOKUP(C58,'Link trỏ về từng trang đích'!$B$2:$D$76,3,0),"")</f>
        <v>50</v>
      </c>
      <c r="F58" s="13" t="str">
        <f t="shared" si="1"/>
        <v>Thiếu 5 link</v>
      </c>
      <c r="G58" s="13" t="str">
        <f>IF(IFERROR(VLOOKUP(C58,'Inlink đã chèn'!$B$2:$C$200,2,0),0)&gt;0,"Đã có anchor text trỏ về","Chưa có anchor text trỏ về")</f>
        <v>Chưa có anchor text trỏ về</v>
      </c>
      <c r="H58" s="13" t="str">
        <f>IFERROR(__xludf.DUMMYFUNCTION("IFERROR(TEXTJOIN("", "",TRUE,UNIQUE(FILTER('Kế hoạch chèn link (mới)'!$D$3:$D$2944,'Kế hoạch chèn link (mới)'!$B$3:$B$2944=C58))),"""")"),"cách tính lãi suất vay, cách tính lãi suất vay ngân hàng")</f>
        <v>cách tính lãi suất vay, cách tính lãi suất vay ngân hàng</v>
      </c>
      <c r="I58" s="13" t="str">
        <f>IFERROR(__xludf.DUMMYFUNCTION("IFERROR(TEXTJOIN(CHAR(10),TRUE,FILTER('Kế hoạch chèn link (mới)'!$F$3:$F$2944,'Kế hoạch chèn link (mới)'!$B$3:$B$2944=C58)),"""")"),"https://techcombank.com/thong-tin/blog/du-no-la-gi
https://techcombank.com/thong-tin/blog/lai-suat-tha-noi
https://techcombank.com/thong-tin/blog/an-han-no-goc-la-gi
https://techcombank.com/thong-tin/blog/cong-thuc-tinh-lai-suat-thuc
https://techcombank.c"&amp;"om/thong-tin/blog/phi-vay-the-chap
https://techcombank.com/thong-tin/blog/uu-dai-the-tin-dung-techcombank-signature
https://techcombank.com/thong-tin/blog/nen-gui-tiet-kiem-6-thang-hay-1-nam
https://techcombank.com/thong-tin/blog/the-tin-dung-phu-la-gi
ht"&amp;"tps://techcombank.com/thong-tin/blog/vay-ngan-hang-1-ty-moi-thang-tra-bao-nhieu
https://techcombank.com/thong-tin/blog/lai-suat-tiet-kiem
https://techcombank.com/thong-tin/blog/vay-tra-gop
https://techcombank.com/thong-tin/blog/vay-mua-nha-o-xa-hoi
https:"&amp;"//techcombank.com/thong-tin/blog/lai-suat-vay-ngan-hang
https://techcombank.com/thong-tin/blog/cac-hinh-thuc-vay-von-ngan-hang
https://techcombank.com/thong-tin/blog/loi-nhuan
https://techcombank.com/thong-tin/blog/vay-300-trieu
https://techcombank.com/th"&amp;"ong-tin/blog/lai-suat-vay-thau-chi
https://techcombank.com/thong-tin/blog/vay-mua-nha-tra-gop
https://techcombank.com/thong-tin/blog/vay-40-trieu
https://techcombank.com/thong-tin/blog/vay-100-trieu
https://techcombank.com/thong-tin/blog/tra-gop-hoc-phi
h"&amp;"ttps://techcombank.com/thong-tin/blog/lai-suat-la-gi
https://techcombank.com/thong-tin/blog/vay-15-trieu
https://techcombank.com/thong-tin/blog/vay-30-trieu
https://techcombank.com/thong-tin/blog/lai-suat-ngan-hang-cho-vay-xay-nha
https://techcombank.com/"&amp;"thong-tin/blog/dieu-kien-vay-von-ngan-hang
https://techcombank.com/thong-tin/blog/vay-200-trieu
https://techcombank.com/thong-tin/blog/lai-suat-vay-tin-chap
https://techcombank.com/thong-tin/blog/hoc-sinh-sinh-vien-nen-lam-the-ngan-hang-nao
https://techco"&amp;"mbank.com/thong-tin/blog/loi-ich-cua-ngan-hang-so-voi-sme
https://techcombank.com/thong-tin/blog/tin-dung-tieu-dung
https://techcombank.com/thong-tin/blog/vay-sieu-toc
https://techcombank.com/thong-tin/blog/vay-tien-online
https://techcombank.com/thong-ti"&amp;"n/blog/co-nen-mua-o-to-tra-gop
https://techcombank.com/thong-tin/blog/rui-ro-khi-vay-the-chap-ngan-hang
https://techcombank.com/thong-tin/blog/lai-suat-vay-the-chap
https://techcombank.com/thong-tin/blog/lai-suat-vay-the-chap-so-do
https://techcombank.com"&amp;"/thong-tin/blog/sao-ke-the-tin-dung-la-gi
https://techcombank.com/thong-tin/blog/lai-suat-vay-tieu-dung
https://techcombank.com/thong-tin/blog/thu-tuc-vay-von-ngan-hang-de-xay-nha
https://techcombank.com/thong-tin/blog/kinh-nghiem-vay-tien-ngan-hang-xay-n"&amp;"ha
https://techcombank.com/thong-tin/blog/tra-gop-qua-the-tin-dung
https://techcombank.com/thong-tin/blog/the-tin-dung-hoan-tien
https://techcombank.com/thong-tin/blog/lai-kep-ngan-hang
https://techcombank.com/thong-tin/blog/nang-han-muc-tin-dung")</f>
        <v>https://techcombank.com/thong-tin/blog/du-no-la-gi
https://techcombank.com/thong-tin/blog/lai-suat-tha-noi
https://techcombank.com/thong-tin/blog/an-han-no-goc-la-gi
https://techcombank.com/thong-tin/blog/cong-thuc-tinh-lai-suat-thuc
https://techcombank.com/thong-tin/blog/phi-vay-the-chap
https://techcombank.com/thong-tin/blog/uu-dai-the-tin-dung-techcombank-signature
https://techcombank.com/thong-tin/blog/nen-gui-tiet-kiem-6-thang-hay-1-nam
https://techcombank.com/thong-tin/blog/the-tin-dung-phu-la-gi
https://techcombank.com/thong-tin/blog/vay-ngan-hang-1-ty-moi-thang-tra-bao-nhieu
https://techcombank.com/thong-tin/blog/lai-suat-tiet-kiem
https://techcombank.com/thong-tin/blog/vay-tra-gop
https://techcombank.com/thong-tin/blog/vay-mua-nha-o-xa-hoi
https://techcombank.com/thong-tin/blog/lai-suat-vay-ngan-hang
https://techcombank.com/thong-tin/blog/cac-hinh-thuc-vay-von-ngan-hang
https://techcombank.com/thong-tin/blog/loi-nhuan
https://techcombank.com/thong-tin/blog/vay-300-trieu
https://techcombank.com/thong-tin/blog/lai-suat-vay-thau-chi
https://techcombank.com/thong-tin/blog/vay-mua-nha-tra-gop
https://techcombank.com/thong-tin/blog/vay-40-trieu
https://techcombank.com/thong-tin/blog/vay-100-trieu
https://techcombank.com/thong-tin/blog/tra-gop-hoc-phi
https://techcombank.com/thong-tin/blog/lai-suat-la-gi
https://techcombank.com/thong-tin/blog/vay-15-trieu
https://techcombank.com/thong-tin/blog/vay-30-trieu
https://techcombank.com/thong-tin/blog/lai-suat-ngan-hang-cho-vay-xay-nha
https://techcombank.com/thong-tin/blog/dieu-kien-vay-von-ngan-hang
https://techcombank.com/thong-tin/blog/vay-200-trieu
https://techcombank.com/thong-tin/blog/lai-suat-vay-tin-chap
https://techcombank.com/thong-tin/blog/hoc-sinh-sinh-vien-nen-lam-the-ngan-hang-nao
https://techcombank.com/thong-tin/blog/loi-ich-cua-ngan-hang-so-voi-sme
https://techcombank.com/thong-tin/blog/tin-dung-tieu-dung
https://techcombank.com/thong-tin/blog/vay-sieu-toc
https://techcombank.com/thong-tin/blog/vay-tien-online
https://techcombank.com/thong-tin/blog/co-nen-mua-o-to-tra-gop
https://techcombank.com/thong-tin/blog/rui-ro-khi-vay-the-chap-ngan-hang
https://techcombank.com/thong-tin/blog/lai-suat-vay-the-chap
https://techcombank.com/thong-tin/blog/lai-suat-vay-the-chap-so-do
https://techcombank.com/thong-tin/blog/sao-ke-the-tin-dung-la-gi
https://techcombank.com/thong-tin/blog/lai-suat-vay-tieu-dung
https://techcombank.com/thong-tin/blog/thu-tuc-vay-von-ngan-hang-de-xay-nha
https://techcombank.com/thong-tin/blog/kinh-nghiem-vay-tien-ngan-hang-xay-nha
https://techcombank.com/thong-tin/blog/tra-gop-qua-the-tin-dung
https://techcombank.com/thong-tin/blog/the-tin-dung-hoan-tien
https://techcombank.com/thong-tin/blog/lai-kep-ngan-hang
https://techcombank.com/thong-tin/blog/nang-han-muc-tin-dung</v>
      </c>
      <c r="J58" s="26" t="s">
        <v>188</v>
      </c>
    </row>
    <row r="59" ht="82.5" customHeight="1">
      <c r="A59" s="12">
        <v>58.0</v>
      </c>
      <c r="B59" s="13" t="s">
        <v>1598</v>
      </c>
      <c r="C59" s="13" t="s">
        <v>109</v>
      </c>
      <c r="D59" s="21">
        <f>COUNTIF('Kế hoạch chèn link (mới)'!$B$3:$B$2944,C59)</f>
        <v>19</v>
      </c>
      <c r="E59" s="21">
        <f>IFERROR(VLOOKUP(C59,'Link trỏ về từng trang đích'!$B$2:$D$76,3,0),"")</f>
        <v>30</v>
      </c>
      <c r="F59" s="13" t="str">
        <f t="shared" si="1"/>
        <v>Thiếu 11 link</v>
      </c>
      <c r="G59" s="13" t="str">
        <f>IF(IFERROR(VLOOKUP(C59,'Inlink đã chèn'!$B$2:$C$200,2,0),0)&gt;0,"Đã có anchor text trỏ về","Chưa có anchor text trỏ về")</f>
        <v>Chưa có anchor text trỏ về</v>
      </c>
      <c r="H59" s="13" t="str">
        <f>IFERROR(__xludf.DUMMYFUNCTION("IFERROR(TEXTJOIN("", "",TRUE,UNIQUE(FILTER('Kế hoạch chèn link (mới)'!$D$3:$D$2944,'Kế hoạch chèn link (mới)'!$B$3:$B$2944=C59))),"""")"),"vay thế chấp sổ đỏ, lãi suất vay thế chấp sổ đỏ, lãi suất vay thế chấp sổ hồng, vay thế chấp sổ đỏ ngân hàng")</f>
        <v>vay thế chấp sổ đỏ, lãi suất vay thế chấp sổ đỏ, lãi suất vay thế chấp sổ hồng, vay thế chấp sổ đỏ ngân hàng</v>
      </c>
      <c r="I59" s="13" t="str">
        <f>IFERROR(__xludf.DUMMYFUNCTION("IFERROR(TEXTJOIN(CHAR(10),TRUE,FILTER('Kế hoạch chèn link (mới)'!$F$3:$F$2944,'Kế hoạch chèn link (mới)'!$B$3:$B$2944=C59)),"""")"),"https://techcombank.com/thong-tin/blog/han-muc-vay-the-chap-so-do
https://techcombank.com/thong-tin/blog/kinh-nghiem-vay-the-chap-ngan-hang
https://techcombank.com/thong-tin/blog/vay-the-chap-so-hong
https://techcombank.com/thong-tin/blog/nen-vay-the-chap"&amp;"-ngan-hang-nao
https://techcombank.com/thong-tin/blog/so-tai-khoan-ngan-hang
https://techcombank.com/thong-tin/blog/vay-the-chap-la-gi
https://techcombank.com/thong-tin/blog/vay-the-chap-so-bao-hiem-xa-hoi
https://techcombank.com/thong-tin/blog/vay-von-do"&amp;"anh-nghiep-khong-the-chap
https://techcombank.com/thong-tin/blog/phi-vay-the-chap
https://techcombank.com/thong-tin/blog/dieu-kien-vay-the-chap
https://techcombank.com/thong-tin/blog/the-chap-la-gi
https://techcombank.com/thong-tin/blog/rui-ro-khi-vay-the"&amp;"-chap-ngan-hang
https://techcombank.com/thong-tin/blog/ho-so-thu-tuc-xoa-the-chap
https://techcombank.com/thong-tin/blog/vay-the-chap-toi-da-duoc-bao-nhieu
https://techcombank.com/thong-tin/blog/thanh-ly-tai-san
https://techcombank.com/thong-tin/blog/vay-"&amp;"san-xuat-kinh-doanh
https://techcombank.com/thong-tin/blog/vay-the-chap-qua-luong
https://techcombank.com/thong-tin/blog/giai-ngan-vay-the-chap
https://techcombank.com/thong-tin/blog/vay-the-chap-khong-chung-minh-thu-nhap")</f>
        <v>https://techcombank.com/thong-tin/blog/han-muc-vay-the-chap-so-do
https://techcombank.com/thong-tin/blog/kinh-nghiem-vay-the-chap-ngan-hang
https://techcombank.com/thong-tin/blog/vay-the-chap-so-hong
https://techcombank.com/thong-tin/blog/nen-vay-the-chap-ngan-hang-nao
https://techcombank.com/thong-tin/blog/so-tai-khoan-ngan-hang
https://techcombank.com/thong-tin/blog/vay-the-chap-la-gi
https://techcombank.com/thong-tin/blog/vay-the-chap-so-bao-hiem-xa-hoi
https://techcombank.com/thong-tin/blog/vay-von-doanh-nghiep-khong-the-chap
https://techcombank.com/thong-tin/blog/phi-vay-the-chap
https://techcombank.com/thong-tin/blog/dieu-kien-vay-the-chap
https://techcombank.com/thong-tin/blog/the-chap-la-gi
https://techcombank.com/thong-tin/blog/rui-ro-khi-vay-the-chap-ngan-hang
https://techcombank.com/thong-tin/blog/ho-so-thu-tuc-xoa-the-chap
https://techcombank.com/thong-tin/blog/vay-the-chap-toi-da-duoc-bao-nhieu
https://techcombank.com/thong-tin/blog/thanh-ly-tai-san
https://techcombank.com/thong-tin/blog/vay-san-xuat-kinh-doanh
https://techcombank.com/thong-tin/blog/vay-the-chap-qua-luong
https://techcombank.com/thong-tin/blog/giai-ngan-vay-the-chap
https://techcombank.com/thong-tin/blog/vay-the-chap-khong-chung-minh-thu-nhap</v>
      </c>
      <c r="J59" s="26" t="s">
        <v>188</v>
      </c>
    </row>
    <row r="60" ht="82.5" customHeight="1">
      <c r="A60" s="12">
        <v>59.0</v>
      </c>
      <c r="B60" s="13" t="s">
        <v>1598</v>
      </c>
      <c r="C60" s="13" t="s">
        <v>969</v>
      </c>
      <c r="D60" s="21">
        <f>COUNTIF('Kế hoạch chèn link (mới)'!$B$3:$B$2944,C60)</f>
        <v>20</v>
      </c>
      <c r="E60" s="21">
        <f>IFERROR(VLOOKUP(C60,'Link trỏ về từng trang đích'!$B$2:$D$76,3,0),"")</f>
        <v>30</v>
      </c>
      <c r="F60" s="13" t="str">
        <f t="shared" si="1"/>
        <v>Thiếu 10 link</v>
      </c>
      <c r="G60" s="13" t="str">
        <f>IF(IFERROR(VLOOKUP(C60,'Inlink đã chèn'!$B$2:$C$200,2,0),0)&gt;0,"Đã có anchor text trỏ về","Chưa có anchor text trỏ về")</f>
        <v>Chưa có anchor text trỏ về</v>
      </c>
      <c r="H60" s="13" t="str">
        <f>IFERROR(__xludf.DUMMYFUNCTION("IFERROR(TEXTJOIN("", "",TRUE,UNIQUE(FILTER('Kế hoạch chèn link (mới)'!$D$3:$D$2944,'Kế hoạch chèn link (mới)'!$B$3:$B$2944=C60))),"""")"),"hồ sơ thủ tục xóa thế chấp, thủ tục xóa thế chấp, xóa thế chấp sổ đỏ")</f>
        <v>hồ sơ thủ tục xóa thế chấp, thủ tục xóa thế chấp, xóa thế chấp sổ đỏ</v>
      </c>
      <c r="I60" s="13" t="str">
        <f>IFERROR(__xludf.DUMMYFUNCTION("IFERROR(TEXTJOIN(CHAR(10),TRUE,FILTER('Kế hoạch chèn link (mới)'!$F$3:$F$2944,'Kế hoạch chèn link (mới)'!$B$3:$B$2944=C60)),"""")"),"https://techcombank.com/thong-tin/blog/tat-toan
https://techcombank.com/thong-tin/blog/quy-trinh-tat-toan-khoan-vay-the-chap
https://techcombank.com/thong-tin/blog/giai-ngan-vay-the-chap
https://techcombank.com/thong-tin/blog/the-chap-la-gi
https://techco"&amp;"mbank.com/thong-tin/blog/vay-tien-mat
https://techcombank.com/thong-tin/blog/vay-von-doanh-nghiep-khong-the-chap
https://techcombank.com/thong-tin/blog/thu-tuc-mua-xe-tra-gop
https://techcombank.com/thong-tin/blog/vay-san-xuat-kinh-doanh
https://techcomba"&amp;"nk.com/thong-tin/blog/vay-300-trieu
https://techcombank.com/thong-tin/blog/vay-the-chap-la-gi
https://techcombank.com/thong-tin/blog/viet-kieu-co-mo-duoc-tai-khoan-ngan-hang-khong
https://techcombank.com/thong-tin/blog/kich-hoat-the-tin-dung-techcombank
h"&amp;"ttps://techcombank.com/thong-tin/blog/vay-200-trieu
https://techcombank.com/thong-tin/blog/vay-tin-chap-theo-luong
https://techcombank.com/thong-tin/blog/cac-hinh-thuc-cho-vay-tieu-dung
https://techcombank.com/thong-tin/blog/ho-so-vay-tin-chap
https://tec"&amp;"hcombank.com/thong-tin/blog/merchant-la-gi
https://techcombank.com/thong-tin/blog/vay-the-chap-so-bao-hiem-xa-hoi
https://techcombank.com/thong-tin/blog/vay-the-chap-toi-da-duoc-bao-nhieu
https://techcombank.com/thong-tin/blog/han-muc-vay-the-chap-so-do")</f>
        <v>https://techcombank.com/thong-tin/blog/tat-toan
https://techcombank.com/thong-tin/blog/quy-trinh-tat-toan-khoan-vay-the-chap
https://techcombank.com/thong-tin/blog/giai-ngan-vay-the-chap
https://techcombank.com/thong-tin/blog/the-chap-la-gi
https://techcombank.com/thong-tin/blog/vay-tien-mat
https://techcombank.com/thong-tin/blog/vay-von-doanh-nghiep-khong-the-chap
https://techcombank.com/thong-tin/blog/thu-tuc-mua-xe-tra-gop
https://techcombank.com/thong-tin/blog/vay-san-xuat-kinh-doanh
https://techcombank.com/thong-tin/blog/vay-300-trieu
https://techcombank.com/thong-tin/blog/vay-the-chap-la-gi
https://techcombank.com/thong-tin/blog/viet-kieu-co-mo-duoc-tai-khoan-ngan-hang-khong
https://techcombank.com/thong-tin/blog/kich-hoat-the-tin-dung-techcombank
https://techcombank.com/thong-tin/blog/vay-200-trieu
https://techcombank.com/thong-tin/blog/vay-tin-chap-theo-luong
https://techcombank.com/thong-tin/blog/cac-hinh-thuc-cho-vay-tieu-dung
https://techcombank.com/thong-tin/blog/ho-so-vay-tin-chap
https://techcombank.com/thong-tin/blog/merchant-la-gi
https://techcombank.com/thong-tin/blog/vay-the-chap-so-bao-hiem-xa-hoi
https://techcombank.com/thong-tin/blog/vay-the-chap-toi-da-duoc-bao-nhieu
https://techcombank.com/thong-tin/blog/han-muc-vay-the-chap-so-do</v>
      </c>
      <c r="J60" s="26" t="s">
        <v>188</v>
      </c>
    </row>
    <row r="61" ht="82.5" customHeight="1">
      <c r="A61" s="12">
        <v>60.0</v>
      </c>
      <c r="B61" s="13" t="s">
        <v>1492</v>
      </c>
      <c r="C61" s="13" t="s">
        <v>270</v>
      </c>
      <c r="D61" s="21">
        <f>COUNTIF('Kế hoạch chèn link (mới)'!$B$3:$B$2944,C61)</f>
        <v>200</v>
      </c>
      <c r="E61" s="21">
        <f>IFERROR(VLOOKUP(C61,'Link trỏ về từng trang đích'!$B$2:$D$76,3,0),"")</f>
        <v>200</v>
      </c>
      <c r="F61" s="13" t="str">
        <f t="shared" si="1"/>
        <v>Đủ link</v>
      </c>
      <c r="G61" s="13" t="str">
        <f>IF(IFERROR(VLOOKUP(C61,'Inlink đã chèn'!$B$2:$C$200,2,0),0)&gt;0,"Đã có anchor text trỏ về","Chưa có anchor text trỏ về")</f>
        <v>Chưa có anchor text trỏ về</v>
      </c>
      <c r="H61" s="13" t="str">
        <f>IFERROR(__xludf.DUMMYFUNCTION("IFERROR(TEXTJOIN("", "",TRUE,UNIQUE(FILTER('Kế hoạch chèn link (mới)'!$D$3:$D$2944,'Kế hoạch chèn link (mới)'!$B$3:$B$2944=C61))),"""")"),"lãi suất ngân hàng hiện nay, lãi suất ngân hàng, lãi suất gửi tiết kiệm ngân hàng, lãi suất tiền gửi ngân hàng, lãi suất ngân hàng hôm nay, lãi suất ngân hàng nào cao nhất, lãi suất ngân hàng tiền gửi")</f>
        <v>lãi suất ngân hàng hiện nay, lãi suất ngân hàng, lãi suất gửi tiết kiệm ngân hàng, lãi suất tiền gửi ngân hàng, lãi suất ngân hàng hôm nay, lãi suất ngân hàng nào cao nhất, lãi suất ngân hàng tiền gửi</v>
      </c>
      <c r="I61" s="13" t="str">
        <f>IFERROR(__xludf.DUMMYFUNCTION("IFERROR(TEXTJOIN(CHAR(10),TRUE,FILTER('Kế hoạch chèn link (mới)'!$F$3:$F$2944,'Kế hoạch chèn link (mới)'!$B$3:$B$2944=C61)),"""")"),"https://techcombank.com/thong-tin/blog/tai-sao-gui-tiet-kiem-online-lai-suat-cao-hon
https://techcombank.com/thong-tin/blog/vay-the-chap-hop-dong-mua-ban-can-ho
https://techcombank.com/thong-tin/blog/cach-tinh-gia-vang
https://techcombank.com/thong-tin/bl"&amp;"og/so-sanh-gui-tiet-kiem-online-va-tai-quay
https://techcombank.com/thong-tin/blog/cong-thuc-tinh-lai-suat-thuc
https://techcombank.com/thong-tin/blog/lai-suat-ngan-hang-cho-vay-xay-nha
https://techcombank.com/thong-tin/blog/lai-suat-chung-chi-quy
https:/"&amp;"/techcombank.com/thong-tin/blog/so-tiet-kiem-ngan-hang
https://techcombank.com/thong-tin/blog/gui-tiet-kiem-theo-ngay
https://techcombank.com/thong-tin/blog/nen-gui-tiet-kiem-thong-thuong-hay-tich-luy
https://techcombank.com/thong-tin/blog/nen-de-tien-tro"&amp;"ng-the-hay-gui-tiet-kiem
https://techcombank.com/thong-tin/blog/xu-huong-dau-tu-trai-phieu-ky-han-duoi-mot-nam-lua-chon-an-toan-khi-thi-truong-bien-dong
https://techcombank.com/thong-tin/blog/gui-tiet-kiem-online-bi-mat-tien
https://techcombank.com/thong-"&amp;"tin/blog/tich-luy-tai-san
https://techcombank.com/thong-tin/blog/mo-tai-khoan-tiet-kiem-cho-con
https://techcombank.com/thong-tin/blog/rut-tien-tiet-kiem-truoc-thoi-han
https://techcombank.com/thong-tin/blog/cach-dau-tu
https://techcombank.com/thong-tin/b"&amp;"log/chung-chi-tien-gui-co-an-toan-khong
https://techcombank.com/thong-tin/blog/diem-tin-dung
https://techcombank.com/thong-tin/blog/ngan-hang-dien-tu
https://techcombank.com/thong-tin/blog/nhung-kho-khan-khi-tiet-kiem-tien
https://techcombank.com/thong-ti"&amp;"n/blog/quan-ly-chuoi-cua-hang
https://techcombank.com/thong-tin/blog/cach-tiet-kiem-tien-theo-tuan
https://techcombank.com/thong-tin/blog/cach-tiet-kiem-100-trieu-1-nam
https://techcombank.com/thong-tin/blog/the-nao-la-tiet-kiem
https://techcombank.com/th"&amp;"ong-tin/blog/tai-khoan-thanh-toan-la-gi
https://techcombank.com/thong-tin/blog/gui-them-tien-vao-so-tiet-kiem
https://techcombank.com/thong-tin/blog/loi-ich-cua-viec-tiet-kiem-tien
https://techcombank.com/thong-tin/blog/cach-tiet-kiem-tien-hieu-qua-cho-gi"&amp;"a-dinh
https://techcombank.com/thong-tin/blog/khau-vi-nha-dau-tu-tpdn-thay-doi-the-nao-sau-nhung-bien-dong-vua-qua
https://techcombank.com/thong-tin/blog/5-trieu-mua-duoc-bao-nhieu-vang
https://techcombank.com/thong-tin/blog/tai-san-va-tieu-san-la-gi
http"&amp;"s://techcombank.com/thong-tin/blog/6-chiec-lo-tai-chinh-ca-nhan
https://techcombank.com/thong-tin/blog/cach-quan-ly-tai-san
https://techcombank.com/thong-tin/blog/rut-tien-mat-tu-the-tin-dung
https://techcombank.com/thong-tin/blog/vay-mua-nha-tra-gop
http"&amp;"s://techcombank.com/thong-tin/blog/dau-tu-trai-phieu-doanh-nghiep-dung-ham-lai-suat-cao
https://techcombank.com/thong-tin/blog/casa-la-gi
https://techcombank.com/thong-tin/blog/gui-tiet-kiem-tich-luy-la-gi
https://techcombank.com/thong-tin/blog/mo-the-tin"&amp;"-dung-co-loi-ich-gi
https://techcombank.com/thong-tin/blog/vay-tin-chap-cho-doanh-nghiep-moi-thanh-lap
https://techcombank.com/thong-tin/blog/rui-ro-khi-gui-tiet-kiem-ngan-hang
https://techcombank.com/thong-tin/blog/kinh-nghiem-vay-tien-ngan-hang-xay-nha
"&amp;"https://techcombank.com/thong-tin/blog/the-visa-co-may-loai
https://techcombank.com/thong-tin/blog/tien-singapore
https://techcombank.com/thong-tin/blog/nen-lam-the-visa-hay-noi-dia
https://techcombank.com/thong-tin/blog/tra-gop-shopee
https://techcombank"&amp;".com/thong-tin/blog/ngan-hang-so
https://techcombank.com/thong-tin/blog/cong-ty-su-dung-tai-khoan-ca-nhan
https://techcombank.com/thong-tin/blog/khach-hang-vip-bat-dong-san
https://techcombank.com/thong-tin/blog/vay-100-trieu
https://techcombank.com/thong"&amp;"-tin/blog/co-nen-vay-ngan-hang-mua-nha
https://techcombank.com/thong-tin/blog/vi-sao-lai-suat-trai-phieu-tai-tcbs-lai-thap-hon-so-voi-cac-to-chuc-phat-hanh-khac
https://techcombank.com/thong-tin/blog/vay-ngan-han
https://techcombank.com/thong-tin/blog/cho"&amp;"-vay-kinh-doanh-ho-gia-dinh
https://techcombank.com/thong-tin/blog/vay-von-doanh-nghiep-nho
https://techcombank.com/thong-tin/blog/vay-mua-chung-cu
https://techcombank.com/thong-tin/blog/tra-gop-hoc-phi
https://techcombank.com/thong-tin/blog/vay-mua-dien-"&amp;"thoai
https://techcombank.com/thong-tin/blog/nen-vay-tin-chap-o-dau
https://techcombank.com/thong-tin/blog/cho-vay-tieu-dung-la-gi
https://techcombank.com/thong-tin/blog/vay-15-trieu
https://techcombank.com/thong-tin/blog/vay-tien-mat
https://techcombank."&amp;"com/thong-tin/blog/vnd-to-myr
https://techcombank.com/thong-tin/blog/lai-suat-qua-han
https://techcombank.com/thong-tin/blog/app-vay-tien-nhanh
https://techcombank.com/thong-tin/blog/vay-sinh-vien
https://techcombank.com/thong-tin/blog/vay-the-chap-so-hon"&amp;"g
https://techcombank.com/thong-tin/blog/1-cmnd-dang-ky-duoc-may-tai-khoan-ngan-hang
https://techcombank.com/thong-tin/blog/vay-300-trieu
https://techcombank.com/thong-tin/blog/vay-the-chap-xe-o-to-cu
https://techcombank.com/thong-tin/blog/lai-suat-the-ti"&amp;"n-dung
https://techcombank.com/thong-tin/blog/tra-gop-lazada
https://techcombank.com/thong-tin/blog/vay-mua-xe-tra-gop-ngan-hang-nao-tot-nhat
https://techcombank.com/thong-tin/blog/nen-mua-xe-tra-gop-hay-tra-thang
https://techcombank.com/thong-tin/blog/va"&amp;"y-tin-chap-la-gi
https://techcombank.com/thong-tin/blog/vay-the-chap-kinh-doanh
https://techcombank.com/thong-tin/blog/lai-suat-vay-kinh-doanh
https://techcombank.com/thong-tin/blog/quy-trinh-tat-toan-khoan-vay-the-chap
https://techcombank.com/thong-tin/b"&amp;"log/dieu-kien-vay-von-ngan-hang
https://techcombank.com/thong-tin/blog/cho-vay-tung-lan
https://techcombank.com/thong-tin/blog/1-te-bang-bao-nhieu-tien-viet-nam
https://techcombank.com/thong-tin/blog/cach-thanh-toan-the-tin-dung
https://techcombank.com/th"&amp;"ong-tin/blog/tin-dung-la-gi
https://techcombank.com/thong-tin/blog/quan-ly-tai-chinh-cho-dan-van-phong
https://techcombank.com/thong-tin/blog/dau-tu-ngan-han
https://techcombank.com/thong-tin/blog/no-xau-co-lam-the-visa-duoc-khong
https://techcombank.com/"&amp;"thong-tin/blog/co-100-trieu-co-mua-nen-mua-tra-gop
https://techcombank.com/thong-tin/blog/nap-tien-vao-tai-khoan-ngan-hang
https://techcombank.com/thong-tin/blog/vay-ngan-hang-1-ty-moi-thang-tra-bao-nhieu
https://techcombank.com/thong-tin/blog/thu-tuc-vay"&amp;"-von-kinh-doanh-nho
https://techcombank.com/thong-tin/blog/mobile-banking-la-gi
https://techcombank.com/thong-tin/blog/uu-dai-mo-the-tin-dung
https://techcombank.com/thong-tin/blog/tat-toan-chung-chi-tien-gui
https://techcombank.com/thong-tin/blog/tat-toa"&amp;"n
https://techcombank.com/thong-tin/blog/thu-tuc-vay-von-ngan-hang-de-xay-nha
https://techcombank.com/thong-tin/blog/quan-ly-tai-chinh-doanh-nghiep-nho
https://techcombank.com/thong-tin/blog/thanh-toan-toi-thieu-the-tin-dung
https://techcombank.com/thong-"&amp;"tin/blog/fintech-la-gi
https://techcombank.com/thong-tin/blog/ty-gia-la-gi
https://techcombank.com/thong-tin/blog/quy-trinh-cho-vay-tieu-dung
https://techcombank.com/thong-tin/blog/vay-kinh-doanh-online
https://techcombank.com/thong-tin/blog/chung-chi-tie"&amp;"n-gui-co-phai-la-trai-phieu-khong
https://techcombank.com/thong-tin/blog/vay-tra-gop
https://techcombank.com/thong-tin/blog/kinh-nghiem-mua-vang-tich-tru
https://techcombank.com/thong-tin/blog/1000-yen-bang-bao-nhieu-tien-viet
https://techcombank.com/thon"&amp;"g-tin/blog/rut-tien-bao-hiem-nhan-tho-khi-het-han
https://techcombank.com/thong-tin/blog/the-tin-dung-hoan-tien
https://techcombank.com/thong-tin/blog/bao-hiem-lien-ket-dau-tu
https://techcombank.com/thong-tin/blog/dieu-kien-vay-the-chap
https://techcomba"&amp;"nk.com/thong-tin/blog/thu-tuc-vay-von-doanh-nghiep
https://techcombank.com/thong-tin/blog/bao-hiem-sinh-ky-la-gi
https://techcombank.com/thong-tin/blog/so-du-tai-khoan-thanh-toan
https://techcombank.com/thong-tin/blog/an-han-no-goc-la-gi
https://techcomba"&amp;"nk.com/thong-tin/blog/ca-nhan-hoa
https://techcombank.com/thong-tin/blog/co-nen-mua-o-to-tra-gop
https://techcombank.com/thong-tin/blog/cpi-la-gi
https://techcombank.com/thong-tin/blog/dac-quyen-khach-hang-vip-ngan-hang
https://techcombank.com/thong-tin/b"&amp;"log/gia-vang-16k-hom-nay
https://techcombank.com/thong-tin/blog/lam-the-tin-dung-co-mat-phi-khong
https://techcombank.com/thong-tin/blog/ngoai-hoi-la-gi
https://techcombank.com/thong-tin/blog/so-du-tien-gui-la-gi
https://techcombank.com/thong-tin/blog/tha"&amp;"nh-ly-tai-san
https://techcombank.com/thong-tin/blog/thanh-toan-online-bang-the-tin-dung
https://techcombank.com/thong-tin/blog/the-tin-dung-la-gi
https://techcombank.com/thong-tin/blog/ung-dung-big-data-trong-ngan-hang
https://techcombank.com/thong-tin/b"&amp;"log/xep-hang-tin-dung
https://techcombank.com/thong-tin/blog/vay-du-hoc
https://techcombank.com/thong-tin/blog/lai-suat-cho-vay-doanh-nghiep
https://techcombank.com/thong-tin/blog/lai-suat-gui-tiet-kiem-usd
https://techcombank.com/thong-tin/blog/gui-tiet-"&amp;"kiem-usd
https://techcombank.com/thong-tin/blog/bi-quyet-tiet-kiem-tien-mua-nha
https://techcombank.com/thong-tin/blog/nghich-ly-nha-dau-tu-che-trai-phieu-lai-suat-cao-ua-ma-an-toan-du-lai-suat-thap-hon-05-1
https://techcombank.com/thong-tin/blog/thi-truo"&amp;"ng-trai-phieu-co-hoi-dau-tu-trai-phieu-vang-du-lai-suat-thap
https://techcombank.com/thong-tin/blog/vay-bo-sung-von-luu-dong
https://techcombank.com/thong-tin/blog/vay-50-trieu
https://techcombank.com/thong-tin/blog/kinh-nghiem-vay-the-chap-ngan-hang
http"&amp;"s://techcombank.com/thong-tin/blog/tin-chap-doanh-nghiep
https://techcombank.com/thong-tin/blog/lai-suat-vay-mua-o-to
https://techcombank.com/thong-tin/blog/vay-mua-nha-o-xa-hoi
https://techcombank.com/thong-tin/blog/lai-suat-vay-the-chap
https://techcomb"&amp;"ank.com/thong-tin/blog/lai-suat-vay-thau-chi
https://techcombank.com/thong-tin/blog/lai-suat-vay-tieu-dung
https://techcombank.com/thong-tin/blog/cach-tinh-lai-vay-ngan-hang
https://techcombank.com/thong-tin/blog/vay-tin-chap-va-vay-the-chap
https://techc"&amp;"ombank.com/thong-tin/blog/lai-suat-vay-the-chap-so-do
https://techcombank.com/thong-tin/blog/thanh-toan-khi-du-lich-singapore
https://techcombank.com/thong-tin/blog/tieu-dung-ben-vung
https://techcombank.com/thong-tin/blog/chuyen-doi-xanh
https://techcomb"&amp;"ank.com/thong-tin/blog/thanh-toan-khi-du-lich-han-quoc
https://techcombank.com/thong-tin/blog/uu-dai-the-tin-dung
https://techcombank.com/thong-tin/blog/mo-the-tin-dung-khong-can-chung-minh-thu-nhap
https://techcombank.com/thong-tin/blog/mo-tai-khoan-ngan"&amp;"-hang-cho-tre-em
https://techcombank.com/thong-tin/blog/ngan-hang-xanh
https://techcombank.com/thong-tin/blog/lai-suat-vay-ngan-hang
https://techcombank.com/thong-tin/blog/cashback-the-thanh-toan
https://techcombank.com/thong-tin/blog/ho-kinh-doanh-can-gi"&amp;"-o-tai-khoan-ngan-hang
https://techcombank.com/thong-tin/blog/chung-chi-quy-mo-va-dong
https://techcombank.com/thong-tin/blog/techcombank-sinh-loi-tu-dong
https://techcombank.com/thong-tin/blog/anh-sang-cuoi-duong-ham-xuat-hien-trai-phieu-doanh-nghiep-tot"&amp;"-va-an-toan-se-duoc-nha-dau-tu-chon
https://techcombank.com/thong-tin/blog/gui-tiet-kiem-vang
https://techcombank.com/thong-tin/blog/gui-tiet-kiem-ngan-hang-van-la-lua-chon-an-toan-trong-thoi-ky-kinh-te-con-nhieu-bien-dong
https://techcombank.com/thong-ti"&amp;"n/blog/gui-tien-ngan-hang-co-an-toan-khong
https://techcombank.com/thong-tin/blog/rui-ro-khi-gui-tiet-kiem-online
https://techcombank.com/thong-tin/blog/gui-tiet-kiem-ngoai-te
https://techcombank.com/thong-tin/blog/kinh-nghiem-gui-tiet-kiem-online
https:/"&amp;"/techcombank.com/thong-tin/blog/chung-chi-tien-gui-co-duoc-rut-truoc-han
https://techcombank.com/thong-tin/blog/lai-suat-chung-chi-tien-gui-cac-ngan-hang
https://techcombank.com/thong-tin/blog/tat-toan-so-tiet-kiem
https://techcombank.com/thong-tin/blog/q"&amp;"uy-du-phong-tai-chinh-la-gi
https://techcombank.com/thong-tin/blog/tien-nhan-roi-nen-lam-gi
https://techcombank.com/thong-tin/blog/vay-30-trieu
https://techcombank.com/thong-tin/blog/tiet-kiem-tien-moi-ngay
https://techcombank.com/thong-tin/blog/cach-tiet"&amp;"-kiem-tien-cua-nguoi-nhat
https://techcombank.com/thong-tin/blog/mat-so-tiet-kiem
https://techcombank.com/thong-tin/blog/hoc-cach-tiet-kiem-tien-luong
https://techcombank.com/thong-tin/blog/so-du-kha-dung
https://techcombank.com/thong-tin/blog/chung-chi-t"&amp;"ien-gui-co-duoc-bao-hiem-khong
https://techcombank.com/thong-tin/blog/tinh-thanh-khoan-la-gi
https://techcombank.com/thong-tin/blog/chung-chi-quy-dong
https://techcombank.com/thong-tin/blog/tien-gui-khong-ky-han
https://techcombank.com/thong-tin/blog/cach"&amp;"-gui-tiet-kiem-online
https://techcombank.com/thong-tin/blog/gui-tiet-kiem-lay-lai-hang-thang
https://techcombank.com/thong-tin/blog/chon-kenh-dau-tu-an-toan-trong-boi-canh-thi-truong-bien-dong
https://techcombank.com/thong-tin/blog/gui-tiet-kiem-hang-tha"&amp;"ng
https://techcombank.com/thong-tin/blog/gui-tiet-kiem-online-co-rut-truoc-han-duoc-khong
https://techcombank.com/thong-tin/blog/cach-tinh-ty-gia-ky-han
https://techcombank.com/thong-tin/blog/app-gui-tien-tiet-kiem
https://techcombank.com/thong-tin/blog/"&amp;"chung-chi-tien-gui-la-gi
https://techcombank.com/thong-tin/blog/lai-suat-la-gi
https://techcombank.com/thong-tin/blog/dang-ky-nhieu-tai-khoan-ngan-hang-co-sao-khong
https://techcombank.com/thong-tin/blog/ngoai-te-la-gi
https://techcombank.com/thong-tin/bl"&amp;"og/tai-khoan-tiet-kiem
https://techcombank.com/thong-tin/blog/phan-mem-lap-ke-hoach-tai-chinh-ca-nhan
https://techcombank.com/thong-tin/blog/co-nen-gui-chung-chi-tien-gui
https://techcombank.com/thong-tin/blog/tai-khoan-ngan-hang-la-gi
https://techcombank"&amp;".com/thong-tin/blog/nguyen-tac-quan-ly-tai-chinh-ca-nhan
https://techcombank.com/thong-tin/blog/chuyen-nhuong-chung-chi-tien-gui
https://techcombank.com/thong-tin/blog/cach-tinh-loi-nhuan-chung-chi-tien-gui
https://techcombank.com/thong-tin/blog/ly-do-nga"&amp;"n-hang-so-tro-thanh-cong-cu-tai-chinh-hang-dau-cua-gioi-tre")</f>
        <v>https://techcombank.com/thong-tin/blog/tai-sao-gui-tiet-kiem-online-lai-suat-cao-hon
https://techcombank.com/thong-tin/blog/vay-the-chap-hop-dong-mua-ban-can-ho
https://techcombank.com/thong-tin/blog/cach-tinh-gia-vang
https://techcombank.com/thong-tin/blog/so-sanh-gui-tiet-kiem-online-va-tai-quay
https://techcombank.com/thong-tin/blog/cong-thuc-tinh-lai-suat-thuc
https://techcombank.com/thong-tin/blog/lai-suat-ngan-hang-cho-vay-xay-nha
https://techcombank.com/thong-tin/blog/lai-suat-chung-chi-quy
https://techcombank.com/thong-tin/blog/so-tiet-kiem-ngan-hang
https://techcombank.com/thong-tin/blog/gui-tiet-kiem-theo-ngay
https://techcombank.com/thong-tin/blog/nen-gui-tiet-kiem-thong-thuong-hay-tich-luy
https://techcombank.com/thong-tin/blog/nen-de-tien-trong-the-hay-gui-tiet-kiem
https://techcombank.com/thong-tin/blog/xu-huong-dau-tu-trai-phieu-ky-han-duoi-mot-nam-lua-chon-an-toan-khi-thi-truong-bien-dong
https://techcombank.com/thong-tin/blog/gui-tiet-kiem-online-bi-mat-tien
https://techcombank.com/thong-tin/blog/tich-luy-tai-san
https://techcombank.com/thong-tin/blog/mo-tai-khoan-tiet-kiem-cho-con
https://techcombank.com/thong-tin/blog/rut-tien-tiet-kiem-truoc-thoi-han
https://techcombank.com/thong-tin/blog/cach-dau-tu
https://techcombank.com/thong-tin/blog/chung-chi-tien-gui-co-an-toan-khong
https://techcombank.com/thong-tin/blog/diem-tin-dung
https://techcombank.com/thong-tin/blog/ngan-hang-dien-tu
https://techcombank.com/thong-tin/blog/nhung-kho-khan-khi-tiet-kiem-tien
https://techcombank.com/thong-tin/blog/quan-ly-chuoi-cua-hang
https://techcombank.com/thong-tin/blog/cach-tiet-kiem-tien-theo-tuan
https://techcombank.com/thong-tin/blog/cach-tiet-kiem-100-trieu-1-nam
https://techcombank.com/thong-tin/blog/the-nao-la-tiet-kiem
https://techcombank.com/thong-tin/blog/tai-khoan-thanh-toan-la-gi
https://techcombank.com/thong-tin/blog/gui-them-tien-vao-so-tiet-kiem
https://techcombank.com/thong-tin/blog/loi-ich-cua-viec-tiet-kiem-tien
https://techcombank.com/thong-tin/blog/cach-tiet-kiem-tien-hieu-qua-cho-gia-dinh
https://techcombank.com/thong-tin/blog/khau-vi-nha-dau-tu-tpdn-thay-doi-the-nao-sau-nhung-bien-dong-vua-qua
https://techcombank.com/thong-tin/blog/5-trieu-mua-duoc-bao-nhieu-vang
https://techcombank.com/thong-tin/blog/tai-san-va-tieu-san-la-gi
https://techcombank.com/thong-tin/blog/6-chiec-lo-tai-chinh-ca-nhan
https://techcombank.com/thong-tin/blog/cach-quan-ly-tai-san
https://techcombank.com/thong-tin/blog/rut-tien-mat-tu-the-tin-dung
https://techcombank.com/thong-tin/blog/vay-mua-nha-tra-gop
https://techcombank.com/thong-tin/blog/dau-tu-trai-phieu-doanh-nghiep-dung-ham-lai-suat-cao
https://techcombank.com/thong-tin/blog/casa-la-gi
https://techcombank.com/thong-tin/blog/gui-tiet-kiem-tich-luy-la-gi
https://techcombank.com/thong-tin/blog/mo-the-tin-dung-co-loi-ich-gi
https://techcombank.com/thong-tin/blog/vay-tin-chap-cho-doanh-nghiep-moi-thanh-lap
https://techcombank.com/thong-tin/blog/rui-ro-khi-gui-tiet-kiem-ngan-hang
https://techcombank.com/thong-tin/blog/kinh-nghiem-vay-tien-ngan-hang-xay-nha
https://techcombank.com/thong-tin/blog/the-visa-co-may-loai
https://techcombank.com/thong-tin/blog/tien-singapore
https://techcombank.com/thong-tin/blog/nen-lam-the-visa-hay-noi-dia
https://techcombank.com/thong-tin/blog/tra-gop-shopee
https://techcombank.com/thong-tin/blog/ngan-hang-so
https://techcombank.com/thong-tin/blog/cong-ty-su-dung-tai-khoan-ca-nhan
https://techcombank.com/thong-tin/blog/khach-hang-vip-bat-dong-san
https://techcombank.com/thong-tin/blog/vay-100-trieu
https://techcombank.com/thong-tin/blog/co-nen-vay-ngan-hang-mua-nha
https://techcombank.com/thong-tin/blog/vi-sao-lai-suat-trai-phieu-tai-tcbs-lai-thap-hon-so-voi-cac-to-chuc-phat-hanh-khac
https://techcombank.com/thong-tin/blog/vay-ngan-han
https://techcombank.com/thong-tin/blog/cho-vay-kinh-doanh-ho-gia-dinh
https://techcombank.com/thong-tin/blog/vay-von-doanh-nghiep-nho
https://techcombank.com/thong-tin/blog/vay-mua-chung-cu
https://techcombank.com/thong-tin/blog/tra-gop-hoc-phi
https://techcombank.com/thong-tin/blog/vay-mua-dien-thoai
https://techcombank.com/thong-tin/blog/nen-vay-tin-chap-o-dau
https://techcombank.com/thong-tin/blog/cho-vay-tieu-dung-la-gi
https://techcombank.com/thong-tin/blog/vay-15-trieu
https://techcombank.com/thong-tin/blog/vay-tien-mat
https://techcombank.com/thong-tin/blog/vnd-to-myr
https://techcombank.com/thong-tin/blog/lai-suat-qua-han
https://techcombank.com/thong-tin/blog/app-vay-tien-nhanh
https://techcombank.com/thong-tin/blog/vay-sinh-vien
https://techcombank.com/thong-tin/blog/vay-the-chap-so-hong
https://techcombank.com/thong-tin/blog/1-cmnd-dang-ky-duoc-may-tai-khoan-ngan-hang
https://techcombank.com/thong-tin/blog/vay-300-trieu
https://techcombank.com/thong-tin/blog/vay-the-chap-xe-o-to-cu
https://techcombank.com/thong-tin/blog/lai-suat-the-tin-dung
https://techcombank.com/thong-tin/blog/tra-gop-lazada
https://techcombank.com/thong-tin/blog/vay-mua-xe-tra-gop-ngan-hang-nao-tot-nhat
https://techcombank.com/thong-tin/blog/nen-mua-xe-tra-gop-hay-tra-thang
https://techcombank.com/thong-tin/blog/vay-tin-chap-la-gi
https://techcombank.com/thong-tin/blog/vay-the-chap-kinh-doanh
https://techcombank.com/thong-tin/blog/lai-suat-vay-kinh-doanh
https://techcombank.com/thong-tin/blog/quy-trinh-tat-toan-khoan-vay-the-chap
https://techcombank.com/thong-tin/blog/dieu-kien-vay-von-ngan-hang
https://techcombank.com/thong-tin/blog/cho-vay-tung-lan
https://techcombank.com/thong-tin/blog/1-te-bang-bao-nhieu-tien-viet-nam
https://techcombank.com/thong-tin/blog/cach-thanh-toan-the-tin-dung
https://techcombank.com/thong-tin/blog/tin-dung-la-gi
https://techcombank.com/thong-tin/blog/quan-ly-tai-chinh-cho-dan-van-phong
https://techcombank.com/thong-tin/blog/dau-tu-ngan-han
https://techcombank.com/thong-tin/blog/no-xau-co-lam-the-visa-duoc-khong
https://techcombank.com/thong-tin/blog/co-100-trieu-co-mua-nen-mua-tra-gop
https://techcombank.com/thong-tin/blog/nap-tien-vao-tai-khoan-ngan-hang
https://techcombank.com/thong-tin/blog/vay-ngan-hang-1-ty-moi-thang-tra-bao-nhieu
https://techcombank.com/thong-tin/blog/thu-tuc-vay-von-kinh-doanh-nho
https://techcombank.com/thong-tin/blog/mobile-banking-la-gi
https://techcombank.com/thong-tin/blog/uu-dai-mo-the-tin-dung
https://techcombank.com/thong-tin/blog/tat-toan-chung-chi-tien-gui
https://techcombank.com/thong-tin/blog/tat-toan
https://techcombank.com/thong-tin/blog/thu-tuc-vay-von-ngan-hang-de-xay-nha
https://techcombank.com/thong-tin/blog/quan-ly-tai-chinh-doanh-nghiep-nho
https://techcombank.com/thong-tin/blog/thanh-toan-toi-thieu-the-tin-dung
https://techcombank.com/thong-tin/blog/fintech-la-gi
https://techcombank.com/thong-tin/blog/ty-gia-la-gi
https://techcombank.com/thong-tin/blog/quy-trinh-cho-vay-tieu-dung
https://techcombank.com/thong-tin/blog/vay-kinh-doanh-online
https://techcombank.com/thong-tin/blog/chung-chi-tien-gui-co-phai-la-trai-phieu-khong
https://techcombank.com/thong-tin/blog/vay-tra-gop
https://techcombank.com/thong-tin/blog/kinh-nghiem-mua-vang-tich-tru
https://techcombank.com/thong-tin/blog/1000-yen-bang-bao-nhieu-tien-viet
https://techcombank.com/thong-tin/blog/rut-tien-bao-hiem-nhan-tho-khi-het-han
https://techcombank.com/thong-tin/blog/the-tin-dung-hoan-tien
https://techcombank.com/thong-tin/blog/bao-hiem-lien-ket-dau-tu
https://techcombank.com/thong-tin/blog/dieu-kien-vay-the-chap
https://techcombank.com/thong-tin/blog/thu-tuc-vay-von-doanh-nghiep
https://techcombank.com/thong-tin/blog/bao-hiem-sinh-ky-la-gi
https://techcombank.com/thong-tin/blog/so-du-tai-khoan-thanh-toan
https://techcombank.com/thong-tin/blog/an-han-no-goc-la-gi
https://techcombank.com/thong-tin/blog/ca-nhan-hoa
https://techcombank.com/thong-tin/blog/co-nen-mua-o-to-tra-gop
https://techcombank.com/thong-tin/blog/cpi-la-gi
https://techcombank.com/thong-tin/blog/dac-quyen-khach-hang-vip-ngan-hang
https://techcombank.com/thong-tin/blog/gia-vang-16k-hom-nay
https://techcombank.com/thong-tin/blog/lam-the-tin-dung-co-mat-phi-khong
https://techcombank.com/thong-tin/blog/ngoai-hoi-la-gi
https://techcombank.com/thong-tin/blog/so-du-tien-gui-la-gi
https://techcombank.com/thong-tin/blog/thanh-ly-tai-san
https://techcombank.com/thong-tin/blog/thanh-toan-online-bang-the-tin-dung
https://techcombank.com/thong-tin/blog/the-tin-dung-la-gi
https://techcombank.com/thong-tin/blog/ung-dung-big-data-trong-ngan-hang
https://techcombank.com/thong-tin/blog/xep-hang-tin-dung
https://techcombank.com/thong-tin/blog/vay-du-hoc
https://techcombank.com/thong-tin/blog/lai-suat-cho-vay-doanh-nghiep
https://techcombank.com/thong-tin/blog/lai-suat-gui-tiet-kiem-usd
https://techcombank.com/thong-tin/blog/gui-tiet-kiem-usd
https://techcombank.com/thong-tin/blog/bi-quyet-tiet-kiem-tien-mua-nha
https://techcombank.com/thong-tin/blog/nghich-ly-nha-dau-tu-che-trai-phieu-lai-suat-cao-ua-ma-an-toan-du-lai-suat-thap-hon-05-1
https://techcombank.com/thong-tin/blog/thi-truong-trai-phieu-co-hoi-dau-tu-trai-phieu-vang-du-lai-suat-thap
https://techcombank.com/thong-tin/blog/vay-bo-sung-von-luu-dong
https://techcombank.com/thong-tin/blog/vay-50-trieu
https://techcombank.com/thong-tin/blog/kinh-nghiem-vay-the-chap-ngan-hang
https://techcombank.com/thong-tin/blog/tin-chap-doanh-nghiep
https://techcombank.com/thong-tin/blog/lai-suat-vay-mua-o-to
https://techcombank.com/thong-tin/blog/vay-mua-nha-o-xa-hoi
https://techcombank.com/thong-tin/blog/lai-suat-vay-the-chap
https://techcombank.com/thong-tin/blog/lai-suat-vay-thau-chi
https://techcombank.com/thong-tin/blog/lai-suat-vay-tieu-dung
https://techcombank.com/thong-tin/blog/cach-tinh-lai-vay-ngan-hang
https://techcombank.com/thong-tin/blog/vay-tin-chap-va-vay-the-chap
https://techcombank.com/thong-tin/blog/lai-suat-vay-the-chap-so-do
https://techcombank.com/thong-tin/blog/thanh-toan-khi-du-lich-singapore
https://techcombank.com/thong-tin/blog/tieu-dung-ben-vung
https://techcombank.com/thong-tin/blog/chuyen-doi-xanh
https://techcombank.com/thong-tin/blog/thanh-toan-khi-du-lich-han-quoc
https://techcombank.com/thong-tin/blog/uu-dai-the-tin-dung
https://techcombank.com/thong-tin/blog/mo-the-tin-dung-khong-can-chung-minh-thu-nhap
https://techcombank.com/thong-tin/blog/mo-tai-khoan-ngan-hang-cho-tre-em
https://techcombank.com/thong-tin/blog/ngan-hang-xanh
https://techcombank.com/thong-tin/blog/lai-suat-vay-ngan-hang
https://techcombank.com/thong-tin/blog/cashback-the-thanh-toan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https://techcombank.com/thong-tin/blog/rui-ro-khi-gui-tiet-kiem-online
https://techcombank.com/thong-tin/blog/gui-tiet-kiem-ngoai-te
https://techcombank.com/thong-tin/blog/kinh-nghiem-gui-tiet-kiem-online
https://techcombank.com/thong-tin/blog/chung-chi-tien-gui-co-duoc-rut-truoc-han
https://techcombank.com/thong-tin/blog/lai-suat-chung-chi-tien-gui-cac-ngan-hang
https://techcombank.com/thong-tin/blog/tat-toan-so-tiet-kiem
https://techcombank.com/thong-tin/blog/quy-du-phong-tai-chinh-la-gi
https://techcombank.com/thong-tin/blog/tien-nhan-roi-nen-lam-gi
https://techcombank.com/thong-tin/blog/vay-30-trieu
https://techcombank.com/thong-tin/blog/tiet-kiem-tien-moi-ngay
https://techcombank.com/thong-tin/blog/cach-tiet-kiem-tien-cua-nguoi-nhat
https://techcombank.com/thong-tin/blog/mat-so-tiet-kiem
https://techcombank.com/thong-tin/blog/hoc-cach-tiet-kiem-tien-luong
https://techcombank.com/thong-tin/blog/so-du-kha-dung
https://techcombank.com/thong-tin/blog/chung-chi-tien-gui-co-duoc-bao-hiem-khong
https://techcombank.com/thong-tin/blog/tinh-thanh-khoan-la-gi
https://techcombank.com/thong-tin/blog/chung-chi-quy-dong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https://techcombank.com/thong-tin/blog/gui-tiet-kiem-hang-thang
https://techcombank.com/thong-tin/blog/gui-tiet-kiem-online-co-rut-truoc-han-duoc-khong
https://techcombank.com/thong-tin/blog/cach-tinh-ty-gia-ky-han
https://techcombank.com/thong-tin/blog/app-gui-tien-tiet-kiem
https://techcombank.com/thong-tin/blog/chung-chi-tien-gui-la-gi
https://techcombank.com/thong-tin/blog/lai-suat-la-gi
https://techcombank.com/thong-tin/blog/dang-ky-nhieu-tai-khoan-ngan-hang-co-sao-khong
https://techcombank.com/thong-tin/blog/ngoai-te-la-gi
https://techcombank.com/thong-tin/blog/tai-khoan-tiet-kiem
https://techcombank.com/thong-tin/blog/phan-mem-lap-ke-hoach-tai-chinh-ca-nhan
https://techcombank.com/thong-tin/blog/co-nen-gui-chung-chi-tien-gui
https://techcombank.com/thong-tin/blog/tai-khoan-ngan-hang-la-gi
https://techcombank.com/thong-tin/blog/nguyen-tac-quan-ly-tai-chinh-ca-nhan
https://techcombank.com/thong-tin/blog/chuyen-nhuong-chung-chi-tien-gui
https://techcombank.com/thong-tin/blog/cach-tinh-loi-nhuan-chung-chi-tien-gui
https://techcombank.com/thong-tin/blog/ly-do-ngan-hang-so-tro-thanh-cong-cu-tai-chinh-hang-dau-cua-gioi-tre</v>
      </c>
      <c r="J61" s="26" t="s">
        <v>188</v>
      </c>
    </row>
    <row r="62" ht="82.5" customHeight="1">
      <c r="A62" s="12">
        <v>61.0</v>
      </c>
      <c r="B62" s="13" t="s">
        <v>1492</v>
      </c>
      <c r="C62" s="13" t="s">
        <v>90</v>
      </c>
      <c r="D62" s="21">
        <f>COUNTIF('Kế hoạch chèn link (mới)'!$B$3:$B$2944,C62)</f>
        <v>150</v>
      </c>
      <c r="E62" s="21">
        <f>IFERROR(VLOOKUP(C62,'Link trỏ về từng trang đích'!$B$2:$D$76,3,0),"")</f>
        <v>150</v>
      </c>
      <c r="F62" s="13" t="str">
        <f t="shared" si="1"/>
        <v>Đủ link</v>
      </c>
      <c r="G62" s="13" t="str">
        <f>IF(IFERROR(VLOOKUP(C62,'Inlink đã chèn'!$B$2:$C$200,2,0),0)&gt;0,"Đã có anchor text trỏ về","Chưa có anchor text trỏ về")</f>
        <v>Chưa có anchor text trỏ về</v>
      </c>
      <c r="H62" s="13" t="str">
        <f>IFERROR(__xludf.DUMMYFUNCTION("IFERROR(TEXTJOIN("", "",TRUE,UNIQUE(FILTER('Kế hoạch chèn link (mới)'!$D$3:$D$2944,'Kế hoạch chèn link (mới)'!$B$3:$B$2944=C62))),"""")"),"cách tính lãi suất ngân hàng, tính lãi suất tiết kiệm, tính lãi suất ngân hàng, cách tính lãi suất tiết kiệm ngân hàng")</f>
        <v>cách tính lãi suất ngân hàng, tính lãi suất tiết kiệm, tính lãi suất ngân hàng, cách tính lãi suất tiết kiệm ngân hàng</v>
      </c>
      <c r="I62" s="13" t="str">
        <f>IFERROR(__xludf.DUMMYFUNCTION("IFERROR(TEXTJOIN(CHAR(10),TRUE,FILTER('Kế hoạch chèn link (mới)'!$F$3:$F$2944,'Kế hoạch chèn link (mới)'!$B$3:$B$2944=C62)),"""")"),"https://techcombank.com/thong-tin/blog/gui-tiet-kiem-hang-thang
https://techcombank.com/thong-tin/blog/kinh-nghiem-vay-tien-ngan-hang-xay-nha
https://techcombank.com/thong-tin/blog/tai-khoan-ngan-hang-duoi-50k-co-bi-khoa-khong
https://techcombank.com/thon"&amp;"g-tin/blog/thanh-toan-tien-dien-bang-the-tin-dung
https://techcombank.com/thong-tin/blog/thanh-toan-hoa-don-tieu-dung
https://techcombank.com/thong-tin/blog/tien-gui-khong-ky-han
https://techcombank.com/thong-tin/blog/dao-han-la-gi
https://techcombank.com"&amp;"/thong-tin/blog/lai-suat-tiet-kiem
https://techcombank.com/thong-tin/blog/diem-tin-dung
https://techcombank.com/thong-tin/blog/tai-khoan-thanh-toan-la-gi
https://techcombank.com/thong-tin/blog/cong-thuc-tinh-lai-suat-thuc
https://techcombank.com/thong-tin"&amp;"/blog/rui-ro-khi-vay-the-chap-ngan-hang
https://techcombank.com/thong-tin/blog/lai-suat-the-tin-dung
https://techcombank.com/thong-tin/blog/lai-suat-tha-noi
https://techcombank.com/thong-tin/blog/cach-tinh-lai-vay-ngan-hang
https://techcombank.com/thong-t"&amp;"in/blog/lai-suat-vay-ngan-hang
https://techcombank.com/thong-tin/blog/quy-du-phong-tai-chinh-la-gi
https://techcombank.com/thong-tin/blog/loi-ich-cua-ngan-hang-so-voi-sme
https://techcombank.com/thong-tin/blog/vay-mua-chung-cu
https://techcombank.com/thon"&amp;"g-tin/blog/kinh-nghiem-vay-the-chap-ngan-hang
https://techcombank.com/thong-tin/blog/vay-15-trieu
https://techcombank.com/thong-tin/blog/vay-mua-nha-o-xa-hoi
https://techcombank.com/thong-tin/blog/lai-suat-vay-the-chap
https://techcombank.com/thong-tin/bl"&amp;"og/ngan-hang-dien-tu
https://techcombank.com/thong-tin/blog/vay-ngan-hang-1-ty-moi-thang-tra-bao-nhieu
https://techcombank.com/thong-tin/blog/the-tin-dung-hoan-tien
https://techcombank.com/thong-tin/blog/dac-quyen-khach-hang-vip-ngan-hang
https://techcomb"&amp;"ank.com/thong-tin/blog/nen-gui-tiet-kiem-6-thang-hay-1-nam
https://techcombank.com/thong-tin/blog/cach-tiet-kiem-tien-cua-nguoi-nhat
https://techcombank.com/thong-tin/blog/phan-mem-lap-ke-hoach-tai-chinh-ca-nhan
https://techcombank.com/thong-tin/blog/quy-"&amp;"trinh-gui-tien-tiet-kiem
https://techcombank.com/thong-tin/blog/gui-tiet-kiem-theo-ngay
https://techcombank.com/thong-tin/blog/gui-tiet-kiem-vang
https://techcombank.com/thong-tin/blog/tai-sao-gui-tiet-kiem-online-lai-suat-cao-hon
https://techcombank.com/"&amp;"thong-tin/blog/nen-de-tien-trong-the-hay-gui-tiet-kiem
https://techcombank.com/thong-tin/blog/co-nen-gui-tiet-kiem-ngan-hang
https://techcombank.com/thong-tin/blog/co-nen-gui-tiet-kiem-online
https://techcombank.com/thong-tin/blog/gui-tiet-kiem-ngan-hang-"&amp;"van-la-lua-chon-an-toan-trong-thoi-ky-kinh-te-con-nhieu-bien-dong
https://techcombank.com/thong-tin/blog/cach-gui-tiet-kiem-online
https://techcombank.com/thong-tin/blog/gui-tiet-kiem-tich-luy-la-gi
https://techcombank.com/thong-tin/blog/kinh-nghiem-gui-t"&amp;"iet-kiem-online
https://techcombank.com/thong-tin/blog/gui-tiet-kiem-online-co-rut-truoc-han-duoc-khong
https://techcombank.com/thong-tin/blog/rut-tien-mat-tu-the-tin-dung
https://techcombank.com/thong-tin/blog/so-sanh-gui-tiet-kiem-online-va-tai-quay
htt"&amp;"ps://techcombank.com/thong-tin/blog/cach-tiet-kiem-tien-sinh-loi
https://techcombank.com/thong-tin/blog/co-50-trieu-nen-mua-vang-hay-gui-tiet-kiem
https://techcombank.com/thong-tin/blog/tien-gui-co-ky-han
https://techcombank.com/thong-tin/blog/lai-suat-ch"&amp;"ung-chi-tien-gui-cac-ngan-hang
https://techcombank.com/thong-tin/blog/bi-quyet-tiet-kiem-tien-mua-nha
https://techcombank.com/thong-tin/blog/tra-gop-shopee
https://techcombank.com/thong-tin/blog/chung-chi-tien-gui-la-gi
https://techcombank.com/thong-tin/b"&amp;"log/ngan-hang-so
https://techcombank.com/thong-tin/blog/giai-ngan-la-gi
https://techcombank.com/thong-tin/blog/the-visa-co-may-loai
https://techcombank.com/thong-tin/blog/techcombank-sinh-loi-tu-dong
https://techcombank.com/thong-tin/blog/mo-so-tiet-kiem-"&amp;"can-bao-nhieu-tien
https://techcombank.com/thong-tin/blog/lai-suat-la-gi
https://techcombank.com/thong-tin/blog/cho-vay-kinh-doanh-ho-gia-dinh
https://techcombank.com/thong-tin/blog/vay-von-doanh-nghiep-nho
https://techcombank.com/thong-tin/blog/vay-50-tr"&amp;"ieu
https://techcombank.com/thong-tin/blog/vay-mua-dien-thoai
https://techcombank.com/thong-tin/blog/tien-nhan-roi-nen-lam-gi
https://techcombank.com/thong-tin/blog/cho-vay-tieu-dung-la-gi
https://techcombank.com/thong-tin/blog/cach-tiet-kiem-tien
https:/"&amp;"/techcombank.com/thong-tin/blog/vay-the-chap-so-hong
https://techcombank.com/thong-tin/blog/lai-suat-vay-mua-o-to
https://techcombank.com/thong-tin/blog/nen-lam-the-visa-hay-noi-dia
https://techcombank.com/thong-tin/blog/tra-gop-lazada
https://techcombank"&amp;".com/thong-tin/blog/vay-the-chap-kinh-doanh
https://techcombank.com/thong-tin/blog/cach-thanh-toan-the-tin-dung
https://techcombank.com/thong-tin/blog/nap-tien-vao-tai-khoan-ngan-hang
https://techcombank.com/thong-tin/blog/mobile-banking-la-gi
https://tec"&amp;"hcombank.com/thong-tin/blog/nap-xu-tiktok
https://techcombank.com/thong-tin/blog/so-du-kha-dung
https://techcombank.com/thong-tin/blog/vay-kinh-doanh-online
https://techcombank.com/thong-tin/blog/dieu-kien-vay-the-chap
https://techcombank.com/thong-tin/bl"&amp;"og/so-du-tai-khoan-thanh-toan
https://techcombank.com/thong-tin/blog/tin-dung-doanh-nghiep
https://techcombank.com/thong-tin/blog/chung-chi-tien-gui-co-duoc-rut-truoc-han
https://techcombank.com/thong-tin/blog/thanh-toan-khi-du-lich-han-quoc
https://techc"&amp;"ombank.com/thong-tin/blog/so-du-tien-gui-la-gi
https://techcombank.com/thong-tin/blog/bao-hiem-sinh-ky-la-gi
https://techcombank.com/thong-tin/blog/cac-loai-hinh-bao-hiem-nhan-tho
https://techcombank.com/thong-tin/blog/cach-tinh-gia-vang
https://techcomba"&amp;"nk.com/thong-tin/blog/cach-tinh-loi-nhuan-chung-chi-tien-gui
https://techcombank.com/thong-tin/blog/casa-la-gi
https://techcombank.com/thong-tin/blog/chung-chi-tien-gui-co-phai-la-trai-phieu-khong
https://techcombank.com/thong-tin/blog/chuyen-doi-xanh
htt"&amp;"ps://techcombank.com/thong-tin/blog/cpi-la-gi
https://techcombank.com/thong-tin/blog/dau-co-va-dau-tu
https://techcombank.com/thong-tin/blog/gia-vang-16k-hom-nay
https://techcombank.com/thong-tin/blog/khau-vi-nha-dau-tu-tpdn-thay-doi-the-nao-sau-nhung-bie"&amp;"n-dong-vua-qua
https://techcombank.com/thong-tin/blog/kich-hoat-the-tin-dung-techcombank
https://techcombank.com/thong-tin/blog/kinh-nghiem-mua-vang-tich-tru
https://techcombank.com/thong-tin/blog/lam-the-tin-dung-co-mat-phi-khong
https://techcombank.com/"&amp;"thong-tin/blog/ly-do-ngan-hang-so-tro-thanh-cong-cu-tai-chinh-hang-dau-cua-gioi-tre
https://techcombank.com/thong-tin/blog/ngoai-hoi-la-gi
https://techcombank.com/thong-tin/blog/rut-tien-bao-hiem-nhan-tho-khi-het-han
https://techcombank.com/thong-tin/blog"&amp;"/sinh-loi-rinh-loc
https://techcombank.com/thong-tin/blog/nen-gui-tiet-kiem-thong-thuong-hay-tich-luy
https://techcombank.com/thong-tin/blog/gui-tien-ngan-hang-co-an-toan-khong
https://techcombank.com/thong-tin/blog/dau-tu-trai-phieu-doanh-nghiep-dung-ham"&amp;"-lai-suat-cao
https://techcombank.com/thong-tin/blog/rui-ro-khi-gui-tiet-kiem-online
https://techcombank.com/thong-tin/blog/chon-kenh-dau-tu-an-toan-trong-boi-canh-thi-truong-bien-dong
https://techcombank.com/thong-tin/blog/rui-ro-khi-gui-tiet-kiem-ngan-h"&amp;"ang
https://techcombank.com/thong-tin/blog/gui-tiet-kiem-online-bi-mat-tien
https://techcombank.com/thong-tin/blog/chung-chi-tien-gui-khac-gi-so-tiet-kiem
https://techcombank.com/thong-tin/blog/vay-20-trieu
https://techcombank.com/thong-tin/blog/lai-suat-"&amp;"gui-tiet-kiem-usd
https://techcombank.com/thong-tin/blog/gui-tiet-kiem-usd
https://techcombank.com/thong-tin/blog/so-tiet-kiem-ngan-hang
https://techcombank.com/thong-tin/blog/app-gui-tien-tiet-kiem
https://techcombank.com/thong-tin/blog/tat-toan-so-tiet-"&amp;"kiem
https://techcombank.com/thong-tin/blog/ke-hoach-tai-chinh
https://techcombank.com/thong-tin/blog/nghich-ly-nha-dau-tu-che-trai-phieu-lai-suat-cao-ua-ma-an-toan-du-lai-suat-thap-hon-05-1
https://techcombank.com/thong-tin/blog/thi-truong-trai-phieu-co-"&amp;"hoi-dau-tu-trai-phieu-vang-du-lai-suat-thap
https://techcombank.com/thong-tin/blog/lai-suat-chung-chi-quy
https://techcombank.com/thong-tin/blog/lai-suat-cho-vay-doanh-nghiep
https://techcombank.com/thong-tin/blog/mo-tai-khoan-tiet-kiem-cho-con
https://te"&amp;"chcombank.com/thong-tin/blog/rut-tien-tiet-kiem-truoc-thoi-han
https://techcombank.com/thong-tin/blog/vi-sao-lai-suat-trai-phieu-tai-tcbs-lai-thap-hon-so-voi-cac-to-chuc-phat-hanh-khac
https://techcombank.com/thong-tin/blog/cach-dau-tu
https://techcombank"&amp;".com/thong-tin/blog/vay-bo-sung-von-luu-dong
https://techcombank.com/thong-tin/blog/chung-chi-tien-gui-co-an-toan-khong
https://techcombank.com/thong-tin/blog/nhung-kho-khan-khi-tiet-kiem-tien
https://techcombank.com/thong-tin/blog/xu-huong-dau-tu-trai-ph"&amp;"ieu-ky-han-duoi-mot-nam-lua-chon-an-toan-khi-thi-truong-bien-dong
https://techcombank.com/thong-tin/blog/dau-tu-tai-chinh-ca-nhan
https://techcombank.com/thong-tin/blog/quan-ly-chuoi-cua-hang
https://techcombank.com/thong-tin/blog/cach-tiet-kiem-tien-theo"&amp;"-tuan
https://techcombank.com/thong-tin/blog/quan-ly-tai-chinh-cho-dan-van-phong
https://techcombank.com/thong-tin/blog/dau-tu-ngan-han
https://techcombank.com/thong-tin/blog/tiet-kiem-tien-moi-ngay
https://techcombank.com/thong-tin/blog/cach-tiet-kiem-10"&amp;"0-trieu-1-nam
https://techcombank.com/thong-tin/blog/tai-khoan-tiet-kiem
https://techcombank.com/thong-tin/blog/the-nao-la-tiet-kiem
https://techcombank.com/thong-tin/blog/gui-them-tien-vao-so-tiet-kiem
https://techcombank.com/thong-tin/blog/loi-ich-cua-v"&amp;"iec-tiet-kiem-tien
https://techcombank.com/thong-tin/blog/mat-so-tiet-kiem
https://techcombank.com/thong-tin/blog/cac-chung-chi-quy-o-viet-nam
https://techcombank.com/thong-tin/blog/5-trieu-mua-duoc-bao-nhieu-vang
https://techcombank.com/thong-tin/blog/ca"&amp;"m-nang-dinh-cu-my
https://techcombank.com/thong-tin/blog/chung-chi-quy
https://techcombank.com/thong-tin/blog/lam-phat-la-gi
https://techcombank.com/thong-tin/blog/loyalty-la-gi
https://techcombank.com/thong-tin/blog/may-pos-la-gi
https://techcombank.com/"&amp;"thong-tin/blog/mua-chung-chi-quy
https://techcombank.com/thong-tin/blog/nguyen-tac-quan-ly-tai-chinh-ca-nhan
https://techcombank.com/thong-tin/blog/quy-gia-dinh
https://techcombank.com/thong-tin/blog/tai-khoan-ngan-hang-chua-toi-da-bao-nhieu-tien
https://"&amp;"techcombank.com/thong-tin/blog/tai-san-va-tieu-san-la-gi")</f>
        <v>https://techcombank.com/thong-tin/blog/gui-tiet-kiem-hang-thang
https://techcombank.com/thong-tin/blog/kinh-nghiem-vay-tien-ngan-hang-xay-nha
https://techcombank.com/thong-tin/blog/tai-khoan-ngan-hang-duoi-50k-co-bi-khoa-khong
https://techcombank.com/thong-tin/blog/thanh-toan-tien-dien-bang-the-tin-dung
https://techcombank.com/thong-tin/blog/thanh-toan-hoa-don-tieu-dung
https://techcombank.com/thong-tin/blog/tien-gui-khong-ky-han
https://techcombank.com/thong-tin/blog/dao-han-la-gi
https://techcombank.com/thong-tin/blog/lai-suat-tiet-kiem
https://techcombank.com/thong-tin/blog/diem-tin-dung
https://techcombank.com/thong-tin/blog/tai-khoan-thanh-toan-la-gi
https://techcombank.com/thong-tin/blog/cong-thuc-tinh-lai-suat-thuc
https://techcombank.com/thong-tin/blog/rui-ro-khi-vay-the-chap-ngan-hang
https://techcombank.com/thong-tin/blog/lai-suat-the-tin-dung
https://techcombank.com/thong-tin/blog/lai-suat-tha-noi
https://techcombank.com/thong-tin/blog/cach-tinh-lai-vay-ngan-hang
https://techcombank.com/thong-tin/blog/lai-suat-vay-ngan-hang
https://techcombank.com/thong-tin/blog/quy-du-phong-tai-chinh-la-gi
https://techcombank.com/thong-tin/blog/loi-ich-cua-ngan-hang-so-voi-sme
https://techcombank.com/thong-tin/blog/vay-mua-chung-cu
https://techcombank.com/thong-tin/blog/kinh-nghiem-vay-the-chap-ngan-hang
https://techcombank.com/thong-tin/blog/vay-15-trieu
https://techcombank.com/thong-tin/blog/vay-mua-nha-o-xa-hoi
https://techcombank.com/thong-tin/blog/lai-suat-vay-the-chap
https://techcombank.com/thong-tin/blog/ngan-hang-dien-tu
https://techcombank.com/thong-tin/blog/vay-ngan-hang-1-ty-moi-thang-tra-bao-nhieu
https://techcombank.com/thong-tin/blog/the-tin-dung-hoan-tien
https://techcombank.com/thong-tin/blog/dac-quyen-khach-hang-vip-ngan-hang
https://techcombank.com/thong-tin/blog/nen-gui-tiet-kiem-6-thang-hay-1-nam
https://techcombank.com/thong-tin/blog/cach-tiet-kiem-tien-cua-nguoi-nhat
https://techcombank.com/thong-tin/blog/phan-mem-lap-ke-hoach-tai-chinh-ca-nhan
https://techcombank.com/thong-tin/blog/quy-trinh-gui-tien-tiet-kiem
https://techcombank.com/thong-tin/blog/gui-tiet-kiem-theo-ngay
https://techcombank.com/thong-tin/blog/gui-tiet-kiem-vang
https://techcombank.com/thong-tin/blog/tai-sao-gui-tiet-kiem-online-lai-suat-cao-hon
https://techcombank.com/thong-tin/blog/nen-de-tien-trong-the-hay-gui-tiet-kiem
https://techcombank.com/thong-tin/blog/co-nen-gui-tiet-kiem-ngan-hang
https://techcombank.com/thong-tin/blog/co-nen-gui-tiet-kiem-online
https://techcombank.com/thong-tin/blog/gui-tiet-kiem-ngan-hang-van-la-lua-chon-an-toan-trong-thoi-ky-kinh-te-con-nhieu-bien-dong
https://techcombank.com/thong-tin/blog/cach-gui-tiet-kiem-online
https://techcombank.com/thong-tin/blog/gui-tiet-kiem-tich-luy-la-gi
https://techcombank.com/thong-tin/blog/kinh-nghiem-gui-tiet-kiem-online
https://techcombank.com/thong-tin/blog/gui-tiet-kiem-online-co-rut-truoc-han-duoc-khong
https://techcombank.com/thong-tin/blog/rut-tien-mat-tu-the-tin-dung
https://techcombank.com/thong-tin/blog/so-sanh-gui-tiet-kiem-online-va-tai-quay
https://techcombank.com/thong-tin/blog/cach-tiet-kiem-tien-sinh-loi
https://techcombank.com/thong-tin/blog/co-50-trieu-nen-mua-vang-hay-gui-tiet-kiem
https://techcombank.com/thong-tin/blog/tien-gui-co-ky-han
https://techcombank.com/thong-tin/blog/lai-suat-chung-chi-tien-gui-cac-ngan-hang
https://techcombank.com/thong-tin/blog/bi-quyet-tiet-kiem-tien-mua-nha
https://techcombank.com/thong-tin/blog/tra-gop-shopee
https://techcombank.com/thong-tin/blog/chung-chi-tien-gui-la-gi
https://techcombank.com/thong-tin/blog/ngan-hang-so
https://techcombank.com/thong-tin/blog/giai-ngan-la-gi
https://techcombank.com/thong-tin/blog/the-visa-co-may-loai
https://techcombank.com/thong-tin/blog/techcombank-sinh-loi-tu-dong
https://techcombank.com/thong-tin/blog/mo-so-tiet-kiem-can-bao-nhieu-tien
https://techcombank.com/thong-tin/blog/lai-suat-la-gi
https://techcombank.com/thong-tin/blog/cho-vay-kinh-doanh-ho-gia-dinh
https://techcombank.com/thong-tin/blog/vay-von-doanh-nghiep-nho
https://techcombank.com/thong-tin/blog/vay-50-trieu
https://techcombank.com/thong-tin/blog/vay-mua-dien-thoai
https://techcombank.com/thong-tin/blog/tien-nhan-roi-nen-lam-gi
https://techcombank.com/thong-tin/blog/cho-vay-tieu-dung-la-gi
https://techcombank.com/thong-tin/blog/cach-tiet-kiem-tien
https://techcombank.com/thong-tin/blog/vay-the-chap-so-hong
https://techcombank.com/thong-tin/blog/lai-suat-vay-mua-o-to
https://techcombank.com/thong-tin/blog/nen-lam-the-visa-hay-noi-dia
https://techcombank.com/thong-tin/blog/tra-gop-lazada
https://techcombank.com/thong-tin/blog/vay-the-chap-kinh-doanh
https://techcombank.com/thong-tin/blog/cach-thanh-toan-the-tin-dung
https://techcombank.com/thong-tin/blog/nap-tien-vao-tai-khoan-ngan-hang
https://techcombank.com/thong-tin/blog/mobile-banking-la-gi
https://techcombank.com/thong-tin/blog/nap-xu-tiktok
https://techcombank.com/thong-tin/blog/so-du-kha-dung
https://techcombank.com/thong-tin/blog/vay-kinh-doanh-online
https://techcombank.com/thong-tin/blog/dieu-kien-vay-the-chap
https://techcombank.com/thong-tin/blog/so-du-tai-khoan-thanh-toan
https://techcombank.com/thong-tin/blog/tin-dung-doanh-nghiep
https://techcombank.com/thong-tin/blog/chung-chi-tien-gui-co-duoc-rut-truoc-han
https://techcombank.com/thong-tin/blog/thanh-toan-khi-du-lich-han-quoc
https://techcombank.com/thong-tin/blog/so-du-tien-gui-la-gi
https://techcombank.com/thong-tin/blog/bao-hiem-sinh-ky-la-gi
https://techcombank.com/thong-tin/blog/cac-loai-hinh-bao-hiem-nhan-tho
https://techcombank.com/thong-tin/blog/cach-tinh-gia-vang
https://techcombank.com/thong-tin/blog/cach-tinh-loi-nhuan-chung-chi-tien-gui
https://techcombank.com/thong-tin/blog/casa-la-gi
https://techcombank.com/thong-tin/blog/chung-chi-tien-gui-co-phai-la-trai-phieu-khong
https://techcombank.com/thong-tin/blog/chuyen-doi-xanh
https://techcombank.com/thong-tin/blog/cpi-la-gi
https://techcombank.com/thong-tin/blog/dau-co-va-dau-tu
https://techcombank.com/thong-tin/blog/gia-vang-16k-hom-nay
https://techcombank.com/thong-tin/blog/khau-vi-nha-dau-tu-tpdn-thay-doi-the-nao-sau-nhung-bien-dong-vua-qua
https://techcombank.com/thong-tin/blog/kich-hoat-the-tin-dung-techcombank
https://techcombank.com/thong-tin/blog/kinh-nghiem-mua-vang-tich-tru
https://techcombank.com/thong-tin/blog/lam-the-tin-dung-co-mat-phi-khong
https://techcombank.com/thong-tin/blog/ly-do-ngan-hang-so-tro-thanh-cong-cu-tai-chinh-hang-dau-cua-gioi-tre
https://techcombank.com/thong-tin/blog/ngoai-hoi-la-gi
https://techcombank.com/thong-tin/blog/rut-tien-bao-hiem-nhan-tho-khi-het-han
https://techcombank.com/thong-tin/blog/sinh-loi-rinh-loc
https://techcombank.com/thong-tin/blog/nen-gui-tiet-kiem-thong-thuong-hay-tich-luy
https://techcombank.com/thong-tin/blog/gui-tien-ngan-hang-co-an-toan-khong
https://techcombank.com/thong-tin/blog/dau-tu-trai-phieu-doanh-nghiep-dung-ham-lai-suat-cao
https://techcombank.com/thong-tin/blog/rui-ro-khi-gui-tiet-kiem-online
https://techcombank.com/thong-tin/blog/chon-kenh-dau-tu-an-toan-trong-boi-canh-thi-truong-bien-dong
https://techcombank.com/thong-tin/blog/rui-ro-khi-gui-tiet-kiem-ngan-hang
https://techcombank.com/thong-tin/blog/gui-tiet-kiem-online-bi-mat-tien
https://techcombank.com/thong-tin/blog/chung-chi-tien-gui-khac-gi-so-tiet-kiem
https://techcombank.com/thong-tin/blog/vay-20-trieu
https://techcombank.com/thong-tin/blog/lai-suat-gui-tiet-kiem-usd
https://techcombank.com/thong-tin/blog/gui-tiet-kiem-usd
https://techcombank.com/thong-tin/blog/so-tiet-kiem-ngan-hang
https://techcombank.com/thong-tin/blog/app-gui-tien-tiet-kiem
https://techcombank.com/thong-tin/blog/tat-toan-so-tiet-kiem
https://techcombank.com/thong-tin/blog/ke-hoach-tai-chinh
https://techcombank.com/thong-tin/blog/nghich-ly-nha-dau-tu-che-trai-phieu-lai-suat-cao-ua-ma-an-toan-du-lai-suat-thap-hon-05-1
https://techcombank.com/thong-tin/blog/thi-truong-trai-phieu-co-hoi-dau-tu-trai-phieu-vang-du-lai-suat-thap
https://techcombank.com/thong-tin/blog/lai-suat-chung-chi-quy
https://techcombank.com/thong-tin/blog/lai-suat-cho-vay-doanh-nghiep
https://techcombank.com/thong-tin/blog/mo-tai-khoan-tiet-kiem-cho-con
https://techcombank.com/thong-tin/blog/rut-tien-tiet-kiem-truoc-thoi-han
https://techcombank.com/thong-tin/blog/vi-sao-lai-suat-trai-phieu-tai-tcbs-lai-thap-hon-so-voi-cac-to-chuc-phat-hanh-khac
https://techcombank.com/thong-tin/blog/cach-dau-tu
https://techcombank.com/thong-tin/blog/vay-bo-sung-von-luu-dong
https://techcombank.com/thong-tin/blog/chung-chi-tien-gui-co-an-toan-khong
https://techcombank.com/thong-tin/blog/nhung-kho-khan-khi-tiet-kiem-tien
https://techcombank.com/thong-tin/blog/xu-huong-dau-tu-trai-phieu-ky-han-duoi-mot-nam-lua-chon-an-toan-khi-thi-truong-bien-dong
https://techcombank.com/thong-tin/blog/dau-tu-tai-chinh-ca-nhan
https://techcombank.com/thong-tin/blog/quan-ly-chuoi-cua-hang
https://techcombank.com/thong-tin/blog/cach-tiet-kiem-tien-theo-tuan
https://techcombank.com/thong-tin/blog/quan-ly-tai-chinh-cho-dan-van-phong
https://techcombank.com/thong-tin/blog/dau-tu-ngan-han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https://techcombank.com/thong-tin/blog/loi-ich-cua-viec-tiet-kiem-tien
https://techcombank.com/thong-tin/blog/mat-so-tiet-kiem
https://techcombank.com/thong-tin/blog/cac-chung-chi-quy-o-viet-nam
https://techcombank.com/thong-tin/blog/5-trieu-mua-duoc-bao-nhieu-vang
https://techcombank.com/thong-tin/blog/cam-nang-dinh-cu-my
https://techcombank.com/thong-tin/blog/chung-chi-quy
https://techcombank.com/thong-tin/blog/lam-phat-la-gi
https://techcombank.com/thong-tin/blog/loyalty-la-gi
https://techcombank.com/thong-tin/blog/may-pos-la-gi
https://techcombank.com/thong-tin/blog/mua-chung-chi-quy
https://techcombank.com/thong-tin/blog/nguyen-tac-quan-ly-tai-chinh-ca-nhan
https://techcombank.com/thong-tin/blog/quy-gia-dinh
https://techcombank.com/thong-tin/blog/tai-khoan-ngan-hang-chua-toi-da-bao-nhieu-tien
https://techcombank.com/thong-tin/blog/tai-san-va-tieu-san-la-gi</v>
      </c>
      <c r="J62" s="26" t="s">
        <v>188</v>
      </c>
    </row>
    <row r="63" ht="82.5" customHeight="1">
      <c r="A63" s="12">
        <v>62.0</v>
      </c>
      <c r="B63" s="13" t="s">
        <v>1492</v>
      </c>
      <c r="C63" s="13" t="s">
        <v>707</v>
      </c>
      <c r="D63" s="21">
        <f>COUNTIF('Kế hoạch chèn link (mới)'!$B$3:$B$2944,C63)</f>
        <v>27</v>
      </c>
      <c r="E63" s="21">
        <f>IFERROR(VLOOKUP(C63,'Link trỏ về từng trang đích'!$B$2:$D$76,3,0),"")</f>
        <v>30</v>
      </c>
      <c r="F63" s="13" t="str">
        <f t="shared" si="1"/>
        <v>Thiếu 3 link</v>
      </c>
      <c r="G63" s="13" t="str">
        <f>IF(IFERROR(VLOOKUP(C63,'Inlink đã chèn'!$B$2:$C$200,2,0),0)&gt;0,"Đã có anchor text trỏ về","Chưa có anchor text trỏ về")</f>
        <v>Chưa có anchor text trỏ về</v>
      </c>
      <c r="H63" s="13" t="str">
        <f>IFERROR(__xludf.DUMMYFUNCTION("IFERROR(TEXTJOIN("", "",TRUE,UNIQUE(FILTER('Kế hoạch chèn link (mới)'!$D$3:$D$2944,'Kế hoạch chèn link (mới)'!$B$3:$B$2944=C63))),"""")"),"rút tiết kiệm trước hạn, rút tiền tiết kiệm trước thời hạn")</f>
        <v>rút tiết kiệm trước hạn, rút tiền tiết kiệm trước thời hạn</v>
      </c>
      <c r="I63" s="13" t="str">
        <f>IFERROR(__xludf.DUMMYFUNCTION("IFERROR(TEXTJOIN(CHAR(10),TRUE,FILTER('Kế hoạch chèn link (mới)'!$F$3:$F$2944,'Kế hoạch chèn link (mới)'!$B$3:$B$2944=C63)),"""")"),"https://techcombank.com/thong-tin/blog/vay-thau-chi-bang-so-tiet-kiem
https://techcombank.com/thong-tin/blog/lai-kep-ngan-hang
https://techcombank.com/thong-tin/blog/mat-so-tiet-kiem
https://techcombank.com/thong-tin/blog/gui-them-tien-vao-so-tiet-kiem
ht"&amp;"tps://techcombank.com/thong-tin/blog/tien-gui-co-ky-han
https://techcombank.com/thong-tin/blog/so-tiet-kiem-ngan-hang
https://techcombank.com/thong-tin/blog/app-gui-tien-tiet-kiem
https://techcombank.com/thong-tin/blog/gui-tiet-kiem-theo-ngay
https://tech"&amp;"combank.com/thong-tin/blog/the-visa-co-thanh-toan-quoc-te-duoc-khong
https://techcombank.com/thong-tin/blog/thanh-khoan-la-gi
https://techcombank.com/thong-tin/blog/tai-sao-gui-tiet-kiem-online-lai-suat-cao-hon
https://techcombank.com/thong-tin/blog/dau-t"&amp;"u-ngan-han
https://techcombank.com/thong-tin/blog/rut-tien-bao-hiem-nhan-tho-khi-het-han
https://techcombank.com/thong-tin/blog/mo-the-tin-dung-khong-can-chung-minh-thu-nhap
https://techcombank.com/thong-tin/blog/chung-chi-tien-gui-khac-gi-so-tiet-kiem
ht"&amp;"tps://techcombank.com/thong-tin/blog/chung-chi-tien-gui-co-duoc-rut-truoc-han
https://techcombank.com/thong-tin/blog/lai-suat-chung-chi-tien-gui-cac-ngan-hang
https://techcombank.com/thong-tin/blog/nen-gui-tiet-kiem-6-thang-hay-1-nam
https://techcombank.c"&amp;"om/thong-tin/blog/gui-tiet-kiem-online-quay-vong-ca-goc-va-lai
https://techcombank.com/thong-tin/blog/the-napas-la-gi
https://techcombank.com/thong-tin/blog/so-sanh-gui-tiet-kiem-online-va-tai-quay
https://techcombank.com/thong-tin/blog/cach-tiet-kiem-tie"&amp;"n-sinh-loi
https://techcombank.com/thong-tin/blog/cach-dau-tu
https://techcombank.com/thong-tin/blog/cach-tiet-kiem-tien
https://techcombank.com/thong-tin/blog/lap-ke-hoach-tai-chinh-ca-nhan
https://techcombank.com/thong-tin/blog/tai-khoan-ngan-hang-chua-"&amp;"toi-da-bao-nhieu-tien
https://techcombank.com/thong-tin/blog/tao-ma-qr-thanh-toan-cho-cua-hang")</f>
        <v>https://techcombank.com/thong-tin/blog/vay-thau-chi-bang-so-tiet-kiem
https://techcombank.com/thong-tin/blog/lai-kep-ngan-hang
https://techcombank.com/thong-tin/blog/mat-so-tiet-kiem
https://techcombank.com/thong-tin/blog/gui-them-tien-vao-so-tiet-kiem
https://techcombank.com/thong-tin/blog/tien-gui-co-ky-han
https://techcombank.com/thong-tin/blog/so-tiet-kiem-ngan-hang
https://techcombank.com/thong-tin/blog/app-gui-tien-tiet-kiem
https://techcombank.com/thong-tin/blog/gui-tiet-kiem-theo-ngay
https://techcombank.com/thong-tin/blog/the-visa-co-thanh-toan-quoc-te-duoc-khong
https://techcombank.com/thong-tin/blog/thanh-khoan-la-gi
https://techcombank.com/thong-tin/blog/tai-sao-gui-tiet-kiem-online-lai-suat-cao-hon
https://techcombank.com/thong-tin/blog/dau-tu-ngan-han
https://techcombank.com/thong-tin/blog/rut-tien-bao-hiem-nhan-tho-khi-het-han
https://techcombank.com/thong-tin/blog/mo-the-tin-dung-khong-can-chung-minh-thu-nhap
https://techcombank.com/thong-tin/blog/chung-chi-tien-gui-khac-gi-so-tiet-kiem
https://techcombank.com/thong-tin/blog/chung-chi-tien-gui-co-duoc-rut-truoc-han
https://techcombank.com/thong-tin/blog/lai-suat-chung-chi-tien-gui-cac-ngan-hang
https://techcombank.com/thong-tin/blog/nen-gui-tiet-kiem-6-thang-hay-1-nam
https://techcombank.com/thong-tin/blog/gui-tiet-kiem-online-quay-vong-ca-goc-va-lai
https://techcombank.com/thong-tin/blog/the-napas-la-gi
https://techcombank.com/thong-tin/blog/so-sanh-gui-tiet-kiem-online-va-tai-quay
https://techcombank.com/thong-tin/blog/cach-tiet-kiem-tien-sinh-loi
https://techcombank.com/thong-tin/blog/cach-dau-tu
https://techcombank.com/thong-tin/blog/cach-tiet-kiem-tien
https://techcombank.com/thong-tin/blog/lap-ke-hoach-tai-chinh-ca-nhan
https://techcombank.com/thong-tin/blog/tai-khoan-ngan-hang-chua-toi-da-bao-nhieu-tien
https://techcombank.com/thong-tin/blog/tao-ma-qr-thanh-toan-cho-cua-hang</v>
      </c>
      <c r="J63" s="26" t="s">
        <v>188</v>
      </c>
    </row>
    <row r="64" ht="82.5" customHeight="1">
      <c r="A64" s="12">
        <v>63.0</v>
      </c>
      <c r="B64" s="13" t="s">
        <v>1492</v>
      </c>
      <c r="C64" s="13" t="s">
        <v>773</v>
      </c>
      <c r="D64" s="21">
        <f>COUNTIF('Kế hoạch chèn link (mới)'!$B$3:$B$2944,C64)</f>
        <v>30</v>
      </c>
      <c r="E64" s="21">
        <f>IFERROR(VLOOKUP(C64,'Link trỏ về từng trang đích'!$B$2:$D$76,3,0),"")</f>
        <v>30</v>
      </c>
      <c r="F64" s="13" t="str">
        <f t="shared" si="1"/>
        <v>Đủ link</v>
      </c>
      <c r="G64" s="13" t="str">
        <f>IF(IFERROR(VLOOKUP(C64,'Inlink đã chèn'!$B$2:$C$200,2,0),0)&gt;0,"Đã có anchor text trỏ về","Chưa có anchor text trỏ về")</f>
        <v>Chưa có anchor text trỏ về</v>
      </c>
      <c r="H64" s="13" t="str">
        <f>IFERROR(__xludf.DUMMYFUNCTION("IFERROR(TEXTJOIN("", "",TRUE,UNIQUE(FILTER('Kế hoạch chèn link (mới)'!$D$3:$D$2944,'Kế hoạch chèn link (mới)'!$B$3:$B$2944=C64))),"""")"),"sổ tiết kiệm, sổ tiết kiệm ngân hàng")</f>
        <v>sổ tiết kiệm, sổ tiết kiệm ngân hàng</v>
      </c>
      <c r="I64" s="13" t="str">
        <f>IFERROR(__xludf.DUMMYFUNCTION("IFERROR(TEXTJOIN(CHAR(10),TRUE,FILTER('Kế hoạch chèn link (mới)'!$F$3:$F$2944,'Kế hoạch chèn link (mới)'!$B$3:$B$2944=C64)),"""")"),"https://techcombank.com/thong-tin/blog/mo-so-tiet-kiem-can-bao-nhieu-tien
https://techcombank.com/thong-tin/blog/mat-so-tiet-kiem
https://techcombank.com/thong-tin/blog/gui-them-tien-vao-so-tiet-kiem
https://techcombank.com/thong-tin/blog/vay-thau-chi-ban"&amp;"g-so-tiet-kiem
https://techcombank.com/thong-tin/blog/quy-trinh-gui-tien-tiet-kiem
https://techcombank.com/thong-tin/blog/mo-the-tin-dung-khong-can-chung-minh-thu-nhap
https://techcombank.com/thong-tin/blog/rut-tien-tiet-kiem-truoc-thoi-han
https://techco"&amp;"mbank.com/thong-tin/blog/vay-thau-chi-la-gi
https://techcombank.com/thong-tin/blog/chung-chi-tien-gui-la-gi
https://techcombank.com/thong-tin/blog/mo-the-tin-dung-han-muc-cao
https://techcombank.com/thong-tin/blog/bao-hiem-nhan-tho-bao-nhieu-tien
https://"&amp;"techcombank.com/thong-tin/blog/cach-dang-ky-the-visa
https://techcombank.com/thong-tin/blog/cach-dong-tien-dien-qua-tai-khoan-ngan-hang
https://techcombank.com/thong-tin/blog/cach-sao-ke-tai-khoan-ngan-hang
https://techcombank.com/thong-tin/blog/cach-tiet"&amp;"-kiem-100-trieu-1-nam
https://techcombank.com/thong-tin/blog/chung-chi-tien-gui-co-duoc-bao-hiem-khong
https://techcombank.com/thong-tin/blog/nen-gui-tiet-kiem-thong-thuong-hay-tich-luy
https://techcombank.com/thong-tin/blog/tat-toan-so-tiet-kiem
https://"&amp;"techcombank.com/thong-tin/blog/tat-toan
https://techcombank.com/thong-tin/blog/dao-han-la-gi
https://techcombank.com/thong-tin/blog/co-nen-gui-tiet-kiem-ngan-hang
https://techcombank.com/thong-tin/blog/co-nen-gui-tiet-kiem-online
https://techcombank.com/t"&amp;"hong-tin/blog/gui-tiet-kiem-ngoai-te
https://techcombank.com/thong-tin/blog/nen-gui-tiet-kiem-6-thang-hay-1-nam
https://techcombank.com/thong-tin/blog/mo-tai-khoan-tiet-kiem-cho-con
https://techcombank.com/thong-tin/blog/rui-ro-khi-gui-tiet-kiem-online
ht"&amp;"tps://techcombank.com/thong-tin/blog/tai-khoan-thanh-toan-la-gi
https://techcombank.com/thong-tin/blog/tai-sao-gui-tiet-kiem-online-lai-suat-cao-hon
https://techcombank.com/thong-tin/blog/gui-tiet-kiem-tich-luy-la-gi
https://techcombank.com/thong-tin/blog"&amp;"/gui-tiet-kiem-online-bi-mat-tien")</f>
        <v>https://techcombank.com/thong-tin/blog/mo-so-tiet-kiem-can-bao-nhieu-tien
https://techcombank.com/thong-tin/blog/mat-so-tiet-kiem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https://techcombank.com/thong-tin/blog/vay-thau-chi-la-gi
https://techcombank.com/thong-tin/blog/chung-chi-tien-gui-la-gi
https://techcombank.com/thong-tin/blog/mo-the-tin-dung-han-muc-cao
https://techcombank.com/thong-tin/blog/bao-hiem-nhan-tho-bao-nhieu-tien
https://techcombank.com/thong-tin/blog/cach-dang-ky-the-visa
https://techcombank.com/thong-tin/blog/cach-dong-tien-dien-qua-tai-khoan-ngan-hang
https://techcombank.com/thong-tin/blog/cach-sao-ke-tai-khoan-ngan-hang
https://techcombank.com/thong-tin/blog/cach-tiet-kiem-100-trieu-1-nam
https://techcombank.com/thong-tin/blog/chung-chi-tien-gui-co-duoc-bao-hiem-khong
https://techcombank.com/thong-tin/blog/nen-gui-tiet-kiem-thong-thuong-hay-tich-luy
https://techcombank.com/thong-tin/blog/tat-toan-so-tiet-kiem
https://techcombank.com/thong-tin/blog/tat-toan
https://techcombank.com/thong-tin/blog/dao-han-la-gi
https://techcombank.com/thong-tin/blog/co-nen-gui-tiet-kiem-ngan-hang
https://techcombank.com/thong-tin/blog/co-nen-gui-tiet-kiem-online
https://techcombank.com/thong-tin/blog/gui-tiet-kiem-ngoai-te
https://techcombank.com/thong-tin/blog/nen-gui-tiet-kiem-6-thang-hay-1-nam
https://techcombank.com/thong-tin/blog/mo-tai-khoan-tiet-kiem-cho-con
https://techcombank.com/thong-tin/blog/rui-ro-khi-gui-tiet-kiem-online
https://techcombank.com/thong-tin/blog/tai-khoan-thanh-toan-la-gi
https://techcombank.com/thong-tin/blog/tai-sao-gui-tiet-kiem-online-lai-suat-cao-hon
https://techcombank.com/thong-tin/blog/gui-tiet-kiem-tich-luy-la-gi
https://techcombank.com/thong-tin/blog/gui-tiet-kiem-online-bi-mat-tien</v>
      </c>
      <c r="J64" s="26" t="s">
        <v>188</v>
      </c>
    </row>
    <row r="65" ht="82.5" customHeight="1">
      <c r="A65" s="12">
        <v>64.0</v>
      </c>
      <c r="B65" s="13" t="s">
        <v>1492</v>
      </c>
      <c r="C65" s="13" t="s">
        <v>980</v>
      </c>
      <c r="D65" s="21">
        <f>COUNTIF('Kế hoạch chèn link (mới)'!$B$3:$B$2944,C65)</f>
        <v>30</v>
      </c>
      <c r="E65" s="21">
        <f>IFERROR(VLOOKUP(C65,'Link trỏ về từng trang đích'!$B$2:$D$76,3,0),"")</f>
        <v>30</v>
      </c>
      <c r="F65" s="13" t="str">
        <f t="shared" si="1"/>
        <v>Đủ link</v>
      </c>
      <c r="G65" s="13" t="str">
        <f>IF(IFERROR(VLOOKUP(C65,'Inlink đã chèn'!$B$2:$C$200,2,0),0)&gt;0,"Đã có anchor text trỏ về","Chưa có anchor text trỏ về")</f>
        <v>Chưa có anchor text trỏ về</v>
      </c>
      <c r="H65" s="13" t="str">
        <f>IFERROR(__xludf.DUMMYFUNCTION("IFERROR(TEXTJOIN("", "",TRUE,UNIQUE(FILTER('Kế hoạch chèn link (mới)'!$D$3:$D$2944,'Kế hoạch chèn link (mới)'!$B$3:$B$2944=C65))),"""")"),"cách tiết kiệm tiền, cách tiết kiệm tiền hiệu quả")</f>
        <v>cách tiết kiệm tiền, cách tiết kiệm tiền hiệu quả</v>
      </c>
      <c r="I65" s="13" t="str">
        <f>IFERROR(__xludf.DUMMYFUNCTION("IFERROR(TEXTJOIN(CHAR(10),TRUE,FILTER('Kế hoạch chèn link (mới)'!$F$3:$F$2944,'Kế hoạch chèn link (mới)'!$B$3:$B$2944=C65)),"""")"),"https://techcombank.com/thong-tin/blog/tiet-kiem-tien-moi-ngay
https://techcombank.com/thong-tin/blog/hoc-cach-tiet-kiem-tien-luong
https://techcombank.com/thong-tin/blog/loi-ich-cua-viec-tiet-kiem-tien
https://techcombank.com/thong-tin/blog/cach-tiet-kie"&amp;"m-tien-theo-tuan
https://techcombank.com/thong-tin/blog/the-nao-la-tiet-kiem
https://techcombank.com/thong-tin/blog/phi-rut-tien-mat-the-tin-dung
https://techcombank.com/thong-tin/blog/cach-tiet-kiem-tien-sinh-loi
https://techcombank.com/thong-tin/blog/so"&amp;"-tai-khoan-dep
https://techcombank.com/thong-tin/blog/the-ghi-no-visa-la-gi
https://techcombank.com/thong-tin/blog/cach-tiet-kiem-tien-cua-nguoi-nhat
https://techcombank.com/thong-tin/blog/cach-tiet-kiem-tien-hieu-qua-cho-gia-dinh
https://techcombank.com/"&amp;"thong-tin/blog/vi-dien-tu
https://techcombank.com/thong-tin/blog/ke-hoach-tai-chinh
https://techcombank.com/thong-tin/blog/ghi-chep-chi-tieu
https://techcombank.com/thong-tin/blog/qua-han-thanh-toan-the-tin-dung-1-ngay
https://techcombank.com/thong-tin/bl"&amp;"og/chinh-sach-tang-luong-huu
https://techcombank.com/thong-tin/blog/tinh-thanh-khoan-la-gi
https://techcombank.com/thong-tin/blog/quan-ly-tai-chinh-doanh-nghiep-la-gi
https://techcombank.com/thong-tin/blog/cach-tinh-lai-suat-tien-gui-tiet-kiem
https://tec"&amp;"hcombank.com/thong-tin/blog/tai-san-va-tieu-san-la-gi
https://techcombank.com/thong-tin/blog/lam-phat-la-gi
https://techcombank.com/thong-tin/blog/gui-tiet-kiem-lay-lai-hang-thang
https://techcombank.com/thong-tin/blog/1-cmnd-dang-ky-duoc-may-tai-khoan-ng"&amp;"an-hang
https://techcombank.com/thong-tin/blog/dang-ky-nhieu-tai-khoan-ngan-hang-co-sao-khong
https://techcombank.com/thong-tin/blog/bancassurance
https://techcombank.com/thong-tin/blog/cach-nap-the-mobi
https://techcombank.com/thong-tin/blog/cach-nap-the"&amp;"-vina
https://techcombank.com/thong-tin/blog/loi-ich-cua-ngan-hang-so-voi-sme
https://techcombank.com/thong-tin/blog/quan-ly-tai-chinh-cho-dan-van-phong
https://techcombank.com/thong-tin/blog/phan-mem-quan-ly-tai-chinh-doanh-nghiep")</f>
        <v>https://techcombank.com/thong-tin/blog/tiet-kiem-tien-moi-ngay
https://techcombank.com/thong-tin/blog/hoc-cach-tiet-kiem-tien-luong
https://techcombank.com/thong-tin/blog/loi-ich-cua-viec-tiet-kiem-tien
https://techcombank.com/thong-tin/blog/cach-tiet-kiem-tien-theo-tuan
https://techcombank.com/thong-tin/blog/the-nao-la-tiet-kiem
https://techcombank.com/thong-tin/blog/phi-rut-tien-mat-the-tin-dung
https://techcombank.com/thong-tin/blog/cach-tiet-kiem-tien-sinh-loi
https://techcombank.com/thong-tin/blog/so-tai-khoan-dep
https://techcombank.com/thong-tin/blog/the-ghi-no-visa-la-gi
https://techcombank.com/thong-tin/blog/cach-tiet-kiem-tien-cua-nguoi-nhat
https://techcombank.com/thong-tin/blog/cach-tiet-kiem-tien-hieu-qua-cho-gia-dinh
https://techcombank.com/thong-tin/blog/vi-dien-tu
https://techcombank.com/thong-tin/blog/ke-hoach-tai-chinh
https://techcombank.com/thong-tin/blog/ghi-chep-chi-tieu
https://techcombank.com/thong-tin/blog/qua-han-thanh-toan-the-tin-dung-1-ngay
https://techcombank.com/thong-tin/blog/chinh-sach-tang-luong-huu
https://techcombank.com/thong-tin/blog/tinh-thanh-khoan-la-gi
https://techcombank.com/thong-tin/blog/quan-ly-tai-chinh-doanh-nghiep-la-gi
https://techcombank.com/thong-tin/blog/cach-tinh-lai-suat-tien-gui-tiet-kiem
https://techcombank.com/thong-tin/blog/tai-san-va-tieu-san-la-gi
https://techcombank.com/thong-tin/blog/lam-phat-la-gi
https://techcombank.com/thong-tin/blog/gui-tiet-kiem-lay-lai-hang-thang
https://techcombank.com/thong-tin/blog/1-cmnd-dang-ky-duoc-may-tai-khoan-ngan-hang
https://techcombank.com/thong-tin/blog/dang-ky-nhieu-tai-khoan-ngan-hang-co-sao-khong
https://techcombank.com/thong-tin/blog/bancassurance
https://techcombank.com/thong-tin/blog/cach-nap-the-mobi
https://techcombank.com/thong-tin/blog/cach-nap-the-vina
https://techcombank.com/thong-tin/blog/loi-ich-cua-ngan-hang-so-voi-sme
https://techcombank.com/thong-tin/blog/quan-ly-tai-chinh-cho-dan-van-phong
https://techcombank.com/thong-tin/blog/phan-mem-quan-ly-tai-chinh-doanh-nghiep</v>
      </c>
      <c r="J65" s="26" t="s">
        <v>188</v>
      </c>
    </row>
    <row r="66" ht="82.5" customHeight="1">
      <c r="A66" s="12">
        <v>65.0</v>
      </c>
      <c r="B66" s="13" t="s">
        <v>1492</v>
      </c>
      <c r="C66" s="13" t="s">
        <v>1019</v>
      </c>
      <c r="D66" s="21">
        <f>COUNTIF('Kế hoạch chèn link (mới)'!$B$3:$B$2944,C66)</f>
        <v>30</v>
      </c>
      <c r="E66" s="21">
        <f>IFERROR(VLOOKUP(C66,'Link trỏ về từng trang đích'!$B$2:$D$76,3,0),"")</f>
        <v>30</v>
      </c>
      <c r="F66" s="13" t="str">
        <f t="shared" si="1"/>
        <v>Đủ link</v>
      </c>
      <c r="G66" s="13" t="str">
        <f>IF(IFERROR(VLOOKUP(C66,'Inlink đã chèn'!$B$2:$C$200,2,0),0)&gt;0,"Đã có anchor text trỏ về","Chưa có anchor text trỏ về")</f>
        <v>Chưa có anchor text trỏ về</v>
      </c>
      <c r="H66" s="13" t="str">
        <f>IFERROR(__xludf.DUMMYFUNCTION("IFERROR(TEXTJOIN("", "",TRUE,UNIQUE(FILTER('Kế hoạch chèn link (mới)'!$D$3:$D$2944,'Kế hoạch chèn link (mới)'!$B$3:$B$2944=C66))),"""")"),"gửi tiết kiệm online có an toàn không, rủi ro khi gửi tiết kiệm online")</f>
        <v>gửi tiết kiệm online có an toàn không, rủi ro khi gửi tiết kiệm online</v>
      </c>
      <c r="I66" s="13" t="str">
        <f>IFERROR(__xludf.DUMMYFUNCTION("IFERROR(TEXTJOIN(CHAR(10),TRUE,FILTER('Kế hoạch chèn link (mới)'!$F$3:$F$2944,'Kế hoạch chèn link (mới)'!$B$3:$B$2944=C66)),"""")"),"https://techcombank.com/thong-tin/blog/co-nen-gui-tiet-kiem-online
https://techcombank.com/thong-tin/blog/kinh-nghiem-gui-tiet-kiem-online
https://techcombank.com/thong-tin/blog/cach-gui-tiet-kiem-online
https://techcombank.com/thong-tin/blog/rui-ro-khi-g"&amp;"ui-tiet-kiem-ngan-hang
https://techcombank.com/thong-tin/blog/so-sanh-gui-tiet-kiem-online-va-tai-quay
https://techcombank.com/thong-tin/blog/gui-tiet-kiem-lay-lai-hang-thang
https://techcombank.com/thong-tin/blog/gui-tiet-kiem-hang-thang
https://techcomb"&amp;"ank.com/thong-tin/blog/cach-tiet-kiem-tien-sinh-loi
https://techcombank.com/thong-tin/blog/gui-tiet-kiem-ngan-hang-van-la-lua-chon-an-toan-trong-thoi-ky-kinh-te-con-nhieu-bien-dong
https://techcombank.com/thong-tin/blog/quy-trinh-gui-tien-tiet-kiem
https:"&amp;"//techcombank.com/thong-tin/blog/lai-suat-tiet-kiem
https://techcombank.com/thong-tin/blog/mat-so-tiet-kiem
https://techcombank.com/thong-tin/blog/quy-du-phong-tai-chinh-la-gi
https://techcombank.com/thong-tin/blog/5-trieu-mua-duoc-bao-nhieu-vang
https://"&amp;"techcombank.com/thong-tin/blog/tao-ma-qr-thanh-toan-cho-cua-hang
https://techcombank.com/thong-tin/blog/gui-tiet-kiem-vang
https://techcombank.com/thong-tin/blog/smart-otp-la-gi
https://techcombank.com/thong-tin/blog/chung-chi-tien-gui-co-duoc-bao-hiem-kh"&amp;"ong
https://techcombank.com/thong-tin/blog/chung-chi-tien-gui-co-phai-la-trai-phieu-khong
https://techcombank.com/thong-tin/blog/the-visa-khong-thanh-toan-duoc
https://techcombank.com/thong-tin/blog/chuyen-tien-tu-han-sang-viet-nam
https://techcombank.com"&amp;"/thong-tin/blog/nen-de-tien-trong-the-hay-gui-tiet-kiem
https://techcombank.com/thong-tin/blog/quy-trinh-tat-toan-khoan-vay-the-chap
https://techcombank.com/thong-tin/blog/hom-nay-co-nen-mua-vang-khong
https://techcombank.com/thong-tin/blog/phuong-phap-da"&amp;"u-tu-chung-chi-quy
https://techcombank.com/thong-tin/blog/cac-chung-chi-quy-o-viet-nam
https://techcombank.com/thong-tin/blog/bao-hiem-lien-ket-dau-tu
https://techcombank.com/thong-tin/blog/chien-luoc-dau-tu
https://techcombank.com/thong-tin/blog/co-50-tr"&amp;"ieu-nen-mua-vang-hay-gui-tiet-kiem
https://techcombank.com/thong-tin/blog/ke-hoach-huu-tri")</f>
        <v>https://techcombank.com/thong-tin/blog/co-nen-gui-tiet-kiem-online
https://techcombank.com/thong-tin/blog/kinh-nghiem-gui-tiet-kiem-online
https://techcombank.com/thong-tin/blog/cach-gui-tiet-kiem-online
https://techcombank.com/thong-tin/blog/rui-ro-khi-gui-tiet-kiem-ngan-hang
https://techcombank.com/thong-tin/blog/so-sanh-gui-tiet-kiem-online-va-tai-quay
https://techcombank.com/thong-tin/blog/gui-tiet-kiem-lay-lai-hang-thang
https://techcombank.com/thong-tin/blog/gui-tiet-kiem-hang-thang
https://techcombank.com/thong-tin/blog/cach-tiet-kiem-tien-sinh-loi
https://techcombank.com/thong-tin/blog/gui-tiet-kiem-ngan-hang-van-la-lua-chon-an-toan-trong-thoi-ky-kinh-te-con-nhieu-bien-dong
https://techcombank.com/thong-tin/blog/quy-trinh-gui-tien-tiet-kiem
https://techcombank.com/thong-tin/blog/lai-suat-tiet-kiem
https://techcombank.com/thong-tin/blog/mat-so-tiet-kiem
https://techcombank.com/thong-tin/blog/quy-du-phong-tai-chinh-la-gi
https://techcombank.com/thong-tin/blog/5-trieu-mua-duoc-bao-nhieu-vang
https://techcombank.com/thong-tin/blog/tao-ma-qr-thanh-toan-cho-cua-hang
https://techcombank.com/thong-tin/blog/gui-tiet-kiem-vang
https://techcombank.com/thong-tin/blog/smart-otp-la-gi
https://techcombank.com/thong-tin/blog/chung-chi-tien-gui-co-duoc-bao-hiem-khong
https://techcombank.com/thong-tin/blog/chung-chi-tien-gui-co-phai-la-trai-phieu-khong
https://techcombank.com/thong-tin/blog/the-visa-khong-thanh-toan-duoc
https://techcombank.com/thong-tin/blog/chuyen-tien-tu-han-sang-viet-nam
https://techcombank.com/thong-tin/blog/nen-de-tien-trong-the-hay-gui-tiet-kiem
https://techcombank.com/thong-tin/blog/quy-trinh-tat-toan-khoan-vay-the-chap
https://techcombank.com/thong-tin/blog/hom-nay-co-nen-mua-vang-khong
https://techcombank.com/thong-tin/blog/phuong-phap-dau-tu-chung-chi-quy
https://techcombank.com/thong-tin/blog/cac-chung-chi-quy-o-viet-nam
https://techcombank.com/thong-tin/blog/bao-hiem-lien-ket-dau-tu
https://techcombank.com/thong-tin/blog/chien-luoc-dau-tu
https://techcombank.com/thong-tin/blog/co-50-trieu-nen-mua-vang-hay-gui-tiet-kiem
https://techcombank.com/thong-tin/blog/ke-hoach-huu-tri</v>
      </c>
      <c r="J66" s="26" t="s">
        <v>188</v>
      </c>
    </row>
    <row r="67" ht="82.5" customHeight="1">
      <c r="A67" s="12">
        <v>66.0</v>
      </c>
      <c r="B67" s="13" t="s">
        <v>1532</v>
      </c>
      <c r="C67" s="13" t="s">
        <v>1531</v>
      </c>
      <c r="D67" s="21">
        <f>COUNTIF('Kế hoạch chèn link (mới)'!$B$3:$B$2944,C67)</f>
        <v>112</v>
      </c>
      <c r="E67" s="21">
        <f>IFERROR(VLOOKUP(C67,'Link trỏ về từng trang đích'!$B$2:$D$76,3,0),"")</f>
        <v>150</v>
      </c>
      <c r="F67" s="13" t="str">
        <f t="shared" si="1"/>
        <v>Thiếu 38 link</v>
      </c>
      <c r="G67" s="13" t="str">
        <f>IF(IFERROR(VLOOKUP(C67,'Inlink đã chèn'!$B$2:$C$200,2,0),0)&gt;0,"Đã có anchor text trỏ về","Chưa có anchor text trỏ về")</f>
        <v>Chưa có anchor text trỏ về</v>
      </c>
      <c r="H67" s="13" t="str">
        <f>IFERROR(__xludf.DUMMYFUNCTION("IFERROR(TEXTJOIN("", "",TRUE,UNIQUE(FILTER('Kế hoạch chèn link (mới)'!$D$3:$D$2944,'Kế hoạch chèn link (mới)'!$B$3:$B$2944=C67))),"""")"),"tính lãi suất vay ngân hàng, tính lãi vay ngân hàng, bảng tính lãi suất vay ngân hàng")</f>
        <v>tính lãi suất vay ngân hàng, tính lãi vay ngân hàng, bảng tính lãi suất vay ngân hàng</v>
      </c>
      <c r="I67" s="13" t="str">
        <f>IFERROR(__xludf.DUMMYFUNCTION("IFERROR(TEXTJOIN(CHAR(10),TRUE,FILTER('Kế hoạch chèn link (mới)'!$F$3:$F$2944,'Kế hoạch chèn link (mới)'!$B$3:$B$2944=C67)),"""")"),"https://techcombank.com/thong-tin/blog/vay-100-trieu
https://techcombank.com/thong-tin/blog/vay-tra-gop
https://techcombank.com/thong-tin/blog/dang-vay-tra-gop-co-vay-them-duoc-khong
https://techcombank.com/thong-tin/blog/cong-thuc-tinh-lai-suat-thuc
http"&amp;"s://techcombank.com/thong-tin/blog/cach-tinh-lai-suat-tien-gui-tiet-kiem
https://techcombank.com/thong-tin/blog/tien-gui-co-ky-han
https://techcombank.com/thong-tin/blog/co-nen-mua-o-to-tra-gop
https://techcombank.com/thong-tin/blog/an-han-no-goc-la-gi
ht"&amp;"tps://techcombank.com/thong-tin/blog/vay-tin-chap-va-vay-the-chap
https://techcombank.com/thong-tin/blog/vay-mua-xe-tra-gop-ngan-hang-nao-tot-nhat
https://techcombank.com/thong-tin/blog/lai-suat-vay-thau-chi
https://techcombank.com/thong-tin/blog/vay-40-t"&amp;"rieu
https://techcombank.com/thong-tin/blog/tra-gop-lazada
https://techcombank.com/thong-tin/blog/nen-mua-xe-tra-gop-hay-tra-thang
https://techcombank.com/thong-tin/blog/cong-ty-su-dung-tai-khoan-ca-nhan
https://techcombank.com/thong-tin/blog/thu-tuc-vay-"&amp;"von-ngan-hang-de-xay-nha
https://techcombank.com/thong-tin/blog/khach-hang-vip-bat-dong-san
https://techcombank.com/thong-tin/blog/tra-gop-qua-the-tin-dung
https://techcombank.com/thong-tin/blog/mua-nha-tra-gop-dua-truoc-100-trieu
https://techcombank.com/"&amp;"thong-tin/blog/co-100-trieu-co-mua-nen-mua-tra-gop
https://techcombank.com/thong-tin/blog/mo-so-tiet-kiem-can-bao-nhieu-tien
https://techcombank.com/thong-tin/blog/quy-trinh-cho-vay-tieu-dung
https://techcombank.com/thong-tin/blog/vay-mua-dien-thoai
https"&amp;"://techcombank.com/thong-tin/blog/lai-suat-cho-vay-doanh-nghiep
https://techcombank.com/thong-tin/blog/vay-the-chap-xe-o-to-cu
https://techcombank.com/thong-tin/blog/cach-tiet-kiem-tien
https://techcombank.com/thong-tin/blog/vay-the-chap-kinh-doanh
https:"&amp;"//techcombank.com/thong-tin/blog/cho-vay-kinh-doanh-ho-gia-dinh
https://techcombank.com/thong-tin/blog/vay-von-doanh-nghiep-nho
https://techcombank.com/thong-tin/blog/cach-thanh-toan-the-tin-dung
https://techcombank.com/thong-tin/blog/thu-tuc-vay-von-kinh"&amp;"-doanh-nho
https://techcombank.com/thong-tin/blog/vay-tin-chap-cho-doanh-nghiep-moi-thanh-lap
https://techcombank.com/thong-tin/blog/vay-kinh-doanh-online
https://techcombank.com/thong-tin/blog/co-nen-vay-ngan-hang-mua-nha
https://techcombank.com/thong-ti"&amp;"n/blog/ho-so-vay-tin-chap
https://techcombank.com/thong-tin/blog/phi-vay-the-chap
https://techcombank.com/thong-tin/blog/vay-the-chap-la-gi
https://techcombank.com/thong-tin/blog/vay-bo-sung-von-luu-dong
https://techcombank.com/thong-tin/blog/nen-vay-the-"&amp;"chap-ngan-hang-nao
https://techcombank.com/thong-tin/blog/tin-dung-la-gi
https://techcombank.com/thong-tin/blog/tien-gui-khong-ky-han
https://techcombank.com/thong-tin/blog/vay-50-trieu
https://techcombank.com/thong-tin/blog/cho-vay-tieu-dung-la-gi
https:"&amp;"//techcombank.com/thong-tin/blog/tieu-dung-ben-vung
https://techcombank.com/thong-tin/blog/lai-suat-the-tin-dung
https://techcombank.com/thong-tin/blog/thu-tuc-vay-von-doanh-nghiep
https://techcombank.com/thong-tin/blog/cho-vay-tung-lan
https://techcomban"&amp;"k.com/thong-tin/blog/tin-dung-tieu-dung
https://techcombank.com/thong-tin/blog/nhu-cau-vay-tieu-dung-cua-nguoi-viet-du-kien-tang-manh-trong-thoi-gian-toi
https://techcombank.com/thong-tin/blog/vay-du-hoc
https://techcombank.com/thong-tin/blog/casa-la-gi
h"&amp;"ttps://techcombank.com/thong-tin/blog/gui-tiet-kiem-online-co-rut-truoc-han-duoc-khong
https://techcombank.com/thong-tin/blog/rut-tien-mat-tu-the-tin-dung
https://techcombank.com/thong-tin/blog/gui-tiet-kiem-ngan-hang-van-la-lua-chon-an-toan-trong-thoi-ky"&amp;"-kinh-te-con-nhieu-bien-dong
https://techcombank.com/thong-tin/blog/chuyen-doi-xanh
https://techcombank.com/thong-tin/blog/nap-tien-vao-tai-khoan-ngan-hang
https://techcombank.com/thong-tin/blog/ca-nhan-hoa
https://techcombank.com/thong-tin/blog/chung-chi"&amp;"-tien-gui-co-an-toan-khong
https://techcombank.com/thong-tin/blog/fintech-la-gi
https://techcombank.com/thong-tin/blog/nim-la-gi
https://techcombank.com/thong-tin/blog/pos
https://techcombank.com/thong-tin/blog/san-pham-xanh
https://techcombank.com/thong-"&amp;"tin/blog/thanh-ly-tai-san
https://techcombank.com/thong-tin/blog/ung-dung-big-data-trong-ngan-hang
https://techcombank.com/thong-tin/blog/xep-hang-tin-dung
https://techcombank.com/thong-tin/blog/the-visa-co-may-loai
https://techcombank.com/thong-tin/blog/"&amp;"cac-hinh-thuc-vay-von-ngan-hang
https://techcombank.com/thong-tin/blog/thanh-toan-khoan-vay
https://techcombank.com/thong-tin/blog/tai-khoan-ngan-hang-la-gi
https://techcombank.com/thong-tin/blog/vay-mua-nha-tra-gop
https://techcombank.com/thong-tin/blog/"&amp;"vay-ngan-hang-chi-can-cccd
https://techcombank.com/thong-tin/blog/lai-suat-vay-tieu-dung
https://techcombank.com/thong-tin/blog/kinh-nghiem-vay-tien-ngan-hang-xay-nha
https://techcombank.com/thong-tin/blog/lai-suat-vay-ngan-hang
https://techcombank.com/th"&amp;"ong-tin/blog/du-no-tin-dung-la-gi
https://techcombank.com/thong-tin/blog/vay-han-muc-la-gi
https://techcombank.com/thong-tin/blog/lai-suat-vay-mua-o-to
https://techcombank.com/thong-tin/blog/vay-20-trieu
https://techcombank.com/thong-tin/blog/lai-suat-nga"&amp;"n-hang-cho-vay-xay-nha
https://techcombank.com/thong-tin/blog/lai-suat-tha-noi
https://techcombank.com/thong-tin/blog/tra-no-vay-thau-chi-nhu-the-nao
https://techcombank.com/thong-tin/blog/giai-ngan-vay-the-chap
https://techcombank.com/thong-tin/blog/no-n"&amp;"hom-3
https://techcombank.com/thong-tin/blog/han-muc-vay-the-chap-so-do
https://techcombank.com/thong-tin/blog/vay-sinh-vien
https://techcombank.com/thong-tin/blog/vay-thau-chi-la-gi
https://techcombank.com/thong-tin/blog/vay-tin-chap-khong-tra-duoc-co-sa"&amp;"o-khong
https://techcombank.com/thong-tin/blog/thu-tuc-vay-ngan-hang-mua-nha
https://techcombank.com/thong-tin/blog/thoi-han-vay-thau-chi
https://techcombank.com/thong-tin/blog/vay-the-chap-khong-chung-minh-thu-nhap
https://techcombank.com/thong-tin/blog/"&amp;"vay-the-chap-so-bao-hiem-xa-hoi
https://techcombank.com/thong-tin/blog/vay-mua-chung-cu
https://techcombank.com/thong-tin/blog/no-chu-y-la-gi
https://techcombank.com/thong-tin/blog/no-xau-la-gi
https://techcombank.com/thong-tin/blog/app-vay-tien-nhanh
htt"&amp;"ps://techcombank.com/thong-tin/blog/vay-the-chap-khong-tra-duoc
https://techcombank.com/thong-tin/blog/vay-the-chap-qua-luong
https://techcombank.com/thong-tin/blog/ho-so-vay-von-cua-doanh-nghiep-gom-nhung-gi
https://techcombank.com/thong-tin/blog/tin-dun"&amp;"g-doanh-nghiep
https://techcombank.com/thong-tin/blog/cho-vay-hop-von-la-gi
https://techcombank.com/thong-tin/blog/von-luu-dong-la-gi
https://techcombank.com/thong-tin/blog/vay-sieu-toc
https://techcombank.com/thong-tin/blog/tap-doan-thanh-quang-khoi-sac-"&amp;"kinh-doanh-nho-nguon-von-vay-tin-dung-techcombank-tren-nen-tang-misa-lending
https://techcombank.com/thong-tin/blog/vay-tien-online
https://techcombank.com/thong-tin/blog/giai-ngan-la-gi
https://techcombank.com/thong-tin/blog/nen-mua-xe-o-to-dien-hay-xe-x"&amp;"ang
https://techcombank.com/thong-tin/blog/tai-khoan-ngan-hang-chua-toi-da-bao-nhieu-tien
https://techcombank.com/thong-tin/blog/gia-tri-tai-san-rong
https://techcombank.com/thong-tin/blog/mo-tai-khoan-ngan-hang-online-co-an-toan-khong
https://techcombank"&amp;".com/thong-tin/blog/ngan-hang-dien-tu
https://techcombank.com/thong-tin/blog/bao-lanh-vay-von
https://techcombank.com/thong-tin/blog/chuyen-gia-du-doan-gia-bat-dong-san-2025-va-cac-no-luc-tu-ngan-hang")</f>
        <v>https://techcombank.com/thong-tin/blog/vay-100-trieu
https://techcombank.com/thong-tin/blog/vay-tra-gop
https://techcombank.com/thong-tin/blog/dang-vay-tra-gop-co-vay-them-duoc-khong
https://techcombank.com/thong-tin/blog/cong-thuc-tinh-lai-suat-thuc
https://techcombank.com/thong-tin/blog/cach-tinh-lai-suat-tien-gui-tiet-kiem
https://techcombank.com/thong-tin/blog/tien-gui-co-ky-han
https://techcombank.com/thong-tin/blog/co-nen-mua-o-to-tra-gop
https://techcombank.com/thong-tin/blog/an-han-no-goc-la-gi
https://techcombank.com/thong-tin/blog/vay-tin-chap-va-vay-the-chap
https://techcombank.com/thong-tin/blog/vay-mua-xe-tra-gop-ngan-hang-nao-tot-nhat
https://techcombank.com/thong-tin/blog/lai-suat-vay-thau-chi
https://techcombank.com/thong-tin/blog/vay-40-trieu
https://techcombank.com/thong-tin/blog/tra-gop-lazada
https://techcombank.com/thong-tin/blog/nen-mua-xe-tra-gop-hay-tra-thang
https://techcombank.com/thong-tin/blog/cong-ty-su-dung-tai-khoan-ca-nhan
https://techcombank.com/thong-tin/blog/thu-tuc-vay-von-ngan-hang-de-xay-nha
https://techcombank.com/thong-tin/blog/khach-hang-vip-bat-dong-san
https://techcombank.com/thong-tin/blog/tra-gop-qua-the-tin-dung
https://techcombank.com/thong-tin/blog/mua-nha-tra-gop-dua-truoc-100-trieu
https://techcombank.com/thong-tin/blog/co-100-trieu-co-mua-nen-mua-tra-gop
https://techcombank.com/thong-tin/blog/mo-so-tiet-kiem-can-bao-nhieu-tien
https://techcombank.com/thong-tin/blog/quy-trinh-cho-vay-tieu-dung
https://techcombank.com/thong-tin/blog/vay-mua-dien-thoai
https://techcombank.com/thong-tin/blog/lai-suat-cho-vay-doanh-nghiep
https://techcombank.com/thong-tin/blog/vay-the-chap-xe-o-to-cu
https://techcombank.com/thong-tin/blog/cach-tiet-kiem-tien
https://techcombank.com/thong-tin/blog/vay-the-chap-kinh-doanh
https://techcombank.com/thong-tin/blog/cho-vay-kinh-doanh-ho-gia-dinh
https://techcombank.com/thong-tin/blog/vay-von-doanh-nghiep-nho
https://techcombank.com/thong-tin/blog/cach-thanh-toan-the-tin-dung
https://techcombank.com/thong-tin/blog/thu-tuc-vay-von-kinh-doanh-nho
https://techcombank.com/thong-tin/blog/vay-tin-chap-cho-doanh-nghiep-moi-thanh-lap
https://techcombank.com/thong-tin/blog/vay-kinh-doanh-online
https://techcombank.com/thong-tin/blog/co-nen-vay-ngan-hang-mua-nha
https://techcombank.com/thong-tin/blog/ho-so-vay-tin-chap
https://techcombank.com/thong-tin/blog/phi-vay-the-chap
https://techcombank.com/thong-tin/blog/vay-the-chap-la-gi
https://techcombank.com/thong-tin/blog/vay-bo-sung-von-luu-dong
https://techcombank.com/thong-tin/blog/nen-vay-the-chap-ngan-hang-nao
https://techcombank.com/thong-tin/blog/tin-dung-la-gi
https://techcombank.com/thong-tin/blog/tien-gui-khong-ky-han
https://techcombank.com/thong-tin/blog/vay-50-trieu
https://techcombank.com/thong-tin/blog/cho-vay-tieu-dung-la-gi
https://techcombank.com/thong-tin/blog/tieu-dung-ben-vung
https://techcombank.com/thong-tin/blog/lai-suat-the-tin-dung
https://techcombank.com/thong-tin/blog/thu-tuc-vay-von-doanh-nghiep
https://techcombank.com/thong-tin/blog/cho-vay-tung-lan
https://techcombank.com/thong-tin/blog/tin-dung-tieu-dung
https://techcombank.com/thong-tin/blog/nhu-cau-vay-tieu-dung-cua-nguoi-viet-du-kien-tang-manh-trong-thoi-gian-toi
https://techcombank.com/thong-tin/blog/vay-du-hoc
https://techcombank.com/thong-tin/blog/casa-la-gi
https://techcombank.com/thong-tin/blog/gui-tiet-kiem-online-co-rut-truoc-han-duoc-khong
https://techcombank.com/thong-tin/blog/rut-tien-mat-tu-the-tin-dung
https://techcombank.com/thong-tin/blog/gui-tiet-kiem-ngan-hang-van-la-lua-chon-an-toan-trong-thoi-ky-kinh-te-con-nhieu-bien-dong
https://techcombank.com/thong-tin/blog/chuyen-doi-xanh
https://techcombank.com/thong-tin/blog/nap-tien-vao-tai-khoan-ngan-hang
https://techcombank.com/thong-tin/blog/ca-nhan-hoa
https://techcombank.com/thong-tin/blog/chung-chi-tien-gui-co-an-toan-khong
https://techcombank.com/thong-tin/blog/fintech-la-gi
https://techcombank.com/thong-tin/blog/nim-la-gi
https://techcombank.com/thong-tin/blog/pos
https://techcombank.com/thong-tin/blog/san-pham-xanh
https://techcombank.com/thong-tin/blog/thanh-ly-tai-san
https://techcombank.com/thong-tin/blog/ung-dung-big-data-trong-ngan-hang
https://techcombank.com/thong-tin/blog/xep-hang-tin-dung
https://techcombank.com/thong-tin/blog/the-visa-co-may-loai
https://techcombank.com/thong-tin/blog/cac-hinh-thuc-vay-von-ngan-hang
https://techcombank.com/thong-tin/blog/thanh-toan-khoan-vay
https://techcombank.com/thong-tin/blog/tai-khoan-ngan-hang-la-gi
https://techcombank.com/thong-tin/blog/vay-mua-nha-tra-gop
https://techcombank.com/thong-tin/blog/vay-ngan-hang-chi-can-cccd
https://techcombank.com/thong-tin/blog/lai-suat-vay-tieu-dung
https://techcombank.com/thong-tin/blog/kinh-nghiem-vay-tien-ngan-hang-xay-nha
https://techcombank.com/thong-tin/blog/lai-suat-vay-ngan-hang
https://techcombank.com/thong-tin/blog/du-no-tin-dung-la-gi
https://techcombank.com/thong-tin/blog/vay-han-muc-la-gi
https://techcombank.com/thong-tin/blog/lai-suat-vay-mua-o-to
https://techcombank.com/thong-tin/blog/vay-20-trieu
https://techcombank.com/thong-tin/blog/lai-suat-ngan-hang-cho-vay-xay-nha
https://techcombank.com/thong-tin/blog/lai-suat-tha-noi
https://techcombank.com/thong-tin/blog/tra-no-vay-thau-chi-nhu-the-nao
https://techcombank.com/thong-tin/blog/giai-ngan-vay-the-chap
https://techcombank.com/thong-tin/blog/no-nhom-3
https://techcombank.com/thong-tin/blog/han-muc-vay-the-chap-so-do
https://techcombank.com/thong-tin/blog/vay-sinh-vien
https://techcombank.com/thong-tin/blog/vay-thau-chi-la-gi
https://techcombank.com/thong-tin/blog/vay-tin-chap-khong-tra-duoc-co-sao-khong
https://techcombank.com/thong-tin/blog/thu-tuc-vay-ngan-hang-mua-nha
https://techcombank.com/thong-tin/blog/thoi-han-vay-thau-chi
https://techcombank.com/thong-tin/blog/vay-the-chap-khong-chung-minh-thu-nhap
https://techcombank.com/thong-tin/blog/vay-the-chap-so-bao-hiem-xa-hoi
https://techcombank.com/thong-tin/blog/vay-mua-chung-cu
https://techcombank.com/thong-tin/blog/no-chu-y-la-gi
https://techcombank.com/thong-tin/blog/no-xau-la-gi
https://techcombank.com/thong-tin/blog/app-vay-tien-nhanh
https://techcombank.com/thong-tin/blog/vay-the-chap-khong-tra-duoc
https://techcombank.com/thong-tin/blog/vay-the-chap-qua-luong
https://techcombank.com/thong-tin/blog/ho-so-vay-von-cua-doanh-nghiep-gom-nhung-gi
https://techcombank.com/thong-tin/blog/tin-dung-doanh-nghiep
https://techcombank.com/thong-tin/blog/cho-vay-hop-von-la-gi
https://techcombank.com/thong-tin/blog/von-luu-dong-la-gi
https://techcombank.com/thong-tin/blog/vay-sieu-toc
https://techcombank.com/thong-tin/blog/tap-doan-thanh-quang-khoi-sac-kinh-doanh-nho-nguon-von-vay-tin-dung-techcombank-tren-nen-tang-misa-lending
https://techcombank.com/thong-tin/blog/vay-tien-online
https://techcombank.com/thong-tin/blog/giai-ngan-la-gi
https://techcombank.com/thong-tin/blog/nen-mua-xe-o-to-dien-hay-xe-xang
https://techcombank.com/thong-tin/blog/tai-khoan-ngan-hang-chua-toi-da-bao-nhieu-tien
https://techcombank.com/thong-tin/blog/gia-tri-tai-san-rong
https://techcombank.com/thong-tin/blog/mo-tai-khoan-ngan-hang-online-co-an-toan-khong
https://techcombank.com/thong-tin/blog/ngan-hang-dien-tu
https://techcombank.com/thong-tin/blog/bao-lanh-vay-von
https://techcombank.com/thong-tin/blog/chuyen-gia-du-doan-gia-bat-dong-san-2025-va-cac-no-luc-tu-ngan-hang</v>
      </c>
      <c r="J67" s="26" t="s">
        <v>188</v>
      </c>
    </row>
    <row r="68" ht="82.5" customHeight="1">
      <c r="A68" s="12">
        <v>67.0</v>
      </c>
      <c r="B68" s="13" t="s">
        <v>1532</v>
      </c>
      <c r="C68" s="13" t="s">
        <v>1540</v>
      </c>
      <c r="D68" s="21">
        <f>COUNTIF('Kế hoạch chèn link (mới)'!$B$3:$B$2944,C68)</f>
        <v>52</v>
      </c>
      <c r="E68" s="21">
        <f>IFERROR(VLOOKUP(C68,'Link trỏ về từng trang đích'!$B$2:$D$76,3,0),"")</f>
        <v>100</v>
      </c>
      <c r="F68" s="13" t="str">
        <f t="shared" si="1"/>
        <v>Thiếu 48 link</v>
      </c>
      <c r="G68" s="13" t="str">
        <f>IF(IFERROR(VLOOKUP(C68,'Inlink đã chèn'!$B$2:$C$200,2,0),0)&gt;0,"Đã có anchor text trỏ về","Chưa có anchor text trỏ về")</f>
        <v>Chưa có anchor text trỏ về</v>
      </c>
      <c r="H68" s="13" t="str">
        <f>IFERROR(__xludf.DUMMYFUNCTION("IFERROR(TEXTJOIN("", "",TRUE,UNIQUE(FILTER('Kế hoạch chèn link (mới)'!$D$3:$D$2944,'Kế hoạch chèn link (mới)'!$B$3:$B$2944=C68))),"""")"),"bảng tính lãi suất tiết kiệm, công cụ tính lãi tiết kiệm")</f>
        <v>bảng tính lãi suất tiết kiệm, công cụ tính lãi tiết kiệm</v>
      </c>
      <c r="I68" s="13" t="str">
        <f>IFERROR(__xludf.DUMMYFUNCTION("IFERROR(TEXTJOIN(CHAR(10),TRUE,FILTER('Kế hoạch chèn link (mới)'!$F$3:$F$2944,'Kế hoạch chèn link (mới)'!$B$3:$B$2944=C68)),"""")"),"https://techcombank.com/thong-tin/blog/cach-tiet-kiem-100-trieu-1-nam
https://techcombank.com/thong-tin/blog/co-50-trieu-nen-mua-vang-hay-gui-tiet-kiem
https://techcombank.com/thong-tin/blog/gui-tiet-kiem-tich-luy-la-gi
https://techcombank.com/thong-tin/b"&amp;"log/quy-trinh-gui-tien-tiet-kiem
https://techcombank.com/thong-tin/blog/nen-de-tien-trong-the-hay-gui-tiet-kiem
https://techcombank.com/thong-tin/blog/tai-khoan-thanh-toan-la-gi
https://techcombank.com/thong-tin/blog/xu-huong-dau-tu-trai-phieu-ky-han-duoi"&amp;"-mot-nam-lua-chon-an-toan-khi-thi-truong-bien-dong
https://techcombank.com/thong-tin/blog/dau-tu-ngan-han
https://techcombank.com/thong-tin/blog/co-nen-gui-tiet-kiem-ngan-hang
https://techcombank.com/thong-tin/blog/cac-chung-chi-quy-o-viet-nam
https://tec"&amp;"hcombank.com/thong-tin/blog/dau-tu-trai-phieu-doanh-nghiep-dung-ham-lai-suat-cao
https://techcombank.com/thong-tin/blog/mo-tai-khoan-tiet-kiem-cho-con
https://techcombank.com/thong-tin/blog/so-du-tien-gui-la-gi
https://techcombank.com/thong-tin/blog/quy-g"&amp;"ia-dinh
https://techcombank.com/thong-tin/blog/rui-ro-khi-gui-tiet-kiem-online
https://techcombank.com/thong-tin/blog/the-ghi-no-visa-la-gi
https://techcombank.com/thong-tin/blog/loyalty-la-gi
https://techcombank.com/thong-tin/blog/chon-kenh-dau-tu-an-toa"&amp;"n-trong-boi-canh-thi-truong-bien-dong
https://techcombank.com/thong-tin/blog/gui-tiet-kiem-ngoai-te
https://techcombank.com/thong-tin/blog/cach-tiet-kiem-tien
https://techcombank.com/thong-tin/blog/giai-ngan-la-gi
https://techcombank.com/thong-tin/blog/gu"&amp;"i-tiet-kiem-online-bi-mat-tien
https://techcombank.com/thong-tin/blog/chung-chi-tien-gui-khac-gi-so-tiet-kiem
https://techcombank.com/thong-tin/blog/chung-chi-tien-gui-co-phai-la-trai-phieu-khong
https://techcombank.com/thong-tin/blog/nen-lam-the-visa-hay"&amp;"-noi-dia
https://techcombank.com/thong-tin/blog/lai-suat-gui-tiet-kiem-usd
https://techcombank.com/thong-tin/blog/gui-tiet-kiem-usd
https://techcombank.com/thong-tin/blog/app-gui-tien-tiet-kiem
https://techcombank.com/thong-tin/blog/nghich-ly-nha-dau-tu-c"&amp;"he-trai-phieu-lai-suat-cao-ua-ma-an-toan-du-lai-suat-thap-hon-05-1
https://techcombank.com/thong-tin/blog/thi-truong-trai-phieu-co-hoi-dau-tu-trai-phieu-vang-du-lai-suat-thap
https://techcombank.com/thong-tin/blog/mo-so-tiet-kiem-can-bao-nhieu-tien
https:"&amp;"//techcombank.com/thong-tin/blog/quy-du-phong-tai-chinh-la-gi
https://techcombank.com/thong-tin/blog/rut-tien-tiet-kiem-truoc-thoi-han
https://techcombank.com/thong-tin/blog/vi-sao-lai-suat-trai-phieu-tai-tcbs-lai-thap-hon-so-voi-cac-to-chuc-phat-hanh-kha"&amp;"c
https://techcombank.com/thong-tin/blog/cach-dau-tu
https://techcombank.com/thong-tin/blog/chung-chi-tien-gui-co-an-toan-khong
https://techcombank.com/thong-tin/blog/cach-tiet-kiem-tien-hieu-qua-cho-gia-dinh
https://techcombank.com/thong-tin/blog/chung-c"&amp;"hi-quy
https://techcombank.com/thong-tin/blog/nen-gui-tiet-kiem-thong-thuong-hay-tich-luy
https://techcombank.com/thong-tin/blog/lai-kep-ngan-hang
https://techcombank.com/thong-tin/blog/lai-suat-tiet-kiem
https://techcombank.com/thong-tin/blog/co-nen-gui-"&amp;"tiet-kiem-online
https://techcombank.com/thong-tin/blog/gui-tiet-kiem-lay-lai-hang-thang
https://techcombank.com/thong-tin/blog/cach-tinh-lai-suat-tien-gui-tiet-kiem
https://techcombank.com/thong-tin/blog/ngan-hang-so-cho-doanh-nghiep
https://techcombank."&amp;"com/thong-tin/blog/cach-tinh-lai-vay-ngan-hang
https://techcombank.com/thong-tin/blog/gui-tiet-kiem-online-quay-vong-ca-goc-va-lai
https://techcombank.com/thong-tin/blog/thanh-toan-tra-gop-qua-the-tin-dung
https://techcombank.com/thong-tin/blog/vi-dien-tu"&amp;"
https://techcombank.com/thong-tin/blog/ung-dung-cong-nghe
https://techcombank.com/thong-tin/blog/chuan-bi-cho-doanh-nghiep-khoi-nghiep-truoc-nhung-thay-doi-ve-thue
https://techcombank.com/thong-tin/blog/thanh-toan-ve-may-bay-online")</f>
        <v>https://techcombank.com/thong-tin/blog/cach-tiet-kiem-100-trieu-1-nam
https://techcombank.com/thong-tin/blog/co-50-trieu-nen-mua-vang-hay-gui-tiet-kiem
https://techcombank.com/thong-tin/blog/gui-tiet-kiem-tich-luy-la-gi
https://techcombank.com/thong-tin/blog/quy-trinh-gui-tien-tiet-kiem
https://techcombank.com/thong-tin/blog/nen-de-tien-trong-the-hay-gui-tiet-kiem
https://techcombank.com/thong-tin/blog/tai-khoan-thanh-toan-la-gi
https://techcombank.com/thong-tin/blog/xu-huong-dau-tu-trai-phieu-ky-han-duoi-mot-nam-lua-chon-an-toan-khi-thi-truong-bien-dong
https://techcombank.com/thong-tin/blog/dau-tu-ngan-han
https://techcombank.com/thong-tin/blog/co-nen-gui-tiet-kiem-ngan-hang
https://techcombank.com/thong-tin/blog/cac-chung-chi-quy-o-viet-nam
https://techcombank.com/thong-tin/blog/dau-tu-trai-phieu-doanh-nghiep-dung-ham-lai-suat-cao
https://techcombank.com/thong-tin/blog/mo-tai-khoan-tiet-kiem-cho-con
https://techcombank.com/thong-tin/blog/so-du-tien-gui-la-gi
https://techcombank.com/thong-tin/blog/quy-gia-dinh
https://techcombank.com/thong-tin/blog/rui-ro-khi-gui-tiet-kiem-online
https://techcombank.com/thong-tin/blog/the-ghi-no-visa-la-gi
https://techcombank.com/thong-tin/blog/loyalty-la-gi
https://techcombank.com/thong-tin/blog/chon-kenh-dau-tu-an-toan-trong-boi-canh-thi-truong-bien-dong
https://techcombank.com/thong-tin/blog/gui-tiet-kiem-ngoai-te
https://techcombank.com/thong-tin/blog/cach-tiet-kiem-tien
https://techcombank.com/thong-tin/blog/giai-ngan-la-gi
https://techcombank.com/thong-tin/blog/gui-tiet-kiem-online-bi-mat-tien
https://techcombank.com/thong-tin/blog/chung-chi-tien-gui-khac-gi-so-tiet-kiem
https://techcombank.com/thong-tin/blog/chung-chi-tien-gui-co-phai-la-trai-phieu-khong
https://techcombank.com/thong-tin/blog/nen-lam-the-visa-hay-noi-dia
https://techcombank.com/thong-tin/blog/lai-suat-gui-tiet-kiem-usd
https://techcombank.com/thong-tin/blog/gui-tiet-kiem-usd
https://techcombank.com/thong-tin/blog/app-gui-tien-tiet-kiem
https://techcombank.com/thong-tin/blog/nghich-ly-nha-dau-tu-che-trai-phieu-lai-suat-cao-ua-ma-an-toan-du-lai-suat-thap-hon-05-1
https://techcombank.com/thong-tin/blog/thi-truong-trai-phieu-co-hoi-dau-tu-trai-phieu-vang-du-lai-suat-thap
https://techcombank.com/thong-tin/blog/mo-so-tiet-kiem-can-bao-nhieu-tien
https://techcombank.com/thong-tin/blog/quy-du-phong-tai-chinh-la-gi
https://techcombank.com/thong-tin/blog/rut-tien-tiet-kiem-truoc-thoi-han
https://techcombank.com/thong-tin/blog/vi-sao-lai-suat-trai-phieu-tai-tcbs-lai-thap-hon-so-voi-cac-to-chuc-phat-hanh-khac
https://techcombank.com/thong-tin/blog/cach-dau-tu
https://techcombank.com/thong-tin/blog/chung-chi-tien-gui-co-an-toan-khong
https://techcombank.com/thong-tin/blog/cach-tiet-kiem-tien-hieu-qua-cho-gia-dinh
https://techcombank.com/thong-tin/blog/chung-chi-quy
https://techcombank.com/thong-tin/blog/nen-gui-tiet-kiem-thong-thuong-hay-tich-luy
https://techcombank.com/thong-tin/blog/lai-kep-ngan-hang
https://techcombank.com/thong-tin/blog/lai-suat-tiet-kiem
https://techcombank.com/thong-tin/blog/co-nen-gui-tiet-kiem-online
https://techcombank.com/thong-tin/blog/gui-tiet-kiem-lay-lai-hang-thang
https://techcombank.com/thong-tin/blog/cach-tinh-lai-suat-tien-gui-tiet-kiem
https://techcombank.com/thong-tin/blog/ngan-hang-so-cho-doanh-nghiep
https://techcombank.com/thong-tin/blog/cach-tinh-lai-vay-ngan-hang
https://techcombank.com/thong-tin/blog/gui-tiet-kiem-online-quay-vong-ca-goc-va-lai
https://techcombank.com/thong-tin/blog/thanh-toan-tra-gop-qua-the-tin-dung
https://techcombank.com/thong-tin/blog/vi-dien-tu
https://techcombank.com/thong-tin/blog/ung-dung-cong-nghe
https://techcombank.com/thong-tin/blog/chuan-bi-cho-doanh-nghiep-khoi-nghiep-truoc-nhung-thay-doi-ve-thue
https://techcombank.com/thong-tin/blog/thanh-toan-ve-may-bay-online</v>
      </c>
      <c r="J68" s="26" t="s">
        <v>188</v>
      </c>
    </row>
    <row r="69" ht="82.5" customHeight="1">
      <c r="A69" s="12">
        <v>68.0</v>
      </c>
      <c r="B69" s="13" t="s">
        <v>1503</v>
      </c>
      <c r="C69" s="13" t="s">
        <v>411</v>
      </c>
      <c r="D69" s="21">
        <f>COUNTIF('Kế hoạch chèn link (mới)'!$B$3:$B$2944,C69)</f>
        <v>200</v>
      </c>
      <c r="E69" s="21">
        <f>IFERROR(VLOOKUP(C69,'Link trỏ về từng trang đích'!$B$2:$D$76,3,0),"")</f>
        <v>200</v>
      </c>
      <c r="F69" s="13" t="str">
        <f t="shared" si="1"/>
        <v>Đủ link</v>
      </c>
      <c r="G69" s="13" t="str">
        <f>IF(IFERROR(VLOOKUP(C69,'Inlink đã chèn'!$B$2:$C$200,2,0),0)&gt;0,"Đã có anchor text trỏ về","Chưa có anchor text trỏ về")</f>
        <v>Chưa có anchor text trỏ về</v>
      </c>
      <c r="H69" s="13" t="str">
        <f>IFERROR(__xludf.DUMMYFUNCTION("IFERROR(TEXTJOIN("", "",TRUE,UNIQUE(FILTER('Kế hoạch chèn link (mới)'!$D$3:$D$2944,'Kế hoạch chèn link (mới)'!$B$3:$B$2944=C69))),"""")"),"app vay nhanh, app vay tiền, app vay tiền nhanh, vay tiền app, vay, vay nhanh, vay tiền, app vay")</f>
        <v>app vay nhanh, app vay tiền, app vay tiền nhanh, vay tiền app, vay, vay nhanh, vay tiền, app vay</v>
      </c>
      <c r="I69" s="13" t="str">
        <f>IFERROR(__xludf.DUMMYFUNCTION("IFERROR(TEXTJOIN(CHAR(10),TRUE,FILTER('Kế hoạch chèn link (mới)'!$F$3:$F$2944,'Kế hoạch chèn link (mới)'!$B$3:$B$2944=C69)),"""")"),"https://techcombank.com/thong-tin/blog/vay-30-trieu
https://techcombank.com/thong-tin/blog/vay-ngan-hang-chi-can-cccd
https://techcombank.com/thong-tin/blog/vay-50-trieu
https://techcombank.com/thong-tin/blog/vay-tien-online
https://techcombank.com/thong-"&amp;"tin/blog/tin-dung-la-gi
https://techcombank.com/thong-tin/blog/ebitda-la-gi
https://techcombank.com/thong-tin/blog/an-han-no-goc-la-gi
https://techcombank.com/thong-tin/blog/wacc-la-gi
https://techcombank.com/thong-tin/blog/xep-hang-tin-dung
https://techc"&amp;"ombank.com/thong-tin/blog/quan-ly-tai-chinh-doanh-nghiep-nho
https://techcombank.com/thong-tin/blog/quan-ly-chi-phi-doanh-nghiep
https://techcombank.com/thong-tin/blog/nhung-chi-phi-khong-duoc-tru-khi-tinh-thue-tndn
https://techcombank.com/thong-tin/blog/"&amp;"fintech-la-gi
https://techcombank.com/thong-tin/blog/thanh-ly-tai-san
https://techcombank.com/thong-tin/blog/quan-ly-tai-chinh-doanh-nghiep-la-gi
https://techcombank.com/thong-tin/blog/doi-xe-xang-lay-xe-dien
https://techcombank.com/thong-tin/blog/mo-them"&amp;"-tai-khoan-ngan-hang-cho-cong-ty
https://techcombank.com/thong-tin/blog/thue-thu-nhap-doanh-nghiep
https://techcombank.com/thong-tin/blog/co-nen-dung-the-tin-dung-khong
https://techcombank.com/thong-tin/blog/doanh-nghiep-moi-thanh-lap-duoc-uu-dai-gi
https"&amp;"://techcombank.com/thong-tin/blog/one-stop-shop
https://techcombank.com/thong-tin/blog/hoc-cach-tiet-kiem-tien-luong
https://techcombank.com/thong-tin/blog/nim-la-gi
https://techcombank.com/thong-tin/blog/dang-ky-kinh-doanh-la-gi
https://techcombank.com/t"&amp;"hong-tin/blog/tiem-nang-chuyen-doi-tu-ho-kinh-doanh-len-doanh-nghiep-sme
https://techcombank.com/thong-tin/blog/kinh-nghiem-chuyen-doi-tu-ho-kinh-doanh-len-doanh-nghiep
https://techcombank.com/thong-tin/blog/khai-bao-tai-khoan-ngan-hang-voi-co-quan-thue
h"&amp;"ttps://techcombank.com/thong-tin/blog/thay-doi-dia-chi-ho-kinh-doanh
https://techcombank.com/thong-tin/blog/kiem-tra-thue-ho-kinh-doanh
https://techcombank.com/thong-tin/blog/dang-ky-thue-ho-kinh-doanh-ca-the-online
https://techcombank.com/thong-tin/blog/"&amp;"ngan-hang-xanh
https://techcombank.com/thong-tin/blog/cac-sai-lam-pho-bien-khi-chuyen-doi-ho-kinh-doanh-len-sme
https://techcombank.com/thong-tin/blog/cach-dang-ky-ma-so-thue-ho-kinh-doanh-online
https://techcombank.com/thong-tin/blog/san-pham-xanh
https:"&amp;"//techcombank.com/thong-tin/blog/tra-cuu-no-thue-ho-kinh-doanh
https://techcombank.com/thong-tin/blog/vong-quay-von
https://techcombank.com/thong-tin/blog/cac-loai-hinh-doanh-nghiep
https://techcombank.com/thong-tin/blog/gia-tri-tai-san-rong
https://techc"&amp;"ombank.com/thong-tin/blog/vay-sieu-toc
https://techcombank.com/thong-tin/blog/don-bay-tai-chinh
https://techcombank.com/thong-tin/blog/cach-lay-lai-tien-da-chuyen-khoan-khi-bi-lua
https://techcombank.com/thong-tin/blog/vay-the-chap-qua-luong
https://techc"&amp;"ombank.com/thong-tin/blog/vay-tra-gop
https://techcombank.com/thong-tin/blog/nen-mua-xe-tra-gop-hay-tra-thang
https://techcombank.com/thong-tin/blog/lai-suat-vay-mua-o-to
https://techcombank.com/thong-tin/blog/tin-chap-doanh-nghiep
https://techcombank.com"&amp;"/thong-tin/blog/vay-mua-nha-o-xa-hoi
https://techcombank.com/thong-tin/blog/vay-the-chap-xe-o-to-cu
https://techcombank.com/thong-tin/blog/cach-tinh-lai-vay-ngan-hang
https://techcombank.com/thong-tin/blog/vay-san-xuat-kinh-doanh
https://techcombank.com/t"&amp;"hong-tin/blog/lai-suat-vay-tin-chap
https://techcombank.com/thong-tin/blog/cac-hinh-thuc-vay-von-ngan-hang
https://techcombank.com/thong-tin/blog/lai-suat-vay-the-chap-so-do
https://techcombank.com/thong-tin/blog/co-100-trieu-co-mua-nen-mua-tra-gop
https:"&amp;"//techcombank.com/thong-tin/blog/mua-nha-tra-gop-dua-truoc-100-trieu
https://techcombank.com/thong-tin/blog/kiem-tra-no-xau
https://techcombank.com/thong-tin/blog/thu-tuc-mua-xe-tra-gop
https://techcombank.com/thong-tin/blog/vay-mua-xe-tra-gop-ngan-hang-n"&amp;"ao-tot-nhat
https://techcombank.com/thong-tin/blog/lai-suat-vay-thau-chi
https://techcombank.com/thong-tin/blog/vay-thau-chi-bang-so-tiet-kiem
https://techcombank.com/thong-tin/blog/lai-suat-vay-the-chap
https://techcombank.com/thong-tin/blog/vay-the-chap"&amp;"-kinh-doanh
https://techcombank.com/thong-tin/blog/giai-ngan-vay-the-chap
https://techcombank.com/thong-tin/blog/vay-the-chap-toi-da-duoc-bao-nhieu
https://techcombank.com/thong-tin/blog/han-muc-thau-chi-la-gi
https://techcombank.com/thong-tin/blog/vay-mu"&amp;"a-nha-tra-gop
https://techcombank.com/thong-tin/blog/no-xau-nhom-2
https://techcombank.com/thong-tin/blog/vay-ngan-han
https://techcombank.com/thong-tin/blog/vay-von-doanh-nghiep-nho
https://techcombank.com/thong-tin/blog/no-nhom-3
https://techcombank.com"&amp;"/thong-tin/blog/han-muc-vay-the-chap-so-do
https://techcombank.com/thong-tin/blog/diem-tin-dung
https://techcombank.com/thong-tin/blog/kinh-nghiem-vay-the-chap-ngan-hang
https://techcombank.com/thong-tin/blog/bi-quyet-tiet-kiem-tien-mua-nha
https://techco"&amp;"mbank.com/thong-tin/blog/lai-suat-ngan-hang-cho-vay-xay-nha
https://techcombank.com/thong-tin/blog/lai-suat-cho-vay-doanh-nghiep
https://techcombank.com/thong-tin/blog/tat-toan
https://techcombank.com/thong-tin/blog/lai-suat-vay-tieu-dung
https://techcomb"&amp;"ank.com/thong-tin/blog/no-xau-co-vay-the-chap-duoc-khong
https://techcombank.com/thong-tin/blog/thu-tuc-vay-von-kinh-doanh-nho
https://techcombank.com/thong-tin/blog/rui-ro-khi-vay-the-chap-ngan-hang
https://techcombank.com/thong-tin/blog/lai-suat-vay-kin"&amp;"h-doanh
https://techcombank.com/thong-tin/blog/vay-tin-chap-khong-tra-duoc-co-sao-khong
https://techcombank.com/thong-tin/blog/vay-tin-chap-cho-doanh-nghiep-moi-thanh-lap
https://techcombank.com/thong-tin/blog/thanh-toan-khoan-vay
https://techcombank.com/"&amp;"thong-tin/blog/co-nen-vay-ngan-hang-mua-nha
https://techcombank.com/thong-tin/blog/thu-tuc-vay-ngan-hang-mua-nha
https://techcombank.com/thong-tin/blog/thoi-han-vay-thau-chi
https://techcombank.com/thong-tin/blog/co-nen-mua-o-to-tra-gop
https://techcomban"&amp;"k.com/thong-tin/blog/vay-the-chap-so-bao-hiem-xa-hoi
https://techcombank.com/thong-tin/blog/lai-suat-tha-noi
https://techcombank.com/thong-tin/blog/tra-no-vay-thau-chi-nhu-the-nao
https://techcombank.com/thong-tin/blog/vay-bo-sung-von-luu-dong
https://tec"&amp;"hcombank.com/thong-tin/blog/vay-tin-chap-ho-kinh-doanh
https://techcombank.com/thong-tin/blog/no-chu-y-la-gi
https://techcombank.com/thong-tin/blog/no-xau-la-gi
https://techcombank.com/thong-tin/blog/vay-mua-chung-cu
https://techcombank.com/thong-tin/blog"&amp;"/vay-the-chap-khong-tra-duoc
https://techcombank.com/thong-tin/blog/thu-tuc-vay-von-doanh-nghiep
https://techcombank.com/thong-tin/blog/cho-vay-tung-lan
https://techcombank.com/thong-tin/blog/tin-dung-tieu-dung
https://techcombank.com/thong-tin/blog/cho-v"&amp;"ay-hop-von-la-gi
https://techcombank.com/thong-tin/blog/von-luu-dong-la-gi
https://techcombank.com/thong-tin/blog/nhu-cau-vay-tieu-dung-cua-nguoi-viet-du-kien-tang-manh-trong-thoi-gian-toi
https://techcombank.com/thong-tin/blog/tap-doan-thanh-quang-khoi-s"&amp;"ac-kinh-doanh-nho-nguon-von-vay-tin-dung-techcombank-tren-nen-tang-misa-lending
https://techcombank.com/thong-tin/blog/loi-nhuan
https://techcombank.com/thong-tin/blog/dieu-kien-vay-von-ngan-hang
https://techcombank.com/thong-tin/blog/vay-ngan-hang-1-ty-m"&amp;"oi-thang-tra-bao-nhieu
https://techcombank.com/thong-tin/blog/no-xau-mo-the-tin-dung-duoc-khong
https://techcombank.com/thong-tin/blog/gui-tiet-kiem-online-co-rut-truoc-han-duoc-khong
https://techcombank.com/thong-tin/blog/lam-ho-so-tra-gop-dien-thoai
htt"&amp;"ps://techcombank.com/thong-tin/blog/the-ghi-no-va-the-tin-dung
https://techcombank.com/thong-tin/blog/nen-mua-xe-o-to-dien-hay-xe-xang
https://techcombank.com/thong-tin/blog/han-muc-the-tin-dung
https://techcombank.com/thong-tin/blog/the-tin-dung-phu-la-g"&amp;"i
https://techcombank.com/thong-tin/blog/rut-tien-mat-tu-the-tin-dung
https://techcombank.com/thong-tin/blog/the-visa-co-rut-tien-duoc-khong
https://techcombank.com/thong-tin/blog/tai-khoan-ngan-hang-chua-toi-da-bao-nhieu-tien
https://techcombank.com/thon"&amp;"g-tin/blog/app-mua-truoc-tra-sau
https://techcombank.com/thong-tin/blog/ho-so-thu-tuc-xoa-the-chap
https://techcombank.com/thong-tin/blog/spaylater
https://techcombank.com/thong-tin/blog/nang-han-muc-tin-dung
https://techcombank.com/thong-tin/blog/lich-su"&amp;"-tin-dung
https://techcombank.com/thong-tin/blog/lai-suat-la-gi
https://techcombank.com/thong-tin/blog/mo-the-tin-dung-han-muc-cao
https://techcombank.com/thong-tin/blog/tra-gop-qua-the-tin-dung
https://techcombank.com/thong-tin/blog/cong-thuc-tinh-lai-su"&amp;"at-thuc
https://techcombank.com/thong-tin/blog/so-tiet-kiem-ngan-hang
https://techcombank.com/thong-tin/blog/no-xau
https://techcombank.com/thong-tin/blog/lai-kep-ngan-hang
https://techcombank.com/thong-tin/blog/tien-gui-khong-ky-han
https://techcombank.c"&amp;"om/thong-tin/blog/cach-su-dung-the-visa-techcombank
https://techcombank.com/thong-tin/blog/so-sanh-gui-tiet-kiem-online-va-tai-quay
https://techcombank.com/thong-tin/blog/no-xau-co-lam-the-visa-duoc-khong
https://techcombank.com/thong-tin/blog/the-tin-dun"&amp;"g-bi-khoa
https://techcombank.com/thong-tin/blog/no-the-tin-dung-qua-han
https://techcombank.com/thong-tin/blog/lai-suat-qua-han
https://techcombank.com/thong-tin/blog/chung-chi-tien-gui-khac-gi-so-tiet-kiem
https://techcombank.com/thong-tin/blog/lai-suat"&amp;"-gui-tiet-kiem-usd
https://techcombank.com/thong-tin/blog/gui-tiet-kiem-theo-ngay
https://techcombank.com/thong-tin/blog/nen-gui-tiet-kiem-6-thang-hay-1-nam
https://techcombank.com/thong-tin/blog/lai-suat-the-tin-dung
https://techcombank.com/thong-tin/blo"&amp;"g/thanh-toan-toi-thieu-the-tin-dung
https://techcombank.com/thong-tin/blog/cach-tinh-lai-suat-tien-gui-tiet-kiem
https://techcombank.com/thong-tin/blog/gui-tiet-kiem-hang-thang
https://techcombank.com/thong-tin/blog/tien-gui-co-ky-han
https://techcombank."&amp;"com/thong-tin/blog/lai-suat-tiet-kiem
https://techcombank.com/thong-tin/blog/cach-su-dung-the-tin-dung
https://techcombank.com/thong-tin/blog/uu-dai-the-tin-dung-techcombank-signature
https://techcombank.com/thong-tin/blog/vay-kinh-doanh-online
https://te"&amp;"chcombank.com/thong-tin/blog/vay-100-trieu
https://techcombank.com/thong-tin/blog/vay-tin-chap-theo-luong
https://techcombank.com/thong-tin/blog/cho-vay-kinh-doanh-ho-gia-dinh
https://techcombank.com/thong-tin/blog/vay-15-trieu
https://techcombank.com/tho"&amp;"ng-tin/blog/vay-20-trieu
https://techcombank.com/thong-tin/blog/vay-von-doanh-nghiep-khong-the-chap
https://techcombank.com/thong-tin/blog/thu-tuc-vay-von-ngan-hang-de-xay-nha
https://techcombank.com/thong-tin/blog/vay-the-chap-la-gi
https://techcombank.c"&amp;"om/thong-tin/blog/vay-40-trieu
https://techcombank.com/thong-tin/blog/nen-vay-the-chap-ngan-hang-nao
https://techcombank.com/thong-tin/blog/tin-dung-doanh-nghiep
https://techcombank.com/thong-tin/blog/vay-tien-mat
https://techcombank.com/thong-tin/blog/va"&amp;"y-tin-chap-toi-da-duoc-bao-nhieu
https://techcombank.com/thong-tin/blog/kinh-nghiem-vay-tien-ngan-hang-xay-nha
https://techcombank.com/thong-tin/blog/lai-suat-vay-ngan-hang
https://techcombank.com/thong-tin/blog/dang-vay-tra-gop-co-vay-them-duoc-khong
htt"&amp;"ps://techcombank.com/thong-tin/blog/quy-trinh-cho-vay-tieu-dung
https://techcombank.com/thong-tin/blog/kinh-nghiem-vay-tien-mua-nha
https://techcombank.com/thong-tin/blog/vay-the-chap-hop-dong-mua-ban-can-ho
https://techcombank.com/thong-tin/blog/vay-du-h"&amp;"oc
https://techcombank.com/thong-tin/blog/vay-tin-chap-va-vay-the-chap
https://techcombank.com/thong-tin/blog/vay-200-trieu
https://techcombank.com/thong-tin/blog/vay-300-trieu
https://techcombank.com/thong-tin/blog/nen-vay-tin-chap-o-dau
https://techcomb"&amp;"ank.com/thong-tin/blog/quy-trinh-tat-toan-khoan-vay-the-chap
https://techcombank.com/thong-tin/blog/vay-the-chap-so-hong
https://techcombank.com/thong-tin/blog/vay-han-muc-la-gi
https://techcombank.com/thong-tin/blog/cac-hinh-thuc-cho-vay-tieu-dung
https:"&amp;"//techcombank.com/thong-tin/blog/du-no-tin-dung-la-gi
https://techcombank.com/thong-tin/blog/vay-sinh-vien
https://techcombank.com/thong-tin/blog/vay-tin-chap-no-xau
https://techcombank.com/thong-tin/blog/vay-tin-chap-la-gi
https://techcombank.com/thong-t"&amp;"in/blog/vay-thau-chi-la-gi
https://techcombank.com/thong-tin/blog/ho-so-vay-tin-chap
https://techcombank.com/thong-tin/blog/phi-vay-the-chap
https://techcombank.com/thong-tin/blog/the-chap-la-gi
https://techcombank.com/thong-tin/blog/vay-the-chap-khong-ch"&amp;"ung-minh-thu-nhap
https://techcombank.com/thong-tin/blog/cic-la-gi
https://techcombank.com/thong-tin/blog/dieu-kien-vay-the-chap
https://techcombank.com/thong-tin/blog/dao-han-la-gi
https://techcombank.com/thong-tin/blog/cho-vay-tieu-dung-la-gi
https://te"&amp;"chcombank.com/thong-tin/blog/ho-so-vay-von-cua-doanh-nghiep-gom-nhung-gi
https://techcombank.com/thong-tin/blog/tra-gop-hoc-phi
https://techcombank.com/thong-tin/blog/tat-toan-so-tiet-kiem
https://techcombank.com/thong-tin/blog/du-no-la-gi
https://techcom"&amp;"bank.com/thong-tin/blog/cach-tiet-kiem-tien-sinh-loi
https://techcombank.com/thong-tin/blog/gui-tiet-kiem-ngoai-te
https://techcombank.com/thong-tin/blog/app-ngan-hang-uy-tin
https://techcombank.com/thong-tin/blog/chuyen-gia-du-doan-gia-bat-dong-san-2025-"&amp;"va-cac-no-luc-tu-ngan-hang
https://techcombank.com/thong-tin/blog/bao-lanh-vay-von")</f>
        <v>https://techcombank.com/thong-tin/blog/vay-30-trieu
https://techcombank.com/thong-tin/blog/vay-ngan-hang-chi-can-cccd
https://techcombank.com/thong-tin/blog/vay-50-trieu
https://techcombank.com/thong-tin/blog/vay-tien-online
https://techcombank.com/thong-tin/blog/tin-dung-la-gi
https://techcombank.com/thong-tin/blog/ebitda-la-gi
https://techcombank.com/thong-tin/blog/an-han-no-goc-la-gi
https://techcombank.com/thong-tin/blog/wacc-la-gi
https://techcombank.com/thong-tin/blog/xep-hang-tin-dung
https://techcombank.com/thong-tin/blog/quan-ly-tai-chinh-doanh-nghiep-nho
https://techcombank.com/thong-tin/blog/quan-ly-chi-phi-doanh-nghiep
https://techcombank.com/thong-tin/blog/nhung-chi-phi-khong-duoc-tru-khi-tinh-thue-tndn
https://techcombank.com/thong-tin/blog/fintech-la-gi
https://techcombank.com/thong-tin/blog/thanh-ly-tai-san
https://techcombank.com/thong-tin/blog/quan-ly-tai-chinh-doanh-nghiep-la-gi
https://techcombank.com/thong-tin/blog/doi-xe-xang-lay-xe-dien
https://techcombank.com/thong-tin/blog/mo-them-tai-khoan-ngan-hang-cho-cong-ty
https://techcombank.com/thong-tin/blog/thue-thu-nhap-doanh-nghiep
https://techcombank.com/thong-tin/blog/co-nen-dung-the-tin-dung-khong
https://techcombank.com/thong-tin/blog/doanh-nghiep-moi-thanh-lap-duoc-uu-dai-gi
https://techcombank.com/thong-tin/blog/one-stop-shop
https://techcombank.com/thong-tin/blog/hoc-cach-tiet-kiem-tien-luong
https://techcombank.com/thong-tin/blog/nim-la-gi
https://techcombank.com/thong-tin/blog/dang-ky-kinh-doanh-la-gi
https://techcombank.com/thong-tin/blog/tiem-nang-chuyen-doi-tu-ho-kinh-doanh-len-doanh-nghiep-sme
https://techcombank.com/thong-tin/blog/kinh-nghiem-chuyen-doi-tu-ho-kinh-doanh-len-doanh-nghiep
https://techcombank.com/thong-tin/blog/khai-bao-tai-khoan-ngan-hang-voi-co-quan-thue
https://techcombank.com/thong-tin/blog/thay-doi-dia-chi-ho-kinh-doanh
https://techcombank.com/thong-tin/blog/kiem-tra-thue-ho-kinh-doanh
https://techcombank.com/thong-tin/blog/dang-ky-thue-ho-kinh-doanh-ca-the-online
https://techcombank.com/thong-tin/blog/ngan-hang-xanh
https://techcombank.com/thong-tin/blog/cac-sai-lam-pho-bien-khi-chuyen-doi-ho-kinh-doanh-len-sme
https://techcombank.com/thong-tin/blog/cach-dang-ky-ma-so-thue-ho-kinh-doanh-online
https://techcombank.com/thong-tin/blog/san-pham-xanh
https://techcombank.com/thong-tin/blog/tra-cuu-no-thue-ho-kinh-doanh
https://techcombank.com/thong-tin/blog/vong-quay-von
https://techcombank.com/thong-tin/blog/cac-loai-hinh-doanh-nghiep
https://techcombank.com/thong-tin/blog/gia-tri-tai-san-rong
https://techcombank.com/thong-tin/blog/vay-sieu-toc
https://techcombank.com/thong-tin/blog/don-bay-tai-chinh
https://techcombank.com/thong-tin/blog/cach-lay-lai-tien-da-chuyen-khoan-khi-bi-lua
https://techcombank.com/thong-tin/blog/vay-the-chap-qua-luong
https://techcombank.com/thong-tin/blog/vay-tra-gop
https://techcombank.com/thong-tin/blog/nen-mua-xe-tra-gop-hay-tra-thang
https://techcombank.com/thong-tin/blog/lai-suat-vay-mua-o-to
https://techcombank.com/thong-tin/blog/tin-chap-doanh-nghiep
https://techcombank.com/thong-tin/blog/vay-mua-nha-o-xa-hoi
https://techcombank.com/thong-tin/blog/vay-the-chap-xe-o-to-cu
https://techcombank.com/thong-tin/blog/cach-tinh-lai-vay-ngan-hang
https://techcombank.com/thong-tin/blog/vay-san-xuat-kinh-doanh
https://techcombank.com/thong-tin/blog/lai-suat-vay-tin-chap
https://techcombank.com/thong-tin/blog/cac-hinh-thuc-vay-von-ngan-hang
https://techcombank.com/thong-tin/blog/lai-suat-vay-the-chap-so-do
https://techcombank.com/thong-tin/blog/co-100-trieu-co-mua-nen-mua-tra-gop
https://techcombank.com/thong-tin/blog/mua-nha-tra-gop-dua-truoc-100-trieu
https://techcombank.com/thong-tin/blog/kiem-tra-no-xau
https://techcombank.com/thong-tin/blog/thu-tuc-mua-xe-tra-gop
https://techcombank.com/thong-tin/blog/vay-mua-xe-tra-gop-ngan-hang-nao-tot-nhat
https://techcombank.com/thong-tin/blog/lai-suat-vay-thau-chi
https://techcombank.com/thong-tin/blog/vay-thau-chi-bang-so-tiet-kiem
https://techcombank.com/thong-tin/blog/lai-suat-vay-the-chap
https://techcombank.com/thong-tin/blog/vay-the-chap-kinh-doanh
https://techcombank.com/thong-tin/blog/giai-ngan-vay-the-chap
https://techcombank.com/thong-tin/blog/vay-the-chap-toi-da-duoc-bao-nhieu
https://techcombank.com/thong-tin/blog/han-muc-thau-chi-la-gi
https://techcombank.com/thong-tin/blog/vay-mua-nha-tra-gop
https://techcombank.com/thong-tin/blog/no-xau-nhom-2
https://techcombank.com/thong-tin/blog/vay-ngan-han
https://techcombank.com/thong-tin/blog/vay-von-doanh-nghiep-nho
https://techcombank.com/thong-tin/blog/no-nhom-3
https://techcombank.com/thong-tin/blog/han-muc-vay-the-chap-so-do
https://techcombank.com/thong-tin/blog/diem-tin-dung
https://techcombank.com/thong-tin/blog/kinh-nghiem-vay-the-chap-ngan-hang
https://techcombank.com/thong-tin/blog/bi-quyet-tiet-kiem-tien-mua-nha
https://techcombank.com/thong-tin/blog/lai-suat-ngan-hang-cho-vay-xay-nha
https://techcombank.com/thong-tin/blog/lai-suat-cho-vay-doanh-nghiep
https://techcombank.com/thong-tin/blog/tat-toan
https://techcombank.com/thong-tin/blog/lai-suat-vay-tieu-dung
https://techcombank.com/thong-tin/blog/no-xau-co-vay-the-chap-duoc-khong
https://techcombank.com/thong-tin/blog/thu-tuc-vay-von-kinh-doanh-nho
https://techcombank.com/thong-tin/blog/rui-ro-khi-vay-the-chap-ngan-hang
https://techcombank.com/thong-tin/blog/lai-suat-vay-kinh-doanh
https://techcombank.com/thong-tin/blog/vay-tin-chap-khong-tra-duoc-co-sao-khong
https://techcombank.com/thong-tin/blog/vay-tin-chap-cho-doanh-nghiep-moi-thanh-lap
https://techcombank.com/thong-tin/blog/thanh-toan-khoan-vay
https://techcombank.com/thong-tin/blog/co-nen-vay-ngan-hang-mua-nha
https://techcombank.com/thong-tin/blog/thu-tuc-vay-ngan-hang-mua-nha
https://techcombank.com/thong-tin/blog/thoi-han-vay-thau-chi
https://techcombank.com/thong-tin/blog/co-nen-mua-o-to-tra-gop
https://techcombank.com/thong-tin/blog/vay-the-chap-so-bao-hiem-xa-hoi
https://techcombank.com/thong-tin/blog/lai-suat-tha-noi
https://techcombank.com/thong-tin/blog/tra-no-vay-thau-chi-nhu-the-nao
https://techcombank.com/thong-tin/blog/vay-bo-sung-von-luu-dong
https://techcombank.com/thong-tin/blog/vay-tin-chap-ho-kinh-doanh
https://techcombank.com/thong-tin/blog/no-chu-y-la-gi
https://techcombank.com/thong-tin/blog/no-xau-la-gi
https://techcombank.com/thong-tin/blog/vay-mua-chung-cu
https://techcombank.com/thong-tin/blog/vay-the-chap-khong-tra-duoc
https://techcombank.com/thong-tin/blog/thu-tuc-vay-von-doanh-nghiep
https://techcombank.com/thong-tin/blog/cho-vay-tung-lan
https://techcombank.com/thong-tin/blog/tin-dung-tieu-dung
https://techcombank.com/thong-tin/blog/cho-vay-hop-von-la-gi
https://techcombank.com/thong-tin/blog/von-luu-dong-la-gi
https://techcombank.com/thong-tin/blog/nhu-cau-vay-tieu-dung-cua-nguoi-viet-du-kien-tang-manh-trong-thoi-gian-toi
https://techcombank.com/thong-tin/blog/tap-doan-thanh-quang-khoi-sac-kinh-doanh-nho-nguon-von-vay-tin-dung-techcombank-tren-nen-tang-misa-lending
https://techcombank.com/thong-tin/blog/loi-nhuan
https://techcombank.com/thong-tin/blog/dieu-kien-vay-von-ngan-hang
https://techcombank.com/thong-tin/blog/vay-ngan-hang-1-ty-moi-thang-tra-bao-nhieu
https://techcombank.com/thong-tin/blog/no-xau-mo-the-tin-dung-duoc-khong
https://techcombank.com/thong-tin/blog/gui-tiet-kiem-online-co-rut-truoc-han-duoc-khong
https://techcombank.com/thong-tin/blog/lam-ho-so-tra-gop-dien-thoai
https://techcombank.com/thong-tin/blog/the-ghi-no-va-the-tin-dung
https://techcombank.com/thong-tin/blog/nen-mua-xe-o-to-dien-hay-xe-xang
https://techcombank.com/thong-tin/blog/han-muc-the-tin-dung
https://techcombank.com/thong-tin/blog/the-tin-dung-phu-la-gi
https://techcombank.com/thong-tin/blog/rut-tien-mat-tu-the-tin-dung
https://techcombank.com/thong-tin/blog/the-visa-co-rut-tien-duoc-khong
https://techcombank.com/thong-tin/blog/tai-khoan-ngan-hang-chua-toi-da-bao-nhieu-tien
https://techcombank.com/thong-tin/blog/app-mua-truoc-tra-sau
https://techcombank.com/thong-tin/blog/ho-so-thu-tuc-xoa-the-chap
https://techcombank.com/thong-tin/blog/spaylater
https://techcombank.com/thong-tin/blog/nang-han-muc-tin-dung
https://techcombank.com/thong-tin/blog/lich-su-tin-dung
https://techcombank.com/thong-tin/blog/lai-suat-la-gi
https://techcombank.com/thong-tin/blog/mo-the-tin-dung-han-muc-cao
https://techcombank.com/thong-tin/blog/tra-gop-qua-the-tin-dung
https://techcombank.com/thong-tin/blog/cong-thuc-tinh-lai-suat-thuc
https://techcombank.com/thong-tin/blog/so-tiet-kiem-ngan-hang
https://techcombank.com/thong-tin/blog/no-xau
https://techcombank.com/thong-tin/blog/lai-kep-ngan-hang
https://techcombank.com/thong-tin/blog/tien-gui-khong-ky-han
https://techcombank.com/thong-tin/blog/cach-su-dung-the-visa-techcombank
https://techcombank.com/thong-tin/blog/so-sanh-gui-tiet-kiem-online-va-tai-quay
https://techcombank.com/thong-tin/blog/no-xau-co-lam-the-visa-duoc-khong
https://techcombank.com/thong-tin/blog/the-tin-dung-bi-khoa
https://techcombank.com/thong-tin/blog/no-the-tin-dung-qua-han
https://techcombank.com/thong-tin/blog/lai-suat-qua-han
https://techcombank.com/thong-tin/blog/chung-chi-tien-gui-khac-gi-so-tiet-kiem
https://techcombank.com/thong-tin/blog/lai-suat-gui-tiet-kiem-usd
https://techcombank.com/thong-tin/blog/gui-tiet-kiem-theo-ngay
https://techcombank.com/thong-tin/blog/nen-gui-tiet-kiem-6-thang-hay-1-nam
https://techcombank.com/thong-tin/blog/lai-suat-the-tin-dung
https://techcombank.com/thong-tin/blog/thanh-toan-toi-thieu-the-tin-dung
https://techcombank.com/thong-tin/blog/cach-tinh-lai-suat-tien-gui-tiet-kiem
https://techcombank.com/thong-tin/blog/gui-tiet-kiem-hang-thang
https://techcombank.com/thong-tin/blog/tien-gui-co-ky-han
https://techcombank.com/thong-tin/blog/lai-suat-tiet-kiem
https://techcombank.com/thong-tin/blog/cach-su-dung-the-tin-dung
https://techcombank.com/thong-tin/blog/uu-dai-the-tin-dung-techcombank-signature
https://techcombank.com/thong-tin/blog/vay-kinh-doanh-online
https://techcombank.com/thong-tin/blog/vay-100-trieu
https://techcombank.com/thong-tin/blog/vay-tin-chap-theo-luong
https://techcombank.com/thong-tin/blog/cho-vay-kinh-doanh-ho-gia-dinh
https://techcombank.com/thong-tin/blog/vay-15-trieu
https://techcombank.com/thong-tin/blog/vay-20-trieu
https://techcombank.com/thong-tin/blog/vay-von-doanh-nghiep-khong-the-chap
https://techcombank.com/thong-tin/blog/thu-tuc-vay-von-ngan-hang-de-xay-nha
https://techcombank.com/thong-tin/blog/vay-the-chap-la-gi
https://techcombank.com/thong-tin/blog/vay-40-trieu
https://techcombank.com/thong-tin/blog/nen-vay-the-chap-ngan-hang-nao
https://techcombank.com/thong-tin/blog/tin-dung-doanh-nghiep
https://techcombank.com/thong-tin/blog/vay-tien-mat
https://techcombank.com/thong-tin/blog/vay-tin-chap-toi-da-duoc-bao-nhieu
https://techcombank.com/thong-tin/blog/kinh-nghiem-vay-tien-ngan-hang-xay-nha
https://techcombank.com/thong-tin/blog/lai-suat-vay-ngan-hang
https://techcombank.com/thong-tin/blog/dang-vay-tra-gop-co-vay-them-duoc-khong
https://techcombank.com/thong-tin/blog/quy-trinh-cho-vay-tieu-dung
https://techcombank.com/thong-tin/blog/kinh-nghiem-vay-tien-mua-nha
https://techcombank.com/thong-tin/blog/vay-the-chap-hop-dong-mua-ban-can-ho
https://techcombank.com/thong-tin/blog/vay-du-hoc
https://techcombank.com/thong-tin/blog/vay-tin-chap-va-vay-the-chap
https://techcombank.com/thong-tin/blog/vay-200-trieu
https://techcombank.com/thong-tin/blog/vay-300-trieu
https://techcombank.com/thong-tin/blog/nen-vay-tin-chap-o-dau
https://techcombank.com/thong-tin/blog/quy-trinh-tat-toan-khoan-vay-the-chap
https://techcombank.com/thong-tin/blog/vay-the-chap-so-hong
https://techcombank.com/thong-tin/blog/vay-han-muc-la-gi
https://techcombank.com/thong-tin/blog/cac-hinh-thuc-cho-vay-tieu-dung
https://techcombank.com/thong-tin/blog/du-no-tin-dung-la-gi
https://techcombank.com/thong-tin/blog/vay-sinh-vien
https://techcombank.com/thong-tin/blog/vay-tin-chap-no-xau
https://techcombank.com/thong-tin/blog/vay-tin-chap-la-gi
https://techcombank.com/thong-tin/blog/vay-thau-chi-la-gi
https://techcombank.com/thong-tin/blog/ho-so-vay-tin-chap
https://techcombank.com/thong-tin/blog/phi-vay-the-chap
https://techcombank.com/thong-tin/blog/the-chap-la-gi
https://techcombank.com/thong-tin/blog/vay-the-chap-khong-chung-minh-thu-nhap
https://techcombank.com/thong-tin/blog/cic-la-gi
https://techcombank.com/thong-tin/blog/dieu-kien-vay-the-chap
https://techcombank.com/thong-tin/blog/dao-han-la-gi
https://techcombank.com/thong-tin/blog/cho-vay-tieu-dung-la-gi
https://techcombank.com/thong-tin/blog/ho-so-vay-von-cua-doanh-nghiep-gom-nhung-gi
https://techcombank.com/thong-tin/blog/tra-gop-hoc-phi
https://techcombank.com/thong-tin/blog/tat-toan-so-tiet-kiem
https://techcombank.com/thong-tin/blog/du-no-la-gi
https://techcombank.com/thong-tin/blog/cach-tiet-kiem-tien-sinh-loi
https://techcombank.com/thong-tin/blog/gui-tiet-kiem-ngoai-te
https://techcombank.com/thong-tin/blog/app-ngan-hang-uy-tin
https://techcombank.com/thong-tin/blog/chuyen-gia-du-doan-gia-bat-dong-san-2025-va-cac-no-luc-tu-ngan-hang
https://techcombank.com/thong-tin/blog/bao-lanh-vay-von</v>
      </c>
      <c r="J69" s="26" t="s">
        <v>188</v>
      </c>
    </row>
    <row r="70" ht="82.5" customHeight="1">
      <c r="A70" s="12">
        <v>69.0</v>
      </c>
      <c r="B70" s="13" t="s">
        <v>1503</v>
      </c>
      <c r="C70" s="13" t="s">
        <v>276</v>
      </c>
      <c r="D70" s="21">
        <f>COUNTIF('Kế hoạch chèn link (mới)'!$B$3:$B$2944,C70)</f>
        <v>100</v>
      </c>
      <c r="E70" s="21">
        <f>IFERROR(VLOOKUP(C70,'Link trỏ về từng trang đích'!$B$2:$D$76,3,0),"")</f>
        <v>100</v>
      </c>
      <c r="F70" s="13" t="str">
        <f t="shared" si="1"/>
        <v>Đủ link</v>
      </c>
      <c r="G70" s="13" t="str">
        <f>IF(IFERROR(VLOOKUP(C70,'Inlink đã chèn'!$B$2:$C$200,2,0),0)&gt;0,"Đã có anchor text trỏ về","Chưa có anchor text trỏ về")</f>
        <v>Chưa có anchor text trỏ về</v>
      </c>
      <c r="H70" s="13" t="str">
        <f>IFERROR(__xludf.DUMMYFUNCTION("IFERROR(TEXTJOIN("", "",TRUE,UNIQUE(FILTER('Kế hoạch chèn link (mới)'!$D$3:$D$2944,'Kế hoạch chèn link (mới)'!$B$3:$B$2944=C70))),"""")"),"lãi suất cho vay ngân hàng, lãi suất vay ngân hàng hôm nay, lãi vay ngân hàng hiện nay, lãi suất vay ngân hàng, lãi suất vay ngân hàng hiện nay")</f>
        <v>lãi suất cho vay ngân hàng, lãi suất vay ngân hàng hôm nay, lãi vay ngân hàng hiện nay, lãi suất vay ngân hàng, lãi suất vay ngân hàng hiện nay</v>
      </c>
      <c r="I70" s="13" t="str">
        <f>IFERROR(__xludf.DUMMYFUNCTION("IFERROR(TEXTJOIN(CHAR(10),TRUE,FILTER('Kế hoạch chèn link (mới)'!$F$3:$F$2944,'Kế hoạch chèn link (mới)'!$B$3:$B$2944=C70)),"""")"),"https://techcombank.com/thong-tin/blog/lai-suat-la-gi
https://techcombank.com/thong-tin/blog/lai-suat-vay-tieu-dung
https://techcombank.com/thong-tin/blog/lai-suat-vay-tin-chap
https://techcombank.com/thong-tin/blog/the-tin-dung-phu-la-gi
https://techcomb"&amp;"ank.com/thong-tin/blog/vay-ngan-hang-1-ty-moi-thang-tra-bao-nhieu
https://techcombank.com/thong-tin/blog/dieu-kien-vay-von-ngan-hang
https://techcombank.com/thong-tin/blog/lai-suat-qua-han
https://techcombank.com/thong-tin/blog/cach-tinh-lai-vay-ngan-hang"&amp;"
https://techcombank.com/thong-tin/blog/vay-the-chap-xe-o-to-cu
https://techcombank.com/thong-tin/blog/vay-300-trieu
https://techcombank.com/thong-tin/blog/vay-mua-xe-tra-gop-ngan-hang-nao-tot-nhat
https://techcombank.com/thong-tin/blog/vay-the-chap-kinh-"&amp;"doanh
https://techcombank.com/thong-tin/blog/vay-mua-dien-thoai
https://techcombank.com/thong-tin/blog/cho-vay-kinh-doanh-ho-gia-dinh
https://techcombank.com/thong-tin/blog/vay-sinh-vien
https://techcombank.com/thong-tin/blog/co-100-trieu-co-mua-nen-mua-t"&amp;"ra-gop
https://techcombank.com/thong-tin/blog/mua-nha-tra-gop-dua-truoc-100-trieu
https://techcombank.com/thong-tin/blog/cho-vay-tieu-dung-la-gi
https://techcombank.com/thong-tin/blog/giai-ngan-vay-the-chap
https://techcombank.com/thong-tin/blog/vay-han-m"&amp;"uc-la-gi
https://techcombank.com/thong-tin/blog/kinh-nghiem-vay-tien-mua-nha
https://techcombank.com/thong-tin/blog/no-nhom-3
https://techcombank.com/thong-tin/blog/thu-tuc-vay-von-kinh-doanh-nho
https://techcombank.com/thong-tin/blog/vay-thau-chi-la-gi
h"&amp;"ttps://techcombank.com/thong-tin/blog/vay-von-doanh-nghiep-khong-the-chap
https://techcombank.com/thong-tin/blog/co-nen-vay-ngan-hang-mua-nha
https://techcombank.com/thong-tin/blog/thu-tuc-vay-ngan-hang-mua-nha
https://techcombank.com/thong-tin/blog/phi-v"&amp;"ay-the-chap
https://techcombank.com/thong-tin/blog/quy-trinh-cho-vay-tieu-dung
https://techcombank.com/thong-tin/blog/vay-40-trieu
https://techcombank.com/thong-tin/blog/nen-vay-the-chap-ngan-hang-nao
https://techcombank.com/thong-tin/blog/tra-no-vay-thau"&amp;"-chi-nhu-the-nao
https://techcombank.com/thong-tin/blog/lai-suat-vay-kinh-doanh
https://techcombank.com/thong-tin/blog/lai-suat-ngan-hang-cho-vay-xay-nha
https://techcombank.com/thong-tin/blog/nen-mua-xe-tra-gop-hay-tra-thang
https://techcombank.com/thong"&amp;"-tin/blog/nen-vay-tin-chap-o-dau
https://techcombank.com/thong-tin/blog/vay-the-chap-so-hong
https://techcombank.com/thong-tin/blog/vay-100-trieu
https://techcombank.com/thong-tin/blog/vay-tien-mat
https://techcombank.com/thong-tin/blog/vay-ngan-han
https"&amp;"://techcombank.com/thong-tin/blog/vay-von-doanh-nghiep-nho
https://techcombank.com/thong-tin/blog/cac-hinh-thuc-vay-von-ngan-hang
https://techcombank.com/thong-tin/blog/lai-suat-tha-noi
https://techcombank.com/thong-tin/blog/app-vay-tien-nhanh
https://tec"&amp;"hcombank.com/thong-tin/blog/vay-200-trieu
https://techcombank.com/thong-tin/blog/quy-trinh-tat-toan-khoan-vay-the-chap
https://techcombank.com/thong-tin/blog/vay-the-chap-hop-dong-mua-ban-can-ho
https://techcombank.com/thong-tin/blog/han-muc-thau-chi-la-g"&amp;"i
https://techcombank.com/thong-tin/blog/vay-kinh-doanh-online
https://techcombank.com/thong-tin/blog/vay-tin-chap-khong-tra-duoc-co-sao-khong
https://techcombank.com/thong-tin/blog/vay-tin-chap-cho-doanh-nghiep-moi-thanh-lap
https://techcombank.com/thong"&amp;"-tin/blog/ho-so-vay-tin-chap
https://techcombank.com/thong-tin/blog/thu-tuc-vay-von-ngan-hang-de-xay-nha
https://techcombank.com/thong-tin/blog/the-chap-la-gi
https://techcombank.com/thong-tin/blog/vay-the-chap-la-gi
https://techcombank.com/thong-tin/blog"&amp;"/vay-ngan-hang-chi-can-cccd
https://techcombank.com/thong-tin/blog/vay-tin-chap-ho-kinh-doanh
https://techcombank.com/thong-tin/blog/an-han-no-goc-la-gi
https://techcombank.com/thong-tin/blog/ca-nhan-hoa
https://techcombank.com/thong-tin/blog/casa-la-gi
h"&amp;"ttps://techcombank.com/thong-tin/blog/chung-chi-tien-gui-co-an-toan-khong
https://techcombank.com/thong-tin/blog/fintech-la-gi
https://techcombank.com/thong-tin/blog/khach-hang-vip-bat-dong-san
https://techcombank.com/thong-tin/blog/pos
https://techcomban"&amp;"k.com/thong-tin/blog/san-pham-xanh
https://techcombank.com/thong-tin/blog/thanh-ly-tai-san
https://techcombank.com/thong-tin/blog/thu-tuc-vay-von-doanh-nghiep
https://techcombank.com/thong-tin/blog/ung-dung-big-data-trong-ngan-hang
https://techcombank.com"&amp;"/thong-tin/blog/xep-hang-tin-dung
https://techcombank.com/thong-tin/blog/dac-quyen-khach-hang-vip-ngan-hang
https://techcombank.com/thong-tin/blog/loyalty-la-gi
https://techcombank.com/thong-tin/blog/mo-tai-khoan-ngan-hang-trung-so-dien-thoai
https://tech"&amp;"combank.com/thong-tin/blog/nhu-cau-vay-tieu-dung-cua-nguoi-viet-du-kien-tang-manh-trong-thoi-gian-toi
https://techcombank.com/thong-tin/blog/quan-ly-chi-phi-doanh-nghiep
https://techcombank.com/thong-tin/blog/thanh-toan-online-bang-the-tin-dung
https://te"&amp;"chcombank.com/thong-tin/blog/vay-tin-chap-va-vay-the-chap
https://techcombank.com/thong-tin/blog/lai-suat-vay-thau-chi
https://techcombank.com/thong-tin/blog/lai-suat-cho-vay-doanh-nghiep
https://techcombank.com/thong-tin/blog/vay-mua-nha-o-xa-hoi
https:/"&amp;"/techcombank.com/thong-tin/blog/vay-50-trieu
https://techcombank.com/thong-tin/blog/vay-bo-sung-von-luu-dong
https://techcombank.com/thong-tin/blog/vay-tin-chap-theo-luong
https://techcombank.com/thong-tin/blog/cac-hinh-thuc-cho-vay-tieu-dung
https://tech"&amp;"combank.com/thong-tin/blog/rui-ro-khi-vay-the-chap-ngan-hang
https://techcombank.com/thong-tin/blog/thoi-han-vay-thau-chi
https://techcombank.com/thong-tin/blog/co-nen-mua-o-to-tra-gop
https://techcombank.com/thong-tin/blog/co-50-trieu-nen-mua-vang-hay-gu"&amp;"i-tiet-kiem
https://techcombank.com/thong-tin/blog/thanh-khoan-la-gi
https://techcombank.com/thong-tin/blog/vay-thau-chi-bang-so-tiet-kiem
https://techcombank.com/thong-tin/blog/bi-quyet-tiet-kiem-tien-mua-nha
https://techcombank.com/thong-tin/blog/vay-sa"&amp;"n-xuat-kinh-doanh
https://techcombank.com/thong-tin/blog/vay-mua-chung-cu
https://techcombank.com/thong-tin/blog/vay-mua-nha-tra-gop
https://techcombank.com/thong-tin/blog/no-xau-co-vay-the-chap-duoc-khong
https://techcombank.com/thong-tin/blog/thanh-toan"&amp;"-khoan-vay
https://techcombank.com/thong-tin/blog/vay-the-chap-khong-chung-minh-thu-nhap
https://techcombank.com/thong-tin/blog/vay-the-chap-so-bao-hiem-xa-hoi
https://techcombank.com/thong-tin/blog/app-ngan-hang
https://techcombank.com/thong-tin/blog/cho"&amp;"-vay-hop-von-la-gi
https://techcombank.com/thong-tin/blog/tap-doan-thanh-quang-khoi-sac-kinh-doanh-nho-nguon-von-vay-tin-dung-techcombank-tren-nen-tang-misa-lending")</f>
        <v>https://techcombank.com/thong-tin/blog/lai-suat-la-gi
https://techcombank.com/thong-tin/blog/lai-suat-vay-tieu-dung
https://techcombank.com/thong-tin/blog/lai-suat-vay-tin-chap
https://techcombank.com/thong-tin/blog/the-tin-dung-phu-la-gi
https://techcombank.com/thong-tin/blog/vay-ngan-hang-1-ty-moi-thang-tra-bao-nhieu
https://techcombank.com/thong-tin/blog/dieu-kien-vay-von-ngan-hang
https://techcombank.com/thong-tin/blog/lai-suat-qua-han
https://techcombank.com/thong-tin/blog/cach-tinh-lai-vay-ngan-hang
https://techcombank.com/thong-tin/blog/vay-the-chap-xe-o-to-cu
https://techcombank.com/thong-tin/blog/vay-300-trieu
https://techcombank.com/thong-tin/blog/vay-mua-xe-tra-gop-ngan-hang-nao-tot-nhat
https://techcombank.com/thong-tin/blog/vay-the-chap-kinh-doanh
https://techcombank.com/thong-tin/blog/vay-mua-dien-thoai
https://techcombank.com/thong-tin/blog/cho-vay-kinh-doanh-ho-gia-dinh
https://techcombank.com/thong-tin/blog/vay-sinh-vien
https://techcombank.com/thong-tin/blog/co-100-trieu-co-mua-nen-mua-tra-gop
https://techcombank.com/thong-tin/blog/mua-nha-tra-gop-dua-truoc-100-trieu
https://techcombank.com/thong-tin/blog/cho-vay-tieu-dung-la-gi
https://techcombank.com/thong-tin/blog/giai-ngan-vay-the-chap
https://techcombank.com/thong-tin/blog/vay-han-muc-la-gi
https://techcombank.com/thong-tin/blog/kinh-nghiem-vay-tien-mua-nha
https://techcombank.com/thong-tin/blog/no-nhom-3
https://techcombank.com/thong-tin/blog/thu-tuc-vay-von-kinh-doanh-nho
https://techcombank.com/thong-tin/blog/vay-thau-chi-la-gi
https://techcombank.com/thong-tin/blog/vay-von-doanh-nghiep-khong-the-chap
https://techcombank.com/thong-tin/blog/co-nen-vay-ngan-hang-mua-nha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https://techcombank.com/thong-tin/blog/tra-no-vay-thau-chi-nhu-the-nao
https://techcombank.com/thong-tin/blog/lai-suat-vay-kinh-doanh
https://techcombank.com/thong-tin/blog/lai-suat-ngan-hang-cho-vay-xay-nha
https://techcombank.com/thong-tin/blog/nen-mua-xe-tra-gop-hay-tra-thang
https://techcombank.com/thong-tin/blog/nen-vay-tin-chap-o-dau
https://techcombank.com/thong-tin/blog/vay-the-chap-so-hong
https://techcombank.com/thong-tin/blog/vay-100-trieu
https://techcombank.com/thong-tin/blog/vay-tien-mat
https://techcombank.com/thong-tin/blog/vay-ngan-han
https://techcombank.com/thong-tin/blog/vay-von-doanh-nghiep-nho
https://techcombank.com/thong-tin/blog/cac-hinh-thuc-vay-von-ngan-hang
https://techcombank.com/thong-tin/blog/lai-suat-tha-noi
https://techcombank.com/thong-tin/blog/app-vay-tien-nhanh
https://techcombank.com/thong-tin/blog/vay-200-trieu
https://techcombank.com/thong-tin/blog/quy-trinh-tat-toan-khoan-vay-the-chap
https://techcombank.com/thong-tin/blog/vay-the-chap-hop-dong-mua-ban-can-ho
https://techcombank.com/thong-tin/blog/han-muc-thau-chi-la-gi
https://techcombank.com/thong-tin/blog/vay-kinh-doanh-online
https://techcombank.com/thong-tin/blog/vay-tin-chap-khong-tra-duoc-co-sao-khong
https://techcombank.com/thong-tin/blog/vay-tin-chap-cho-doanh-nghiep-moi-thanh-lap
https://techcombank.com/thong-tin/blog/ho-so-vay-tin-chap
https://techcombank.com/thong-tin/blog/thu-tuc-vay-von-ngan-hang-de-xay-nha
https://techcombank.com/thong-tin/blog/the-chap-la-gi
https://techcombank.com/thong-tin/blog/vay-the-chap-la-gi
https://techcombank.com/thong-tin/blog/vay-ngan-hang-chi-can-cccd
https://techcombank.com/thong-tin/blog/vay-tin-chap-ho-kinh-doanh
https://techcombank.com/thong-tin/blog/an-han-no-goc-la-gi
https://techcombank.com/thong-tin/blog/ca-nhan-hoa
https://techcombank.com/thong-tin/blog/casa-la-gi
https://techcombank.com/thong-tin/blog/chung-chi-tien-gui-co-an-toan-khong
https://techcombank.com/thong-tin/blog/fintech-la-gi
https://techcombank.com/thong-tin/blog/khach-hang-vip-bat-dong-san
https://techcombank.com/thong-tin/blog/pos
https://techcombank.com/thong-tin/blog/san-pham-xanh
https://techcombank.com/thong-tin/blog/thanh-ly-tai-san
https://techcombank.com/thong-tin/blog/thu-tuc-vay-von-doanh-nghiep
https://techcombank.com/thong-tin/blog/ung-dung-big-data-trong-ngan-hang
https://techcombank.com/thong-tin/blog/xep-hang-tin-dung
https://techcombank.com/thong-tin/blog/dac-quyen-khach-hang-vip-ngan-hang
https://techcombank.com/thong-tin/blog/loyalty-la-gi
https://techcombank.com/thong-tin/blog/mo-tai-khoan-ngan-hang-trung-so-dien-thoai
https://techcombank.com/thong-tin/blog/nhu-cau-vay-tieu-dung-cua-nguoi-viet-du-kien-tang-manh-trong-thoi-gian-toi
https://techcombank.com/thong-tin/blog/quan-ly-chi-phi-doanh-nghiep
https://techcombank.com/thong-tin/blog/thanh-toan-online-bang-the-tin-dung
https://techcombank.com/thong-tin/blog/vay-tin-chap-va-vay-the-chap
https://techcombank.com/thong-tin/blog/lai-suat-vay-thau-chi
https://techcombank.com/thong-tin/blog/lai-suat-cho-vay-doanh-nghiep
https://techcombank.com/thong-tin/blog/vay-mua-nha-o-xa-hoi
https://techcombank.com/thong-tin/blog/vay-50-trieu
https://techcombank.com/thong-tin/blog/vay-bo-sung-von-luu-dong
https://techcombank.com/thong-tin/blog/vay-tin-chap-theo-luong
https://techcombank.com/thong-tin/blog/cac-hinh-thuc-cho-vay-tieu-dung
https://techcombank.com/thong-tin/blog/rui-ro-khi-vay-the-chap-ngan-hang
https://techcombank.com/thong-tin/blog/thoi-han-vay-thau-chi
https://techcombank.com/thong-tin/blog/co-nen-mua-o-to-tra-gop
https://techcombank.com/thong-tin/blog/co-50-trieu-nen-mua-vang-hay-gui-tiet-kiem
https://techcombank.com/thong-tin/blog/thanh-khoan-la-gi
https://techcombank.com/thong-tin/blog/vay-thau-chi-bang-so-tiet-kiem
https://techcombank.com/thong-tin/blog/bi-quyet-tiet-kiem-tien-mua-nha
https://techcombank.com/thong-tin/blog/vay-san-xuat-kinh-doanh
https://techcombank.com/thong-tin/blog/vay-mua-chung-cu
https://techcombank.com/thong-tin/blog/vay-mua-nha-tra-gop
https://techcombank.com/thong-tin/blog/no-xau-co-vay-the-chap-duoc-khong
https://techcombank.com/thong-tin/blog/thanh-toan-khoan-vay
https://techcombank.com/thong-tin/blog/vay-the-chap-khong-chung-minh-thu-nhap
https://techcombank.com/thong-tin/blog/vay-the-chap-so-bao-hiem-xa-hoi
https://techcombank.com/thong-tin/blog/app-ngan-hang
https://techcombank.com/thong-tin/blog/cho-vay-hop-von-la-gi
https://techcombank.com/thong-tin/blog/tap-doan-thanh-quang-khoi-sac-kinh-doanh-nho-nguon-von-vay-tin-dung-techcombank-tren-nen-tang-misa-lending</v>
      </c>
      <c r="J70" s="26" t="s">
        <v>188</v>
      </c>
    </row>
    <row r="71" ht="82.5" customHeight="1">
      <c r="A71" s="12">
        <v>70.0</v>
      </c>
      <c r="B71" s="13" t="s">
        <v>1503</v>
      </c>
      <c r="C71" s="13" t="s">
        <v>918</v>
      </c>
      <c r="D71" s="21">
        <f>COUNTIF('Kế hoạch chèn link (mới)'!$B$3:$B$2944,C71)</f>
        <v>50</v>
      </c>
      <c r="E71" s="21">
        <f>IFERROR(VLOOKUP(C71,'Link trỏ về từng trang đích'!$B$2:$D$76,3,0),"")</f>
        <v>50</v>
      </c>
      <c r="F71" s="13" t="str">
        <f t="shared" si="1"/>
        <v>Đủ link</v>
      </c>
      <c r="G71" s="13" t="str">
        <f>IF(IFERROR(VLOOKUP(C71,'Inlink đã chèn'!$B$2:$C$200,2,0),0)&gt;0,"Đã có anchor text trỏ về","Chưa có anchor text trỏ về")</f>
        <v>Chưa có anchor text trỏ về</v>
      </c>
      <c r="H71" s="13" t="str">
        <f>IFERROR(__xludf.DUMMYFUNCTION("IFERROR(TEXTJOIN("", "",TRUE,UNIQUE(FILTER('Kế hoạch chèn link (mới)'!$D$3:$D$2944,'Kế hoạch chèn link (mới)'!$B$3:$B$2944=C71))),"""")"),"vay thấu chi, thấu chi là gì, vay thấu chi là gì")</f>
        <v>vay thấu chi, thấu chi là gì, vay thấu chi là gì</v>
      </c>
      <c r="I71" s="13" t="str">
        <f>IFERROR(__xludf.DUMMYFUNCTION("IFERROR(TEXTJOIN(CHAR(10),TRUE,FILTER('Kế hoạch chèn link (mới)'!$F$3:$F$2944,'Kế hoạch chèn link (mới)'!$B$3:$B$2944=C71)),"""")"),"https://techcombank.com/thong-tin/blog/tra-no-vay-thau-chi-nhu-the-nao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https://techcombank.com/thong-tin/blog/gui-tiet-kiem-online-co-r"&amp;"ut-truoc-han-duoc-khong
https://techcombank.com/thong-tin/blog/no-chu-y-la-gi
https://techcombank.com/thong-tin/blog/thanh-toan-bang-ma-qr
https://techcombank.com/thong-tin/blog/tap-doan-thanh-quang-khoi-sac-kinh-doanh-nho-nguon-von-vay-tin-dung-techcomba"&amp;"nk-tren-nen-tang-misa-lending
https://techcombank.com/thong-tin/blog/phi-thuong-nien-la-gi
https://techcombank.com/thong-tin/blog/cach-gui-tiet-kiem-online
https://techcombank.com/thong-tin/blog/cach-khoa-the-ngan-hang
https://techcombank.com/thong-tin/bl"&amp;"og/gui-them-tien-vao-so-tiet-kiem
https://techcombank.com/thong-tin/blog/lam-the-visa-o-dau
https://techcombank.com/thong-tin/blog/quy-gia-dinh
https://techcombank.com/thong-tin/blog/san-pham-xanh
https://techcombank.com/thong-tin/blog/vay-sieu-toc
https:"&amp;"//techcombank.com/thong-tin/blog/cac-hinh-thuc-vay-von-ngan-hang
https://techcombank.com/thong-tin/blog/vay-san-xuat-kinh-doanh
https://techcombank.com/thong-tin/blog/tin-chap-doanh-nghiep
https://techcombank.com/thong-tin/blog/lai-suat-vay-the-chap-so-do"&amp;"
https://techcombank.com/thong-tin/blog/vay-tin-chap-toi-da-duoc-bao-nhieu
https://techcombank.com/thong-tin/blog/vay-tin-chap-va-vay-the-chap
https://techcombank.com/thong-tin/blog/nen-vay-tin-chap-o-dau
https://techcombank.com/thong-tin/blog/vay-the-cha"&amp;"p-hop-dong-mua-ban-can-ho
https://techcombank.com/thong-tin/blog/vay-tin-chap-theo-luong
https://techcombank.com/thong-tin/blog/vay-mua-dien-thoai
https://techcombank.com/thong-tin/blog/vay-the-chap-toi-da-duoc-bao-nhieu
https://techcombank.com/thong-tin/"&amp;"blog/vay-30-trieu
https://techcombank.com/thong-tin/blog/kiem-tra-no-xau
https://techcombank.com/thong-tin/blog/cac-hinh-thuc-cho-vay-tieu-dung
https://techcombank.com/thong-tin/blog/no-xau-nhom-2
https://techcombank.com/thong-tin/blog/vay-ngan-han
https:"&amp;"//techcombank.com/thong-tin/blog/app-ngan-hang
https://techcombank.com/thong-tin/blog/bao-hiem-phi-nhan-tho-la-gi
https://techcombank.com/thong-tin/blog/cach-bao-ve-tai-khoan
https://techcombank.com/thong-tin/blog/dau-tu-tai-chinh-ca-nhan
https://techcomb"&amp;"ank.com/thong-tin/blog/gia-dien-sinh-hoat
https://techcombank.com/thong-tin/blog/gui-tiet-kiem-online-quay-vong-ca-goc-va-lai
https://techcombank.com/thong-tin/blog/hu-chi-tieu
https://techcombank.com/thong-tin/blog/loi-ich-cua-tri-tue-nhan-tao
https://te"&amp;"chcombank.com/thong-tin/blog/ngan-hang-so
https://techcombank.com/thong-tin/blog/sinh-loi-rinh-loc
https://techcombank.com/thong-tin/blog/thu-tuc-mua-xe-tra-gop
https://techcombank.com/thong-tin/blog/kinh-nghiem-vay-tien-mua-nha
https://techcombank.com/th"&amp;"ong-tin/blog/cam-ket-tin-dung
https://techcombank.com/thong-tin/blog/ho-so-thu-tuc-xoa-the-chap
https://techcombank.com/thong-tin/blog/ngan-hang-dien-tu
https://techcombank.com/thong-tin/blog/quan-ly-tai-chinh-doanh-nghiep-nho")</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https://techcombank.com/thong-tin/blog/gui-tiet-kiem-online-co-rut-truoc-han-duoc-khong
https://techcombank.com/thong-tin/blog/no-chu-y-la-gi
https://techcombank.com/thong-tin/blog/thanh-toan-bang-ma-qr
https://techcombank.com/thong-tin/blog/tap-doan-thanh-quang-khoi-sac-kinh-doanh-nho-nguon-von-vay-tin-dung-techcombank-tren-nen-tang-misa-lending
https://techcombank.com/thong-tin/blog/phi-thuong-nien-la-gi
https://techcombank.com/thong-tin/blog/cach-gui-tiet-kiem-online
https://techcombank.com/thong-tin/blog/cach-khoa-the-ngan-hang
https://techcombank.com/thong-tin/blog/gui-them-tien-vao-so-tiet-kiem
https://techcombank.com/thong-tin/blog/lam-the-visa-o-dau
https://techcombank.com/thong-tin/blog/quy-gia-dinh
https://techcombank.com/thong-tin/blog/san-pham-xanh
https://techcombank.com/thong-tin/blog/vay-sieu-toc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https://techcombank.com/thong-tin/blog/vay-tin-chap-theo-luong
https://techcombank.com/thong-tin/blog/vay-mua-dien-thoai
https://techcombank.com/thong-tin/blog/vay-the-chap-toi-da-duoc-bao-nhieu
https://techcombank.com/thong-tin/blog/vay-30-trieu
https://techcombank.com/thong-tin/blog/kiem-tra-no-xau
https://techcombank.com/thong-tin/blog/cac-hinh-thuc-cho-vay-tieu-dung
https://techcombank.com/thong-tin/blog/no-xau-nhom-2
https://techcombank.com/thong-tin/blog/vay-ngan-han
https://techcombank.com/thong-tin/blog/app-ngan-hang
https://techcombank.com/thong-tin/blog/bao-hiem-phi-nhan-tho-la-gi
https://techcombank.com/thong-tin/blog/cach-bao-ve-tai-khoan
https://techcombank.com/thong-tin/blog/dau-tu-tai-chinh-ca-nhan
https://techcombank.com/thong-tin/blog/gia-dien-sinh-hoat
https://techcombank.com/thong-tin/blog/gui-tiet-kiem-online-quay-vong-ca-goc-va-lai
https://techcombank.com/thong-tin/blog/hu-chi-tieu
https://techcombank.com/thong-tin/blog/loi-ich-cua-tri-tue-nhan-tao
https://techcombank.com/thong-tin/blog/ngan-hang-so
https://techcombank.com/thong-tin/blog/sinh-loi-rinh-loc
https://techcombank.com/thong-tin/blog/thu-tuc-mua-xe-tra-gop
https://techcombank.com/thong-tin/blog/kinh-nghiem-vay-tien-mua-nha
https://techcombank.com/thong-tin/blog/cam-ket-tin-dung
https://techcombank.com/thong-tin/blog/ho-so-thu-tuc-xoa-the-chap
https://techcombank.com/thong-tin/blog/ngan-hang-dien-tu
https://techcombank.com/thong-tin/blog/quan-ly-tai-chinh-doanh-nghiep-nho</v>
      </c>
      <c r="J71" s="26" t="s">
        <v>188</v>
      </c>
    </row>
    <row r="72" ht="82.5" customHeight="1">
      <c r="A72" s="12">
        <v>71.0</v>
      </c>
      <c r="B72" s="13" t="s">
        <v>1503</v>
      </c>
      <c r="C72" s="13" t="s">
        <v>306</v>
      </c>
      <c r="D72" s="21">
        <f>COUNTIF('Kế hoạch chèn link (mới)'!$B$3:$B$2944,C72)</f>
        <v>17</v>
      </c>
      <c r="E72" s="21">
        <f>IFERROR(VLOOKUP(C72,'Link trỏ về từng trang đích'!$B$2:$D$76,3,0),"")</f>
        <v>30</v>
      </c>
      <c r="F72" s="13" t="str">
        <f t="shared" si="1"/>
        <v>Thiếu 13 link</v>
      </c>
      <c r="G72" s="13" t="str">
        <f>IF(IFERROR(VLOOKUP(C72,'Inlink đã chèn'!$B$2:$C$200,2,0),0)&gt;0,"Đã có anchor text trỏ về","Chưa có anchor text trỏ về")</f>
        <v>Chưa có anchor text trỏ về</v>
      </c>
      <c r="H72" s="13" t="str">
        <f>IFERROR(__xludf.DUMMYFUNCTION("IFERROR(TEXTJOIN("", "",TRUE,UNIQUE(FILTER('Kế hoạch chèn link (mới)'!$D$3:$D$2944,'Kế hoạch chèn link (mới)'!$B$3:$B$2944=C72))),"""")"),"kiểm tra nợ xấu, tra cứu nợ xấu")</f>
        <v>kiểm tra nợ xấu, tra cứu nợ xấu</v>
      </c>
      <c r="I72" s="13" t="str">
        <f>IFERROR(__xludf.DUMMYFUNCTION("IFERROR(TEXTJOIN(CHAR(10),TRUE,FILTER('Kế hoạch chèn link (mới)'!$F$3:$F$2944,'Kế hoạch chèn link (mới)'!$B$3:$B$2944=C72)),"""")"),"https://techcombank.com/thong-tin/blog/no-xau-mo-the-tin-dung-duoc-khong
https://techcombank.com/thong-tin/blog/vay-tin-chap-no-xau
https://techcombank.com/thong-tin/blog/no-xau-nhom-2
https://techcombank.com/thong-tin/blog/no-xau
https://techcombank.com/"&amp;"thong-tin/blog/no-xau-la-gi
https://techcombank.com/thong-tin/blog/cic-la-gi
https://techcombank.com/thong-tin/blog/cam-ket-tin-dung
https://techcombank.com/thong-tin/blog/thanh-toan-tra-gop-qua-the-tin-dung
https://techcombank.com/thong-tin/blog/no-chu-y"&amp;"-la-gi
https://techcombank.com/thong-tin/blog/thanh-toan-toi-thieu-the-tin-dung
https://techcombank.com/thong-tin/blog/cach-huy-the-tin-dung
https://techcombank.com/thong-tin/blog/tra-gop-hoc-phi
https://techcombank.com/thong-tin/blog/lap-ke-hoach-chi-tie"&amp;"u-ca-nhan
https://techcombank.com/thong-tin/blog/ma-qr-lam-gia-duoc-khong
https://techcombank.com/thong-tin/blog/the-ghi-no-co-rut-tien-duoc-khong
https://techcombank.com/thong-tin/blog/cach-tinh-thue-ho-kinh-doanh-nho-le
https://techcombank.com/thong-tin"&amp;"/blog/cach-su-dung-the-ghi-no")</f>
        <v>https://techcombank.com/thong-tin/blog/no-xau-mo-the-tin-dung-duoc-khong
https://techcombank.com/thong-tin/blog/vay-tin-chap-no-xau
https://techcombank.com/thong-tin/blog/no-xau-nhom-2
https://techcombank.com/thong-tin/blog/no-xau
https://techcombank.com/thong-tin/blog/no-xau-la-gi
https://techcombank.com/thong-tin/blog/cic-la-gi
https://techcombank.com/thong-tin/blog/cam-ket-tin-dung
https://techcombank.com/thong-tin/blog/thanh-toan-tra-gop-qua-the-tin-dung
https://techcombank.com/thong-tin/blog/no-chu-y-la-gi
https://techcombank.com/thong-tin/blog/thanh-toan-toi-thieu-the-tin-dung
https://techcombank.com/thong-tin/blog/cach-huy-the-tin-dung
https://techcombank.com/thong-tin/blog/tra-gop-hoc-phi
https://techcombank.com/thong-tin/blog/lap-ke-hoach-chi-tieu-ca-nhan
https://techcombank.com/thong-tin/blog/ma-qr-lam-gia-duoc-khong
https://techcombank.com/thong-tin/blog/the-ghi-no-co-rut-tien-duoc-khong
https://techcombank.com/thong-tin/blog/cach-tinh-thue-ho-kinh-doanh-nho-le
https://techcombank.com/thong-tin/blog/cach-su-dung-the-ghi-no</v>
      </c>
      <c r="J72" s="26" t="s">
        <v>188</v>
      </c>
    </row>
    <row r="73" ht="82.5" customHeight="1">
      <c r="A73" s="12">
        <v>72.0</v>
      </c>
      <c r="B73" s="13" t="s">
        <v>1503</v>
      </c>
      <c r="C73" s="13" t="s">
        <v>117</v>
      </c>
      <c r="D73" s="21">
        <f>COUNTIF('Kế hoạch chèn link (mới)'!$B$3:$B$2944,C73)</f>
        <v>30</v>
      </c>
      <c r="E73" s="21">
        <f>IFERROR(VLOOKUP(C73,'Link trỏ về từng trang đích'!$B$2:$D$76,3,0),"")</f>
        <v>30</v>
      </c>
      <c r="F73" s="13" t="str">
        <f t="shared" si="1"/>
        <v>Đủ link</v>
      </c>
      <c r="G73" s="13" t="str">
        <f>IF(IFERROR(VLOOKUP(C73,'Inlink đã chèn'!$B$2:$C$200,2,0),0)&gt;0,"Đã có anchor text trỏ về","Chưa có anchor text trỏ về")</f>
        <v>Chưa có anchor text trỏ về</v>
      </c>
      <c r="H73" s="13" t="str">
        <f>IFERROR(__xludf.DUMMYFUNCTION("IFERROR(TEXTJOIN("", "",TRUE,UNIQUE(FILTER('Kế hoạch chèn link (mới)'!$D$3:$D$2944,'Kế hoạch chèn link (mới)'!$B$3:$B$2944=C73))),"""")"),"nên vay tín chấp ở đâu")</f>
        <v>nên vay tín chấp ở đâu</v>
      </c>
      <c r="I73" s="13" t="str">
        <f>IFERROR(__xludf.DUMMYFUNCTION("IFERROR(TEXTJOIN(CHAR(10),TRUE,FILTER('Kế hoạch chèn link (mới)'!$F$3:$F$2944,'Kế hoạch chèn link (mới)'!$B$3:$B$2944=C73)),"""")"),"https://techcombank.com/thong-tin/blog/vay-tin-chap-toi-da-duoc-bao-nhieu
https://techcombank.com/thong-tin/blog/lai-suat-vay-tin-chap
https://techcombank.com/thong-tin/blog/bao-hiem-suc-khoe-la-gi
https://techcombank.com/thong-tin/blog/mua-chung-chi-quy
"&amp;"https://techcombank.com/thong-tin/blog/lam-the-tin-dung
https://techcombank.com/thong-tin/blog/vay-ngan-hang-chi-can-cccd
https://techcombank.com/thong-tin/blog/lam-the-visa-o-dau
https://techcombank.com/thong-tin/blog/vay-the-chap-khong-chung-minh-thu-nh"&amp;"ap
https://techcombank.com/thong-tin/blog/the-tin-dung-la-gi
https://techcombank.com/thong-tin/blog/mo-them-tai-khoan-ngan-hang-cho-cong-ty
https://techcombank.com/thong-tin/blog/dang-vay-tra-gop-co-vay-them-duoc-khong
https://techcombank.com/thong-tin/bl"&amp;"og/vay-tin-chap-khong-tra-duoc-co-sao-khong
https://techcombank.com/thong-tin/blog/chuong-trinh-khach-hang-than-thiet
https://techcombank.com/thong-tin/blog/lich-su-tin-dung
https://techcombank.com/thong-tin/blog/the-ghi-no-co-chuyen-khoan-duoc-khong
http"&amp;"s://techcombank.com/thong-tin/blog/1-nguoi-co-the-lam-duoc-bao-nhieu-the-atm
https://techcombank.com/thong-tin/blog/barcode-la-gi
https://techcombank.com/thong-tin/blog/cach-chuyen-tien-qua-ma-qr-techcombank
https://techcombank.com/thong-tin/blog/co-nen-g"&amp;"ui-chung-chi-tien-gui
https://techcombank.com/thong-tin/blog/gio-lam-viec-techcombank
https://techcombank.com/thong-tin/blog/ho-so-thu-tuc-xoa-the-chap
https://techcombank.com/thong-tin/blog/ke-hoach-tai-chinh
https://techcombank.com/thong-tin/blog/kich-h"&amp;"oat-the-tin-dung-techcombank
https://techcombank.com/thong-tin/blog/phan-mem-xuat-hoa-don-dien-tu
https://techcombank.com/thong-tin/blog/quan-ly-chi-phi-doanh-nghiep
https://techcombank.com/thong-tin/blog/tai-khoan-ngan-hang-duoi-50k-co-bi-khoa-khong
http"&amp;"s://techcombank.com/thong-tin/blog/thanh-lap-ho-kinh-doanh-ca-the
https://techcombank.com/thong-tin/blog/thanh-toan-truc-tuyen
https://techcombank.com/thong-tin/blog/the-tin-dung-bi-khoa
https://techcombank.com/thong-tin/blog/tra-no-vay-thau-chi-nhu-the-n"&amp;"ao")</f>
        <v>https://techcombank.com/thong-tin/blog/vay-tin-chap-toi-da-duoc-bao-nhieu
https://techcombank.com/thong-tin/blog/lai-suat-vay-tin-chap
https://techcombank.com/thong-tin/blog/bao-hiem-suc-khoe-la-gi
https://techcombank.com/thong-tin/blog/mua-chung-chi-quy
https://techcombank.com/thong-tin/blog/lam-the-tin-dung
https://techcombank.com/thong-tin/blog/vay-ngan-hang-chi-can-cccd
https://techcombank.com/thong-tin/blog/lam-the-visa-o-dau
https://techcombank.com/thong-tin/blog/vay-the-chap-khong-chung-minh-thu-nhap
https://techcombank.com/thong-tin/blog/the-tin-dung-la-gi
https://techcombank.com/thong-tin/blog/mo-them-tai-khoan-ngan-hang-cho-cong-ty
https://techcombank.com/thong-tin/blog/dang-vay-tra-gop-co-vay-them-duoc-khong
https://techcombank.com/thong-tin/blog/vay-tin-chap-khong-tra-duoc-co-sao-khong
https://techcombank.com/thong-tin/blog/chuong-trinh-khach-hang-than-thiet
https://techcombank.com/thong-tin/blog/lich-su-tin-dung
https://techcombank.com/thong-tin/blog/the-ghi-no-co-chuyen-khoan-duoc-khong
https://techcombank.com/thong-tin/blog/1-nguoi-co-the-lam-duoc-bao-nhieu-the-atm
https://techcombank.com/thong-tin/blog/barcode-la-gi
https://techcombank.com/thong-tin/blog/cach-chuyen-tien-qua-ma-qr-techcombank
https://techcombank.com/thong-tin/blog/co-nen-gui-chung-chi-tien-gui
https://techcombank.com/thong-tin/blog/gio-lam-viec-techcombank
https://techcombank.com/thong-tin/blog/ho-so-thu-tuc-xoa-the-chap
https://techcombank.com/thong-tin/blog/ke-hoach-tai-chinh
https://techcombank.com/thong-tin/blog/kich-hoat-the-tin-dung-techcombank
https://techcombank.com/thong-tin/blog/phan-mem-xuat-hoa-don-dien-tu
https://techcombank.com/thong-tin/blog/quan-ly-chi-phi-doanh-nghiep
https://techcombank.com/thong-tin/blog/tai-khoan-ngan-hang-duoi-50k-co-bi-khoa-khong
https://techcombank.com/thong-tin/blog/thanh-lap-ho-kinh-doanh-ca-the
https://techcombank.com/thong-tin/blog/thanh-toan-truc-tuyen
https://techcombank.com/thong-tin/blog/the-tin-dung-bi-khoa
https://techcombank.com/thong-tin/blog/tra-no-vay-thau-chi-nhu-the-nao</v>
      </c>
      <c r="J73" s="26" t="s">
        <v>188</v>
      </c>
    </row>
    <row r="74" ht="82.5" customHeight="1">
      <c r="A74" s="12">
        <v>73.0</v>
      </c>
      <c r="B74" s="13" t="s">
        <v>1503</v>
      </c>
      <c r="C74" s="13" t="s">
        <v>722</v>
      </c>
      <c r="D74" s="21">
        <f>COUNTIF('Kế hoạch chèn link (mới)'!$B$3:$B$2944,C74)</f>
        <v>30</v>
      </c>
      <c r="E74" s="21">
        <f>IFERROR(VLOOKUP(C74,'Link trỏ về từng trang đích'!$B$2:$D$76,3,0),"")</f>
        <v>30</v>
      </c>
      <c r="F74" s="13" t="str">
        <f t="shared" si="1"/>
        <v>Đủ link</v>
      </c>
      <c r="G74" s="13" t="str">
        <f>IF(IFERROR(VLOOKUP(C74,'Inlink đã chèn'!$B$2:$C$200,2,0),0)&gt;0,"Đã có anchor text trỏ về","Chưa có anchor text trỏ về")</f>
        <v>Chưa có anchor text trỏ về</v>
      </c>
      <c r="H74" s="13" t="str">
        <f>IFERROR(__xludf.DUMMYFUNCTION("IFERROR(TEXTJOIN("", "",TRUE,UNIQUE(FILTER('Kế hoạch chèn link (mới)'!$D$3:$D$2944,'Kế hoạch chèn link (mới)'!$B$3:$B$2944=C74))),"""")"),"nợ xấu, nợ xấu là gì")</f>
        <v>nợ xấu, nợ xấu là gì</v>
      </c>
      <c r="I74" s="13" t="str">
        <f>IFERROR(__xludf.DUMMYFUNCTION("IFERROR(TEXTJOIN(CHAR(10),TRUE,FILTER('Kế hoạch chèn link (mới)'!$F$3:$F$2944,'Kế hoạch chèn link (mới)'!$B$3:$B$2944=C74)),"""")"),"https://techcombank.com/thong-tin/blog/no-nhom-3
https://techcombank.com/thong-tin/blog/co-nen-dung-the-tin-dung-khong
https://techcombank.com/thong-tin/blog/du-no-tin-dung-la-gi
https://techcombank.com/thong-tin/blog/no-the-tin-dung-qua-han
https://techc"&amp;"ombank.com/thong-tin/blog/no-xau
https://techcombank.com/thong-tin/blog/lam-the-tin-dung
https://techcombank.com/thong-tin/blog/nim-la-gi
https://techcombank.com/thong-tin/blog/cach-dang-ky-the-visa
https://techcombank.com/thong-tin/blog/the-tin-dung-phu-"&amp;"la-gi
https://techcombank.com/thong-tin/blog/vay-tien-mat
https://techcombank.com/thong-tin/blog/lai-suat-vay-tin-chap
https://techcombank.com/thong-tin/blog/vay-tin-chap-la-gi
https://techcombank.com/thong-tin/blog/nang-han-muc-tin-dung
https://techcomba"&amp;"nk.com/thong-tin/blog/vay-thau-chi-la-gi
https://techcombank.com/thong-tin/blog/ho-so-vay-tin-chap
https://techcombank.com/thong-tin/blog/phi-rut-tien-mat-the-tin-dung
https://techcombank.com/thong-tin/blog/du-no-la-gi
https://techcombank.com/thong-tin/bl"&amp;"og/kiem-tra-no-xau
https://techcombank.com/thong-tin/blog/qua-han-thanh-toan-the-tin-dung-1-ngay
https://techcombank.com/thong-tin/blog/no-xau-co-lam-the-visa-duoc-khong
https://techcombank.com/thong-tin/blog/thanh-toan-toi-thieu-the-tin-dung
https://tech"&amp;"combank.com/thong-tin/blog/the-tin-dung-bi-khoa
https://techcombank.com/thong-tin/blog/no-xau-mo-the-tin-dung-duoc-khong
https://techcombank.com/thong-tin/blog/no-xau-co-vay-the-chap-duoc-khong
https://techcombank.com/thong-tin/blog/vay-tin-chap-no-xau
ht"&amp;"tps://techcombank.com/thong-tin/blog/lai-suat-qua-han
https://techcombank.com/thong-tin/blog/cic-la-gi
https://techcombank.com/thong-tin/blog/vay-tin-chap-theo-luong
https://techcombank.com/thong-tin/blog/dieu-kien-vay-the-chap
https://techcombank.com/tho"&amp;"ng-tin/blog/vay-the-chap-khong-tra-duoc")</f>
        <v>https://techcombank.com/thong-tin/blog/no-nhom-3
https://techcombank.com/thong-tin/blog/co-nen-dung-the-tin-dung-khong
https://techcombank.com/thong-tin/blog/du-no-tin-dung-la-gi
https://techcombank.com/thong-tin/blog/no-the-tin-dung-qua-han
https://techcombank.com/thong-tin/blog/no-xau
https://techcombank.com/thong-tin/blog/lam-the-tin-dung
https://techcombank.com/thong-tin/blog/nim-la-gi
https://techcombank.com/thong-tin/blog/cach-dang-ky-the-visa
https://techcombank.com/thong-tin/blog/the-tin-dung-phu-la-gi
https://techcombank.com/thong-tin/blog/vay-tien-mat
https://techcombank.com/thong-tin/blog/lai-suat-vay-tin-chap
https://techcombank.com/thong-tin/blog/vay-tin-chap-la-gi
https://techcombank.com/thong-tin/blog/nang-han-muc-tin-dung
https://techcombank.com/thong-tin/blog/vay-thau-chi-la-gi
https://techcombank.com/thong-tin/blog/ho-so-vay-tin-chap
https://techcombank.com/thong-tin/blog/phi-rut-tien-mat-the-tin-dung
https://techcombank.com/thong-tin/blog/du-no-la-gi
https://techcombank.com/thong-tin/blog/kiem-tra-no-xau
https://techcombank.com/thong-tin/blog/qua-han-thanh-toan-the-tin-dung-1-ngay
https://techcombank.com/thong-tin/blog/no-xau-co-lam-the-visa-duoc-khong
https://techcombank.com/thong-tin/blog/thanh-toan-toi-thieu-the-tin-dung
https://techcombank.com/thong-tin/blog/the-tin-dung-bi-khoa
https://techcombank.com/thong-tin/blog/no-xau-mo-the-tin-dung-duoc-khong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v>
      </c>
      <c r="J74" s="26" t="s">
        <v>188</v>
      </c>
    </row>
    <row r="75" ht="82.5" customHeight="1">
      <c r="A75" s="12">
        <v>74.0</v>
      </c>
      <c r="B75" s="13" t="s">
        <v>1503</v>
      </c>
      <c r="C75" s="13" t="s">
        <v>878</v>
      </c>
      <c r="D75" s="21">
        <f>COUNTIF('Kế hoạch chèn link (mới)'!$B$3:$B$2944,C75)</f>
        <v>7</v>
      </c>
      <c r="E75" s="21">
        <f>IFERROR(VLOOKUP(C75,'Link trỏ về từng trang đích'!$B$2:$D$76,3,0),"")</f>
        <v>30</v>
      </c>
      <c r="F75" s="13" t="str">
        <f t="shared" si="1"/>
        <v>Thiếu 23 link</v>
      </c>
      <c r="G75" s="13" t="str">
        <f>IF(IFERROR(VLOOKUP(C75,'Inlink đã chèn'!$B$2:$C$200,2,0),0)&gt;0,"Đã có anchor text trỏ về","Chưa có anchor text trỏ về")</f>
        <v>Chưa có anchor text trỏ về</v>
      </c>
      <c r="H75" s="13" t="str">
        <f>IFERROR(__xludf.DUMMYFUNCTION("IFERROR(TEXTJOIN("", "",TRUE,UNIQUE(FILTER('Kế hoạch chèn link (mới)'!$D$3:$D$2944,'Kế hoạch chèn link (mới)'!$B$3:$B$2944=C75))),"""")"),"vay tín chấp không trả được có sao không")</f>
        <v>vay tín chấp không trả được có sao không</v>
      </c>
      <c r="I75" s="13" t="str">
        <f>IFERROR(__xludf.DUMMYFUNCTION("IFERROR(TEXTJOIN(CHAR(10),TRUE,FILTER('Kế hoạch chèn link (mới)'!$F$3:$F$2944,'Kế hoạch chèn link (mới)'!$B$3:$B$2944=C75)),"""")"),"https://techcombank.com/thong-tin/blog/vay-the-chap-khong-tra-duoc
https://techcombank.com/thong-tin/blog/lai-suat-qua-han
https://techcombank.com/thong-tin/blog/no-the-tin-dung-qua-han
https://techcombank.com/thong-tin/blog/vay-tin-chap-la-gi
https://tec"&amp;"hcombank.com/thong-tin/blog/vay-200-trieu
https://techcombank.com/thong-tin/blog/vay-20-trieu
https://techcombank.com/thong-tin/blog/cac-hinh-thuc-cho-vay-tieu-dung")</f>
        <v>https://techcombank.com/thong-tin/blog/vay-the-chap-khong-tra-duoc
https://techcombank.com/thong-tin/blog/lai-suat-qua-han
https://techcombank.com/thong-tin/blog/no-the-tin-dung-qua-han
https://techcombank.com/thong-tin/blog/vay-tin-chap-la-gi
https://techcombank.com/thong-tin/blog/vay-200-trieu
https://techcombank.com/thong-tin/blog/vay-20-trieu
https://techcombank.com/thong-tin/blog/cac-hinh-thuc-cho-vay-tieu-dung</v>
      </c>
      <c r="J75" s="26" t="s">
        <v>188</v>
      </c>
    </row>
    <row r="76" ht="82.5" customHeight="1">
      <c r="A76" s="12">
        <v>75.0</v>
      </c>
      <c r="B76" s="13" t="s">
        <v>1852</v>
      </c>
      <c r="C76" s="13" t="s">
        <v>1435</v>
      </c>
      <c r="D76" s="21">
        <f>COUNTIF('Kế hoạch chèn link (mới)'!$B$3:$B$2944,C76)</f>
        <v>30</v>
      </c>
      <c r="E76" s="21">
        <f>IFERROR(VLOOKUP(C76,'Link trỏ về từng trang đích'!$B$2:$D$76,3,0),"")</f>
        <v>30</v>
      </c>
      <c r="F76" s="13" t="str">
        <f t="shared" si="1"/>
        <v>Đủ link</v>
      </c>
      <c r="G76" s="13" t="str">
        <f>IF(IFERROR(VLOOKUP(C76,'Inlink đã chèn'!$B$2:$C$200,2,0),0)&gt;0,"Đã có anchor text trỏ về","Chưa có anchor text trỏ về")</f>
        <v>Chưa có anchor text trỏ về</v>
      </c>
      <c r="H76" s="13" t="str">
        <f>IFERROR(__xludf.DUMMYFUNCTION("IFERROR(TEXTJOIN("", "",TRUE,UNIQUE(FILTER('Kế hoạch chèn link (mới)'!$D$3:$D$2944,'Kế hoạch chèn link (mới)'!$B$3:$B$2944=C76))),"""")"),"cách đầu tư chứng chỉ quỹ, đầu tư chứng chỉ quỹ cho người mới, phương pháp đầu tư chứng chỉ quỹ")</f>
        <v>cách đầu tư chứng chỉ quỹ, đầu tư chứng chỉ quỹ cho người mới, phương pháp đầu tư chứng chỉ quỹ</v>
      </c>
      <c r="I76" s="13" t="str">
        <f>IFERROR(__xludf.DUMMYFUNCTION("IFERROR(TEXTJOIN(CHAR(10),TRUE,FILTER('Kế hoạch chèn link (mới)'!$F$3:$F$2944,'Kế hoạch chèn link (mới)'!$B$3:$B$2944=C76)),"""")"),"https://techcombank.com/thong-tin/blog/chung-chi-quy
https://techcombank.com/thong-tin/blog/mua-chung-chi-quy
https://techcombank.com/thong-tin/blog/app-theo-doi-chung-chi-quy
https://techcombank.com/thong-tin/blog/chung-chi-quy-va-co-phieu
https://techco"&amp;"mbank.com/thong-tin/blog/gui-tiet-kiem-vang
https://techcombank.com/thong-tin/blog/bang-gia-chung-chi-quy
https://techcombank.com/thong-tin/blog/cach-dau-tu
https://techcombank.com/thong-tin/blog/thoi-gian-khop-lech-chung-chi-quy
https://techcombank.com/t"&amp;"hong-tin/blog/gia-chung-chi-quy-la-gi
https://techcombank.com/thong-tin/blog/lap-ke-hoach-tai-chinh-ca-nhan
https://techcombank.com/thong-tin/blog/lai-suat-chung-chi-quy
https://techcombank.com/thong-tin/blog/6-chiec-lo-tai-chinh-ca-nhan
https://techcomba"&amp;"nk.com/thong-tin/blog/phan-bo-tai-san
https://techcombank.com/thong-tin/blog/phan-mem-lap-ke-hoach-tai-chinh-ca-nhan
https://techcombank.com/thong-tin/blog/gia-tri-tai-san-rong
https://techcombank.com/thong-tin/blog/hu-chi-tieu
https://techcombank.com/tho"&amp;"ng-tin/blog/danh-muc-dau-tu
https://techcombank.com/thong-tin/blog/dau-co-va-dau-tu
https://techcombank.com/thong-tin/blog/dau-tu-tai-chinh-ca-nhan
https://techcombank.com/thong-tin/blog/dau-tu-dai-han
https://techcombank.com/thong-tin/blog/chung-chi-quy-"&amp;"va-chung-khoan
https://techcombank.com/thong-tin/blog/vi-du-ve-ca-nhan-hoa
https://techcombank.com/thong-tin/blog/tien-nhan-roi-nen-lam-gi
https://techcombank.com/thong-tin/blog/dinh-cu-chau-au
https://techcombank.com/thong-tin/blog/dau-tu-ngan-han
https:"&amp;"//techcombank.com/thong-tin/blog/chien-luoc-dau-tu
https://techcombank.com/thong-tin/blog/app-gui-tien-tiet-kiem
https://techcombank.com/thong-tin/blog/cac-chung-chi-quy-o-viet-nam
https://techcombank.com/thong-tin/blog/cam-nang-dinh-cu-my
https://techcom"&amp;"bank.com/thong-tin/blog/co-nen-gui-chung-chi-tien-gui")</f>
        <v>https://techcombank.com/thong-tin/blog/chung-chi-quy
https://techcombank.com/thong-tin/blog/mua-chung-chi-quy
https://techcombank.com/thong-tin/blog/app-theo-doi-chung-chi-quy
https://techcombank.com/thong-tin/blog/chung-chi-quy-va-co-phieu
https://techcombank.com/thong-tin/blog/gui-tiet-kiem-vang
https://techcombank.com/thong-tin/blog/bang-gia-chung-chi-quy
https://techcombank.com/thong-tin/blog/cach-dau-tu
https://techcombank.com/thong-tin/blog/thoi-gian-khop-lech-chung-chi-quy
https://techcombank.com/thong-tin/blog/gia-chung-chi-quy-la-gi
https://techcombank.com/thong-tin/blog/lap-ke-hoach-tai-chinh-ca-nhan
https://techcombank.com/thong-tin/blog/lai-suat-chung-chi-quy
https://techcombank.com/thong-tin/blog/6-chiec-lo-tai-chinh-ca-nhan
https://techcombank.com/thong-tin/blog/phan-bo-tai-san
https://techcombank.com/thong-tin/blog/phan-mem-lap-ke-hoach-tai-chinh-ca-nhan
https://techcombank.com/thong-tin/blog/gia-tri-tai-san-rong
https://techcombank.com/thong-tin/blog/hu-chi-tieu
https://techcombank.com/thong-tin/blog/danh-muc-dau-tu
https://techcombank.com/thong-tin/blog/dau-co-va-dau-tu
https://techcombank.com/thong-tin/blog/dau-tu-tai-chinh-ca-nhan
https://techcombank.com/thong-tin/blog/dau-tu-dai-han
https://techcombank.com/thong-tin/blog/chung-chi-quy-va-chung-khoan
https://techcombank.com/thong-tin/blog/vi-du-ve-ca-nhan-hoa
https://techcombank.com/thong-tin/blog/tien-nhan-roi-nen-lam-gi
https://techcombank.com/thong-tin/blog/dinh-cu-chau-au
https://techcombank.com/thong-tin/blog/dau-tu-ngan-han
https://techcombank.com/thong-tin/blog/chien-luoc-dau-tu
https://techcombank.com/thong-tin/blog/app-gui-tien-tiet-kiem
https://techcombank.com/thong-tin/blog/cac-chung-chi-quy-o-viet-nam
https://techcombank.com/thong-tin/blog/cam-nang-dinh-cu-my
https://techcombank.com/thong-tin/blog/co-nen-gui-chung-chi-tien-gui</v>
      </c>
      <c r="J76" s="26" t="s">
        <v>188</v>
      </c>
    </row>
  </sheetData>
  <autoFilter ref="$A$1:$J$76"/>
  <conditionalFormatting sqref="F2:F76">
    <cfRule type="beginsWith" dxfId="2" priority="1" stopIfTrue="1" operator="beginsWith" text="Thiếu">
      <formula>LEFT((F2),LEN("Thiếu"))=("Thiếu")</formula>
    </cfRule>
  </conditionalFormatting>
  <conditionalFormatting sqref="F2:F76">
    <cfRule type="cellIs" dxfId="3" priority="2" stopIfTrue="1" operator="equal">
      <formula>"Đủ link"</formula>
    </cfRule>
  </conditionalFormatting>
  <conditionalFormatting sqref="G2:G76">
    <cfRule type="beginsWith" dxfId="4" priority="3" stopIfTrue="1" operator="beginsWith" text="Đã có">
      <formula>LEFT((G2),LEN("Đã có"))=("Đã có")</formula>
    </cfRule>
  </conditionalFormatting>
  <conditionalFormatting sqref="G2:G76">
    <cfRule type="beginsWith" dxfId="5" priority="4" stopIfTrue="1" operator="beginsWith" text="Chưa có">
      <formula>LEFT((G2),LEN("Chưa có"))=("Chưa có")</formula>
    </cfRule>
  </conditionalFormatting>
  <conditionalFormatting sqref="J2:J76">
    <cfRule type="cellIs" dxfId="6" priority="5" stopIfTrue="1" operator="equal">
      <formula>"Đã xong"</formula>
    </cfRule>
  </conditionalFormatting>
  <conditionalFormatting sqref="J2:J76">
    <cfRule type="cellIs" dxfId="7" priority="6" stopIfTrue="1" operator="equal">
      <formula>"Đang làm"</formula>
    </cfRule>
  </conditionalFormatting>
  <conditionalFormatting sqref="J2:J76">
    <cfRule type="cellIs" dxfId="4" priority="7" stopIfTrue="1" operator="equal">
      <formula>"Cần bổ sung Inlink"</formula>
    </cfRule>
  </conditionalFormatting>
  <dataValidations>
    <dataValidation type="list" allowBlank="1" showErrorMessage="1" sqref="J2:J76">
      <formula1>"Cần bổ sung Inlink,Cần sửa anchor text,Đang làm,Đã xong"</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1.5"/>
    <col customWidth="1" min="2" max="2" width="62.75"/>
    <col customWidth="1" hidden="1" min="3" max="3" width="10.38"/>
    <col customWidth="1" min="4" max="4" width="34.63"/>
    <col customWidth="1" min="5" max="5" width="13.13"/>
    <col customWidth="1" min="6" max="6" width="59.13"/>
    <col customWidth="1" min="7" max="7" width="37.75"/>
    <col customWidth="1" min="8" max="8" width="45.13"/>
    <col customWidth="1" min="9" max="9" width="31.38"/>
    <col customWidth="1" min="10" max="10" width="13.25"/>
    <col customWidth="1" min="11" max="11" width="14.5"/>
    <col customWidth="1" min="12" max="12" width="25.13"/>
    <col hidden="1" min="13" max="14" width="12.63"/>
  </cols>
  <sheetData>
    <row r="1" ht="49.5" customHeight="1">
      <c r="A1" s="6" t="s">
        <v>8</v>
      </c>
      <c r="E1" s="8" t="s">
        <v>28</v>
      </c>
    </row>
    <row r="2" ht="33.0" customHeight="1">
      <c r="A2" s="9" t="s">
        <v>12</v>
      </c>
      <c r="B2" s="11" t="s">
        <v>48</v>
      </c>
      <c r="C2" s="11" t="s">
        <v>54</v>
      </c>
      <c r="D2" s="11" t="s">
        <v>58</v>
      </c>
      <c r="E2" s="11" t="s">
        <v>59</v>
      </c>
      <c r="F2" s="11" t="s">
        <v>63</v>
      </c>
      <c r="G2" s="11" t="s">
        <v>65</v>
      </c>
      <c r="H2" s="11" t="s">
        <v>67</v>
      </c>
      <c r="I2" s="11" t="s">
        <v>53</v>
      </c>
      <c r="J2" s="11" t="s">
        <v>70</v>
      </c>
      <c r="K2" s="11" t="s">
        <v>73</v>
      </c>
      <c r="L2" s="14" t="s">
        <v>75</v>
      </c>
      <c r="M2" s="15" t="s">
        <v>77</v>
      </c>
      <c r="N2" s="15" t="s">
        <v>79</v>
      </c>
      <c r="O2" s="15"/>
      <c r="P2" s="15"/>
    </row>
    <row r="3">
      <c r="A3" s="16">
        <v>1.0</v>
      </c>
      <c r="B3" s="17" t="s">
        <v>72</v>
      </c>
      <c r="C3" s="18">
        <v>1.0</v>
      </c>
      <c r="D3" s="19" t="s">
        <v>88</v>
      </c>
      <c r="E3" s="20" t="s">
        <v>91</v>
      </c>
      <c r="F3" s="17" t="s">
        <v>93</v>
      </c>
      <c r="G3" s="17" t="s">
        <v>94</v>
      </c>
      <c r="H3" s="17" t="s">
        <v>96</v>
      </c>
      <c r="I3" s="17" t="s">
        <v>98</v>
      </c>
      <c r="J3" s="22" t="s">
        <v>100</v>
      </c>
      <c r="K3" s="23" t="s">
        <v>108</v>
      </c>
      <c r="L3" s="24" t="s">
        <v>91</v>
      </c>
      <c r="M3" s="2">
        <v>1.0</v>
      </c>
      <c r="N3" s="25">
        <v>10.0</v>
      </c>
      <c r="O3" s="25"/>
      <c r="P3" s="25"/>
    </row>
    <row r="4">
      <c r="A4" s="16">
        <v>2.0</v>
      </c>
      <c r="B4" s="17" t="s">
        <v>72</v>
      </c>
      <c r="C4" s="18">
        <v>2.0</v>
      </c>
      <c r="D4" s="19" t="s">
        <v>121</v>
      </c>
      <c r="E4" s="20" t="s">
        <v>91</v>
      </c>
      <c r="F4" s="17" t="s">
        <v>106</v>
      </c>
      <c r="G4" s="17" t="s">
        <v>123</v>
      </c>
      <c r="H4" s="17" t="s">
        <v>124</v>
      </c>
      <c r="I4" s="17" t="s">
        <v>125</v>
      </c>
      <c r="J4" s="22" t="s">
        <v>100</v>
      </c>
      <c r="K4" s="23" t="s">
        <v>108</v>
      </c>
      <c r="L4" s="24" t="s">
        <v>91</v>
      </c>
      <c r="M4" s="2">
        <v>1.0</v>
      </c>
      <c r="N4" s="25">
        <v>11.0</v>
      </c>
      <c r="O4" s="25"/>
      <c r="P4" s="25"/>
    </row>
    <row r="5">
      <c r="A5" s="16">
        <v>3.0</v>
      </c>
      <c r="B5" s="17" t="s">
        <v>72</v>
      </c>
      <c r="C5" s="18">
        <v>3.0</v>
      </c>
      <c r="D5" s="19" t="s">
        <v>88</v>
      </c>
      <c r="E5" s="20" t="s">
        <v>91</v>
      </c>
      <c r="F5" s="17" t="s">
        <v>131</v>
      </c>
      <c r="G5" s="17" t="s">
        <v>132</v>
      </c>
      <c r="H5" s="17" t="s">
        <v>134</v>
      </c>
      <c r="I5" s="17" t="s">
        <v>98</v>
      </c>
      <c r="J5" s="22" t="s">
        <v>135</v>
      </c>
      <c r="K5" s="23" t="s">
        <v>108</v>
      </c>
      <c r="L5" s="24" t="s">
        <v>91</v>
      </c>
      <c r="M5" s="2">
        <v>1.0</v>
      </c>
      <c r="N5" s="25">
        <v>20.0</v>
      </c>
      <c r="O5" s="25"/>
      <c r="P5" s="25"/>
    </row>
    <row r="6">
      <c r="A6" s="16">
        <v>4.0</v>
      </c>
      <c r="B6" s="17" t="s">
        <v>72</v>
      </c>
      <c r="C6" s="18">
        <v>4.0</v>
      </c>
      <c r="D6" s="19" t="s">
        <v>121</v>
      </c>
      <c r="E6" s="20" t="s">
        <v>91</v>
      </c>
      <c r="F6" s="17" t="s">
        <v>109</v>
      </c>
      <c r="G6" s="17" t="s">
        <v>141</v>
      </c>
      <c r="H6" s="17" t="s">
        <v>142</v>
      </c>
      <c r="I6" s="17" t="s">
        <v>98</v>
      </c>
      <c r="J6" s="22" t="s">
        <v>144</v>
      </c>
      <c r="K6" s="23" t="s">
        <v>108</v>
      </c>
      <c r="L6" s="24" t="s">
        <v>91</v>
      </c>
      <c r="M6" s="2">
        <v>1.0</v>
      </c>
      <c r="N6" s="25">
        <v>30.0</v>
      </c>
      <c r="O6" s="25"/>
      <c r="P6" s="25"/>
    </row>
    <row r="7">
      <c r="A7" s="16">
        <v>5.0</v>
      </c>
      <c r="B7" s="17" t="s">
        <v>72</v>
      </c>
      <c r="C7" s="18">
        <v>5.0</v>
      </c>
      <c r="D7" s="19" t="s">
        <v>88</v>
      </c>
      <c r="E7" s="20" t="s">
        <v>91</v>
      </c>
      <c r="F7" s="17" t="s">
        <v>146</v>
      </c>
      <c r="G7" s="17" t="s">
        <v>147</v>
      </c>
      <c r="H7" s="17" t="s">
        <v>148</v>
      </c>
      <c r="I7" s="17" t="s">
        <v>125</v>
      </c>
      <c r="J7" s="22" t="s">
        <v>144</v>
      </c>
      <c r="K7" s="23" t="s">
        <v>108</v>
      </c>
      <c r="L7" s="24" t="s">
        <v>91</v>
      </c>
      <c r="M7" s="2">
        <v>1.0</v>
      </c>
      <c r="N7" s="25">
        <v>31.0</v>
      </c>
      <c r="O7" s="25"/>
      <c r="P7" s="25"/>
    </row>
    <row r="8">
      <c r="A8" s="16">
        <v>6.0</v>
      </c>
      <c r="B8" s="17" t="s">
        <v>72</v>
      </c>
      <c r="C8" s="18">
        <v>6.0</v>
      </c>
      <c r="D8" s="19" t="s">
        <v>88</v>
      </c>
      <c r="E8" s="20" t="s">
        <v>91</v>
      </c>
      <c r="F8" s="17" t="s">
        <v>156</v>
      </c>
      <c r="G8" s="17" t="s">
        <v>157</v>
      </c>
      <c r="H8" s="17" t="s">
        <v>159</v>
      </c>
      <c r="I8" s="17" t="s">
        <v>125</v>
      </c>
      <c r="J8" s="22" t="s">
        <v>144</v>
      </c>
      <c r="K8" s="23" t="s">
        <v>108</v>
      </c>
      <c r="L8" s="24" t="s">
        <v>91</v>
      </c>
      <c r="M8" s="2">
        <v>1.0</v>
      </c>
      <c r="N8" s="25">
        <v>31.0</v>
      </c>
      <c r="O8" s="25"/>
      <c r="P8" s="25"/>
    </row>
    <row r="9">
      <c r="A9" s="16">
        <v>7.0</v>
      </c>
      <c r="B9" s="17" t="s">
        <v>72</v>
      </c>
      <c r="C9" s="18">
        <v>7.0</v>
      </c>
      <c r="D9" s="19" t="s">
        <v>167</v>
      </c>
      <c r="E9" s="20" t="s">
        <v>91</v>
      </c>
      <c r="F9" s="17" t="s">
        <v>169</v>
      </c>
      <c r="G9" s="17" t="s">
        <v>170</v>
      </c>
      <c r="H9" s="17" t="s">
        <v>172</v>
      </c>
      <c r="I9" s="17" t="s">
        <v>125</v>
      </c>
      <c r="J9" s="22" t="s">
        <v>144</v>
      </c>
      <c r="K9" s="23" t="s">
        <v>108</v>
      </c>
      <c r="L9" s="24" t="s">
        <v>91</v>
      </c>
      <c r="M9" s="2">
        <v>1.0</v>
      </c>
      <c r="N9" s="25">
        <v>31.0</v>
      </c>
      <c r="O9" s="25"/>
      <c r="P9" s="25"/>
    </row>
    <row r="10">
      <c r="A10" s="16">
        <v>8.0</v>
      </c>
      <c r="B10" s="17" t="s">
        <v>72</v>
      </c>
      <c r="C10" s="18">
        <v>8.0</v>
      </c>
      <c r="D10" s="19" t="s">
        <v>167</v>
      </c>
      <c r="E10" s="20" t="s">
        <v>91</v>
      </c>
      <c r="F10" s="17" t="s">
        <v>187</v>
      </c>
      <c r="G10" s="17" t="s">
        <v>190</v>
      </c>
      <c r="H10" s="17" t="s">
        <v>194</v>
      </c>
      <c r="I10" s="17" t="s">
        <v>125</v>
      </c>
      <c r="J10" s="22" t="s">
        <v>144</v>
      </c>
      <c r="K10" s="23" t="s">
        <v>108</v>
      </c>
      <c r="L10" s="24" t="s">
        <v>91</v>
      </c>
      <c r="M10" s="2">
        <v>1.0</v>
      </c>
      <c r="N10" s="25">
        <v>31.0</v>
      </c>
      <c r="O10" s="25"/>
      <c r="P10" s="25"/>
    </row>
    <row r="11">
      <c r="A11" s="16">
        <v>9.0</v>
      </c>
      <c r="B11" s="27" t="s">
        <v>72</v>
      </c>
      <c r="C11" s="18">
        <v>9.0</v>
      </c>
      <c r="D11" s="19" t="s">
        <v>167</v>
      </c>
      <c r="E11" s="20" t="s">
        <v>91</v>
      </c>
      <c r="F11" s="27" t="s">
        <v>257</v>
      </c>
      <c r="G11" s="17" t="s">
        <v>290</v>
      </c>
      <c r="H11" s="17" t="s">
        <v>294</v>
      </c>
      <c r="I11" s="17" t="s">
        <v>125</v>
      </c>
      <c r="J11" s="22" t="s">
        <v>144</v>
      </c>
      <c r="K11" s="23" t="s">
        <v>108</v>
      </c>
      <c r="L11" s="24"/>
      <c r="M11" s="2">
        <v>1.0</v>
      </c>
      <c r="N11" s="25">
        <v>31.0</v>
      </c>
      <c r="O11" s="25"/>
      <c r="P11" s="25"/>
    </row>
    <row r="12">
      <c r="A12" s="16">
        <v>10.0</v>
      </c>
      <c r="B12" s="17" t="s">
        <v>72</v>
      </c>
      <c r="C12" s="18">
        <v>10.0</v>
      </c>
      <c r="D12" s="19" t="s">
        <v>121</v>
      </c>
      <c r="E12" s="20" t="s">
        <v>91</v>
      </c>
      <c r="F12" s="17" t="s">
        <v>309</v>
      </c>
      <c r="G12" s="17" t="s">
        <v>310</v>
      </c>
      <c r="H12" s="17" t="s">
        <v>312</v>
      </c>
      <c r="I12" s="17" t="s">
        <v>125</v>
      </c>
      <c r="J12" s="22" t="s">
        <v>144</v>
      </c>
      <c r="K12" s="23" t="s">
        <v>108</v>
      </c>
      <c r="L12" s="24" t="s">
        <v>91</v>
      </c>
      <c r="M12" s="2">
        <v>1.0</v>
      </c>
      <c r="N12" s="25">
        <v>31.0</v>
      </c>
      <c r="O12" s="25"/>
      <c r="P12" s="25"/>
    </row>
    <row r="13">
      <c r="A13" s="16">
        <v>11.0</v>
      </c>
      <c r="B13" s="17" t="s">
        <v>72</v>
      </c>
      <c r="C13" s="18">
        <v>11.0</v>
      </c>
      <c r="D13" s="19" t="s">
        <v>326</v>
      </c>
      <c r="E13" s="20" t="s">
        <v>91</v>
      </c>
      <c r="F13" s="17" t="s">
        <v>76</v>
      </c>
      <c r="G13" s="17" t="s">
        <v>331</v>
      </c>
      <c r="H13" s="17" t="s">
        <v>333</v>
      </c>
      <c r="I13" s="17" t="s">
        <v>125</v>
      </c>
      <c r="J13" s="22" t="s">
        <v>144</v>
      </c>
      <c r="K13" s="23" t="s">
        <v>108</v>
      </c>
      <c r="L13" s="24" t="s">
        <v>91</v>
      </c>
      <c r="M13" s="2">
        <v>1.0</v>
      </c>
      <c r="N13" s="25">
        <v>31.0</v>
      </c>
      <c r="O13" s="25"/>
      <c r="P13" s="25"/>
    </row>
    <row r="14">
      <c r="A14" s="16">
        <v>12.0</v>
      </c>
      <c r="B14" s="17" t="s">
        <v>72</v>
      </c>
      <c r="C14" s="18">
        <v>12.0</v>
      </c>
      <c r="D14" s="19" t="s">
        <v>326</v>
      </c>
      <c r="E14" s="20" t="s">
        <v>91</v>
      </c>
      <c r="F14" s="17" t="s">
        <v>350</v>
      </c>
      <c r="G14" s="17" t="s">
        <v>352</v>
      </c>
      <c r="H14" s="17" t="s">
        <v>354</v>
      </c>
      <c r="I14" s="17" t="s">
        <v>125</v>
      </c>
      <c r="J14" s="22" t="s">
        <v>144</v>
      </c>
      <c r="K14" s="23" t="s">
        <v>108</v>
      </c>
      <c r="L14" s="24" t="s">
        <v>91</v>
      </c>
      <c r="M14" s="2">
        <v>1.0</v>
      </c>
      <c r="N14" s="25">
        <v>31.0</v>
      </c>
      <c r="O14" s="25"/>
      <c r="P14" s="25"/>
    </row>
    <row r="15">
      <c r="A15" s="16">
        <v>13.0</v>
      </c>
      <c r="B15" s="17" t="s">
        <v>72</v>
      </c>
      <c r="C15" s="18">
        <v>13.0</v>
      </c>
      <c r="D15" s="19" t="s">
        <v>326</v>
      </c>
      <c r="E15" s="20" t="s">
        <v>91</v>
      </c>
      <c r="F15" s="17" t="s">
        <v>371</v>
      </c>
      <c r="G15" s="17" t="s">
        <v>373</v>
      </c>
      <c r="H15" s="17" t="s">
        <v>376</v>
      </c>
      <c r="I15" s="17" t="s">
        <v>125</v>
      </c>
      <c r="J15" s="22" t="s">
        <v>144</v>
      </c>
      <c r="K15" s="23" t="s">
        <v>108</v>
      </c>
      <c r="L15" s="24" t="s">
        <v>91</v>
      </c>
      <c r="M15" s="2">
        <v>1.0</v>
      </c>
      <c r="N15" s="25">
        <v>31.0</v>
      </c>
      <c r="O15" s="25"/>
      <c r="P15" s="25"/>
    </row>
    <row r="16">
      <c r="A16" s="16">
        <v>14.0</v>
      </c>
      <c r="B16" s="17" t="s">
        <v>72</v>
      </c>
      <c r="C16" s="18">
        <v>14.0</v>
      </c>
      <c r="D16" s="19" t="s">
        <v>326</v>
      </c>
      <c r="E16" s="20" t="s">
        <v>91</v>
      </c>
      <c r="F16" s="17" t="s">
        <v>375</v>
      </c>
      <c r="G16" s="17" t="s">
        <v>391</v>
      </c>
      <c r="H16" s="17" t="s">
        <v>394</v>
      </c>
      <c r="I16" s="17" t="s">
        <v>125</v>
      </c>
      <c r="J16" s="22" t="s">
        <v>144</v>
      </c>
      <c r="K16" s="23" t="s">
        <v>108</v>
      </c>
      <c r="L16" s="24" t="s">
        <v>91</v>
      </c>
      <c r="M16" s="2">
        <v>1.0</v>
      </c>
      <c r="N16" s="25">
        <v>31.0</v>
      </c>
      <c r="O16" s="25"/>
      <c r="P16" s="25"/>
    </row>
    <row r="17">
      <c r="A17" s="16">
        <v>15.0</v>
      </c>
      <c r="B17" s="17" t="s">
        <v>72</v>
      </c>
      <c r="C17" s="18">
        <v>15.0</v>
      </c>
      <c r="D17" s="19" t="s">
        <v>326</v>
      </c>
      <c r="E17" s="20" t="s">
        <v>91</v>
      </c>
      <c r="F17" s="17" t="s">
        <v>209</v>
      </c>
      <c r="G17" s="17" t="s">
        <v>405</v>
      </c>
      <c r="H17" s="17" t="s">
        <v>406</v>
      </c>
      <c r="I17" s="17" t="s">
        <v>125</v>
      </c>
      <c r="J17" s="22" t="s">
        <v>144</v>
      </c>
      <c r="K17" s="23" t="s">
        <v>108</v>
      </c>
      <c r="L17" s="24" t="s">
        <v>91</v>
      </c>
      <c r="M17" s="2">
        <v>1.0</v>
      </c>
      <c r="N17" s="25">
        <v>31.0</v>
      </c>
      <c r="O17" s="25"/>
      <c r="P17" s="25"/>
    </row>
    <row r="18">
      <c r="A18" s="16">
        <v>16.0</v>
      </c>
      <c r="B18" s="17" t="s">
        <v>72</v>
      </c>
      <c r="C18" s="18">
        <v>16.0</v>
      </c>
      <c r="D18" s="19" t="s">
        <v>326</v>
      </c>
      <c r="E18" s="20" t="s">
        <v>91</v>
      </c>
      <c r="F18" s="17" t="s">
        <v>120</v>
      </c>
      <c r="G18" s="17" t="s">
        <v>423</v>
      </c>
      <c r="H18" s="17" t="s">
        <v>426</v>
      </c>
      <c r="I18" s="17" t="s">
        <v>125</v>
      </c>
      <c r="J18" s="22" t="s">
        <v>144</v>
      </c>
      <c r="K18" s="23" t="s">
        <v>108</v>
      </c>
      <c r="L18" s="24" t="s">
        <v>91</v>
      </c>
      <c r="M18" s="2">
        <v>1.0</v>
      </c>
      <c r="N18" s="25">
        <v>31.0</v>
      </c>
      <c r="O18" s="25"/>
      <c r="P18" s="25"/>
    </row>
    <row r="19">
      <c r="A19" s="16">
        <v>17.0</v>
      </c>
      <c r="B19" s="17" t="s">
        <v>198</v>
      </c>
      <c r="C19" s="18">
        <v>1.0</v>
      </c>
      <c r="D19" s="19" t="s">
        <v>441</v>
      </c>
      <c r="E19" s="20" t="s">
        <v>443</v>
      </c>
      <c r="F19" s="17" t="s">
        <v>122</v>
      </c>
      <c r="G19" s="17" t="s">
        <v>123</v>
      </c>
      <c r="H19" s="17" t="s">
        <v>449</v>
      </c>
      <c r="I19" s="17" t="s">
        <v>125</v>
      </c>
      <c r="J19" s="22" t="s">
        <v>135</v>
      </c>
      <c r="K19" s="23" t="s">
        <v>108</v>
      </c>
      <c r="L19" s="24" t="s">
        <v>91</v>
      </c>
      <c r="M19" s="2">
        <v>2.0</v>
      </c>
      <c r="N19" s="25">
        <v>21.0</v>
      </c>
      <c r="O19" s="25"/>
      <c r="P19" s="25"/>
    </row>
    <row r="20">
      <c r="A20" s="16">
        <v>18.0</v>
      </c>
      <c r="B20" s="17" t="s">
        <v>198</v>
      </c>
      <c r="C20" s="18">
        <v>2.0</v>
      </c>
      <c r="D20" s="19" t="s">
        <v>441</v>
      </c>
      <c r="E20" s="20" t="s">
        <v>443</v>
      </c>
      <c r="F20" s="17" t="s">
        <v>461</v>
      </c>
      <c r="G20" s="17" t="s">
        <v>123</v>
      </c>
      <c r="H20" s="17" t="s">
        <v>464</v>
      </c>
      <c r="I20" s="17" t="s">
        <v>125</v>
      </c>
      <c r="J20" s="22" t="s">
        <v>144</v>
      </c>
      <c r="K20" s="23" t="s">
        <v>108</v>
      </c>
      <c r="L20" s="24" t="s">
        <v>91</v>
      </c>
      <c r="M20" s="2">
        <v>2.0</v>
      </c>
      <c r="N20" s="25">
        <v>31.0</v>
      </c>
      <c r="O20" s="25"/>
      <c r="P20" s="25"/>
    </row>
    <row r="21">
      <c r="A21" s="16">
        <v>19.0</v>
      </c>
      <c r="B21" s="17" t="s">
        <v>198</v>
      </c>
      <c r="C21" s="18">
        <v>3.0</v>
      </c>
      <c r="D21" s="19" t="s">
        <v>441</v>
      </c>
      <c r="E21" s="20" t="s">
        <v>443</v>
      </c>
      <c r="F21" s="17" t="s">
        <v>216</v>
      </c>
      <c r="G21" s="17" t="s">
        <v>123</v>
      </c>
      <c r="H21" s="17" t="s">
        <v>482</v>
      </c>
      <c r="I21" s="17" t="s">
        <v>125</v>
      </c>
      <c r="J21" s="22" t="s">
        <v>144</v>
      </c>
      <c r="K21" s="23" t="s">
        <v>108</v>
      </c>
      <c r="L21" s="24" t="s">
        <v>91</v>
      </c>
      <c r="M21" s="2">
        <v>2.0</v>
      </c>
      <c r="N21" s="25">
        <v>31.0</v>
      </c>
      <c r="O21" s="25"/>
      <c r="P21" s="25"/>
    </row>
    <row r="22">
      <c r="A22" s="16">
        <v>20.0</v>
      </c>
      <c r="B22" s="17" t="s">
        <v>198</v>
      </c>
      <c r="C22" s="18">
        <v>4.0</v>
      </c>
      <c r="D22" s="19" t="s">
        <v>441</v>
      </c>
      <c r="E22" s="20" t="s">
        <v>443</v>
      </c>
      <c r="F22" s="17" t="s">
        <v>496</v>
      </c>
      <c r="G22" s="17" t="s">
        <v>498</v>
      </c>
      <c r="H22" s="17" t="s">
        <v>501</v>
      </c>
      <c r="I22" s="17" t="s">
        <v>125</v>
      </c>
      <c r="J22" s="22" t="s">
        <v>144</v>
      </c>
      <c r="K22" s="23" t="s">
        <v>108</v>
      </c>
      <c r="L22" s="24" t="s">
        <v>91</v>
      </c>
      <c r="M22" s="2">
        <v>2.0</v>
      </c>
      <c r="N22" s="25">
        <v>31.0</v>
      </c>
      <c r="O22" s="25"/>
      <c r="P22" s="25"/>
    </row>
    <row r="23">
      <c r="A23" s="16">
        <v>21.0</v>
      </c>
      <c r="B23" s="17" t="s">
        <v>198</v>
      </c>
      <c r="C23" s="18">
        <v>5.0</v>
      </c>
      <c r="D23" s="19" t="s">
        <v>441</v>
      </c>
      <c r="E23" s="20" t="s">
        <v>443</v>
      </c>
      <c r="F23" s="17" t="s">
        <v>515</v>
      </c>
      <c r="G23" s="17" t="s">
        <v>516</v>
      </c>
      <c r="H23" s="17" t="s">
        <v>518</v>
      </c>
      <c r="I23" s="17" t="s">
        <v>521</v>
      </c>
      <c r="J23" s="22" t="s">
        <v>144</v>
      </c>
      <c r="K23" s="23" t="s">
        <v>108</v>
      </c>
      <c r="L23" s="24" t="s">
        <v>91</v>
      </c>
      <c r="M23" s="2">
        <v>2.0</v>
      </c>
      <c r="N23" s="25">
        <v>31.0</v>
      </c>
      <c r="O23" s="25"/>
      <c r="P23" s="25"/>
    </row>
    <row r="24">
      <c r="A24" s="16">
        <v>22.0</v>
      </c>
      <c r="B24" s="17" t="s">
        <v>198</v>
      </c>
      <c r="C24" s="18">
        <v>6.0</v>
      </c>
      <c r="D24" s="19" t="s">
        <v>441</v>
      </c>
      <c r="E24" s="20" t="s">
        <v>443</v>
      </c>
      <c r="F24" s="17" t="s">
        <v>532</v>
      </c>
      <c r="G24" s="17" t="s">
        <v>534</v>
      </c>
      <c r="H24" s="17" t="s">
        <v>536</v>
      </c>
      <c r="I24" s="17" t="s">
        <v>521</v>
      </c>
      <c r="J24" s="22" t="s">
        <v>144</v>
      </c>
      <c r="K24" s="23" t="s">
        <v>108</v>
      </c>
      <c r="L24" s="24" t="s">
        <v>91</v>
      </c>
      <c r="M24" s="2">
        <v>2.0</v>
      </c>
      <c r="N24" s="25">
        <v>31.0</v>
      </c>
      <c r="O24" s="25"/>
      <c r="P24" s="25"/>
    </row>
    <row r="25">
      <c r="A25" s="16">
        <v>23.0</v>
      </c>
      <c r="B25" s="17" t="s">
        <v>198</v>
      </c>
      <c r="C25" s="18">
        <v>7.0</v>
      </c>
      <c r="D25" s="19" t="s">
        <v>547</v>
      </c>
      <c r="E25" s="20" t="s">
        <v>443</v>
      </c>
      <c r="F25" s="17" t="s">
        <v>551</v>
      </c>
      <c r="G25" s="17" t="s">
        <v>123</v>
      </c>
      <c r="H25" s="17" t="s">
        <v>553</v>
      </c>
      <c r="I25" s="17" t="s">
        <v>125</v>
      </c>
      <c r="J25" s="22" t="s">
        <v>144</v>
      </c>
      <c r="K25" s="23" t="s">
        <v>108</v>
      </c>
      <c r="L25" s="24" t="s">
        <v>91</v>
      </c>
      <c r="M25" s="2">
        <v>2.0</v>
      </c>
      <c r="N25" s="25">
        <v>31.0</v>
      </c>
      <c r="O25" s="25"/>
      <c r="P25" s="25"/>
    </row>
    <row r="26">
      <c r="A26" s="16">
        <v>24.0</v>
      </c>
      <c r="B26" s="17" t="s">
        <v>198</v>
      </c>
      <c r="C26" s="18">
        <v>8.0</v>
      </c>
      <c r="D26" s="19" t="s">
        <v>547</v>
      </c>
      <c r="E26" s="20" t="s">
        <v>443</v>
      </c>
      <c r="F26" s="17" t="s">
        <v>566</v>
      </c>
      <c r="G26" s="17" t="s">
        <v>568</v>
      </c>
      <c r="H26" s="17" t="s">
        <v>570</v>
      </c>
      <c r="I26" s="17" t="s">
        <v>573</v>
      </c>
      <c r="J26" s="22" t="s">
        <v>144</v>
      </c>
      <c r="K26" s="23" t="s">
        <v>108</v>
      </c>
      <c r="L26" s="24" t="s">
        <v>91</v>
      </c>
      <c r="M26" s="2">
        <v>2.0</v>
      </c>
      <c r="N26" s="25">
        <v>31.0</v>
      </c>
      <c r="O26" s="25"/>
      <c r="P26" s="25"/>
    </row>
    <row r="27">
      <c r="A27" s="16">
        <v>25.0</v>
      </c>
      <c r="B27" s="17" t="s">
        <v>198</v>
      </c>
      <c r="C27" s="18">
        <v>9.0</v>
      </c>
      <c r="D27" s="19" t="s">
        <v>547</v>
      </c>
      <c r="E27" s="20" t="s">
        <v>443</v>
      </c>
      <c r="F27" s="17" t="s">
        <v>588</v>
      </c>
      <c r="G27" s="17" t="s">
        <v>589</v>
      </c>
      <c r="H27" s="17" t="s">
        <v>591</v>
      </c>
      <c r="I27" s="17" t="s">
        <v>573</v>
      </c>
      <c r="J27" s="22" t="s">
        <v>144</v>
      </c>
      <c r="K27" s="23" t="s">
        <v>108</v>
      </c>
      <c r="L27" s="24" t="s">
        <v>91</v>
      </c>
      <c r="M27" s="2">
        <v>2.0</v>
      </c>
      <c r="N27" s="25">
        <v>31.0</v>
      </c>
      <c r="O27" s="25"/>
      <c r="P27" s="25"/>
    </row>
    <row r="28">
      <c r="A28" s="16">
        <v>26.0</v>
      </c>
      <c r="B28" s="17" t="s">
        <v>198</v>
      </c>
      <c r="C28" s="18">
        <v>10.0</v>
      </c>
      <c r="D28" s="19" t="s">
        <v>547</v>
      </c>
      <c r="E28" s="20" t="s">
        <v>443</v>
      </c>
      <c r="F28" s="17" t="s">
        <v>606</v>
      </c>
      <c r="G28" s="17" t="s">
        <v>123</v>
      </c>
      <c r="H28" s="17" t="s">
        <v>609</v>
      </c>
      <c r="I28" s="17" t="s">
        <v>573</v>
      </c>
      <c r="J28" s="22" t="s">
        <v>144</v>
      </c>
      <c r="K28" s="23" t="s">
        <v>108</v>
      </c>
      <c r="L28" s="24" t="s">
        <v>91</v>
      </c>
      <c r="M28" s="2">
        <v>2.0</v>
      </c>
      <c r="N28" s="25">
        <v>31.0</v>
      </c>
      <c r="O28" s="25"/>
      <c r="P28" s="25"/>
    </row>
    <row r="29">
      <c r="A29" s="16">
        <v>27.0</v>
      </c>
      <c r="B29" s="17" t="s">
        <v>198</v>
      </c>
      <c r="C29" s="18">
        <v>11.0</v>
      </c>
      <c r="D29" s="19" t="s">
        <v>547</v>
      </c>
      <c r="E29" s="20" t="s">
        <v>443</v>
      </c>
      <c r="F29" s="17" t="s">
        <v>623</v>
      </c>
      <c r="G29" s="17" t="s">
        <v>625</v>
      </c>
      <c r="H29" s="17" t="s">
        <v>628</v>
      </c>
      <c r="I29" s="17" t="s">
        <v>573</v>
      </c>
      <c r="J29" s="22" t="s">
        <v>144</v>
      </c>
      <c r="K29" s="23" t="s">
        <v>108</v>
      </c>
      <c r="L29" s="24" t="s">
        <v>91</v>
      </c>
      <c r="M29" s="2">
        <v>2.0</v>
      </c>
      <c r="N29" s="25">
        <v>31.0</v>
      </c>
      <c r="O29" s="25"/>
      <c r="P29" s="25"/>
    </row>
    <row r="30">
      <c r="A30" s="16">
        <v>28.0</v>
      </c>
      <c r="B30" s="17" t="s">
        <v>198</v>
      </c>
      <c r="C30" s="18">
        <v>12.0</v>
      </c>
      <c r="D30" s="19" t="s">
        <v>640</v>
      </c>
      <c r="E30" s="20" t="s">
        <v>443</v>
      </c>
      <c r="F30" s="17" t="s">
        <v>644</v>
      </c>
      <c r="G30" s="17" t="s">
        <v>646</v>
      </c>
      <c r="H30" s="17" t="s">
        <v>649</v>
      </c>
      <c r="I30" s="17" t="s">
        <v>125</v>
      </c>
      <c r="J30" s="22" t="s">
        <v>144</v>
      </c>
      <c r="K30" s="23" t="s">
        <v>108</v>
      </c>
      <c r="L30" s="24" t="s">
        <v>91</v>
      </c>
      <c r="M30" s="2">
        <v>2.0</v>
      </c>
      <c r="N30" s="25">
        <v>31.0</v>
      </c>
      <c r="O30" s="25"/>
      <c r="P30" s="25"/>
    </row>
    <row r="31">
      <c r="A31" s="16">
        <v>29.0</v>
      </c>
      <c r="B31" s="17" t="s">
        <v>198</v>
      </c>
      <c r="C31" s="18">
        <v>13.0</v>
      </c>
      <c r="D31" s="19" t="s">
        <v>640</v>
      </c>
      <c r="E31" s="20" t="s">
        <v>443</v>
      </c>
      <c r="F31" s="17" t="s">
        <v>403</v>
      </c>
      <c r="G31" s="17" t="s">
        <v>666</v>
      </c>
      <c r="H31" s="17" t="s">
        <v>670</v>
      </c>
      <c r="I31" s="17" t="s">
        <v>125</v>
      </c>
      <c r="J31" s="22" t="s">
        <v>144</v>
      </c>
      <c r="K31" s="23" t="s">
        <v>108</v>
      </c>
      <c r="L31" s="24" t="s">
        <v>91</v>
      </c>
      <c r="M31" s="2">
        <v>2.0</v>
      </c>
      <c r="N31" s="25">
        <v>31.0</v>
      </c>
      <c r="O31" s="25"/>
      <c r="P31" s="25"/>
    </row>
    <row r="32">
      <c r="A32" s="16">
        <v>30.0</v>
      </c>
      <c r="B32" s="17" t="s">
        <v>198</v>
      </c>
      <c r="C32" s="18">
        <v>14.0</v>
      </c>
      <c r="D32" s="19" t="s">
        <v>640</v>
      </c>
      <c r="E32" s="20" t="s">
        <v>443</v>
      </c>
      <c r="F32" s="17" t="s">
        <v>687</v>
      </c>
      <c r="G32" s="17" t="s">
        <v>689</v>
      </c>
      <c r="H32" s="17" t="s">
        <v>693</v>
      </c>
      <c r="I32" s="17" t="s">
        <v>125</v>
      </c>
      <c r="J32" s="22" t="s">
        <v>144</v>
      </c>
      <c r="K32" s="23" t="s">
        <v>108</v>
      </c>
      <c r="L32" s="24" t="s">
        <v>91</v>
      </c>
      <c r="M32" s="2">
        <v>2.0</v>
      </c>
      <c r="N32" s="25">
        <v>31.0</v>
      </c>
      <c r="O32" s="25"/>
      <c r="P32" s="25"/>
    </row>
    <row r="33">
      <c r="A33" s="16">
        <v>31.0</v>
      </c>
      <c r="B33" s="17" t="s">
        <v>198</v>
      </c>
      <c r="C33" s="18">
        <v>15.0</v>
      </c>
      <c r="D33" s="19" t="s">
        <v>640</v>
      </c>
      <c r="E33" s="20" t="s">
        <v>443</v>
      </c>
      <c r="F33" s="17" t="s">
        <v>710</v>
      </c>
      <c r="G33" s="17" t="s">
        <v>713</v>
      </c>
      <c r="H33" s="17" t="s">
        <v>716</v>
      </c>
      <c r="I33" s="17" t="s">
        <v>719</v>
      </c>
      <c r="J33" s="22" t="s">
        <v>144</v>
      </c>
      <c r="K33" s="23" t="s">
        <v>108</v>
      </c>
      <c r="L33" s="24" t="s">
        <v>91</v>
      </c>
      <c r="M33" s="2">
        <v>2.0</v>
      </c>
      <c r="N33" s="25">
        <v>31.0</v>
      </c>
      <c r="O33" s="25"/>
      <c r="P33" s="25"/>
    </row>
    <row r="34">
      <c r="A34" s="16">
        <v>32.0</v>
      </c>
      <c r="B34" s="17" t="s">
        <v>198</v>
      </c>
      <c r="C34" s="18">
        <v>16.0</v>
      </c>
      <c r="D34" s="19" t="s">
        <v>640</v>
      </c>
      <c r="E34" s="20" t="s">
        <v>443</v>
      </c>
      <c r="F34" s="17" t="s">
        <v>730</v>
      </c>
      <c r="G34" s="17" t="s">
        <v>732</v>
      </c>
      <c r="H34" s="17" t="s">
        <v>735</v>
      </c>
      <c r="I34" s="17" t="s">
        <v>719</v>
      </c>
      <c r="J34" s="22" t="s">
        <v>144</v>
      </c>
      <c r="K34" s="23" t="s">
        <v>108</v>
      </c>
      <c r="L34" s="24" t="s">
        <v>91</v>
      </c>
      <c r="M34" s="2">
        <v>2.0</v>
      </c>
      <c r="N34" s="25">
        <v>31.0</v>
      </c>
      <c r="O34" s="25"/>
      <c r="P34" s="25"/>
    </row>
    <row r="35">
      <c r="A35" s="16">
        <v>33.0</v>
      </c>
      <c r="B35" s="17" t="s">
        <v>198</v>
      </c>
      <c r="C35" s="18">
        <v>17.0</v>
      </c>
      <c r="D35" s="19" t="s">
        <v>640</v>
      </c>
      <c r="E35" s="20" t="s">
        <v>443</v>
      </c>
      <c r="F35" s="17" t="s">
        <v>749</v>
      </c>
      <c r="G35" s="17" t="s">
        <v>751</v>
      </c>
      <c r="H35" s="17" t="s">
        <v>754</v>
      </c>
      <c r="I35" s="17" t="s">
        <v>719</v>
      </c>
      <c r="J35" s="22" t="s">
        <v>144</v>
      </c>
      <c r="K35" s="23" t="s">
        <v>108</v>
      </c>
      <c r="L35" s="24" t="s">
        <v>91</v>
      </c>
      <c r="M35" s="2">
        <v>2.0</v>
      </c>
      <c r="N35" s="25">
        <v>31.0</v>
      </c>
      <c r="O35" s="25"/>
      <c r="P35" s="25"/>
    </row>
    <row r="36">
      <c r="A36" s="16">
        <v>34.0</v>
      </c>
      <c r="B36" s="17" t="s">
        <v>198</v>
      </c>
      <c r="C36" s="18">
        <v>18.0</v>
      </c>
      <c r="D36" s="19" t="s">
        <v>640</v>
      </c>
      <c r="E36" s="20" t="s">
        <v>443</v>
      </c>
      <c r="F36" s="17" t="s">
        <v>781</v>
      </c>
      <c r="G36" s="17" t="s">
        <v>123</v>
      </c>
      <c r="H36" s="17" t="s">
        <v>786</v>
      </c>
      <c r="I36" s="17" t="s">
        <v>719</v>
      </c>
      <c r="J36" s="22" t="s">
        <v>144</v>
      </c>
      <c r="K36" s="23" t="s">
        <v>108</v>
      </c>
      <c r="L36" s="24" t="s">
        <v>91</v>
      </c>
      <c r="M36" s="2">
        <v>2.0</v>
      </c>
      <c r="N36" s="25">
        <v>31.0</v>
      </c>
      <c r="O36" s="25"/>
      <c r="P36" s="25"/>
    </row>
    <row r="37">
      <c r="A37" s="16">
        <v>35.0</v>
      </c>
      <c r="B37" s="17" t="s">
        <v>198</v>
      </c>
      <c r="C37" s="18">
        <v>19.0</v>
      </c>
      <c r="D37" s="19" t="s">
        <v>640</v>
      </c>
      <c r="E37" s="20" t="s">
        <v>443</v>
      </c>
      <c r="F37" s="17" t="s">
        <v>810</v>
      </c>
      <c r="G37" s="17" t="s">
        <v>812</v>
      </c>
      <c r="H37" s="17" t="s">
        <v>815</v>
      </c>
      <c r="I37" s="17" t="s">
        <v>719</v>
      </c>
      <c r="J37" s="22" t="s">
        <v>144</v>
      </c>
      <c r="K37" s="23" t="s">
        <v>108</v>
      </c>
      <c r="L37" s="24" t="s">
        <v>91</v>
      </c>
      <c r="M37" s="2">
        <v>2.0</v>
      </c>
      <c r="N37" s="25">
        <v>31.0</v>
      </c>
      <c r="O37" s="25"/>
      <c r="P37" s="25"/>
    </row>
    <row r="38">
      <c r="A38" s="16">
        <v>36.0</v>
      </c>
      <c r="B38" s="17" t="s">
        <v>198</v>
      </c>
      <c r="C38" s="18">
        <v>20.0</v>
      </c>
      <c r="D38" s="19" t="s">
        <v>640</v>
      </c>
      <c r="E38" s="20" t="s">
        <v>443</v>
      </c>
      <c r="F38" s="17" t="s">
        <v>821</v>
      </c>
      <c r="G38" s="17" t="s">
        <v>822</v>
      </c>
      <c r="H38" s="17" t="s">
        <v>823</v>
      </c>
      <c r="I38" s="17" t="s">
        <v>719</v>
      </c>
      <c r="J38" s="22" t="s">
        <v>144</v>
      </c>
      <c r="K38" s="23" t="s">
        <v>108</v>
      </c>
      <c r="L38" s="24" t="s">
        <v>91</v>
      </c>
      <c r="M38" s="2">
        <v>2.0</v>
      </c>
      <c r="N38" s="25">
        <v>31.0</v>
      </c>
      <c r="O38" s="25"/>
      <c r="P38" s="25"/>
    </row>
    <row r="39">
      <c r="A39" s="16">
        <v>37.0</v>
      </c>
      <c r="B39" s="17" t="s">
        <v>198</v>
      </c>
      <c r="C39" s="18">
        <v>21.0</v>
      </c>
      <c r="D39" s="19" t="s">
        <v>441</v>
      </c>
      <c r="E39" s="20" t="s">
        <v>443</v>
      </c>
      <c r="F39" s="17" t="s">
        <v>830</v>
      </c>
      <c r="G39" s="17" t="s">
        <v>831</v>
      </c>
      <c r="H39" s="17" t="s">
        <v>832</v>
      </c>
      <c r="I39" s="17" t="s">
        <v>521</v>
      </c>
      <c r="J39" s="22" t="s">
        <v>144</v>
      </c>
      <c r="K39" s="23" t="s">
        <v>108</v>
      </c>
      <c r="L39" s="24" t="s">
        <v>834</v>
      </c>
      <c r="M39" s="2">
        <v>2.0</v>
      </c>
      <c r="N39" s="25">
        <v>36.0</v>
      </c>
      <c r="O39" s="25"/>
      <c r="P39" s="25"/>
    </row>
    <row r="40">
      <c r="A40" s="16">
        <v>38.0</v>
      </c>
      <c r="B40" s="17" t="s">
        <v>198</v>
      </c>
      <c r="C40" s="18">
        <v>22.0</v>
      </c>
      <c r="D40" s="19" t="s">
        <v>441</v>
      </c>
      <c r="E40" s="20" t="s">
        <v>443</v>
      </c>
      <c r="F40" s="17" t="s">
        <v>837</v>
      </c>
      <c r="G40" s="17" t="s">
        <v>839</v>
      </c>
      <c r="H40" s="17" t="s">
        <v>840</v>
      </c>
      <c r="I40" s="17" t="s">
        <v>521</v>
      </c>
      <c r="J40" s="22" t="s">
        <v>144</v>
      </c>
      <c r="K40" s="23" t="s">
        <v>108</v>
      </c>
      <c r="L40" s="24" t="s">
        <v>834</v>
      </c>
      <c r="M40" s="2">
        <v>2.0</v>
      </c>
      <c r="N40" s="25">
        <v>36.0</v>
      </c>
      <c r="O40" s="25"/>
      <c r="P40" s="25"/>
    </row>
    <row r="41">
      <c r="A41" s="16">
        <v>39.0</v>
      </c>
      <c r="B41" s="17" t="s">
        <v>198</v>
      </c>
      <c r="C41" s="18">
        <v>23.0</v>
      </c>
      <c r="D41" s="19" t="s">
        <v>441</v>
      </c>
      <c r="E41" s="20" t="s">
        <v>443</v>
      </c>
      <c r="F41" s="17" t="s">
        <v>824</v>
      </c>
      <c r="G41" s="17" t="s">
        <v>846</v>
      </c>
      <c r="H41" s="17" t="s">
        <v>847</v>
      </c>
      <c r="I41" s="17" t="s">
        <v>521</v>
      </c>
      <c r="J41" s="22" t="s">
        <v>144</v>
      </c>
      <c r="K41" s="23" t="s">
        <v>108</v>
      </c>
      <c r="L41" s="24" t="s">
        <v>834</v>
      </c>
      <c r="M41" s="2">
        <v>2.0</v>
      </c>
      <c r="N41" s="25">
        <v>36.0</v>
      </c>
      <c r="O41" s="25"/>
      <c r="P41" s="25"/>
    </row>
    <row r="42">
      <c r="A42" s="16">
        <v>40.0</v>
      </c>
      <c r="B42" s="17" t="s">
        <v>198</v>
      </c>
      <c r="C42" s="18">
        <v>24.0</v>
      </c>
      <c r="D42" s="19" t="s">
        <v>441</v>
      </c>
      <c r="E42" s="20" t="s">
        <v>443</v>
      </c>
      <c r="F42" s="17" t="s">
        <v>852</v>
      </c>
      <c r="G42" s="17" t="s">
        <v>854</v>
      </c>
      <c r="H42" s="17" t="s">
        <v>857</v>
      </c>
      <c r="I42" s="17" t="s">
        <v>521</v>
      </c>
      <c r="J42" s="22" t="s">
        <v>144</v>
      </c>
      <c r="K42" s="23" t="s">
        <v>108</v>
      </c>
      <c r="L42" s="24" t="s">
        <v>834</v>
      </c>
      <c r="M42" s="2">
        <v>2.0</v>
      </c>
      <c r="N42" s="25">
        <v>36.0</v>
      </c>
      <c r="O42" s="25"/>
      <c r="P42" s="25"/>
    </row>
    <row r="43">
      <c r="A43" s="16">
        <v>41.0</v>
      </c>
      <c r="B43" s="17" t="s">
        <v>198</v>
      </c>
      <c r="C43" s="18">
        <v>25.0</v>
      </c>
      <c r="D43" s="19" t="s">
        <v>441</v>
      </c>
      <c r="E43" s="20" t="s">
        <v>443</v>
      </c>
      <c r="F43" s="17" t="s">
        <v>825</v>
      </c>
      <c r="G43" s="17" t="s">
        <v>864</v>
      </c>
      <c r="H43" s="17" t="s">
        <v>866</v>
      </c>
      <c r="I43" s="17" t="s">
        <v>521</v>
      </c>
      <c r="J43" s="22" t="s">
        <v>144</v>
      </c>
      <c r="K43" s="23" t="s">
        <v>108</v>
      </c>
      <c r="L43" s="24" t="s">
        <v>834</v>
      </c>
      <c r="M43" s="2">
        <v>2.0</v>
      </c>
      <c r="N43" s="25">
        <v>36.0</v>
      </c>
      <c r="O43" s="25"/>
      <c r="P43" s="25"/>
    </row>
    <row r="44">
      <c r="A44" s="16">
        <v>42.0</v>
      </c>
      <c r="B44" s="17" t="s">
        <v>198</v>
      </c>
      <c r="C44" s="18">
        <v>26.0</v>
      </c>
      <c r="D44" s="19" t="s">
        <v>441</v>
      </c>
      <c r="E44" s="20" t="s">
        <v>443</v>
      </c>
      <c r="F44" s="17" t="s">
        <v>871</v>
      </c>
      <c r="G44" s="17" t="s">
        <v>872</v>
      </c>
      <c r="H44" s="17" t="s">
        <v>874</v>
      </c>
      <c r="I44" s="17" t="s">
        <v>521</v>
      </c>
      <c r="J44" s="22" t="s">
        <v>144</v>
      </c>
      <c r="K44" s="23" t="s">
        <v>108</v>
      </c>
      <c r="L44" s="24" t="s">
        <v>834</v>
      </c>
      <c r="M44" s="2">
        <v>2.0</v>
      </c>
      <c r="N44" s="25">
        <v>36.0</v>
      </c>
      <c r="O44" s="25"/>
      <c r="P44" s="25"/>
    </row>
    <row r="45">
      <c r="A45" s="16">
        <v>43.0</v>
      </c>
      <c r="B45" s="17" t="s">
        <v>198</v>
      </c>
      <c r="C45" s="18">
        <v>27.0</v>
      </c>
      <c r="D45" s="19" t="s">
        <v>441</v>
      </c>
      <c r="E45" s="20" t="s">
        <v>443</v>
      </c>
      <c r="F45" s="17" t="s">
        <v>826</v>
      </c>
      <c r="G45" s="17" t="s">
        <v>123</v>
      </c>
      <c r="H45" s="17" t="s">
        <v>882</v>
      </c>
      <c r="I45" s="17" t="s">
        <v>521</v>
      </c>
      <c r="J45" s="22" t="s">
        <v>144</v>
      </c>
      <c r="K45" s="23" t="s">
        <v>108</v>
      </c>
      <c r="L45" s="24" t="s">
        <v>834</v>
      </c>
      <c r="M45" s="2">
        <v>2.0</v>
      </c>
      <c r="N45" s="25">
        <v>36.0</v>
      </c>
      <c r="O45" s="25"/>
      <c r="P45" s="25"/>
    </row>
    <row r="46">
      <c r="A46" s="16">
        <v>44.0</v>
      </c>
      <c r="B46" s="17" t="s">
        <v>198</v>
      </c>
      <c r="C46" s="18">
        <v>28.0</v>
      </c>
      <c r="D46" s="19" t="s">
        <v>547</v>
      </c>
      <c r="E46" s="20" t="s">
        <v>443</v>
      </c>
      <c r="F46" s="17" t="s">
        <v>890</v>
      </c>
      <c r="G46" s="17" t="s">
        <v>892</v>
      </c>
      <c r="H46" s="17" t="s">
        <v>894</v>
      </c>
      <c r="I46" s="17" t="s">
        <v>573</v>
      </c>
      <c r="J46" s="22" t="s">
        <v>144</v>
      </c>
      <c r="K46" s="23" t="s">
        <v>108</v>
      </c>
      <c r="L46" s="24" t="s">
        <v>834</v>
      </c>
      <c r="M46" s="2">
        <v>2.0</v>
      </c>
      <c r="N46" s="25">
        <v>36.0</v>
      </c>
      <c r="O46" s="25"/>
      <c r="P46" s="25"/>
    </row>
    <row r="47">
      <c r="A47" s="16">
        <v>45.0</v>
      </c>
      <c r="B47" s="17" t="s">
        <v>198</v>
      </c>
      <c r="C47" s="18">
        <v>29.0</v>
      </c>
      <c r="D47" s="19" t="s">
        <v>547</v>
      </c>
      <c r="E47" s="20" t="s">
        <v>443</v>
      </c>
      <c r="F47" s="17" t="s">
        <v>901</v>
      </c>
      <c r="G47" s="17" t="s">
        <v>123</v>
      </c>
      <c r="H47" s="17" t="s">
        <v>903</v>
      </c>
      <c r="I47" s="17" t="s">
        <v>573</v>
      </c>
      <c r="J47" s="22" t="s">
        <v>144</v>
      </c>
      <c r="K47" s="23" t="s">
        <v>108</v>
      </c>
      <c r="L47" s="24" t="s">
        <v>834</v>
      </c>
      <c r="M47" s="2">
        <v>2.0</v>
      </c>
      <c r="N47" s="25">
        <v>36.0</v>
      </c>
      <c r="O47" s="25"/>
      <c r="P47" s="25"/>
    </row>
    <row r="48">
      <c r="A48" s="16">
        <v>46.0</v>
      </c>
      <c r="B48" s="17" t="s">
        <v>198</v>
      </c>
      <c r="C48" s="18">
        <v>30.0</v>
      </c>
      <c r="D48" s="19" t="s">
        <v>547</v>
      </c>
      <c r="E48" s="20" t="s">
        <v>443</v>
      </c>
      <c r="F48" s="17" t="s">
        <v>910</v>
      </c>
      <c r="G48" s="17" t="s">
        <v>911</v>
      </c>
      <c r="H48" s="17" t="s">
        <v>915</v>
      </c>
      <c r="I48" s="17" t="s">
        <v>573</v>
      </c>
      <c r="J48" s="22" t="s">
        <v>144</v>
      </c>
      <c r="K48" s="23" t="s">
        <v>108</v>
      </c>
      <c r="L48" s="24" t="s">
        <v>834</v>
      </c>
      <c r="M48" s="2">
        <v>2.0</v>
      </c>
      <c r="N48" s="25">
        <v>36.0</v>
      </c>
      <c r="O48" s="25"/>
      <c r="P48" s="25"/>
    </row>
    <row r="49">
      <c r="A49" s="16">
        <v>47.0</v>
      </c>
      <c r="B49" s="17" t="s">
        <v>198</v>
      </c>
      <c r="C49" s="18">
        <v>31.0</v>
      </c>
      <c r="D49" s="19" t="s">
        <v>547</v>
      </c>
      <c r="E49" s="20" t="s">
        <v>443</v>
      </c>
      <c r="F49" s="17" t="s">
        <v>919</v>
      </c>
      <c r="G49" s="17" t="s">
        <v>920</v>
      </c>
      <c r="H49" s="17" t="s">
        <v>921</v>
      </c>
      <c r="I49" s="17" t="s">
        <v>573</v>
      </c>
      <c r="J49" s="22" t="s">
        <v>144</v>
      </c>
      <c r="K49" s="23" t="s">
        <v>108</v>
      </c>
      <c r="L49" s="24" t="s">
        <v>834</v>
      </c>
      <c r="M49" s="2">
        <v>2.0</v>
      </c>
      <c r="N49" s="25">
        <v>36.0</v>
      </c>
      <c r="O49" s="25"/>
      <c r="P49" s="25"/>
    </row>
    <row r="50">
      <c r="A50" s="16">
        <v>48.0</v>
      </c>
      <c r="B50" s="17" t="s">
        <v>198</v>
      </c>
      <c r="C50" s="18">
        <v>32.0</v>
      </c>
      <c r="D50" s="19" t="s">
        <v>547</v>
      </c>
      <c r="E50" s="20" t="s">
        <v>443</v>
      </c>
      <c r="F50" s="17" t="s">
        <v>922</v>
      </c>
      <c r="G50" s="17" t="s">
        <v>923</v>
      </c>
      <c r="H50" s="17" t="s">
        <v>924</v>
      </c>
      <c r="I50" s="17" t="s">
        <v>573</v>
      </c>
      <c r="J50" s="22" t="s">
        <v>144</v>
      </c>
      <c r="K50" s="23" t="s">
        <v>108</v>
      </c>
      <c r="L50" s="24" t="s">
        <v>834</v>
      </c>
      <c r="M50" s="2">
        <v>2.0</v>
      </c>
      <c r="N50" s="25">
        <v>36.0</v>
      </c>
      <c r="O50" s="25"/>
      <c r="P50" s="25"/>
    </row>
    <row r="51">
      <c r="A51" s="16">
        <v>49.0</v>
      </c>
      <c r="B51" s="17" t="s">
        <v>198</v>
      </c>
      <c r="C51" s="18">
        <v>33.0</v>
      </c>
      <c r="D51" s="19" t="s">
        <v>547</v>
      </c>
      <c r="E51" s="20" t="s">
        <v>443</v>
      </c>
      <c r="F51" s="17" t="s">
        <v>827</v>
      </c>
      <c r="G51" s="17" t="s">
        <v>926</v>
      </c>
      <c r="H51" s="17" t="s">
        <v>928</v>
      </c>
      <c r="I51" s="17" t="s">
        <v>573</v>
      </c>
      <c r="J51" s="22" t="s">
        <v>144</v>
      </c>
      <c r="K51" s="23" t="s">
        <v>108</v>
      </c>
      <c r="L51" s="24" t="s">
        <v>834</v>
      </c>
      <c r="M51" s="2">
        <v>2.0</v>
      </c>
      <c r="N51" s="25">
        <v>36.0</v>
      </c>
      <c r="O51" s="25"/>
      <c r="P51" s="25"/>
    </row>
    <row r="52">
      <c r="A52" s="16">
        <v>50.0</v>
      </c>
      <c r="B52" s="17" t="s">
        <v>198</v>
      </c>
      <c r="C52" s="18">
        <v>34.0</v>
      </c>
      <c r="D52" s="19" t="s">
        <v>547</v>
      </c>
      <c r="E52" s="20" t="s">
        <v>443</v>
      </c>
      <c r="F52" s="17" t="s">
        <v>931</v>
      </c>
      <c r="G52" s="17" t="s">
        <v>932</v>
      </c>
      <c r="H52" s="17" t="s">
        <v>915</v>
      </c>
      <c r="I52" s="17" t="s">
        <v>573</v>
      </c>
      <c r="J52" s="22" t="s">
        <v>144</v>
      </c>
      <c r="K52" s="23" t="s">
        <v>108</v>
      </c>
      <c r="L52" s="24" t="s">
        <v>834</v>
      </c>
      <c r="M52" s="2">
        <v>2.0</v>
      </c>
      <c r="N52" s="25">
        <v>36.0</v>
      </c>
      <c r="O52" s="25"/>
      <c r="P52" s="25"/>
    </row>
    <row r="53">
      <c r="A53" s="16">
        <v>51.0</v>
      </c>
      <c r="B53" s="17" t="s">
        <v>198</v>
      </c>
      <c r="C53" s="18">
        <v>35.0</v>
      </c>
      <c r="D53" s="19" t="s">
        <v>640</v>
      </c>
      <c r="E53" s="20" t="s">
        <v>443</v>
      </c>
      <c r="F53" s="17" t="s">
        <v>417</v>
      </c>
      <c r="G53" s="17" t="s">
        <v>936</v>
      </c>
      <c r="H53" s="17" t="s">
        <v>937</v>
      </c>
      <c r="I53" s="17" t="s">
        <v>125</v>
      </c>
      <c r="J53" s="22" t="s">
        <v>144</v>
      </c>
      <c r="K53" s="23" t="s">
        <v>108</v>
      </c>
      <c r="L53" s="24" t="s">
        <v>939</v>
      </c>
      <c r="M53" s="2">
        <v>2.0</v>
      </c>
      <c r="N53" s="25">
        <v>36.0</v>
      </c>
      <c r="O53" s="25"/>
      <c r="P53" s="25"/>
    </row>
    <row r="54">
      <c r="A54" s="16">
        <v>52.0</v>
      </c>
      <c r="B54" s="17" t="s">
        <v>198</v>
      </c>
      <c r="C54" s="18">
        <v>36.0</v>
      </c>
      <c r="D54" s="19" t="s">
        <v>640</v>
      </c>
      <c r="E54" s="20" t="s">
        <v>443</v>
      </c>
      <c r="F54" s="17" t="s">
        <v>946</v>
      </c>
      <c r="G54" s="17" t="s">
        <v>123</v>
      </c>
      <c r="H54" s="17" t="s">
        <v>948</v>
      </c>
      <c r="I54" s="17" t="s">
        <v>719</v>
      </c>
      <c r="J54" s="22" t="s">
        <v>144</v>
      </c>
      <c r="K54" s="23" t="s">
        <v>108</v>
      </c>
      <c r="L54" s="24" t="s">
        <v>834</v>
      </c>
      <c r="M54" s="2">
        <v>2.0</v>
      </c>
      <c r="N54" s="25">
        <v>36.0</v>
      </c>
      <c r="O54" s="25"/>
      <c r="P54" s="25"/>
    </row>
    <row r="55">
      <c r="A55" s="16">
        <v>53.0</v>
      </c>
      <c r="B55" s="17" t="s">
        <v>198</v>
      </c>
      <c r="C55" s="18">
        <v>37.0</v>
      </c>
      <c r="D55" s="19" t="s">
        <v>640</v>
      </c>
      <c r="E55" s="20" t="s">
        <v>443</v>
      </c>
      <c r="F55" s="17" t="s">
        <v>828</v>
      </c>
      <c r="G55" s="17" t="s">
        <v>953</v>
      </c>
      <c r="H55" s="17" t="s">
        <v>955</v>
      </c>
      <c r="I55" s="17" t="s">
        <v>719</v>
      </c>
      <c r="J55" s="22" t="s">
        <v>144</v>
      </c>
      <c r="K55" s="23" t="s">
        <v>108</v>
      </c>
      <c r="L55" s="24" t="s">
        <v>834</v>
      </c>
      <c r="M55" s="2">
        <v>2.0</v>
      </c>
      <c r="N55" s="25">
        <v>36.0</v>
      </c>
      <c r="O55" s="25"/>
      <c r="P55" s="25"/>
    </row>
    <row r="56">
      <c r="A56" s="16">
        <v>54.0</v>
      </c>
      <c r="B56" s="17" t="s">
        <v>198</v>
      </c>
      <c r="C56" s="18">
        <v>38.0</v>
      </c>
      <c r="D56" s="19" t="s">
        <v>640</v>
      </c>
      <c r="E56" s="20" t="s">
        <v>443</v>
      </c>
      <c r="F56" s="17" t="s">
        <v>961</v>
      </c>
      <c r="G56" s="17" t="s">
        <v>962</v>
      </c>
      <c r="H56" s="17" t="s">
        <v>964</v>
      </c>
      <c r="I56" s="17" t="s">
        <v>719</v>
      </c>
      <c r="J56" s="22" t="s">
        <v>144</v>
      </c>
      <c r="K56" s="23" t="s">
        <v>108</v>
      </c>
      <c r="L56" s="24" t="s">
        <v>834</v>
      </c>
      <c r="M56" s="2">
        <v>2.0</v>
      </c>
      <c r="N56" s="25">
        <v>36.0</v>
      </c>
      <c r="O56" s="25"/>
      <c r="P56" s="25"/>
    </row>
    <row r="57">
      <c r="A57" s="16">
        <v>55.0</v>
      </c>
      <c r="B57" s="17" t="s">
        <v>198</v>
      </c>
      <c r="C57" s="18">
        <v>39.0</v>
      </c>
      <c r="D57" s="19" t="s">
        <v>640</v>
      </c>
      <c r="E57" s="20" t="s">
        <v>443</v>
      </c>
      <c r="F57" s="17" t="s">
        <v>969</v>
      </c>
      <c r="G57" s="17" t="s">
        <v>123</v>
      </c>
      <c r="H57" s="17" t="s">
        <v>971</v>
      </c>
      <c r="I57" s="17" t="s">
        <v>719</v>
      </c>
      <c r="J57" s="22" t="s">
        <v>144</v>
      </c>
      <c r="K57" s="23" t="s">
        <v>108</v>
      </c>
      <c r="L57" s="24" t="s">
        <v>834</v>
      </c>
      <c r="M57" s="2">
        <v>2.0</v>
      </c>
      <c r="N57" s="25">
        <v>36.0</v>
      </c>
      <c r="O57" s="25"/>
      <c r="P57" s="25"/>
    </row>
    <row r="58">
      <c r="A58" s="16">
        <v>56.0</v>
      </c>
      <c r="B58" s="17" t="s">
        <v>198</v>
      </c>
      <c r="C58" s="18">
        <v>40.0</v>
      </c>
      <c r="D58" s="19" t="s">
        <v>640</v>
      </c>
      <c r="E58" s="20" t="s">
        <v>443</v>
      </c>
      <c r="F58" s="17" t="s">
        <v>975</v>
      </c>
      <c r="G58" s="17" t="s">
        <v>976</v>
      </c>
      <c r="H58" s="17" t="s">
        <v>978</v>
      </c>
      <c r="I58" s="17" t="s">
        <v>719</v>
      </c>
      <c r="J58" s="22" t="s">
        <v>144</v>
      </c>
      <c r="K58" s="23" t="s">
        <v>108</v>
      </c>
      <c r="L58" s="24" t="s">
        <v>834</v>
      </c>
      <c r="M58" s="2">
        <v>2.0</v>
      </c>
      <c r="N58" s="25">
        <v>36.0</v>
      </c>
      <c r="O58" s="25"/>
      <c r="P58" s="25"/>
    </row>
    <row r="59">
      <c r="A59" s="16">
        <v>57.0</v>
      </c>
      <c r="B59" s="17" t="s">
        <v>198</v>
      </c>
      <c r="C59" s="18">
        <v>41.0</v>
      </c>
      <c r="D59" s="19" t="s">
        <v>640</v>
      </c>
      <c r="E59" s="20" t="s">
        <v>443</v>
      </c>
      <c r="F59" s="17" t="s">
        <v>829</v>
      </c>
      <c r="G59" s="17" t="s">
        <v>983</v>
      </c>
      <c r="H59" s="17" t="s">
        <v>984</v>
      </c>
      <c r="I59" s="17" t="s">
        <v>719</v>
      </c>
      <c r="J59" s="22" t="s">
        <v>144</v>
      </c>
      <c r="K59" s="23" t="s">
        <v>108</v>
      </c>
      <c r="L59" s="24" t="s">
        <v>834</v>
      </c>
      <c r="M59" s="2">
        <v>2.0</v>
      </c>
      <c r="N59" s="25">
        <v>36.0</v>
      </c>
      <c r="O59" s="25"/>
      <c r="P59" s="25"/>
    </row>
    <row r="60">
      <c r="A60" s="16">
        <v>58.0</v>
      </c>
      <c r="B60" s="17" t="s">
        <v>122</v>
      </c>
      <c r="C60" s="18">
        <v>1.0</v>
      </c>
      <c r="D60" s="19" t="s">
        <v>989</v>
      </c>
      <c r="E60" s="20" t="s">
        <v>443</v>
      </c>
      <c r="F60" s="17" t="s">
        <v>617</v>
      </c>
      <c r="G60" s="17" t="s">
        <v>123</v>
      </c>
      <c r="H60" s="17" t="s">
        <v>992</v>
      </c>
      <c r="I60" s="17" t="s">
        <v>125</v>
      </c>
      <c r="J60" s="22" t="s">
        <v>100</v>
      </c>
      <c r="K60" s="23" t="s">
        <v>108</v>
      </c>
      <c r="L60" s="24" t="s">
        <v>91</v>
      </c>
      <c r="M60" s="2">
        <v>3.0</v>
      </c>
      <c r="N60" s="25">
        <v>11.0</v>
      </c>
      <c r="O60" s="25"/>
      <c r="P60" s="25"/>
    </row>
    <row r="61">
      <c r="A61" s="16">
        <v>59.0</v>
      </c>
      <c r="B61" s="17" t="s">
        <v>122</v>
      </c>
      <c r="C61" s="18">
        <v>2.0</v>
      </c>
      <c r="D61" s="19" t="s">
        <v>998</v>
      </c>
      <c r="E61" s="20" t="s">
        <v>443</v>
      </c>
      <c r="F61" s="17" t="s">
        <v>232</v>
      </c>
      <c r="G61" s="17" t="s">
        <v>123</v>
      </c>
      <c r="H61" s="17" t="s">
        <v>1000</v>
      </c>
      <c r="I61" s="17" t="s">
        <v>125</v>
      </c>
      <c r="J61" s="22" t="s">
        <v>100</v>
      </c>
      <c r="K61" s="23" t="s">
        <v>108</v>
      </c>
      <c r="L61" s="24" t="s">
        <v>91</v>
      </c>
      <c r="M61" s="2">
        <v>3.0</v>
      </c>
      <c r="N61" s="25">
        <v>11.0</v>
      </c>
      <c r="O61" s="25"/>
      <c r="P61" s="25"/>
    </row>
    <row r="62">
      <c r="A62" s="16">
        <v>60.0</v>
      </c>
      <c r="B62" s="17" t="s">
        <v>122</v>
      </c>
      <c r="C62" s="18">
        <v>3.0</v>
      </c>
      <c r="D62" s="19" t="s">
        <v>989</v>
      </c>
      <c r="E62" s="20" t="s">
        <v>443</v>
      </c>
      <c r="F62" s="17" t="s">
        <v>634</v>
      </c>
      <c r="G62" s="17" t="s">
        <v>1006</v>
      </c>
      <c r="H62" s="17" t="s">
        <v>1007</v>
      </c>
      <c r="I62" s="17" t="s">
        <v>125</v>
      </c>
      <c r="J62" s="22" t="s">
        <v>100</v>
      </c>
      <c r="K62" s="23" t="s">
        <v>108</v>
      </c>
      <c r="L62" s="24" t="s">
        <v>1010</v>
      </c>
      <c r="M62" s="2">
        <v>3.0</v>
      </c>
      <c r="N62" s="25">
        <v>16.0</v>
      </c>
      <c r="O62" s="25"/>
      <c r="P62" s="25"/>
    </row>
    <row r="63">
      <c r="A63" s="16">
        <v>61.0</v>
      </c>
      <c r="B63" s="17" t="s">
        <v>122</v>
      </c>
      <c r="C63" s="18">
        <v>4.0</v>
      </c>
      <c r="D63" s="19" t="s">
        <v>998</v>
      </c>
      <c r="E63" s="20" t="s">
        <v>443</v>
      </c>
      <c r="F63" s="17" t="s">
        <v>216</v>
      </c>
      <c r="G63" s="17" t="s">
        <v>123</v>
      </c>
      <c r="H63" s="17" t="s">
        <v>482</v>
      </c>
      <c r="I63" s="17" t="s">
        <v>125</v>
      </c>
      <c r="J63" s="22" t="s">
        <v>135</v>
      </c>
      <c r="K63" s="23" t="s">
        <v>108</v>
      </c>
      <c r="L63" s="24" t="s">
        <v>91</v>
      </c>
      <c r="M63" s="2">
        <v>3.0</v>
      </c>
      <c r="N63" s="25">
        <v>21.0</v>
      </c>
      <c r="O63" s="25"/>
      <c r="P63" s="25"/>
    </row>
    <row r="64">
      <c r="A64" s="16">
        <v>62.0</v>
      </c>
      <c r="B64" s="17" t="s">
        <v>122</v>
      </c>
      <c r="C64" s="18">
        <v>5.0</v>
      </c>
      <c r="D64" s="19" t="s">
        <v>998</v>
      </c>
      <c r="E64" s="20" t="s">
        <v>443</v>
      </c>
      <c r="F64" s="17" t="s">
        <v>401</v>
      </c>
      <c r="G64" s="17" t="s">
        <v>123</v>
      </c>
      <c r="H64" s="17" t="s">
        <v>1022</v>
      </c>
      <c r="I64" s="17" t="s">
        <v>125</v>
      </c>
      <c r="J64" s="22" t="s">
        <v>135</v>
      </c>
      <c r="K64" s="23" t="s">
        <v>108</v>
      </c>
      <c r="L64" s="24" t="s">
        <v>1010</v>
      </c>
      <c r="M64" s="2">
        <v>3.0</v>
      </c>
      <c r="N64" s="25">
        <v>26.0</v>
      </c>
      <c r="O64" s="25"/>
      <c r="P64" s="25"/>
    </row>
    <row r="65">
      <c r="A65" s="16">
        <v>63.0</v>
      </c>
      <c r="B65" s="17" t="s">
        <v>122</v>
      </c>
      <c r="C65" s="18">
        <v>6.0</v>
      </c>
      <c r="D65" s="19" t="s">
        <v>998</v>
      </c>
      <c r="E65" s="20" t="s">
        <v>443</v>
      </c>
      <c r="F65" s="17" t="s">
        <v>687</v>
      </c>
      <c r="G65" s="17" t="s">
        <v>689</v>
      </c>
      <c r="H65" s="17" t="s">
        <v>1023</v>
      </c>
      <c r="I65" s="17" t="s">
        <v>98</v>
      </c>
      <c r="J65" s="22" t="s">
        <v>144</v>
      </c>
      <c r="K65" s="23" t="s">
        <v>108</v>
      </c>
      <c r="L65" s="24" t="s">
        <v>91</v>
      </c>
      <c r="M65" s="2">
        <v>3.0</v>
      </c>
      <c r="N65" s="25">
        <v>30.0</v>
      </c>
      <c r="O65" s="25"/>
      <c r="P65" s="25"/>
    </row>
    <row r="66">
      <c r="A66" s="16">
        <v>64.0</v>
      </c>
      <c r="B66" s="17" t="s">
        <v>122</v>
      </c>
      <c r="C66" s="18">
        <v>7.0</v>
      </c>
      <c r="D66" s="19" t="s">
        <v>989</v>
      </c>
      <c r="E66" s="20" t="s">
        <v>443</v>
      </c>
      <c r="F66" s="17" t="s">
        <v>133</v>
      </c>
      <c r="G66" s="17" t="s">
        <v>1029</v>
      </c>
      <c r="H66" s="17" t="s">
        <v>1030</v>
      </c>
      <c r="I66" s="17" t="s">
        <v>125</v>
      </c>
      <c r="J66" s="22" t="s">
        <v>144</v>
      </c>
      <c r="K66" s="23" t="s">
        <v>108</v>
      </c>
      <c r="L66" s="24" t="s">
        <v>91</v>
      </c>
      <c r="M66" s="2">
        <v>3.0</v>
      </c>
      <c r="N66" s="25">
        <v>31.0</v>
      </c>
      <c r="O66" s="25"/>
      <c r="P66" s="25"/>
    </row>
    <row r="67">
      <c r="A67" s="16">
        <v>65.0</v>
      </c>
      <c r="B67" s="17" t="s">
        <v>122</v>
      </c>
      <c r="C67" s="18">
        <v>8.0</v>
      </c>
      <c r="D67" s="19" t="s">
        <v>989</v>
      </c>
      <c r="E67" s="20" t="s">
        <v>443</v>
      </c>
      <c r="F67" s="17" t="s">
        <v>78</v>
      </c>
      <c r="G67" s="17" t="s">
        <v>1036</v>
      </c>
      <c r="H67" s="17" t="s">
        <v>1038</v>
      </c>
      <c r="I67" s="17" t="s">
        <v>125</v>
      </c>
      <c r="J67" s="22" t="s">
        <v>144</v>
      </c>
      <c r="K67" s="23" t="s">
        <v>108</v>
      </c>
      <c r="L67" s="24" t="s">
        <v>91</v>
      </c>
      <c r="M67" s="2">
        <v>3.0</v>
      </c>
      <c r="N67" s="25">
        <v>31.0</v>
      </c>
      <c r="O67" s="25"/>
      <c r="P67" s="25"/>
    </row>
    <row r="68">
      <c r="A68" s="16">
        <v>66.0</v>
      </c>
      <c r="B68" s="17" t="s">
        <v>122</v>
      </c>
      <c r="C68" s="18">
        <v>9.0</v>
      </c>
      <c r="D68" s="19" t="s">
        <v>989</v>
      </c>
      <c r="E68" s="20" t="s">
        <v>443</v>
      </c>
      <c r="F68" s="17" t="s">
        <v>610</v>
      </c>
      <c r="G68" s="17" t="s">
        <v>1036</v>
      </c>
      <c r="H68" s="17" t="s">
        <v>1038</v>
      </c>
      <c r="I68" s="17" t="s">
        <v>125</v>
      </c>
      <c r="J68" s="22" t="s">
        <v>144</v>
      </c>
      <c r="K68" s="23" t="s">
        <v>108</v>
      </c>
      <c r="L68" s="24" t="s">
        <v>91</v>
      </c>
      <c r="M68" s="2">
        <v>3.0</v>
      </c>
      <c r="N68" s="25">
        <v>31.0</v>
      </c>
      <c r="O68" s="25"/>
      <c r="P68" s="25"/>
    </row>
    <row r="69">
      <c r="A69" s="16">
        <v>67.0</v>
      </c>
      <c r="B69" s="17" t="s">
        <v>122</v>
      </c>
      <c r="C69" s="18">
        <v>10.0</v>
      </c>
      <c r="D69" s="19" t="s">
        <v>989</v>
      </c>
      <c r="E69" s="20" t="s">
        <v>443</v>
      </c>
      <c r="F69" s="17" t="s">
        <v>551</v>
      </c>
      <c r="G69" s="17" t="s">
        <v>1049</v>
      </c>
      <c r="H69" s="17" t="s">
        <v>1050</v>
      </c>
      <c r="I69" s="17" t="s">
        <v>125</v>
      </c>
      <c r="J69" s="22" t="s">
        <v>144</v>
      </c>
      <c r="K69" s="23" t="s">
        <v>108</v>
      </c>
      <c r="L69" s="24" t="s">
        <v>91</v>
      </c>
      <c r="M69" s="2">
        <v>3.0</v>
      </c>
      <c r="N69" s="25">
        <v>31.0</v>
      </c>
      <c r="O69" s="25"/>
      <c r="P69" s="25"/>
    </row>
    <row r="70">
      <c r="A70" s="16">
        <v>68.0</v>
      </c>
      <c r="B70" s="17" t="s">
        <v>122</v>
      </c>
      <c r="C70" s="18">
        <v>11.0</v>
      </c>
      <c r="D70" s="19" t="s">
        <v>989</v>
      </c>
      <c r="E70" s="20" t="s">
        <v>443</v>
      </c>
      <c r="F70" s="17" t="s">
        <v>136</v>
      </c>
      <c r="G70" s="17" t="s">
        <v>1058</v>
      </c>
      <c r="H70" s="17" t="s">
        <v>1060</v>
      </c>
      <c r="I70" s="17" t="s">
        <v>125</v>
      </c>
      <c r="J70" s="22" t="s">
        <v>144</v>
      </c>
      <c r="K70" s="23" t="s">
        <v>108</v>
      </c>
      <c r="L70" s="24" t="s">
        <v>91</v>
      </c>
      <c r="M70" s="2">
        <v>3.0</v>
      </c>
      <c r="N70" s="25">
        <v>31.0</v>
      </c>
      <c r="O70" s="25"/>
      <c r="P70" s="25"/>
    </row>
    <row r="71">
      <c r="A71" s="16">
        <v>69.0</v>
      </c>
      <c r="B71" s="17" t="s">
        <v>122</v>
      </c>
      <c r="C71" s="18">
        <v>12.0</v>
      </c>
      <c r="D71" s="19" t="s">
        <v>989</v>
      </c>
      <c r="E71" s="20" t="s">
        <v>443</v>
      </c>
      <c r="F71" s="17" t="s">
        <v>638</v>
      </c>
      <c r="G71" s="17" t="s">
        <v>1066</v>
      </c>
      <c r="H71" s="17" t="s">
        <v>1068</v>
      </c>
      <c r="I71" s="17" t="s">
        <v>125</v>
      </c>
      <c r="J71" s="22" t="s">
        <v>144</v>
      </c>
      <c r="K71" s="23" t="s">
        <v>108</v>
      </c>
      <c r="L71" s="24" t="s">
        <v>91</v>
      </c>
      <c r="M71" s="2">
        <v>3.0</v>
      </c>
      <c r="N71" s="25">
        <v>31.0</v>
      </c>
      <c r="O71" s="25"/>
      <c r="P71" s="25"/>
    </row>
    <row r="72">
      <c r="A72" s="16">
        <v>70.0</v>
      </c>
      <c r="B72" s="17" t="s">
        <v>122</v>
      </c>
      <c r="C72" s="18">
        <v>13.0</v>
      </c>
      <c r="D72" s="19" t="s">
        <v>989</v>
      </c>
      <c r="E72" s="20" t="s">
        <v>443</v>
      </c>
      <c r="F72" s="17" t="s">
        <v>126</v>
      </c>
      <c r="G72" s="17" t="s">
        <v>1075</v>
      </c>
      <c r="H72" s="17" t="s">
        <v>1076</v>
      </c>
      <c r="I72" s="17" t="s">
        <v>125</v>
      </c>
      <c r="J72" s="22" t="s">
        <v>144</v>
      </c>
      <c r="K72" s="23" t="s">
        <v>108</v>
      </c>
      <c r="L72" s="24" t="s">
        <v>91</v>
      </c>
      <c r="M72" s="2">
        <v>3.0</v>
      </c>
      <c r="N72" s="25">
        <v>31.0</v>
      </c>
      <c r="O72" s="25"/>
      <c r="P72" s="25"/>
    </row>
    <row r="73">
      <c r="A73" s="16">
        <v>71.0</v>
      </c>
      <c r="B73" s="17" t="s">
        <v>122</v>
      </c>
      <c r="C73" s="18">
        <v>14.0</v>
      </c>
      <c r="D73" s="19" t="s">
        <v>989</v>
      </c>
      <c r="E73" s="20" t="s">
        <v>443</v>
      </c>
      <c r="F73" s="17" t="s">
        <v>29</v>
      </c>
      <c r="G73" s="17" t="s">
        <v>1082</v>
      </c>
      <c r="H73" s="17" t="s">
        <v>1083</v>
      </c>
      <c r="I73" s="17" t="s">
        <v>125</v>
      </c>
      <c r="J73" s="22" t="s">
        <v>144</v>
      </c>
      <c r="K73" s="23" t="s">
        <v>108</v>
      </c>
      <c r="L73" s="24" t="s">
        <v>91</v>
      </c>
      <c r="M73" s="2">
        <v>3.0</v>
      </c>
      <c r="N73" s="25">
        <v>31.0</v>
      </c>
      <c r="O73" s="25"/>
      <c r="P73" s="25"/>
    </row>
    <row r="74">
      <c r="A74" s="16">
        <v>72.0</v>
      </c>
      <c r="B74" s="17" t="s">
        <v>122</v>
      </c>
      <c r="C74" s="18">
        <v>15.0</v>
      </c>
      <c r="D74" s="19" t="s">
        <v>989</v>
      </c>
      <c r="E74" s="20" t="s">
        <v>443</v>
      </c>
      <c r="F74" s="17" t="s">
        <v>827</v>
      </c>
      <c r="G74" s="17" t="s">
        <v>926</v>
      </c>
      <c r="H74" s="17" t="s">
        <v>1089</v>
      </c>
      <c r="I74" s="17" t="s">
        <v>125</v>
      </c>
      <c r="J74" s="22" t="s">
        <v>144</v>
      </c>
      <c r="K74" s="23" t="s">
        <v>108</v>
      </c>
      <c r="L74" s="24" t="s">
        <v>91</v>
      </c>
      <c r="M74" s="2">
        <v>3.0</v>
      </c>
      <c r="N74" s="25">
        <v>31.0</v>
      </c>
      <c r="O74" s="25"/>
      <c r="P74" s="25"/>
    </row>
    <row r="75">
      <c r="A75" s="16">
        <v>73.0</v>
      </c>
      <c r="B75" s="17" t="s">
        <v>122</v>
      </c>
      <c r="C75" s="18">
        <v>16.0</v>
      </c>
      <c r="D75" s="19" t="s">
        <v>989</v>
      </c>
      <c r="E75" s="20" t="s">
        <v>443</v>
      </c>
      <c r="F75" s="17" t="s">
        <v>397</v>
      </c>
      <c r="G75" s="17" t="s">
        <v>1095</v>
      </c>
      <c r="H75" s="17" t="s">
        <v>1096</v>
      </c>
      <c r="I75" s="17" t="s">
        <v>125</v>
      </c>
      <c r="J75" s="22" t="s">
        <v>144</v>
      </c>
      <c r="K75" s="23" t="s">
        <v>108</v>
      </c>
      <c r="L75" s="24" t="s">
        <v>91</v>
      </c>
      <c r="M75" s="2">
        <v>3.0</v>
      </c>
      <c r="N75" s="25">
        <v>31.0</v>
      </c>
      <c r="O75" s="25"/>
      <c r="P75" s="25"/>
    </row>
    <row r="76">
      <c r="A76" s="16">
        <v>74.0</v>
      </c>
      <c r="B76" s="17" t="s">
        <v>122</v>
      </c>
      <c r="C76" s="18">
        <v>17.0</v>
      </c>
      <c r="D76" s="19" t="s">
        <v>989</v>
      </c>
      <c r="E76" s="20" t="s">
        <v>443</v>
      </c>
      <c r="F76" s="17" t="s">
        <v>222</v>
      </c>
      <c r="G76" s="17" t="s">
        <v>1101</v>
      </c>
      <c r="H76" s="17" t="s">
        <v>1102</v>
      </c>
      <c r="I76" s="17" t="s">
        <v>125</v>
      </c>
      <c r="J76" s="22" t="s">
        <v>144</v>
      </c>
      <c r="K76" s="23" t="s">
        <v>108</v>
      </c>
      <c r="L76" s="24" t="s">
        <v>91</v>
      </c>
      <c r="M76" s="2">
        <v>3.0</v>
      </c>
      <c r="N76" s="25">
        <v>31.0</v>
      </c>
      <c r="O76" s="25"/>
      <c r="P76" s="25"/>
    </row>
    <row r="77">
      <c r="A77" s="16">
        <v>75.0</v>
      </c>
      <c r="B77" s="17" t="s">
        <v>122</v>
      </c>
      <c r="C77" s="18">
        <v>18.0</v>
      </c>
      <c r="D77" s="19" t="s">
        <v>989</v>
      </c>
      <c r="E77" s="20" t="s">
        <v>443</v>
      </c>
      <c r="F77" s="17" t="s">
        <v>388</v>
      </c>
      <c r="G77" s="17" t="s">
        <v>1107</v>
      </c>
      <c r="H77" s="17" t="s">
        <v>1108</v>
      </c>
      <c r="I77" s="17" t="s">
        <v>125</v>
      </c>
      <c r="J77" s="22" t="s">
        <v>144</v>
      </c>
      <c r="K77" s="23" t="s">
        <v>108</v>
      </c>
      <c r="L77" s="24" t="s">
        <v>91</v>
      </c>
      <c r="M77" s="2">
        <v>3.0</v>
      </c>
      <c r="N77" s="25">
        <v>31.0</v>
      </c>
      <c r="O77" s="25"/>
      <c r="P77" s="25"/>
    </row>
    <row r="78">
      <c r="A78" s="16">
        <v>76.0</v>
      </c>
      <c r="B78" s="27" t="s">
        <v>122</v>
      </c>
      <c r="C78" s="18">
        <v>19.0</v>
      </c>
      <c r="D78" s="19" t="s">
        <v>989</v>
      </c>
      <c r="E78" s="20" t="s">
        <v>443</v>
      </c>
      <c r="F78" s="27" t="s">
        <v>566</v>
      </c>
      <c r="G78" s="17" t="s">
        <v>568</v>
      </c>
      <c r="H78" s="17" t="s">
        <v>570</v>
      </c>
      <c r="I78" s="17" t="s">
        <v>125</v>
      </c>
      <c r="J78" s="22" t="s">
        <v>144</v>
      </c>
      <c r="K78" s="23" t="s">
        <v>108</v>
      </c>
      <c r="L78" s="24"/>
      <c r="M78" s="2">
        <v>3.0</v>
      </c>
      <c r="N78" s="25">
        <v>31.0</v>
      </c>
      <c r="O78" s="25"/>
      <c r="P78" s="25"/>
    </row>
    <row r="79">
      <c r="A79" s="16">
        <v>77.0</v>
      </c>
      <c r="B79" s="17" t="s">
        <v>122</v>
      </c>
      <c r="C79" s="18">
        <v>20.0</v>
      </c>
      <c r="D79" s="19" t="s">
        <v>998</v>
      </c>
      <c r="E79" s="20" t="s">
        <v>443</v>
      </c>
      <c r="F79" s="17" t="s">
        <v>402</v>
      </c>
      <c r="G79" s="17" t="s">
        <v>1144</v>
      </c>
      <c r="H79" s="17" t="s">
        <v>1145</v>
      </c>
      <c r="I79" s="17" t="s">
        <v>125</v>
      </c>
      <c r="J79" s="22" t="s">
        <v>144</v>
      </c>
      <c r="K79" s="23" t="s">
        <v>108</v>
      </c>
      <c r="L79" s="24" t="s">
        <v>91</v>
      </c>
      <c r="M79" s="2">
        <v>3.0</v>
      </c>
      <c r="N79" s="25">
        <v>31.0</v>
      </c>
      <c r="O79" s="25"/>
      <c r="P79" s="25"/>
    </row>
    <row r="80">
      <c r="A80" s="16">
        <v>78.0</v>
      </c>
      <c r="B80" s="17" t="s">
        <v>122</v>
      </c>
      <c r="C80" s="18">
        <v>21.0</v>
      </c>
      <c r="D80" s="19" t="s">
        <v>998</v>
      </c>
      <c r="E80" s="20" t="s">
        <v>443</v>
      </c>
      <c r="F80" s="17" t="s">
        <v>605</v>
      </c>
      <c r="G80" s="17" t="s">
        <v>1150</v>
      </c>
      <c r="H80" s="17" t="s">
        <v>1152</v>
      </c>
      <c r="I80" s="17" t="s">
        <v>125</v>
      </c>
      <c r="J80" s="22" t="s">
        <v>144</v>
      </c>
      <c r="K80" s="23" t="s">
        <v>108</v>
      </c>
      <c r="L80" s="24" t="s">
        <v>91</v>
      </c>
      <c r="M80" s="2">
        <v>3.0</v>
      </c>
      <c r="N80" s="25">
        <v>31.0</v>
      </c>
      <c r="O80" s="25"/>
      <c r="P80" s="25"/>
    </row>
    <row r="81">
      <c r="A81" s="16">
        <v>79.0</v>
      </c>
      <c r="B81" s="17" t="s">
        <v>122</v>
      </c>
      <c r="C81" s="18">
        <v>22.0</v>
      </c>
      <c r="D81" s="19" t="s">
        <v>998</v>
      </c>
      <c r="E81" s="20" t="s">
        <v>443</v>
      </c>
      <c r="F81" s="17" t="s">
        <v>644</v>
      </c>
      <c r="G81" s="17" t="s">
        <v>646</v>
      </c>
      <c r="H81" s="17" t="s">
        <v>649</v>
      </c>
      <c r="I81" s="17" t="s">
        <v>125</v>
      </c>
      <c r="J81" s="22" t="s">
        <v>144</v>
      </c>
      <c r="K81" s="23" t="s">
        <v>108</v>
      </c>
      <c r="L81" s="24" t="s">
        <v>91</v>
      </c>
      <c r="M81" s="2">
        <v>3.0</v>
      </c>
      <c r="N81" s="25">
        <v>31.0</v>
      </c>
      <c r="O81" s="25"/>
      <c r="P81" s="25"/>
    </row>
    <row r="82">
      <c r="A82" s="16">
        <v>80.0</v>
      </c>
      <c r="B82" s="17" t="s">
        <v>122</v>
      </c>
      <c r="C82" s="18">
        <v>23.0</v>
      </c>
      <c r="D82" s="19" t="s">
        <v>998</v>
      </c>
      <c r="E82" s="20" t="s">
        <v>443</v>
      </c>
      <c r="F82" s="17" t="s">
        <v>198</v>
      </c>
      <c r="G82" s="17" t="s">
        <v>123</v>
      </c>
      <c r="H82" s="17" t="s">
        <v>1158</v>
      </c>
      <c r="I82" s="17" t="s">
        <v>125</v>
      </c>
      <c r="J82" s="22" t="s">
        <v>144</v>
      </c>
      <c r="K82" s="23" t="s">
        <v>108</v>
      </c>
      <c r="L82" s="24" t="s">
        <v>91</v>
      </c>
      <c r="M82" s="2">
        <v>3.0</v>
      </c>
      <c r="N82" s="25">
        <v>31.0</v>
      </c>
      <c r="O82" s="25"/>
      <c r="P82" s="25"/>
    </row>
    <row r="83">
      <c r="A83" s="16">
        <v>81.0</v>
      </c>
      <c r="B83" s="17" t="s">
        <v>122</v>
      </c>
      <c r="C83" s="18">
        <v>24.0</v>
      </c>
      <c r="D83" s="19" t="s">
        <v>998</v>
      </c>
      <c r="E83" s="20" t="s">
        <v>443</v>
      </c>
      <c r="F83" s="17" t="s">
        <v>623</v>
      </c>
      <c r="G83" s="17" t="s">
        <v>625</v>
      </c>
      <c r="H83" s="17" t="s">
        <v>1166</v>
      </c>
      <c r="I83" s="17" t="s">
        <v>125</v>
      </c>
      <c r="J83" s="22" t="s">
        <v>144</v>
      </c>
      <c r="K83" s="23" t="s">
        <v>108</v>
      </c>
      <c r="L83" s="24" t="s">
        <v>91</v>
      </c>
      <c r="M83" s="2">
        <v>3.0</v>
      </c>
      <c r="N83" s="25">
        <v>31.0</v>
      </c>
      <c r="O83" s="25"/>
      <c r="P83" s="25"/>
    </row>
    <row r="84">
      <c r="A84" s="16">
        <v>82.0</v>
      </c>
      <c r="B84" s="17" t="s">
        <v>122</v>
      </c>
      <c r="C84" s="18">
        <v>25.0</v>
      </c>
      <c r="D84" s="19" t="s">
        <v>998</v>
      </c>
      <c r="E84" s="20" t="s">
        <v>443</v>
      </c>
      <c r="F84" s="17" t="s">
        <v>833</v>
      </c>
      <c r="G84" s="17" t="s">
        <v>1172</v>
      </c>
      <c r="H84" s="17" t="s">
        <v>1174</v>
      </c>
      <c r="I84" s="17" t="s">
        <v>125</v>
      </c>
      <c r="J84" s="22" t="s">
        <v>144</v>
      </c>
      <c r="K84" s="23" t="s">
        <v>108</v>
      </c>
      <c r="L84" s="24" t="s">
        <v>91</v>
      </c>
      <c r="M84" s="2">
        <v>3.0</v>
      </c>
      <c r="N84" s="25">
        <v>31.0</v>
      </c>
      <c r="O84" s="25"/>
      <c r="P84" s="25"/>
    </row>
    <row r="85">
      <c r="A85" s="16">
        <v>83.0</v>
      </c>
      <c r="B85" s="17" t="s">
        <v>122</v>
      </c>
      <c r="C85" s="18">
        <v>26.0</v>
      </c>
      <c r="D85" s="19" t="s">
        <v>998</v>
      </c>
      <c r="E85" s="20" t="s">
        <v>443</v>
      </c>
      <c r="F85" s="17" t="s">
        <v>925</v>
      </c>
      <c r="G85" s="17" t="s">
        <v>1182</v>
      </c>
      <c r="H85" s="17" t="s">
        <v>874</v>
      </c>
      <c r="I85" s="17" t="s">
        <v>125</v>
      </c>
      <c r="J85" s="22" t="s">
        <v>144</v>
      </c>
      <c r="K85" s="23" t="s">
        <v>108</v>
      </c>
      <c r="L85" s="24" t="s">
        <v>91</v>
      </c>
      <c r="M85" s="2">
        <v>3.0</v>
      </c>
      <c r="N85" s="25">
        <v>31.0</v>
      </c>
      <c r="O85" s="25"/>
      <c r="P85" s="25"/>
    </row>
    <row r="86">
      <c r="A86" s="16">
        <v>84.0</v>
      </c>
      <c r="B86" s="17" t="s">
        <v>122</v>
      </c>
      <c r="C86" s="18">
        <v>27.0</v>
      </c>
      <c r="D86" s="19" t="s">
        <v>998</v>
      </c>
      <c r="E86" s="20" t="s">
        <v>443</v>
      </c>
      <c r="F86" s="17" t="s">
        <v>631</v>
      </c>
      <c r="G86" s="17" t="s">
        <v>1189</v>
      </c>
      <c r="H86" s="17" t="s">
        <v>1191</v>
      </c>
      <c r="I86" s="17" t="s">
        <v>125</v>
      </c>
      <c r="J86" s="22" t="s">
        <v>144</v>
      </c>
      <c r="K86" s="23" t="s">
        <v>108</v>
      </c>
      <c r="L86" s="24" t="s">
        <v>91</v>
      </c>
      <c r="M86" s="2">
        <v>3.0</v>
      </c>
      <c r="N86" s="25">
        <v>31.0</v>
      </c>
      <c r="O86" s="25"/>
      <c r="P86" s="25"/>
    </row>
    <row r="87">
      <c r="A87" s="16">
        <v>85.0</v>
      </c>
      <c r="B87" s="17" t="s">
        <v>122</v>
      </c>
      <c r="C87" s="18">
        <v>28.0</v>
      </c>
      <c r="D87" s="19" t="s">
        <v>998</v>
      </c>
      <c r="E87" s="20" t="s">
        <v>443</v>
      </c>
      <c r="F87" s="17" t="s">
        <v>588</v>
      </c>
      <c r="G87" s="17" t="s">
        <v>123</v>
      </c>
      <c r="H87" s="17" t="s">
        <v>1196</v>
      </c>
      <c r="I87" s="17" t="s">
        <v>125</v>
      </c>
      <c r="J87" s="22" t="s">
        <v>144</v>
      </c>
      <c r="K87" s="23" t="s">
        <v>108</v>
      </c>
      <c r="L87" s="24" t="s">
        <v>91</v>
      </c>
      <c r="M87" s="2">
        <v>3.0</v>
      </c>
      <c r="N87" s="25">
        <v>31.0</v>
      </c>
      <c r="O87" s="25"/>
      <c r="P87" s="25"/>
    </row>
    <row r="88">
      <c r="A88" s="16">
        <v>86.0</v>
      </c>
      <c r="B88" s="17" t="s">
        <v>122</v>
      </c>
      <c r="C88" s="18">
        <v>29.0</v>
      </c>
      <c r="D88" s="19" t="s">
        <v>998</v>
      </c>
      <c r="E88" s="20" t="s">
        <v>443</v>
      </c>
      <c r="F88" s="17" t="s">
        <v>927</v>
      </c>
      <c r="G88" s="17" t="s">
        <v>1205</v>
      </c>
      <c r="H88" s="17" t="s">
        <v>1206</v>
      </c>
      <c r="I88" s="17" t="s">
        <v>125</v>
      </c>
      <c r="J88" s="22" t="s">
        <v>144</v>
      </c>
      <c r="K88" s="23" t="s">
        <v>108</v>
      </c>
      <c r="L88" s="24" t="s">
        <v>91</v>
      </c>
      <c r="M88" s="2">
        <v>3.0</v>
      </c>
      <c r="N88" s="25">
        <v>31.0</v>
      </c>
      <c r="O88" s="25"/>
      <c r="P88" s="25"/>
    </row>
    <row r="89">
      <c r="A89" s="16">
        <v>87.0</v>
      </c>
      <c r="B89" s="17" t="s">
        <v>122</v>
      </c>
      <c r="C89" s="18">
        <v>30.0</v>
      </c>
      <c r="D89" s="19" t="s">
        <v>989</v>
      </c>
      <c r="E89" s="20" t="s">
        <v>443</v>
      </c>
      <c r="F89" s="17" t="s">
        <v>404</v>
      </c>
      <c r="G89" s="17" t="s">
        <v>1212</v>
      </c>
      <c r="H89" s="17" t="s">
        <v>1050</v>
      </c>
      <c r="I89" s="17" t="s">
        <v>125</v>
      </c>
      <c r="J89" s="22" t="s">
        <v>144</v>
      </c>
      <c r="K89" s="23" t="s">
        <v>108</v>
      </c>
      <c r="L89" s="24" t="s">
        <v>939</v>
      </c>
      <c r="M89" s="2">
        <v>3.0</v>
      </c>
      <c r="N89" s="25">
        <v>36.0</v>
      </c>
      <c r="O89" s="25"/>
      <c r="P89" s="25"/>
    </row>
    <row r="90">
      <c r="A90" s="16">
        <v>88.0</v>
      </c>
      <c r="B90" s="17" t="s">
        <v>122</v>
      </c>
      <c r="C90" s="18">
        <v>31.0</v>
      </c>
      <c r="D90" s="19" t="s">
        <v>998</v>
      </c>
      <c r="E90" s="20" t="s">
        <v>443</v>
      </c>
      <c r="F90" s="17" t="s">
        <v>408</v>
      </c>
      <c r="G90" s="17" t="s">
        <v>123</v>
      </c>
      <c r="H90" s="17" t="s">
        <v>1221</v>
      </c>
      <c r="I90" s="17" t="s">
        <v>125</v>
      </c>
      <c r="J90" s="22" t="s">
        <v>144</v>
      </c>
      <c r="K90" s="23" t="s">
        <v>108</v>
      </c>
      <c r="L90" s="24" t="s">
        <v>939</v>
      </c>
      <c r="M90" s="2">
        <v>3.0</v>
      </c>
      <c r="N90" s="25">
        <v>36.0</v>
      </c>
      <c r="O90" s="25"/>
      <c r="P90" s="25"/>
    </row>
    <row r="91">
      <c r="A91" s="16">
        <v>89.0</v>
      </c>
      <c r="B91" s="17" t="s">
        <v>122</v>
      </c>
      <c r="C91" s="18">
        <v>32.0</v>
      </c>
      <c r="D91" s="19" t="s">
        <v>998</v>
      </c>
      <c r="E91" s="20" t="s">
        <v>443</v>
      </c>
      <c r="F91" s="17" t="s">
        <v>417</v>
      </c>
      <c r="G91" s="17" t="s">
        <v>936</v>
      </c>
      <c r="H91" s="17" t="s">
        <v>937</v>
      </c>
      <c r="I91" s="17" t="s">
        <v>125</v>
      </c>
      <c r="J91" s="22" t="s">
        <v>144</v>
      </c>
      <c r="K91" s="23" t="s">
        <v>108</v>
      </c>
      <c r="L91" s="24" t="s">
        <v>939</v>
      </c>
      <c r="M91" s="2">
        <v>3.0</v>
      </c>
      <c r="N91" s="25">
        <v>36.0</v>
      </c>
      <c r="O91" s="25"/>
      <c r="P91" s="25"/>
    </row>
    <row r="92">
      <c r="A92" s="16">
        <v>90.0</v>
      </c>
      <c r="B92" s="17" t="s">
        <v>122</v>
      </c>
      <c r="C92" s="18">
        <v>33.0</v>
      </c>
      <c r="D92" s="19" t="s">
        <v>998</v>
      </c>
      <c r="E92" s="20" t="s">
        <v>443</v>
      </c>
      <c r="F92" s="17" t="s">
        <v>835</v>
      </c>
      <c r="G92" s="17" t="s">
        <v>1236</v>
      </c>
      <c r="H92" s="17" t="s">
        <v>1238</v>
      </c>
      <c r="I92" s="17" t="s">
        <v>125</v>
      </c>
      <c r="J92" s="22" t="s">
        <v>144</v>
      </c>
      <c r="K92" s="23" t="s">
        <v>108</v>
      </c>
      <c r="L92" s="24" t="s">
        <v>1243</v>
      </c>
      <c r="M92" s="2">
        <v>3.0</v>
      </c>
      <c r="N92" s="25">
        <v>36.0</v>
      </c>
      <c r="O92" s="25"/>
      <c r="P92" s="25"/>
    </row>
    <row r="93">
      <c r="A93" s="16">
        <v>91.0</v>
      </c>
      <c r="B93" s="17" t="s">
        <v>80</v>
      </c>
      <c r="C93" s="18">
        <v>1.0</v>
      </c>
      <c r="D93" s="19" t="s">
        <v>1201</v>
      </c>
      <c r="E93" s="20" t="s">
        <v>443</v>
      </c>
      <c r="F93" s="17" t="s">
        <v>247</v>
      </c>
      <c r="G93" s="17" t="s">
        <v>123</v>
      </c>
      <c r="H93" s="17" t="s">
        <v>1248</v>
      </c>
      <c r="I93" s="17" t="s">
        <v>98</v>
      </c>
      <c r="J93" s="22" t="s">
        <v>100</v>
      </c>
      <c r="K93" s="23" t="s">
        <v>108</v>
      </c>
      <c r="L93" s="24" t="s">
        <v>91</v>
      </c>
      <c r="M93" s="2">
        <v>4.0</v>
      </c>
      <c r="N93" s="25">
        <v>10.0</v>
      </c>
      <c r="O93" s="25"/>
      <c r="P93" s="25"/>
    </row>
    <row r="94">
      <c r="A94" s="16">
        <v>92.0</v>
      </c>
      <c r="B94" s="17" t="s">
        <v>80</v>
      </c>
      <c r="C94" s="18">
        <v>2.0</v>
      </c>
      <c r="D94" s="19" t="s">
        <v>1201</v>
      </c>
      <c r="E94" s="20" t="s">
        <v>443</v>
      </c>
      <c r="F94" s="17" t="s">
        <v>605</v>
      </c>
      <c r="G94" s="17" t="s">
        <v>1150</v>
      </c>
      <c r="H94" s="17" t="s">
        <v>1256</v>
      </c>
      <c r="I94" s="17" t="s">
        <v>98</v>
      </c>
      <c r="J94" s="22" t="s">
        <v>100</v>
      </c>
      <c r="K94" s="23" t="s">
        <v>108</v>
      </c>
      <c r="L94" s="24" t="s">
        <v>91</v>
      </c>
      <c r="M94" s="2">
        <v>4.0</v>
      </c>
      <c r="N94" s="25">
        <v>10.0</v>
      </c>
      <c r="O94" s="25"/>
      <c r="P94" s="25"/>
    </row>
    <row r="95">
      <c r="A95" s="16">
        <v>93.0</v>
      </c>
      <c r="B95" s="17" t="s">
        <v>80</v>
      </c>
      <c r="C95" s="18">
        <v>3.0</v>
      </c>
      <c r="D95" s="19" t="s">
        <v>1201</v>
      </c>
      <c r="E95" s="20" t="s">
        <v>443</v>
      </c>
      <c r="F95" s="17" t="s">
        <v>631</v>
      </c>
      <c r="G95" s="17" t="s">
        <v>123</v>
      </c>
      <c r="H95" s="17" t="s">
        <v>1263</v>
      </c>
      <c r="I95" s="17" t="s">
        <v>98</v>
      </c>
      <c r="J95" s="22" t="s">
        <v>100</v>
      </c>
      <c r="K95" s="23" t="s">
        <v>108</v>
      </c>
      <c r="L95" s="24" t="s">
        <v>91</v>
      </c>
      <c r="M95" s="2">
        <v>4.0</v>
      </c>
      <c r="N95" s="25">
        <v>10.0</v>
      </c>
      <c r="O95" s="25"/>
      <c r="P95" s="25"/>
    </row>
    <row r="96">
      <c r="A96" s="16">
        <v>94.0</v>
      </c>
      <c r="B96" s="17" t="s">
        <v>80</v>
      </c>
      <c r="C96" s="18">
        <v>4.0</v>
      </c>
      <c r="D96" s="19" t="s">
        <v>1201</v>
      </c>
      <c r="E96" s="20" t="s">
        <v>443</v>
      </c>
      <c r="F96" s="17" t="s">
        <v>432</v>
      </c>
      <c r="G96" s="17" t="s">
        <v>1272</v>
      </c>
      <c r="H96" s="17" t="s">
        <v>1273</v>
      </c>
      <c r="I96" s="17" t="s">
        <v>98</v>
      </c>
      <c r="J96" s="22" t="s">
        <v>135</v>
      </c>
      <c r="K96" s="23" t="s">
        <v>108</v>
      </c>
      <c r="L96" s="24" t="s">
        <v>91</v>
      </c>
      <c r="M96" s="2">
        <v>4.0</v>
      </c>
      <c r="N96" s="25">
        <v>20.0</v>
      </c>
      <c r="O96" s="25"/>
      <c r="P96" s="25"/>
    </row>
    <row r="97">
      <c r="A97" s="16">
        <v>95.0</v>
      </c>
      <c r="B97" s="17" t="s">
        <v>80</v>
      </c>
      <c r="C97" s="18">
        <v>5.0</v>
      </c>
      <c r="D97" s="19" t="s">
        <v>1201</v>
      </c>
      <c r="E97" s="20" t="s">
        <v>443</v>
      </c>
      <c r="F97" s="17" t="s">
        <v>140</v>
      </c>
      <c r="G97" s="17" t="s">
        <v>123</v>
      </c>
      <c r="H97" s="17" t="s">
        <v>1275</v>
      </c>
      <c r="I97" s="17" t="s">
        <v>98</v>
      </c>
      <c r="J97" s="22" t="s">
        <v>135</v>
      </c>
      <c r="K97" s="23" t="s">
        <v>108</v>
      </c>
      <c r="L97" s="24" t="s">
        <v>91</v>
      </c>
      <c r="M97" s="2">
        <v>4.0</v>
      </c>
      <c r="N97" s="25">
        <v>20.0</v>
      </c>
      <c r="O97" s="25"/>
      <c r="P97" s="25"/>
    </row>
    <row r="98">
      <c r="A98" s="16">
        <v>96.0</v>
      </c>
      <c r="B98" s="17" t="s">
        <v>80</v>
      </c>
      <c r="C98" s="18">
        <v>6.0</v>
      </c>
      <c r="D98" s="19" t="s">
        <v>1201</v>
      </c>
      <c r="E98" s="20" t="s">
        <v>443</v>
      </c>
      <c r="F98" s="17" t="s">
        <v>836</v>
      </c>
      <c r="G98" s="17" t="s">
        <v>1281</v>
      </c>
      <c r="H98" s="17" t="s">
        <v>1283</v>
      </c>
      <c r="I98" s="17" t="s">
        <v>98</v>
      </c>
      <c r="J98" s="22" t="s">
        <v>135</v>
      </c>
      <c r="K98" s="23" t="s">
        <v>108</v>
      </c>
      <c r="L98" s="24" t="s">
        <v>91</v>
      </c>
      <c r="M98" s="2">
        <v>4.0</v>
      </c>
      <c r="N98" s="25">
        <v>20.0</v>
      </c>
      <c r="O98" s="25"/>
      <c r="P98" s="25"/>
    </row>
    <row r="99">
      <c r="A99" s="16">
        <v>97.0</v>
      </c>
      <c r="B99" s="17" t="s">
        <v>80</v>
      </c>
      <c r="C99" s="18">
        <v>7.0</v>
      </c>
      <c r="D99" s="19" t="s">
        <v>1201</v>
      </c>
      <c r="E99" s="20" t="s">
        <v>443</v>
      </c>
      <c r="F99" s="17" t="s">
        <v>838</v>
      </c>
      <c r="G99" s="17" t="s">
        <v>1290</v>
      </c>
      <c r="H99" s="17" t="s">
        <v>1291</v>
      </c>
      <c r="I99" s="17" t="s">
        <v>98</v>
      </c>
      <c r="J99" s="22" t="s">
        <v>135</v>
      </c>
      <c r="K99" s="23" t="s">
        <v>108</v>
      </c>
      <c r="L99" s="24" t="s">
        <v>91</v>
      </c>
      <c r="M99" s="2">
        <v>4.0</v>
      </c>
      <c r="N99" s="25">
        <v>20.0</v>
      </c>
      <c r="O99" s="25"/>
      <c r="P99" s="25"/>
    </row>
    <row r="100">
      <c r="A100" s="16">
        <v>98.0</v>
      </c>
      <c r="B100" s="17" t="s">
        <v>80</v>
      </c>
      <c r="C100" s="18">
        <v>8.0</v>
      </c>
      <c r="D100" s="19" t="s">
        <v>1201</v>
      </c>
      <c r="E100" s="20" t="s">
        <v>443</v>
      </c>
      <c r="F100" s="17" t="s">
        <v>254</v>
      </c>
      <c r="G100" s="17" t="s">
        <v>1297</v>
      </c>
      <c r="H100" s="17" t="s">
        <v>1299</v>
      </c>
      <c r="I100" s="17" t="s">
        <v>98</v>
      </c>
      <c r="J100" s="22" t="s">
        <v>135</v>
      </c>
      <c r="K100" s="23" t="s">
        <v>108</v>
      </c>
      <c r="L100" s="24" t="s">
        <v>91</v>
      </c>
      <c r="M100" s="2">
        <v>4.0</v>
      </c>
      <c r="N100" s="25">
        <v>20.0</v>
      </c>
      <c r="O100" s="25"/>
      <c r="P100" s="25"/>
    </row>
    <row r="101">
      <c r="A101" s="16">
        <v>99.0</v>
      </c>
      <c r="B101" s="17" t="s">
        <v>80</v>
      </c>
      <c r="C101" s="18">
        <v>9.0</v>
      </c>
      <c r="D101" s="19" t="s">
        <v>1201</v>
      </c>
      <c r="E101" s="20" t="s">
        <v>443</v>
      </c>
      <c r="F101" s="17" t="s">
        <v>929</v>
      </c>
      <c r="G101" s="17" t="s">
        <v>1305</v>
      </c>
      <c r="H101" s="17" t="s">
        <v>1306</v>
      </c>
      <c r="I101" s="17" t="s">
        <v>98</v>
      </c>
      <c r="J101" s="22" t="s">
        <v>135</v>
      </c>
      <c r="K101" s="23" t="s">
        <v>108</v>
      </c>
      <c r="L101" s="24" t="s">
        <v>91</v>
      </c>
      <c r="M101" s="2">
        <v>4.0</v>
      </c>
      <c r="N101" s="25">
        <v>20.0</v>
      </c>
      <c r="O101" s="25"/>
      <c r="P101" s="25"/>
    </row>
    <row r="102">
      <c r="A102" s="16">
        <v>100.0</v>
      </c>
      <c r="B102" s="17" t="s">
        <v>80</v>
      </c>
      <c r="C102" s="18">
        <v>10.0</v>
      </c>
      <c r="D102" s="19" t="s">
        <v>1201</v>
      </c>
      <c r="E102" s="20" t="s">
        <v>443</v>
      </c>
      <c r="F102" s="17" t="s">
        <v>139</v>
      </c>
      <c r="G102" s="17" t="s">
        <v>1312</v>
      </c>
      <c r="H102" s="17" t="s">
        <v>1313</v>
      </c>
      <c r="I102" s="17" t="s">
        <v>98</v>
      </c>
      <c r="J102" s="22" t="s">
        <v>135</v>
      </c>
      <c r="K102" s="23" t="s">
        <v>108</v>
      </c>
      <c r="L102" s="24" t="s">
        <v>91</v>
      </c>
      <c r="M102" s="2">
        <v>4.0</v>
      </c>
      <c r="N102" s="25">
        <v>20.0</v>
      </c>
      <c r="O102" s="25"/>
      <c r="P102" s="25"/>
    </row>
    <row r="103">
      <c r="A103" s="16">
        <v>101.0</v>
      </c>
      <c r="B103" s="17" t="s">
        <v>80</v>
      </c>
      <c r="C103" s="18">
        <v>11.0</v>
      </c>
      <c r="D103" s="19" t="s">
        <v>1201</v>
      </c>
      <c r="E103" s="20" t="s">
        <v>443</v>
      </c>
      <c r="F103" s="17" t="s">
        <v>710</v>
      </c>
      <c r="G103" s="17" t="s">
        <v>1319</v>
      </c>
      <c r="H103" s="17" t="s">
        <v>1321</v>
      </c>
      <c r="I103" s="17" t="s">
        <v>98</v>
      </c>
      <c r="J103" s="22" t="s">
        <v>135</v>
      </c>
      <c r="K103" s="23" t="s">
        <v>108</v>
      </c>
      <c r="L103" s="24" t="s">
        <v>91</v>
      </c>
      <c r="M103" s="2">
        <v>4.0</v>
      </c>
      <c r="N103" s="25">
        <v>20.0</v>
      </c>
      <c r="O103" s="25"/>
      <c r="P103" s="25"/>
    </row>
    <row r="104">
      <c r="A104" s="16">
        <v>102.0</v>
      </c>
      <c r="B104" s="17" t="s">
        <v>80</v>
      </c>
      <c r="C104" s="18">
        <v>12.0</v>
      </c>
      <c r="D104" s="19" t="s">
        <v>1201</v>
      </c>
      <c r="E104" s="20" t="s">
        <v>443</v>
      </c>
      <c r="F104" s="17" t="s">
        <v>128</v>
      </c>
      <c r="G104" s="17" t="s">
        <v>1329</v>
      </c>
      <c r="H104" s="17" t="s">
        <v>1330</v>
      </c>
      <c r="I104" s="17" t="s">
        <v>125</v>
      </c>
      <c r="J104" s="22" t="s">
        <v>135</v>
      </c>
      <c r="K104" s="23" t="s">
        <v>108</v>
      </c>
      <c r="L104" s="24" t="s">
        <v>91</v>
      </c>
      <c r="M104" s="2">
        <v>4.0</v>
      </c>
      <c r="N104" s="25">
        <v>21.0</v>
      </c>
      <c r="O104" s="25"/>
      <c r="P104" s="25"/>
    </row>
    <row r="105">
      <c r="A105" s="16">
        <v>103.0</v>
      </c>
      <c r="B105" s="17" t="s">
        <v>80</v>
      </c>
      <c r="C105" s="18">
        <v>13.0</v>
      </c>
      <c r="D105" s="19" t="s">
        <v>1201</v>
      </c>
      <c r="E105" s="20" t="s">
        <v>443</v>
      </c>
      <c r="F105" s="17" t="s">
        <v>127</v>
      </c>
      <c r="G105" s="17" t="s">
        <v>123</v>
      </c>
      <c r="H105" s="17" t="s">
        <v>1338</v>
      </c>
      <c r="I105" s="17" t="s">
        <v>98</v>
      </c>
      <c r="J105" s="22" t="s">
        <v>144</v>
      </c>
      <c r="K105" s="23" t="s">
        <v>108</v>
      </c>
      <c r="L105" s="24" t="s">
        <v>91</v>
      </c>
      <c r="M105" s="2">
        <v>4.0</v>
      </c>
      <c r="N105" s="25">
        <v>30.0</v>
      </c>
      <c r="O105" s="25"/>
      <c r="P105" s="25"/>
    </row>
    <row r="106">
      <c r="A106" s="16">
        <v>104.0</v>
      </c>
      <c r="B106" s="17" t="s">
        <v>80</v>
      </c>
      <c r="C106" s="18">
        <v>14.0</v>
      </c>
      <c r="D106" s="19" t="s">
        <v>1201</v>
      </c>
      <c r="E106" s="20" t="s">
        <v>443</v>
      </c>
      <c r="F106" s="17" t="s">
        <v>27</v>
      </c>
      <c r="G106" s="17" t="s">
        <v>1343</v>
      </c>
      <c r="H106" s="17" t="s">
        <v>1344</v>
      </c>
      <c r="I106" s="17" t="s">
        <v>98</v>
      </c>
      <c r="J106" s="22" t="s">
        <v>144</v>
      </c>
      <c r="K106" s="23" t="s">
        <v>108</v>
      </c>
      <c r="L106" s="24" t="s">
        <v>91</v>
      </c>
      <c r="M106" s="2">
        <v>4.0</v>
      </c>
      <c r="N106" s="25">
        <v>30.0</v>
      </c>
      <c r="O106" s="25"/>
      <c r="P106" s="25"/>
    </row>
    <row r="107">
      <c r="A107" s="16">
        <v>105.0</v>
      </c>
      <c r="B107" s="17" t="s">
        <v>80</v>
      </c>
      <c r="C107" s="18">
        <v>15.0</v>
      </c>
      <c r="D107" s="19" t="s">
        <v>1201</v>
      </c>
      <c r="E107" s="20" t="s">
        <v>443</v>
      </c>
      <c r="F107" s="17" t="s">
        <v>1156</v>
      </c>
      <c r="G107" s="17" t="s">
        <v>1348</v>
      </c>
      <c r="H107" s="17" t="s">
        <v>1349</v>
      </c>
      <c r="I107" s="17" t="s">
        <v>98</v>
      </c>
      <c r="J107" s="22" t="s">
        <v>144</v>
      </c>
      <c r="K107" s="23" t="s">
        <v>108</v>
      </c>
      <c r="L107" s="24" t="s">
        <v>91</v>
      </c>
      <c r="M107" s="2">
        <v>4.0</v>
      </c>
      <c r="N107" s="25">
        <v>30.0</v>
      </c>
      <c r="O107" s="25"/>
      <c r="P107" s="25"/>
    </row>
    <row r="108">
      <c r="A108" s="16">
        <v>106.0</v>
      </c>
      <c r="B108" s="17" t="s">
        <v>80</v>
      </c>
      <c r="C108" s="18">
        <v>16.0</v>
      </c>
      <c r="D108" s="19" t="s">
        <v>1201</v>
      </c>
      <c r="E108" s="20" t="s">
        <v>443</v>
      </c>
      <c r="F108" s="17" t="s">
        <v>658</v>
      </c>
      <c r="G108" s="17" t="s">
        <v>123</v>
      </c>
      <c r="H108" s="17" t="s">
        <v>1354</v>
      </c>
      <c r="I108" s="17" t="s">
        <v>98</v>
      </c>
      <c r="J108" s="22" t="s">
        <v>144</v>
      </c>
      <c r="K108" s="23" t="s">
        <v>108</v>
      </c>
      <c r="L108" s="24" t="s">
        <v>91</v>
      </c>
      <c r="M108" s="2">
        <v>4.0</v>
      </c>
      <c r="N108" s="25">
        <v>30.0</v>
      </c>
      <c r="O108" s="25"/>
      <c r="P108" s="25"/>
    </row>
    <row r="109">
      <c r="A109" s="16">
        <v>107.0</v>
      </c>
      <c r="B109" s="17" t="s">
        <v>80</v>
      </c>
      <c r="C109" s="18">
        <v>17.0</v>
      </c>
      <c r="D109" s="19" t="s">
        <v>1201</v>
      </c>
      <c r="E109" s="20" t="s">
        <v>443</v>
      </c>
      <c r="F109" s="17" t="s">
        <v>136</v>
      </c>
      <c r="G109" s="17" t="s">
        <v>1360</v>
      </c>
      <c r="H109" s="17" t="s">
        <v>1361</v>
      </c>
      <c r="I109" s="17" t="s">
        <v>98</v>
      </c>
      <c r="J109" s="22" t="s">
        <v>144</v>
      </c>
      <c r="K109" s="23" t="s">
        <v>108</v>
      </c>
      <c r="L109" s="24" t="s">
        <v>91</v>
      </c>
      <c r="M109" s="2">
        <v>4.0</v>
      </c>
      <c r="N109" s="25">
        <v>30.0</v>
      </c>
      <c r="O109" s="25"/>
      <c r="P109" s="25"/>
    </row>
    <row r="110">
      <c r="A110" s="16">
        <v>108.0</v>
      </c>
      <c r="B110" s="17" t="s">
        <v>80</v>
      </c>
      <c r="C110" s="18">
        <v>18.0</v>
      </c>
      <c r="D110" s="19" t="s">
        <v>1201</v>
      </c>
      <c r="E110" s="20" t="s">
        <v>443</v>
      </c>
      <c r="F110" s="17" t="s">
        <v>130</v>
      </c>
      <c r="G110" s="17" t="s">
        <v>1368</v>
      </c>
      <c r="H110" s="17" t="s">
        <v>1291</v>
      </c>
      <c r="I110" s="17" t="s">
        <v>98</v>
      </c>
      <c r="J110" s="22" t="s">
        <v>144</v>
      </c>
      <c r="K110" s="23" t="s">
        <v>108</v>
      </c>
      <c r="L110" s="24" t="s">
        <v>91</v>
      </c>
      <c r="M110" s="2">
        <v>4.0</v>
      </c>
      <c r="N110" s="25">
        <v>30.0</v>
      </c>
      <c r="O110" s="25"/>
      <c r="P110" s="25"/>
    </row>
    <row r="111">
      <c r="A111" s="16">
        <v>109.0</v>
      </c>
      <c r="B111" s="17" t="s">
        <v>80</v>
      </c>
      <c r="C111" s="18">
        <v>19.0</v>
      </c>
      <c r="D111" s="19" t="s">
        <v>1201</v>
      </c>
      <c r="E111" s="20" t="s">
        <v>443</v>
      </c>
      <c r="F111" s="17" t="s">
        <v>3</v>
      </c>
      <c r="G111" s="17" t="s">
        <v>1376</v>
      </c>
      <c r="H111" s="17" t="s">
        <v>1378</v>
      </c>
      <c r="I111" s="17" t="s">
        <v>98</v>
      </c>
      <c r="J111" s="22" t="s">
        <v>144</v>
      </c>
      <c r="K111" s="23" t="s">
        <v>108</v>
      </c>
      <c r="L111" s="24" t="s">
        <v>91</v>
      </c>
      <c r="M111" s="2">
        <v>4.0</v>
      </c>
      <c r="N111" s="25">
        <v>30.0</v>
      </c>
      <c r="O111" s="25"/>
      <c r="P111" s="25"/>
    </row>
    <row r="112">
      <c r="A112" s="16">
        <v>110.0</v>
      </c>
      <c r="B112" s="17" t="s">
        <v>80</v>
      </c>
      <c r="C112" s="18">
        <v>20.0</v>
      </c>
      <c r="D112" s="19" t="s">
        <v>1201</v>
      </c>
      <c r="E112" s="20" t="s">
        <v>443</v>
      </c>
      <c r="F112" s="17" t="s">
        <v>40</v>
      </c>
      <c r="G112" s="17" t="s">
        <v>1385</v>
      </c>
      <c r="H112" s="17" t="s">
        <v>1387</v>
      </c>
      <c r="I112" s="17" t="s">
        <v>98</v>
      </c>
      <c r="J112" s="22" t="s">
        <v>144</v>
      </c>
      <c r="K112" s="23" t="s">
        <v>108</v>
      </c>
      <c r="L112" s="24" t="s">
        <v>91</v>
      </c>
      <c r="M112" s="2">
        <v>4.0</v>
      </c>
      <c r="N112" s="25">
        <v>30.0</v>
      </c>
      <c r="O112" s="25"/>
      <c r="P112" s="25"/>
    </row>
    <row r="113">
      <c r="A113" s="16">
        <v>111.0</v>
      </c>
      <c r="B113" s="17" t="s">
        <v>80</v>
      </c>
      <c r="C113" s="18">
        <v>21.0</v>
      </c>
      <c r="D113" s="19" t="s">
        <v>1201</v>
      </c>
      <c r="E113" s="20" t="s">
        <v>443</v>
      </c>
      <c r="F113" s="17" t="s">
        <v>425</v>
      </c>
      <c r="G113" s="17" t="s">
        <v>1394</v>
      </c>
      <c r="H113" s="17" t="s">
        <v>1291</v>
      </c>
      <c r="I113" s="17" t="s">
        <v>98</v>
      </c>
      <c r="J113" s="22" t="s">
        <v>144</v>
      </c>
      <c r="K113" s="23" t="s">
        <v>108</v>
      </c>
      <c r="L113" s="24" t="s">
        <v>91</v>
      </c>
      <c r="M113" s="2">
        <v>4.0</v>
      </c>
      <c r="N113" s="25">
        <v>30.0</v>
      </c>
      <c r="O113" s="25"/>
      <c r="P113" s="25"/>
    </row>
    <row r="114">
      <c r="A114" s="16">
        <v>112.0</v>
      </c>
      <c r="B114" s="17" t="s">
        <v>80</v>
      </c>
      <c r="C114" s="18">
        <v>22.0</v>
      </c>
      <c r="D114" s="19" t="s">
        <v>1201</v>
      </c>
      <c r="E114" s="20" t="s">
        <v>443</v>
      </c>
      <c r="F114" s="17" t="s">
        <v>251</v>
      </c>
      <c r="G114" s="17" t="s">
        <v>1401</v>
      </c>
      <c r="H114" s="17" t="s">
        <v>1402</v>
      </c>
      <c r="I114" s="17" t="s">
        <v>98</v>
      </c>
      <c r="J114" s="22" t="s">
        <v>144</v>
      </c>
      <c r="K114" s="23" t="s">
        <v>108</v>
      </c>
      <c r="L114" s="24" t="s">
        <v>91</v>
      </c>
      <c r="M114" s="2">
        <v>4.0</v>
      </c>
      <c r="N114" s="25">
        <v>30.0</v>
      </c>
      <c r="O114" s="25"/>
      <c r="P114" s="25"/>
    </row>
    <row r="115">
      <c r="A115" s="16">
        <v>113.0</v>
      </c>
      <c r="B115" s="17" t="s">
        <v>80</v>
      </c>
      <c r="C115" s="18">
        <v>23.0</v>
      </c>
      <c r="D115" s="19" t="s">
        <v>1201</v>
      </c>
      <c r="E115" s="20" t="s">
        <v>443</v>
      </c>
      <c r="F115" s="17" t="s">
        <v>829</v>
      </c>
      <c r="G115" s="17" t="s">
        <v>1409</v>
      </c>
      <c r="H115" s="17" t="s">
        <v>1410</v>
      </c>
      <c r="I115" s="17" t="s">
        <v>98</v>
      </c>
      <c r="J115" s="22" t="s">
        <v>144</v>
      </c>
      <c r="K115" s="23" t="s">
        <v>108</v>
      </c>
      <c r="L115" s="24" t="s">
        <v>91</v>
      </c>
      <c r="M115" s="2">
        <v>4.0</v>
      </c>
      <c r="N115" s="25">
        <v>30.0</v>
      </c>
      <c r="O115" s="25"/>
      <c r="P115" s="25"/>
    </row>
    <row r="116">
      <c r="A116" s="16">
        <v>114.0</v>
      </c>
      <c r="B116" s="17" t="s">
        <v>80</v>
      </c>
      <c r="C116" s="18">
        <v>24.0</v>
      </c>
      <c r="D116" s="19" t="s">
        <v>1201</v>
      </c>
      <c r="E116" s="20" t="s">
        <v>443</v>
      </c>
      <c r="F116" s="17" t="s">
        <v>84</v>
      </c>
      <c r="G116" s="17" t="s">
        <v>1414</v>
      </c>
      <c r="H116" s="17" t="s">
        <v>1415</v>
      </c>
      <c r="I116" s="17" t="s">
        <v>98</v>
      </c>
      <c r="J116" s="22" t="s">
        <v>144</v>
      </c>
      <c r="K116" s="23" t="s">
        <v>108</v>
      </c>
      <c r="L116" s="24" t="s">
        <v>91</v>
      </c>
      <c r="M116" s="2">
        <v>4.0</v>
      </c>
      <c r="N116" s="25">
        <v>30.0</v>
      </c>
      <c r="O116" s="25"/>
      <c r="P116" s="25"/>
    </row>
    <row r="117">
      <c r="A117" s="16">
        <v>115.0</v>
      </c>
      <c r="B117" s="17" t="s">
        <v>80</v>
      </c>
      <c r="C117" s="18">
        <v>25.0</v>
      </c>
      <c r="D117" s="19" t="s">
        <v>1201</v>
      </c>
      <c r="E117" s="20" t="s">
        <v>443</v>
      </c>
      <c r="F117" s="17" t="s">
        <v>825</v>
      </c>
      <c r="G117" s="17" t="s">
        <v>1421</v>
      </c>
      <c r="H117" s="17" t="s">
        <v>1422</v>
      </c>
      <c r="I117" s="17" t="s">
        <v>98</v>
      </c>
      <c r="J117" s="22" t="s">
        <v>144</v>
      </c>
      <c r="K117" s="23" t="s">
        <v>108</v>
      </c>
      <c r="L117" s="24" t="s">
        <v>91</v>
      </c>
      <c r="M117" s="2">
        <v>4.0</v>
      </c>
      <c r="N117" s="25">
        <v>30.0</v>
      </c>
      <c r="O117" s="25"/>
      <c r="P117" s="25"/>
    </row>
    <row r="118">
      <c r="A118" s="16">
        <v>116.0</v>
      </c>
      <c r="B118" s="17" t="s">
        <v>80</v>
      </c>
      <c r="C118" s="18">
        <v>26.0</v>
      </c>
      <c r="D118" s="19" t="s">
        <v>1201</v>
      </c>
      <c r="E118" s="20" t="s">
        <v>443</v>
      </c>
      <c r="F118" s="17" t="s">
        <v>385</v>
      </c>
      <c r="G118" s="17" t="s">
        <v>1428</v>
      </c>
      <c r="H118" s="17" t="s">
        <v>1429</v>
      </c>
      <c r="I118" s="17" t="s">
        <v>125</v>
      </c>
      <c r="J118" s="22" t="s">
        <v>144</v>
      </c>
      <c r="K118" s="23" t="s">
        <v>108</v>
      </c>
      <c r="L118" s="24" t="s">
        <v>91</v>
      </c>
      <c r="M118" s="2">
        <v>4.0</v>
      </c>
      <c r="N118" s="25">
        <v>31.0</v>
      </c>
      <c r="O118" s="25"/>
      <c r="P118" s="25"/>
    </row>
    <row r="119">
      <c r="A119" s="16">
        <v>117.0</v>
      </c>
      <c r="B119" s="17" t="s">
        <v>80</v>
      </c>
      <c r="C119" s="18">
        <v>27.0</v>
      </c>
      <c r="D119" s="19" t="s">
        <v>1201</v>
      </c>
      <c r="E119" s="20" t="s">
        <v>443</v>
      </c>
      <c r="F119" s="17" t="s">
        <v>236</v>
      </c>
      <c r="G119" s="17" t="s">
        <v>1436</v>
      </c>
      <c r="H119" s="17" t="s">
        <v>1437</v>
      </c>
      <c r="I119" s="17" t="s">
        <v>125</v>
      </c>
      <c r="J119" s="22" t="s">
        <v>144</v>
      </c>
      <c r="K119" s="23" t="s">
        <v>108</v>
      </c>
      <c r="L119" s="24" t="s">
        <v>91</v>
      </c>
      <c r="M119" s="2">
        <v>4.0</v>
      </c>
      <c r="N119" s="25">
        <v>31.0</v>
      </c>
      <c r="O119" s="25"/>
      <c r="P119" s="25"/>
    </row>
    <row r="120">
      <c r="A120" s="16">
        <v>118.0</v>
      </c>
      <c r="B120" s="17" t="s">
        <v>80</v>
      </c>
      <c r="C120" s="18">
        <v>28.0</v>
      </c>
      <c r="D120" s="19" t="s">
        <v>1201</v>
      </c>
      <c r="E120" s="20" t="s">
        <v>443</v>
      </c>
      <c r="F120" s="17" t="s">
        <v>930</v>
      </c>
      <c r="G120" s="17" t="s">
        <v>1443</v>
      </c>
      <c r="H120" s="17" t="s">
        <v>1444</v>
      </c>
      <c r="I120" s="17" t="s">
        <v>125</v>
      </c>
      <c r="J120" s="22" t="s">
        <v>144</v>
      </c>
      <c r="K120" s="23" t="s">
        <v>108</v>
      </c>
      <c r="L120" s="24" t="s">
        <v>91</v>
      </c>
      <c r="M120" s="2">
        <v>4.0</v>
      </c>
      <c r="N120" s="25">
        <v>31.0</v>
      </c>
      <c r="O120" s="25"/>
      <c r="P120" s="25"/>
    </row>
    <row r="121">
      <c r="A121" s="16">
        <v>119.0</v>
      </c>
      <c r="B121" s="17" t="s">
        <v>80</v>
      </c>
      <c r="C121" s="18">
        <v>29.0</v>
      </c>
      <c r="D121" s="19" t="s">
        <v>1201</v>
      </c>
      <c r="E121" s="20" t="s">
        <v>443</v>
      </c>
      <c r="F121" s="17" t="s">
        <v>414</v>
      </c>
      <c r="G121" s="17" t="s">
        <v>1451</v>
      </c>
      <c r="H121" s="17" t="s">
        <v>1453</v>
      </c>
      <c r="I121" s="17" t="s">
        <v>125</v>
      </c>
      <c r="J121" s="22" t="s">
        <v>144</v>
      </c>
      <c r="K121" s="23" t="s">
        <v>108</v>
      </c>
      <c r="L121" s="24" t="s">
        <v>91</v>
      </c>
      <c r="M121" s="2">
        <v>4.0</v>
      </c>
      <c r="N121" s="25">
        <v>31.0</v>
      </c>
      <c r="O121" s="25"/>
      <c r="P121" s="25"/>
    </row>
    <row r="122">
      <c r="A122" s="16">
        <v>120.0</v>
      </c>
      <c r="B122" s="17" t="s">
        <v>80</v>
      </c>
      <c r="C122" s="18">
        <v>30.0</v>
      </c>
      <c r="D122" s="19" t="s">
        <v>1201</v>
      </c>
      <c r="E122" s="20" t="s">
        <v>443</v>
      </c>
      <c r="F122" s="17" t="s">
        <v>388</v>
      </c>
      <c r="G122" s="17" t="s">
        <v>1457</v>
      </c>
      <c r="H122" s="17" t="s">
        <v>1458</v>
      </c>
      <c r="I122" s="17" t="s">
        <v>125</v>
      </c>
      <c r="J122" s="22" t="s">
        <v>144</v>
      </c>
      <c r="K122" s="23" t="s">
        <v>108</v>
      </c>
      <c r="L122" s="24" t="s">
        <v>91</v>
      </c>
      <c r="M122" s="2">
        <v>4.0</v>
      </c>
      <c r="N122" s="25">
        <v>31.0</v>
      </c>
      <c r="O122" s="25"/>
      <c r="P122" s="25"/>
    </row>
    <row r="123">
      <c r="A123" s="16">
        <v>121.0</v>
      </c>
      <c r="B123" s="17" t="s">
        <v>80</v>
      </c>
      <c r="C123" s="18">
        <v>31.0</v>
      </c>
      <c r="D123" s="19" t="s">
        <v>1201</v>
      </c>
      <c r="E123" s="20" t="s">
        <v>443</v>
      </c>
      <c r="F123" s="17" t="s">
        <v>1157</v>
      </c>
      <c r="G123" s="17" t="s">
        <v>1459</v>
      </c>
      <c r="H123" s="17" t="s">
        <v>1460</v>
      </c>
      <c r="I123" s="17" t="s">
        <v>125</v>
      </c>
      <c r="J123" s="22" t="s">
        <v>144</v>
      </c>
      <c r="K123" s="23" t="s">
        <v>108</v>
      </c>
      <c r="L123" s="24" t="s">
        <v>91</v>
      </c>
      <c r="M123" s="2">
        <v>4.0</v>
      </c>
      <c r="N123" s="25">
        <v>31.0</v>
      </c>
      <c r="O123" s="25"/>
      <c r="P123" s="25"/>
    </row>
    <row r="124">
      <c r="A124" s="16">
        <v>122.0</v>
      </c>
      <c r="B124" s="17" t="s">
        <v>80</v>
      </c>
      <c r="C124" s="18">
        <v>32.0</v>
      </c>
      <c r="D124" s="19" t="s">
        <v>1201</v>
      </c>
      <c r="E124" s="20" t="s">
        <v>443</v>
      </c>
      <c r="F124" s="17" t="s">
        <v>1276</v>
      </c>
      <c r="G124" s="17" t="s">
        <v>1461</v>
      </c>
      <c r="H124" s="17" t="s">
        <v>1462</v>
      </c>
      <c r="I124" s="17" t="s">
        <v>125</v>
      </c>
      <c r="J124" s="22" t="s">
        <v>144</v>
      </c>
      <c r="K124" s="23" t="s">
        <v>108</v>
      </c>
      <c r="L124" s="24" t="s">
        <v>91</v>
      </c>
      <c r="M124" s="2">
        <v>4.0</v>
      </c>
      <c r="N124" s="25">
        <v>31.0</v>
      </c>
      <c r="O124" s="25"/>
      <c r="P124" s="25"/>
    </row>
    <row r="125">
      <c r="A125" s="16">
        <v>123.0</v>
      </c>
      <c r="B125" s="17" t="s">
        <v>80</v>
      </c>
      <c r="C125" s="18">
        <v>33.0</v>
      </c>
      <c r="D125" s="19" t="s">
        <v>1201</v>
      </c>
      <c r="E125" s="20" t="s">
        <v>443</v>
      </c>
      <c r="F125" s="17" t="s">
        <v>925</v>
      </c>
      <c r="G125" s="17" t="s">
        <v>1182</v>
      </c>
      <c r="H125" s="17" t="s">
        <v>1463</v>
      </c>
      <c r="I125" s="17" t="s">
        <v>125</v>
      </c>
      <c r="J125" s="22" t="s">
        <v>144</v>
      </c>
      <c r="K125" s="23" t="s">
        <v>108</v>
      </c>
      <c r="L125" s="24" t="s">
        <v>91</v>
      </c>
      <c r="M125" s="2">
        <v>4.0</v>
      </c>
      <c r="N125" s="25">
        <v>31.0</v>
      </c>
      <c r="O125" s="25"/>
      <c r="P125" s="25"/>
    </row>
    <row r="126">
      <c r="A126" s="16">
        <v>124.0</v>
      </c>
      <c r="B126" s="17" t="s">
        <v>80</v>
      </c>
      <c r="C126" s="18">
        <v>34.0</v>
      </c>
      <c r="D126" s="19" t="s">
        <v>1201</v>
      </c>
      <c r="E126" s="20" t="s">
        <v>443</v>
      </c>
      <c r="F126" s="17" t="s">
        <v>1024</v>
      </c>
      <c r="G126" s="17" t="s">
        <v>1464</v>
      </c>
      <c r="H126" s="17" t="s">
        <v>1465</v>
      </c>
      <c r="I126" s="17" t="s">
        <v>125</v>
      </c>
      <c r="J126" s="22" t="s">
        <v>144</v>
      </c>
      <c r="K126" s="23" t="s">
        <v>108</v>
      </c>
      <c r="L126" s="24" t="s">
        <v>91</v>
      </c>
      <c r="M126" s="2">
        <v>4.0</v>
      </c>
      <c r="N126" s="25">
        <v>31.0</v>
      </c>
      <c r="O126" s="25"/>
      <c r="P126" s="25"/>
    </row>
    <row r="127">
      <c r="A127" s="16">
        <v>125.0</v>
      </c>
      <c r="B127" s="17" t="s">
        <v>80</v>
      </c>
      <c r="C127" s="18">
        <v>35.0</v>
      </c>
      <c r="D127" s="19" t="s">
        <v>1201</v>
      </c>
      <c r="E127" s="20" t="s">
        <v>443</v>
      </c>
      <c r="F127" s="17" t="s">
        <v>933</v>
      </c>
      <c r="G127" s="17" t="s">
        <v>1466</v>
      </c>
      <c r="H127" s="17" t="s">
        <v>1467</v>
      </c>
      <c r="I127" s="17" t="s">
        <v>125</v>
      </c>
      <c r="J127" s="22" t="s">
        <v>144</v>
      </c>
      <c r="K127" s="23" t="s">
        <v>108</v>
      </c>
      <c r="L127" s="24" t="s">
        <v>91</v>
      </c>
      <c r="M127" s="2">
        <v>4.0</v>
      </c>
      <c r="N127" s="25">
        <v>31.0</v>
      </c>
      <c r="O127" s="25"/>
      <c r="P127" s="25"/>
    </row>
    <row r="128">
      <c r="A128" s="16">
        <v>126.0</v>
      </c>
      <c r="B128" s="17" t="s">
        <v>80</v>
      </c>
      <c r="C128" s="18">
        <v>36.0</v>
      </c>
      <c r="D128" s="19" t="s">
        <v>1201</v>
      </c>
      <c r="E128" s="20" t="s">
        <v>443</v>
      </c>
      <c r="F128" s="17" t="s">
        <v>927</v>
      </c>
      <c r="G128" s="17" t="s">
        <v>1468</v>
      </c>
      <c r="H128" s="17" t="s">
        <v>1469</v>
      </c>
      <c r="I128" s="17" t="s">
        <v>125</v>
      </c>
      <c r="J128" s="22" t="s">
        <v>144</v>
      </c>
      <c r="K128" s="23" t="s">
        <v>108</v>
      </c>
      <c r="L128" s="24" t="s">
        <v>91</v>
      </c>
      <c r="M128" s="2">
        <v>4.0</v>
      </c>
      <c r="N128" s="25">
        <v>31.0</v>
      </c>
      <c r="O128" s="25"/>
      <c r="P128" s="25"/>
    </row>
    <row r="129">
      <c r="A129" s="16">
        <v>127.0</v>
      </c>
      <c r="B129" s="17" t="s">
        <v>80</v>
      </c>
      <c r="C129" s="18">
        <v>37.0</v>
      </c>
      <c r="D129" s="19" t="s">
        <v>1201</v>
      </c>
      <c r="E129" s="20" t="s">
        <v>443</v>
      </c>
      <c r="F129" s="17" t="s">
        <v>934</v>
      </c>
      <c r="G129" s="17" t="s">
        <v>1470</v>
      </c>
      <c r="H129" s="17" t="s">
        <v>1471</v>
      </c>
      <c r="I129" s="17" t="s">
        <v>125</v>
      </c>
      <c r="J129" s="22" t="s">
        <v>144</v>
      </c>
      <c r="K129" s="23" t="s">
        <v>108</v>
      </c>
      <c r="L129" s="24" t="s">
        <v>91</v>
      </c>
      <c r="M129" s="2">
        <v>4.0</v>
      </c>
      <c r="N129" s="25">
        <v>31.0</v>
      </c>
      <c r="O129" s="25"/>
      <c r="P129" s="25"/>
    </row>
    <row r="130">
      <c r="A130" s="16">
        <v>128.0</v>
      </c>
      <c r="B130" s="17" t="s">
        <v>80</v>
      </c>
      <c r="C130" s="18">
        <v>38.0</v>
      </c>
      <c r="D130" s="19" t="s">
        <v>1201</v>
      </c>
      <c r="E130" s="20" t="s">
        <v>443</v>
      </c>
      <c r="F130" s="17" t="s">
        <v>143</v>
      </c>
      <c r="G130" s="17" t="s">
        <v>1472</v>
      </c>
      <c r="H130" s="17" t="s">
        <v>1473</v>
      </c>
      <c r="I130" s="17" t="s">
        <v>125</v>
      </c>
      <c r="J130" s="22" t="s">
        <v>144</v>
      </c>
      <c r="K130" s="23" t="s">
        <v>108</v>
      </c>
      <c r="L130" s="24" t="s">
        <v>91</v>
      </c>
      <c r="M130" s="2">
        <v>4.0</v>
      </c>
      <c r="N130" s="25">
        <v>31.0</v>
      </c>
      <c r="O130" s="25"/>
      <c r="P130" s="25"/>
    </row>
    <row r="131">
      <c r="A131" s="16">
        <v>129.0</v>
      </c>
      <c r="B131" s="17" t="s">
        <v>80</v>
      </c>
      <c r="C131" s="18">
        <v>39.0</v>
      </c>
      <c r="D131" s="19" t="s">
        <v>1201</v>
      </c>
      <c r="E131" s="20" t="s">
        <v>443</v>
      </c>
      <c r="F131" s="17" t="s">
        <v>826</v>
      </c>
      <c r="G131" s="17" t="s">
        <v>1474</v>
      </c>
      <c r="H131" s="17" t="s">
        <v>1475</v>
      </c>
      <c r="I131" s="17" t="s">
        <v>125</v>
      </c>
      <c r="J131" s="22" t="s">
        <v>144</v>
      </c>
      <c r="K131" s="23" t="s">
        <v>108</v>
      </c>
      <c r="L131" s="24" t="s">
        <v>91</v>
      </c>
      <c r="M131" s="2">
        <v>4.0</v>
      </c>
      <c r="N131" s="25">
        <v>31.0</v>
      </c>
      <c r="O131" s="25"/>
      <c r="P131" s="25"/>
    </row>
    <row r="132">
      <c r="A132" s="16">
        <v>130.0</v>
      </c>
      <c r="B132" s="27" t="s">
        <v>80</v>
      </c>
      <c r="C132" s="18">
        <v>40.0</v>
      </c>
      <c r="D132" s="19" t="s">
        <v>1201</v>
      </c>
      <c r="E132" s="20" t="s">
        <v>443</v>
      </c>
      <c r="F132" s="27" t="s">
        <v>946</v>
      </c>
      <c r="G132" s="17" t="s">
        <v>1479</v>
      </c>
      <c r="H132" s="17" t="s">
        <v>1480</v>
      </c>
      <c r="I132" s="17" t="s">
        <v>125</v>
      </c>
      <c r="J132" s="22" t="s">
        <v>144</v>
      </c>
      <c r="K132" s="23" t="s">
        <v>108</v>
      </c>
      <c r="L132" s="24"/>
      <c r="M132" s="2">
        <v>4.0</v>
      </c>
      <c r="N132" s="25">
        <v>31.0</v>
      </c>
      <c r="O132" s="25"/>
      <c r="P132" s="25"/>
    </row>
    <row r="133">
      <c r="A133" s="16">
        <v>131.0</v>
      </c>
      <c r="B133" s="27" t="s">
        <v>80</v>
      </c>
      <c r="C133" s="18">
        <v>41.0</v>
      </c>
      <c r="D133" s="19" t="s">
        <v>1201</v>
      </c>
      <c r="E133" s="20" t="s">
        <v>443</v>
      </c>
      <c r="F133" s="27" t="s">
        <v>890</v>
      </c>
      <c r="G133" s="17" t="s">
        <v>892</v>
      </c>
      <c r="H133" s="17" t="s">
        <v>894</v>
      </c>
      <c r="I133" s="17" t="s">
        <v>125</v>
      </c>
      <c r="J133" s="22" t="s">
        <v>144</v>
      </c>
      <c r="K133" s="23" t="s">
        <v>108</v>
      </c>
      <c r="L133" s="24"/>
      <c r="M133" s="2">
        <v>4.0</v>
      </c>
      <c r="N133" s="25">
        <v>31.0</v>
      </c>
      <c r="O133" s="25"/>
      <c r="P133" s="25"/>
    </row>
    <row r="134">
      <c r="A134" s="16">
        <v>132.0</v>
      </c>
      <c r="B134" s="27" t="s">
        <v>80</v>
      </c>
      <c r="C134" s="18">
        <v>42.0</v>
      </c>
      <c r="D134" s="19" t="s">
        <v>1201</v>
      </c>
      <c r="E134" s="20" t="s">
        <v>443</v>
      </c>
      <c r="F134" s="27" t="s">
        <v>901</v>
      </c>
      <c r="G134" s="17" t="s">
        <v>1483</v>
      </c>
      <c r="H134" s="17" t="s">
        <v>1484</v>
      </c>
      <c r="I134" s="17" t="s">
        <v>125</v>
      </c>
      <c r="J134" s="22" t="s">
        <v>144</v>
      </c>
      <c r="K134" s="23" t="s">
        <v>108</v>
      </c>
      <c r="L134" s="24"/>
      <c r="M134" s="2">
        <v>4.0</v>
      </c>
      <c r="N134" s="25">
        <v>31.0</v>
      </c>
      <c r="O134" s="25"/>
      <c r="P134" s="25"/>
    </row>
    <row r="135">
      <c r="A135" s="16">
        <v>133.0</v>
      </c>
      <c r="B135" s="27" t="s">
        <v>80</v>
      </c>
      <c r="C135" s="18">
        <v>43.0</v>
      </c>
      <c r="D135" s="19" t="s">
        <v>1201</v>
      </c>
      <c r="E135" s="20" t="s">
        <v>443</v>
      </c>
      <c r="F135" s="27" t="s">
        <v>961</v>
      </c>
      <c r="G135" s="17" t="s">
        <v>1485</v>
      </c>
      <c r="H135" s="17" t="s">
        <v>1486</v>
      </c>
      <c r="I135" s="17" t="s">
        <v>125</v>
      </c>
      <c r="J135" s="22" t="s">
        <v>144</v>
      </c>
      <c r="K135" s="23" t="s">
        <v>108</v>
      </c>
      <c r="L135" s="24"/>
      <c r="M135" s="2">
        <v>4.0</v>
      </c>
      <c r="N135" s="25">
        <v>31.0</v>
      </c>
      <c r="O135" s="25"/>
      <c r="P135" s="25"/>
    </row>
    <row r="136">
      <c r="A136" s="16">
        <v>134.0</v>
      </c>
      <c r="B136" s="27" t="s">
        <v>80</v>
      </c>
      <c r="C136" s="18">
        <v>44.0</v>
      </c>
      <c r="D136" s="19" t="s">
        <v>1201</v>
      </c>
      <c r="E136" s="20" t="s">
        <v>443</v>
      </c>
      <c r="F136" s="27" t="s">
        <v>919</v>
      </c>
      <c r="G136" s="17" t="s">
        <v>1487</v>
      </c>
      <c r="H136" s="17" t="s">
        <v>1488</v>
      </c>
      <c r="I136" s="17" t="s">
        <v>125</v>
      </c>
      <c r="J136" s="22" t="s">
        <v>144</v>
      </c>
      <c r="K136" s="23" t="s">
        <v>108</v>
      </c>
      <c r="L136" s="24"/>
      <c r="M136" s="2">
        <v>4.0</v>
      </c>
      <c r="N136" s="25">
        <v>31.0</v>
      </c>
      <c r="O136" s="25"/>
      <c r="P136" s="25"/>
    </row>
    <row r="137">
      <c r="A137" s="16">
        <v>135.0</v>
      </c>
      <c r="B137" s="17" t="s">
        <v>80</v>
      </c>
      <c r="C137" s="18">
        <v>45.0</v>
      </c>
      <c r="D137" s="19" t="s">
        <v>1489</v>
      </c>
      <c r="E137" s="20" t="s">
        <v>443</v>
      </c>
      <c r="F137" s="17" t="s">
        <v>35</v>
      </c>
      <c r="G137" s="17" t="s">
        <v>1490</v>
      </c>
      <c r="H137" s="17" t="s">
        <v>1491</v>
      </c>
      <c r="I137" s="17" t="s">
        <v>125</v>
      </c>
      <c r="J137" s="22" t="s">
        <v>144</v>
      </c>
      <c r="K137" s="23" t="s">
        <v>108</v>
      </c>
      <c r="L137" s="24" t="s">
        <v>91</v>
      </c>
      <c r="M137" s="2">
        <v>4.0</v>
      </c>
      <c r="N137" s="25">
        <v>31.0</v>
      </c>
      <c r="O137" s="25"/>
      <c r="P137" s="25"/>
    </row>
    <row r="138">
      <c r="A138" s="16">
        <v>136.0</v>
      </c>
      <c r="B138" s="17" t="s">
        <v>80</v>
      </c>
      <c r="C138" s="18">
        <v>46.0</v>
      </c>
      <c r="D138" s="19" t="s">
        <v>1489</v>
      </c>
      <c r="E138" s="20" t="s">
        <v>443</v>
      </c>
      <c r="F138" s="17" t="s">
        <v>610</v>
      </c>
      <c r="G138" s="17" t="s">
        <v>1493</v>
      </c>
      <c r="H138" s="17" t="s">
        <v>1494</v>
      </c>
      <c r="I138" s="17" t="s">
        <v>125</v>
      </c>
      <c r="J138" s="22" t="s">
        <v>144</v>
      </c>
      <c r="K138" s="23" t="s">
        <v>108</v>
      </c>
      <c r="L138" s="24" t="s">
        <v>91</v>
      </c>
      <c r="M138" s="2">
        <v>4.0</v>
      </c>
      <c r="N138" s="25">
        <v>31.0</v>
      </c>
      <c r="O138" s="25"/>
      <c r="P138" s="25"/>
    </row>
    <row r="139">
      <c r="A139" s="16">
        <v>137.0</v>
      </c>
      <c r="B139" s="17" t="s">
        <v>80</v>
      </c>
      <c r="C139" s="18">
        <v>47.0</v>
      </c>
      <c r="D139" s="19" t="s">
        <v>1489</v>
      </c>
      <c r="E139" s="20" t="s">
        <v>443</v>
      </c>
      <c r="F139" s="17" t="s">
        <v>122</v>
      </c>
      <c r="G139" s="17" t="s">
        <v>123</v>
      </c>
      <c r="H139" s="17" t="s">
        <v>1495</v>
      </c>
      <c r="I139" s="17" t="s">
        <v>125</v>
      </c>
      <c r="J139" s="22" t="s">
        <v>144</v>
      </c>
      <c r="K139" s="23" t="s">
        <v>108</v>
      </c>
      <c r="L139" s="24" t="s">
        <v>91</v>
      </c>
      <c r="M139" s="2">
        <v>4.0</v>
      </c>
      <c r="N139" s="25">
        <v>31.0</v>
      </c>
      <c r="O139" s="25"/>
      <c r="P139" s="25"/>
    </row>
    <row r="140">
      <c r="A140" s="16">
        <v>138.0</v>
      </c>
      <c r="B140" s="17" t="s">
        <v>80</v>
      </c>
      <c r="C140" s="18">
        <v>48.0</v>
      </c>
      <c r="D140" s="19" t="s">
        <v>1489</v>
      </c>
      <c r="E140" s="20" t="s">
        <v>443</v>
      </c>
      <c r="F140" s="17" t="s">
        <v>827</v>
      </c>
      <c r="G140" s="17" t="s">
        <v>1496</v>
      </c>
      <c r="H140" s="17" t="s">
        <v>1497</v>
      </c>
      <c r="I140" s="17" t="s">
        <v>125</v>
      </c>
      <c r="J140" s="22" t="s">
        <v>144</v>
      </c>
      <c r="K140" s="23" t="s">
        <v>108</v>
      </c>
      <c r="L140" s="24" t="s">
        <v>91</v>
      </c>
      <c r="M140" s="2">
        <v>4.0</v>
      </c>
      <c r="N140" s="25">
        <v>31.0</v>
      </c>
      <c r="O140" s="25"/>
      <c r="P140" s="25"/>
    </row>
    <row r="141">
      <c r="A141" s="16">
        <v>139.0</v>
      </c>
      <c r="B141" s="17" t="s">
        <v>80</v>
      </c>
      <c r="C141" s="18">
        <v>49.0</v>
      </c>
      <c r="D141" s="19" t="s">
        <v>1489</v>
      </c>
      <c r="E141" s="20" t="s">
        <v>443</v>
      </c>
      <c r="F141" s="17" t="s">
        <v>749</v>
      </c>
      <c r="G141" s="17" t="s">
        <v>751</v>
      </c>
      <c r="H141" s="17" t="s">
        <v>1498</v>
      </c>
      <c r="I141" s="17" t="s">
        <v>125</v>
      </c>
      <c r="J141" s="22" t="s">
        <v>144</v>
      </c>
      <c r="K141" s="23" t="s">
        <v>108</v>
      </c>
      <c r="L141" s="24" t="s">
        <v>91</v>
      </c>
      <c r="M141" s="2">
        <v>4.0</v>
      </c>
      <c r="N141" s="25">
        <v>31.0</v>
      </c>
      <c r="O141" s="25"/>
      <c r="P141" s="25"/>
    </row>
    <row r="142">
      <c r="A142" s="16">
        <v>140.0</v>
      </c>
      <c r="B142" s="17" t="s">
        <v>80</v>
      </c>
      <c r="C142" s="18">
        <v>50.0</v>
      </c>
      <c r="D142" s="19" t="s">
        <v>1201</v>
      </c>
      <c r="E142" s="20" t="s">
        <v>443</v>
      </c>
      <c r="F142" s="17" t="s">
        <v>835</v>
      </c>
      <c r="G142" s="17" t="s">
        <v>1499</v>
      </c>
      <c r="H142" s="17" t="s">
        <v>1500</v>
      </c>
      <c r="I142" s="17" t="s">
        <v>98</v>
      </c>
      <c r="J142" s="22" t="s">
        <v>144</v>
      </c>
      <c r="K142" s="23" t="s">
        <v>108</v>
      </c>
      <c r="L142" s="24" t="s">
        <v>1243</v>
      </c>
      <c r="M142" s="2">
        <v>4.0</v>
      </c>
      <c r="N142" s="25">
        <v>35.0</v>
      </c>
      <c r="O142" s="25"/>
      <c r="P142" s="25"/>
    </row>
    <row r="143">
      <c r="A143" s="16">
        <v>141.0</v>
      </c>
      <c r="B143" s="17" t="s">
        <v>461</v>
      </c>
      <c r="C143" s="18">
        <v>1.0</v>
      </c>
      <c r="D143" s="19" t="s">
        <v>1501</v>
      </c>
      <c r="E143" s="20" t="s">
        <v>91</v>
      </c>
      <c r="F143" s="17" t="s">
        <v>130</v>
      </c>
      <c r="G143" s="17" t="s">
        <v>1368</v>
      </c>
      <c r="H143" s="17" t="s">
        <v>1502</v>
      </c>
      <c r="I143" s="17" t="s">
        <v>98</v>
      </c>
      <c r="J143" s="22" t="s">
        <v>100</v>
      </c>
      <c r="K143" s="23" t="s">
        <v>108</v>
      </c>
      <c r="L143" s="24" t="s">
        <v>91</v>
      </c>
      <c r="M143" s="2">
        <v>5.0</v>
      </c>
      <c r="N143" s="25">
        <v>10.0</v>
      </c>
      <c r="O143" s="25"/>
      <c r="P143" s="25"/>
    </row>
    <row r="144">
      <c r="A144" s="16">
        <v>142.0</v>
      </c>
      <c r="B144" s="17" t="s">
        <v>461</v>
      </c>
      <c r="C144" s="18">
        <v>2.0</v>
      </c>
      <c r="D144" s="19" t="s">
        <v>1324</v>
      </c>
      <c r="E144" s="20" t="s">
        <v>91</v>
      </c>
      <c r="F144" s="17" t="s">
        <v>128</v>
      </c>
      <c r="G144" s="17" t="s">
        <v>1504</v>
      </c>
      <c r="H144" s="17" t="s">
        <v>1505</v>
      </c>
      <c r="I144" s="17" t="s">
        <v>98</v>
      </c>
      <c r="J144" s="22" t="s">
        <v>100</v>
      </c>
      <c r="K144" s="23" t="s">
        <v>108</v>
      </c>
      <c r="L144" s="24" t="s">
        <v>91</v>
      </c>
      <c r="M144" s="2">
        <v>5.0</v>
      </c>
      <c r="N144" s="25">
        <v>10.0</v>
      </c>
      <c r="O144" s="25"/>
      <c r="P144" s="25"/>
    </row>
    <row r="145">
      <c r="A145" s="16">
        <v>143.0</v>
      </c>
      <c r="B145" s="17" t="s">
        <v>461</v>
      </c>
      <c r="C145" s="18">
        <v>3.0</v>
      </c>
      <c r="D145" s="19" t="s">
        <v>1501</v>
      </c>
      <c r="E145" s="20" t="s">
        <v>91</v>
      </c>
      <c r="F145" s="17" t="s">
        <v>80</v>
      </c>
      <c r="G145" s="17" t="s">
        <v>1507</v>
      </c>
      <c r="H145" s="17" t="s">
        <v>1508</v>
      </c>
      <c r="I145" s="17" t="s">
        <v>98</v>
      </c>
      <c r="J145" s="22" t="s">
        <v>135</v>
      </c>
      <c r="K145" s="23" t="s">
        <v>108</v>
      </c>
      <c r="L145" s="24" t="s">
        <v>91</v>
      </c>
      <c r="M145" s="2">
        <v>5.0</v>
      </c>
      <c r="N145" s="25">
        <v>20.0</v>
      </c>
      <c r="O145" s="25"/>
      <c r="P145" s="25"/>
    </row>
    <row r="146">
      <c r="A146" s="16">
        <v>144.0</v>
      </c>
      <c r="B146" s="17" t="s">
        <v>461</v>
      </c>
      <c r="C146" s="18">
        <v>4.0</v>
      </c>
      <c r="D146" s="19" t="s">
        <v>1501</v>
      </c>
      <c r="E146" s="20" t="s">
        <v>91</v>
      </c>
      <c r="F146" s="17" t="s">
        <v>78</v>
      </c>
      <c r="G146" s="17" t="s">
        <v>1509</v>
      </c>
      <c r="H146" s="17" t="s">
        <v>1510</v>
      </c>
      <c r="I146" s="17" t="s">
        <v>98</v>
      </c>
      <c r="J146" s="22" t="s">
        <v>135</v>
      </c>
      <c r="K146" s="23" t="s">
        <v>108</v>
      </c>
      <c r="L146" s="24" t="s">
        <v>91</v>
      </c>
      <c r="M146" s="2">
        <v>5.0</v>
      </c>
      <c r="N146" s="25">
        <v>20.0</v>
      </c>
      <c r="O146" s="25"/>
      <c r="P146" s="25"/>
    </row>
    <row r="147">
      <c r="A147" s="16">
        <v>145.0</v>
      </c>
      <c r="B147" s="17" t="s">
        <v>461</v>
      </c>
      <c r="C147" s="18">
        <v>5.0</v>
      </c>
      <c r="D147" s="19" t="s">
        <v>1501</v>
      </c>
      <c r="E147" s="20" t="s">
        <v>91</v>
      </c>
      <c r="F147" s="17" t="s">
        <v>247</v>
      </c>
      <c r="G147" s="17" t="s">
        <v>1511</v>
      </c>
      <c r="H147" s="17" t="s">
        <v>1508</v>
      </c>
      <c r="I147" s="17" t="s">
        <v>98</v>
      </c>
      <c r="J147" s="22" t="s">
        <v>135</v>
      </c>
      <c r="K147" s="23" t="s">
        <v>108</v>
      </c>
      <c r="L147" s="24" t="s">
        <v>91</v>
      </c>
      <c r="M147" s="2">
        <v>5.0</v>
      </c>
      <c r="N147" s="25">
        <v>20.0</v>
      </c>
      <c r="O147" s="25"/>
      <c r="P147" s="25"/>
    </row>
    <row r="148">
      <c r="A148" s="16">
        <v>146.0</v>
      </c>
      <c r="B148" s="17" t="s">
        <v>461</v>
      </c>
      <c r="C148" s="18">
        <v>6.0</v>
      </c>
      <c r="D148" s="19" t="s">
        <v>1501</v>
      </c>
      <c r="E148" s="20" t="s">
        <v>91</v>
      </c>
      <c r="F148" s="17" t="s">
        <v>19</v>
      </c>
      <c r="G148" s="17" t="s">
        <v>1512</v>
      </c>
      <c r="H148" s="17" t="s">
        <v>1513</v>
      </c>
      <c r="I148" s="17" t="s">
        <v>98</v>
      </c>
      <c r="J148" s="22" t="s">
        <v>135</v>
      </c>
      <c r="K148" s="23" t="s">
        <v>108</v>
      </c>
      <c r="L148" s="24" t="s">
        <v>91</v>
      </c>
      <c r="M148" s="2">
        <v>5.0</v>
      </c>
      <c r="N148" s="25">
        <v>20.0</v>
      </c>
      <c r="O148" s="25"/>
      <c r="P148" s="25"/>
    </row>
    <row r="149">
      <c r="A149" s="16">
        <v>147.0</v>
      </c>
      <c r="B149" s="17" t="s">
        <v>461</v>
      </c>
      <c r="C149" s="18">
        <v>7.0</v>
      </c>
      <c r="D149" s="19" t="s">
        <v>1501</v>
      </c>
      <c r="E149" s="20" t="s">
        <v>91</v>
      </c>
      <c r="F149" s="17" t="s">
        <v>222</v>
      </c>
      <c r="G149" s="17" t="s">
        <v>1101</v>
      </c>
      <c r="H149" s="17" t="s">
        <v>1514</v>
      </c>
      <c r="I149" s="17" t="s">
        <v>98</v>
      </c>
      <c r="J149" s="22" t="s">
        <v>135</v>
      </c>
      <c r="K149" s="23" t="s">
        <v>108</v>
      </c>
      <c r="L149" s="24" t="s">
        <v>91</v>
      </c>
      <c r="M149" s="2">
        <v>5.0</v>
      </c>
      <c r="N149" s="25">
        <v>20.0</v>
      </c>
      <c r="O149" s="25"/>
      <c r="P149" s="25"/>
    </row>
    <row r="150">
      <c r="A150" s="16">
        <v>148.0</v>
      </c>
      <c r="B150" s="17" t="s">
        <v>461</v>
      </c>
      <c r="C150" s="18">
        <v>8.0</v>
      </c>
      <c r="D150" s="19" t="s">
        <v>1501</v>
      </c>
      <c r="E150" s="20" t="s">
        <v>91</v>
      </c>
      <c r="F150" s="17" t="s">
        <v>139</v>
      </c>
      <c r="G150" s="17" t="s">
        <v>1312</v>
      </c>
      <c r="H150" s="17" t="s">
        <v>1313</v>
      </c>
      <c r="I150" s="17" t="s">
        <v>98</v>
      </c>
      <c r="J150" s="22" t="s">
        <v>135</v>
      </c>
      <c r="K150" s="23" t="s">
        <v>108</v>
      </c>
      <c r="L150" s="24" t="s">
        <v>91</v>
      </c>
      <c r="M150" s="2">
        <v>5.0</v>
      </c>
      <c r="N150" s="25">
        <v>20.0</v>
      </c>
      <c r="O150" s="25"/>
      <c r="P150" s="25"/>
    </row>
    <row r="151">
      <c r="A151" s="16">
        <v>149.0</v>
      </c>
      <c r="B151" s="17" t="s">
        <v>461</v>
      </c>
      <c r="C151" s="18">
        <v>9.0</v>
      </c>
      <c r="D151" s="19" t="s">
        <v>1501</v>
      </c>
      <c r="E151" s="20" t="s">
        <v>91</v>
      </c>
      <c r="F151" s="17" t="s">
        <v>1277</v>
      </c>
      <c r="G151" s="17" t="s">
        <v>1515</v>
      </c>
      <c r="H151" s="17" t="s">
        <v>1516</v>
      </c>
      <c r="I151" s="17" t="s">
        <v>98</v>
      </c>
      <c r="J151" s="22" t="s">
        <v>135</v>
      </c>
      <c r="K151" s="23" t="s">
        <v>108</v>
      </c>
      <c r="L151" s="24" t="s">
        <v>91</v>
      </c>
      <c r="M151" s="2">
        <v>5.0</v>
      </c>
      <c r="N151" s="25">
        <v>20.0</v>
      </c>
      <c r="O151" s="25"/>
      <c r="P151" s="25"/>
    </row>
    <row r="152">
      <c r="A152" s="16">
        <v>150.0</v>
      </c>
      <c r="B152" s="17" t="s">
        <v>461</v>
      </c>
      <c r="C152" s="18">
        <v>10.0</v>
      </c>
      <c r="D152" s="19" t="s">
        <v>1501</v>
      </c>
      <c r="E152" s="20" t="s">
        <v>91</v>
      </c>
      <c r="F152" s="17" t="s">
        <v>140</v>
      </c>
      <c r="G152" s="17" t="s">
        <v>1517</v>
      </c>
      <c r="H152" s="17" t="s">
        <v>1518</v>
      </c>
      <c r="I152" s="17" t="s">
        <v>98</v>
      </c>
      <c r="J152" s="22" t="s">
        <v>135</v>
      </c>
      <c r="K152" s="23" t="s">
        <v>108</v>
      </c>
      <c r="L152" s="24" t="s">
        <v>91</v>
      </c>
      <c r="M152" s="2">
        <v>5.0</v>
      </c>
      <c r="N152" s="25">
        <v>20.0</v>
      </c>
      <c r="O152" s="25"/>
      <c r="P152" s="25"/>
    </row>
    <row r="153">
      <c r="A153" s="16">
        <v>151.0</v>
      </c>
      <c r="B153" s="17" t="s">
        <v>461</v>
      </c>
      <c r="C153" s="18">
        <v>11.0</v>
      </c>
      <c r="D153" s="19" t="s">
        <v>1501</v>
      </c>
      <c r="E153" s="20" t="s">
        <v>91</v>
      </c>
      <c r="F153" s="17" t="s">
        <v>429</v>
      </c>
      <c r="G153" s="17" t="s">
        <v>1519</v>
      </c>
      <c r="H153" s="17" t="s">
        <v>1520</v>
      </c>
      <c r="I153" s="17" t="s">
        <v>98</v>
      </c>
      <c r="J153" s="22" t="s">
        <v>135</v>
      </c>
      <c r="K153" s="23" t="s">
        <v>108</v>
      </c>
      <c r="L153" s="24" t="s">
        <v>91</v>
      </c>
      <c r="M153" s="2">
        <v>5.0</v>
      </c>
      <c r="N153" s="25">
        <v>20.0</v>
      </c>
      <c r="O153" s="25"/>
      <c r="P153" s="25"/>
    </row>
    <row r="154">
      <c r="A154" s="16">
        <v>152.0</v>
      </c>
      <c r="B154" s="17" t="s">
        <v>461</v>
      </c>
      <c r="C154" s="18">
        <v>12.0</v>
      </c>
      <c r="D154" s="19" t="s">
        <v>1501</v>
      </c>
      <c r="E154" s="20" t="s">
        <v>91</v>
      </c>
      <c r="F154" s="17" t="s">
        <v>841</v>
      </c>
      <c r="G154" s="17" t="s">
        <v>1521</v>
      </c>
      <c r="H154" s="17" t="s">
        <v>1522</v>
      </c>
      <c r="I154" s="17" t="s">
        <v>98</v>
      </c>
      <c r="J154" s="22" t="s">
        <v>135</v>
      </c>
      <c r="K154" s="23" t="s">
        <v>108</v>
      </c>
      <c r="L154" s="24" t="s">
        <v>91</v>
      </c>
      <c r="M154" s="2">
        <v>5.0</v>
      </c>
      <c r="N154" s="25">
        <v>20.0</v>
      </c>
      <c r="O154" s="25"/>
      <c r="P154" s="25"/>
    </row>
    <row r="155">
      <c r="A155" s="16">
        <v>153.0</v>
      </c>
      <c r="B155" s="17" t="s">
        <v>461</v>
      </c>
      <c r="C155" s="18">
        <v>13.0</v>
      </c>
      <c r="D155" s="19" t="s">
        <v>1501</v>
      </c>
      <c r="E155" s="20" t="s">
        <v>91</v>
      </c>
      <c r="F155" s="17" t="s">
        <v>84</v>
      </c>
      <c r="G155" s="17" t="s">
        <v>1523</v>
      </c>
      <c r="H155" s="17" t="s">
        <v>1524</v>
      </c>
      <c r="I155" s="17" t="s">
        <v>98</v>
      </c>
      <c r="J155" s="22" t="s">
        <v>135</v>
      </c>
      <c r="K155" s="23" t="s">
        <v>108</v>
      </c>
      <c r="L155" s="24" t="s">
        <v>91</v>
      </c>
      <c r="M155" s="2">
        <v>5.0</v>
      </c>
      <c r="N155" s="25">
        <v>20.0</v>
      </c>
      <c r="O155" s="25"/>
      <c r="P155" s="25"/>
    </row>
    <row r="156">
      <c r="A156" s="16">
        <v>154.0</v>
      </c>
      <c r="B156" s="17" t="s">
        <v>461</v>
      </c>
      <c r="C156" s="18">
        <v>14.0</v>
      </c>
      <c r="D156" s="19" t="s">
        <v>1501</v>
      </c>
      <c r="E156" s="20" t="s">
        <v>91</v>
      </c>
      <c r="F156" s="17" t="s">
        <v>82</v>
      </c>
      <c r="G156" s="17" t="s">
        <v>1525</v>
      </c>
      <c r="H156" s="17" t="s">
        <v>1526</v>
      </c>
      <c r="I156" s="17" t="s">
        <v>98</v>
      </c>
      <c r="J156" s="22" t="s">
        <v>135</v>
      </c>
      <c r="K156" s="23" t="s">
        <v>108</v>
      </c>
      <c r="L156" s="24" t="s">
        <v>91</v>
      </c>
      <c r="M156" s="2">
        <v>5.0</v>
      </c>
      <c r="N156" s="25">
        <v>20.0</v>
      </c>
      <c r="O156" s="25"/>
      <c r="P156" s="25"/>
    </row>
    <row r="157">
      <c r="A157" s="16">
        <v>155.0</v>
      </c>
      <c r="B157" s="17" t="s">
        <v>461</v>
      </c>
      <c r="C157" s="18">
        <v>15.0</v>
      </c>
      <c r="D157" s="19" t="s">
        <v>1501</v>
      </c>
      <c r="E157" s="20" t="s">
        <v>91</v>
      </c>
      <c r="F157" s="17" t="s">
        <v>81</v>
      </c>
      <c r="G157" s="17" t="s">
        <v>1527</v>
      </c>
      <c r="H157" s="17" t="s">
        <v>1528</v>
      </c>
      <c r="I157" s="17" t="s">
        <v>98</v>
      </c>
      <c r="J157" s="22" t="s">
        <v>135</v>
      </c>
      <c r="K157" s="23" t="s">
        <v>108</v>
      </c>
      <c r="L157" s="24" t="s">
        <v>91</v>
      </c>
      <c r="M157" s="2">
        <v>5.0</v>
      </c>
      <c r="N157" s="25">
        <v>20.0</v>
      </c>
      <c r="O157" s="25"/>
      <c r="P157" s="25"/>
    </row>
    <row r="158">
      <c r="A158" s="16">
        <v>156.0</v>
      </c>
      <c r="B158" s="17" t="s">
        <v>461</v>
      </c>
      <c r="C158" s="18">
        <v>16.0</v>
      </c>
      <c r="D158" s="19" t="s">
        <v>1501</v>
      </c>
      <c r="E158" s="20" t="s">
        <v>91</v>
      </c>
      <c r="F158" s="17" t="s">
        <v>425</v>
      </c>
      <c r="G158" s="17" t="s">
        <v>1394</v>
      </c>
      <c r="H158" s="17" t="s">
        <v>1502</v>
      </c>
      <c r="I158" s="17" t="s">
        <v>98</v>
      </c>
      <c r="J158" s="22" t="s">
        <v>135</v>
      </c>
      <c r="K158" s="23" t="s">
        <v>108</v>
      </c>
      <c r="L158" s="24" t="s">
        <v>91</v>
      </c>
      <c r="M158" s="2">
        <v>5.0</v>
      </c>
      <c r="N158" s="25">
        <v>20.0</v>
      </c>
      <c r="O158" s="25"/>
      <c r="P158" s="25"/>
    </row>
    <row r="159">
      <c r="A159" s="16">
        <v>157.0</v>
      </c>
      <c r="B159" s="17" t="s">
        <v>461</v>
      </c>
      <c r="C159" s="18">
        <v>17.0</v>
      </c>
      <c r="D159" s="19" t="s">
        <v>1324</v>
      </c>
      <c r="E159" s="20" t="s">
        <v>91</v>
      </c>
      <c r="F159" s="17" t="s">
        <v>958</v>
      </c>
      <c r="G159" s="17" t="s">
        <v>1529</v>
      </c>
      <c r="H159" s="17" t="s">
        <v>1530</v>
      </c>
      <c r="I159" s="17" t="s">
        <v>98</v>
      </c>
      <c r="J159" s="22" t="s">
        <v>135</v>
      </c>
      <c r="K159" s="23" t="s">
        <v>108</v>
      </c>
      <c r="L159" s="24" t="s">
        <v>91</v>
      </c>
      <c r="M159" s="2">
        <v>5.0</v>
      </c>
      <c r="N159" s="25">
        <v>20.0</v>
      </c>
      <c r="O159" s="25"/>
      <c r="P159" s="25"/>
    </row>
    <row r="160">
      <c r="A160" s="16">
        <v>158.0</v>
      </c>
      <c r="B160" s="17" t="s">
        <v>461</v>
      </c>
      <c r="C160" s="18">
        <v>18.0</v>
      </c>
      <c r="D160" s="19" t="s">
        <v>1324</v>
      </c>
      <c r="E160" s="20" t="s">
        <v>91</v>
      </c>
      <c r="F160" s="17" t="s">
        <v>935</v>
      </c>
      <c r="G160" s="17" t="s">
        <v>1533</v>
      </c>
      <c r="H160" s="17" t="s">
        <v>1534</v>
      </c>
      <c r="I160" s="17" t="s">
        <v>98</v>
      </c>
      <c r="J160" s="22" t="s">
        <v>135</v>
      </c>
      <c r="K160" s="23" t="s">
        <v>108</v>
      </c>
      <c r="L160" s="24" t="s">
        <v>91</v>
      </c>
      <c r="M160" s="2">
        <v>5.0</v>
      </c>
      <c r="N160" s="25">
        <v>20.0</v>
      </c>
      <c r="O160" s="25"/>
      <c r="P160" s="25"/>
    </row>
    <row r="161">
      <c r="A161" s="16">
        <v>159.0</v>
      </c>
      <c r="B161" s="17" t="s">
        <v>461</v>
      </c>
      <c r="C161" s="18">
        <v>19.0</v>
      </c>
      <c r="D161" s="19" t="s">
        <v>1501</v>
      </c>
      <c r="E161" s="20" t="s">
        <v>91</v>
      </c>
      <c r="F161" s="17" t="s">
        <v>35</v>
      </c>
      <c r="G161" s="17" t="s">
        <v>1535</v>
      </c>
      <c r="H161" s="17" t="s">
        <v>1536</v>
      </c>
      <c r="I161" s="17" t="s">
        <v>98</v>
      </c>
      <c r="J161" s="22" t="s">
        <v>144</v>
      </c>
      <c r="K161" s="23" t="s">
        <v>108</v>
      </c>
      <c r="L161" s="24" t="s">
        <v>91</v>
      </c>
      <c r="M161" s="2">
        <v>5.0</v>
      </c>
      <c r="N161" s="25">
        <v>30.0</v>
      </c>
      <c r="O161" s="25"/>
      <c r="P161" s="25"/>
    </row>
    <row r="162">
      <c r="A162" s="16">
        <v>160.0</v>
      </c>
      <c r="B162" s="17" t="s">
        <v>461</v>
      </c>
      <c r="C162" s="18">
        <v>20.0</v>
      </c>
      <c r="D162" s="19" t="s">
        <v>1501</v>
      </c>
      <c r="E162" s="20" t="s">
        <v>91</v>
      </c>
      <c r="F162" s="17" t="s">
        <v>658</v>
      </c>
      <c r="G162" s="17" t="s">
        <v>1537</v>
      </c>
      <c r="H162" s="17" t="s">
        <v>1502</v>
      </c>
      <c r="I162" s="17" t="s">
        <v>98</v>
      </c>
      <c r="J162" s="22" t="s">
        <v>144</v>
      </c>
      <c r="K162" s="23" t="s">
        <v>108</v>
      </c>
      <c r="L162" s="24" t="s">
        <v>91</v>
      </c>
      <c r="M162" s="2">
        <v>5.0</v>
      </c>
      <c r="N162" s="25">
        <v>30.0</v>
      </c>
      <c r="O162" s="25"/>
      <c r="P162" s="25"/>
    </row>
    <row r="163">
      <c r="A163" s="16">
        <v>161.0</v>
      </c>
      <c r="B163" s="17" t="s">
        <v>461</v>
      </c>
      <c r="C163" s="18">
        <v>21.0</v>
      </c>
      <c r="D163" s="19" t="s">
        <v>1501</v>
      </c>
      <c r="E163" s="20" t="s">
        <v>91</v>
      </c>
      <c r="F163" s="17" t="s">
        <v>122</v>
      </c>
      <c r="G163" s="17" t="s">
        <v>1538</v>
      </c>
      <c r="H163" s="17" t="s">
        <v>1539</v>
      </c>
      <c r="I163" s="17" t="s">
        <v>98</v>
      </c>
      <c r="J163" s="22" t="s">
        <v>144</v>
      </c>
      <c r="K163" s="23" t="s">
        <v>108</v>
      </c>
      <c r="L163" s="24" t="s">
        <v>91</v>
      </c>
      <c r="M163" s="2">
        <v>5.0</v>
      </c>
      <c r="N163" s="25">
        <v>30.0</v>
      </c>
      <c r="O163" s="25"/>
      <c r="P163" s="25"/>
    </row>
    <row r="164">
      <c r="A164" s="16">
        <v>162.0</v>
      </c>
      <c r="B164" s="17" t="s">
        <v>461</v>
      </c>
      <c r="C164" s="18">
        <v>22.0</v>
      </c>
      <c r="D164" s="19" t="s">
        <v>1501</v>
      </c>
      <c r="E164" s="20" t="s">
        <v>91</v>
      </c>
      <c r="F164" s="17" t="s">
        <v>236</v>
      </c>
      <c r="G164" s="17" t="s">
        <v>1538</v>
      </c>
      <c r="H164" s="17" t="s">
        <v>1539</v>
      </c>
      <c r="I164" s="17" t="s">
        <v>98</v>
      </c>
      <c r="J164" s="22" t="s">
        <v>144</v>
      </c>
      <c r="K164" s="23" t="s">
        <v>108</v>
      </c>
      <c r="L164" s="24" t="s">
        <v>91</v>
      </c>
      <c r="M164" s="2">
        <v>5.0</v>
      </c>
      <c r="N164" s="25">
        <v>30.0</v>
      </c>
      <c r="O164" s="25"/>
      <c r="P164" s="25"/>
    </row>
    <row r="165">
      <c r="A165" s="16">
        <v>163.0</v>
      </c>
      <c r="B165" s="17" t="s">
        <v>461</v>
      </c>
      <c r="C165" s="18">
        <v>23.0</v>
      </c>
      <c r="D165" s="19" t="s">
        <v>1501</v>
      </c>
      <c r="E165" s="20" t="s">
        <v>91</v>
      </c>
      <c r="F165" s="17" t="s">
        <v>3</v>
      </c>
      <c r="G165" s="17" t="s">
        <v>1541</v>
      </c>
      <c r="H165" s="17" t="s">
        <v>1542</v>
      </c>
      <c r="I165" s="17" t="s">
        <v>98</v>
      </c>
      <c r="J165" s="22" t="s">
        <v>144</v>
      </c>
      <c r="K165" s="23" t="s">
        <v>108</v>
      </c>
      <c r="L165" s="24" t="s">
        <v>91</v>
      </c>
      <c r="M165" s="2">
        <v>5.0</v>
      </c>
      <c r="N165" s="25">
        <v>30.0</v>
      </c>
      <c r="O165" s="25"/>
      <c r="P165" s="25"/>
    </row>
    <row r="166">
      <c r="A166" s="16">
        <v>164.0</v>
      </c>
      <c r="B166" s="17" t="s">
        <v>461</v>
      </c>
      <c r="C166" s="18">
        <v>24.0</v>
      </c>
      <c r="D166" s="19" t="s">
        <v>1501</v>
      </c>
      <c r="E166" s="20" t="s">
        <v>91</v>
      </c>
      <c r="F166" s="17" t="s">
        <v>40</v>
      </c>
      <c r="G166" s="17" t="s">
        <v>1543</v>
      </c>
      <c r="H166" s="17" t="s">
        <v>1544</v>
      </c>
      <c r="I166" s="17" t="s">
        <v>98</v>
      </c>
      <c r="J166" s="22" t="s">
        <v>144</v>
      </c>
      <c r="K166" s="23" t="s">
        <v>108</v>
      </c>
      <c r="L166" s="24" t="s">
        <v>91</v>
      </c>
      <c r="M166" s="2">
        <v>5.0</v>
      </c>
      <c r="N166" s="25">
        <v>30.0</v>
      </c>
      <c r="O166" s="25"/>
      <c r="P166" s="25"/>
    </row>
    <row r="167">
      <c r="A167" s="16">
        <v>165.0</v>
      </c>
      <c r="B167" s="17" t="s">
        <v>461</v>
      </c>
      <c r="C167" s="18">
        <v>25.0</v>
      </c>
      <c r="D167" s="19" t="s">
        <v>1324</v>
      </c>
      <c r="E167" s="20" t="s">
        <v>91</v>
      </c>
      <c r="F167" s="17" t="s">
        <v>27</v>
      </c>
      <c r="G167" s="17" t="s">
        <v>1545</v>
      </c>
      <c r="H167" s="17" t="s">
        <v>1546</v>
      </c>
      <c r="I167" s="17" t="s">
        <v>98</v>
      </c>
      <c r="J167" s="22" t="s">
        <v>144</v>
      </c>
      <c r="K167" s="23" t="s">
        <v>108</v>
      </c>
      <c r="L167" s="24" t="s">
        <v>91</v>
      </c>
      <c r="M167" s="2">
        <v>5.0</v>
      </c>
      <c r="N167" s="25">
        <v>30.0</v>
      </c>
      <c r="O167" s="25"/>
      <c r="P167" s="25"/>
    </row>
    <row r="168">
      <c r="A168" s="16">
        <v>166.0</v>
      </c>
      <c r="B168" s="17" t="s">
        <v>461</v>
      </c>
      <c r="C168" s="18">
        <v>26.0</v>
      </c>
      <c r="D168" s="19" t="s">
        <v>1501</v>
      </c>
      <c r="E168" s="20" t="s">
        <v>91</v>
      </c>
      <c r="F168" s="17" t="s">
        <v>833</v>
      </c>
      <c r="G168" s="17" t="s">
        <v>1172</v>
      </c>
      <c r="H168" s="17" t="s">
        <v>1547</v>
      </c>
      <c r="I168" s="17" t="s">
        <v>125</v>
      </c>
      <c r="J168" s="22" t="s">
        <v>144</v>
      </c>
      <c r="K168" s="23" t="s">
        <v>108</v>
      </c>
      <c r="L168" s="24" t="s">
        <v>91</v>
      </c>
      <c r="M168" s="2">
        <v>5.0</v>
      </c>
      <c r="N168" s="25">
        <v>31.0</v>
      </c>
      <c r="O168" s="25"/>
      <c r="P168" s="25"/>
    </row>
    <row r="169">
      <c r="A169" s="16">
        <v>167.0</v>
      </c>
      <c r="B169" s="17" t="s">
        <v>461</v>
      </c>
      <c r="C169" s="18">
        <v>27.0</v>
      </c>
      <c r="D169" s="19" t="s">
        <v>1501</v>
      </c>
      <c r="E169" s="20" t="s">
        <v>91</v>
      </c>
      <c r="F169" s="17" t="s">
        <v>1278</v>
      </c>
      <c r="G169" s="17" t="s">
        <v>1548</v>
      </c>
      <c r="H169" s="17" t="s">
        <v>1549</v>
      </c>
      <c r="I169" s="17" t="s">
        <v>125</v>
      </c>
      <c r="J169" s="22" t="s">
        <v>144</v>
      </c>
      <c r="K169" s="23" t="s">
        <v>108</v>
      </c>
      <c r="L169" s="24" t="s">
        <v>91</v>
      </c>
      <c r="M169" s="2">
        <v>5.0</v>
      </c>
      <c r="N169" s="25">
        <v>31.0</v>
      </c>
      <c r="O169" s="25"/>
      <c r="P169" s="25"/>
    </row>
    <row r="170">
      <c r="A170" s="16">
        <v>168.0</v>
      </c>
      <c r="B170" s="17" t="s">
        <v>461</v>
      </c>
      <c r="C170" s="18">
        <v>28.0</v>
      </c>
      <c r="D170" s="19" t="s">
        <v>1550</v>
      </c>
      <c r="E170" s="20" t="s">
        <v>91</v>
      </c>
      <c r="F170" s="17" t="s">
        <v>638</v>
      </c>
      <c r="G170" s="17" t="s">
        <v>1551</v>
      </c>
      <c r="H170" s="17" t="s">
        <v>1552</v>
      </c>
      <c r="I170" s="17" t="s">
        <v>125</v>
      </c>
      <c r="J170" s="22" t="s">
        <v>144</v>
      </c>
      <c r="K170" s="23" t="s">
        <v>108</v>
      </c>
      <c r="L170" s="24" t="s">
        <v>91</v>
      </c>
      <c r="M170" s="2">
        <v>5.0</v>
      </c>
      <c r="N170" s="25">
        <v>31.0</v>
      </c>
      <c r="O170" s="25"/>
      <c r="P170" s="25"/>
    </row>
    <row r="171">
      <c r="A171" s="16">
        <v>169.0</v>
      </c>
      <c r="B171" s="17" t="s">
        <v>461</v>
      </c>
      <c r="C171" s="18">
        <v>29.0</v>
      </c>
      <c r="D171" s="19" t="s">
        <v>1550</v>
      </c>
      <c r="E171" s="20" t="s">
        <v>91</v>
      </c>
      <c r="F171" s="17" t="s">
        <v>232</v>
      </c>
      <c r="G171" s="17" t="s">
        <v>1553</v>
      </c>
      <c r="H171" s="17" t="s">
        <v>1554</v>
      </c>
      <c r="I171" s="17" t="s">
        <v>125</v>
      </c>
      <c r="J171" s="22" t="s">
        <v>144</v>
      </c>
      <c r="K171" s="23" t="s">
        <v>108</v>
      </c>
      <c r="L171" s="24" t="s">
        <v>91</v>
      </c>
      <c r="M171" s="2">
        <v>5.0</v>
      </c>
      <c r="N171" s="25">
        <v>31.0</v>
      </c>
      <c r="O171" s="25"/>
      <c r="P171" s="25"/>
    </row>
    <row r="172">
      <c r="A172" s="16">
        <v>170.0</v>
      </c>
      <c r="B172" s="17" t="s">
        <v>461</v>
      </c>
      <c r="C172" s="18">
        <v>30.0</v>
      </c>
      <c r="D172" s="19" t="s">
        <v>1324</v>
      </c>
      <c r="E172" s="20" t="s">
        <v>91</v>
      </c>
      <c r="F172" s="17" t="s">
        <v>931</v>
      </c>
      <c r="G172" s="17" t="s">
        <v>1555</v>
      </c>
      <c r="H172" s="17" t="s">
        <v>1556</v>
      </c>
      <c r="I172" s="17" t="s">
        <v>125</v>
      </c>
      <c r="J172" s="22" t="s">
        <v>144</v>
      </c>
      <c r="K172" s="23" t="s">
        <v>108</v>
      </c>
      <c r="L172" s="24" t="s">
        <v>91</v>
      </c>
      <c r="M172" s="2">
        <v>5.0</v>
      </c>
      <c r="N172" s="25">
        <v>31.0</v>
      </c>
      <c r="O172" s="25"/>
      <c r="P172" s="25"/>
    </row>
    <row r="173">
      <c r="A173" s="16">
        <v>171.0</v>
      </c>
      <c r="B173" s="17" t="s">
        <v>236</v>
      </c>
      <c r="C173" s="18">
        <v>1.0</v>
      </c>
      <c r="D173" s="19" t="s">
        <v>1432</v>
      </c>
      <c r="E173" s="20" t="s">
        <v>91</v>
      </c>
      <c r="F173" s="17" t="s">
        <v>385</v>
      </c>
      <c r="G173" s="17" t="s">
        <v>123</v>
      </c>
      <c r="H173" s="17" t="s">
        <v>1557</v>
      </c>
      <c r="I173" s="17" t="s">
        <v>125</v>
      </c>
      <c r="J173" s="22" t="s">
        <v>100</v>
      </c>
      <c r="K173" s="23" t="s">
        <v>108</v>
      </c>
      <c r="L173" s="24" t="s">
        <v>91</v>
      </c>
      <c r="M173" s="2">
        <v>6.0</v>
      </c>
      <c r="N173" s="25">
        <v>11.0</v>
      </c>
      <c r="O173" s="25"/>
      <c r="P173" s="25"/>
    </row>
    <row r="174">
      <c r="A174" s="16">
        <v>172.0</v>
      </c>
      <c r="B174" s="17" t="s">
        <v>236</v>
      </c>
      <c r="C174" s="18">
        <v>2.0</v>
      </c>
      <c r="D174" s="19" t="s">
        <v>1432</v>
      </c>
      <c r="E174" s="20" t="s">
        <v>91</v>
      </c>
      <c r="F174" s="17" t="s">
        <v>408</v>
      </c>
      <c r="G174" s="17" t="s">
        <v>1558</v>
      </c>
      <c r="H174" s="17" t="s">
        <v>1559</v>
      </c>
      <c r="I174" s="17" t="s">
        <v>125</v>
      </c>
      <c r="J174" s="22" t="s">
        <v>100</v>
      </c>
      <c r="K174" s="23" t="s">
        <v>108</v>
      </c>
      <c r="L174" s="24" t="s">
        <v>1010</v>
      </c>
      <c r="M174" s="2">
        <v>6.0</v>
      </c>
      <c r="N174" s="25">
        <v>16.0</v>
      </c>
      <c r="O174" s="25"/>
      <c r="P174" s="25"/>
    </row>
    <row r="175">
      <c r="A175" s="16">
        <v>173.0</v>
      </c>
      <c r="B175" s="17" t="s">
        <v>236</v>
      </c>
      <c r="C175" s="18">
        <v>3.0</v>
      </c>
      <c r="D175" s="19" t="s">
        <v>1560</v>
      </c>
      <c r="E175" s="20" t="s">
        <v>91</v>
      </c>
      <c r="F175" s="17" t="s">
        <v>605</v>
      </c>
      <c r="G175" s="17" t="s">
        <v>1562</v>
      </c>
      <c r="H175" s="17" t="s">
        <v>1563</v>
      </c>
      <c r="I175" s="17" t="s">
        <v>125</v>
      </c>
      <c r="J175" s="22" t="s">
        <v>135</v>
      </c>
      <c r="K175" s="23" t="s">
        <v>108</v>
      </c>
      <c r="L175" s="24" t="s">
        <v>91</v>
      </c>
      <c r="M175" s="2">
        <v>6.0</v>
      </c>
      <c r="N175" s="25">
        <v>21.0</v>
      </c>
      <c r="O175" s="25"/>
      <c r="P175" s="25"/>
    </row>
    <row r="176">
      <c r="A176" s="16">
        <v>174.0</v>
      </c>
      <c r="B176" s="17" t="s">
        <v>236</v>
      </c>
      <c r="C176" s="18">
        <v>4.0</v>
      </c>
      <c r="D176" s="19" t="s">
        <v>1432</v>
      </c>
      <c r="E176" s="20" t="s">
        <v>91</v>
      </c>
      <c r="F176" s="17" t="s">
        <v>212</v>
      </c>
      <c r="G176" s="17" t="s">
        <v>123</v>
      </c>
      <c r="H176" s="17" t="s">
        <v>1564</v>
      </c>
      <c r="I176" s="17" t="s">
        <v>125</v>
      </c>
      <c r="J176" s="22" t="s">
        <v>135</v>
      </c>
      <c r="K176" s="23" t="s">
        <v>108</v>
      </c>
      <c r="L176" s="24" t="s">
        <v>91</v>
      </c>
      <c r="M176" s="2">
        <v>6.0</v>
      </c>
      <c r="N176" s="25">
        <v>21.0</v>
      </c>
      <c r="O176" s="25"/>
      <c r="P176" s="25"/>
    </row>
    <row r="177">
      <c r="A177" s="16">
        <v>175.0</v>
      </c>
      <c r="B177" s="17" t="s">
        <v>236</v>
      </c>
      <c r="C177" s="18">
        <v>5.0</v>
      </c>
      <c r="D177" s="19" t="s">
        <v>1560</v>
      </c>
      <c r="E177" s="20" t="s">
        <v>91</v>
      </c>
      <c r="F177" s="17" t="s">
        <v>128</v>
      </c>
      <c r="G177" s="17" t="s">
        <v>1565</v>
      </c>
      <c r="H177" s="17" t="s">
        <v>1566</v>
      </c>
      <c r="I177" s="17" t="s">
        <v>125</v>
      </c>
      <c r="J177" s="22" t="s">
        <v>144</v>
      </c>
      <c r="K177" s="23" t="s">
        <v>108</v>
      </c>
      <c r="L177" s="24" t="s">
        <v>91</v>
      </c>
      <c r="M177" s="2">
        <v>6.0</v>
      </c>
      <c r="N177" s="25">
        <v>31.0</v>
      </c>
      <c r="O177" s="25"/>
      <c r="P177" s="25"/>
    </row>
    <row r="178">
      <c r="A178" s="16">
        <v>176.0</v>
      </c>
      <c r="B178" s="17" t="s">
        <v>236</v>
      </c>
      <c r="C178" s="18">
        <v>6.0</v>
      </c>
      <c r="D178" s="19" t="s">
        <v>1560</v>
      </c>
      <c r="E178" s="20" t="s">
        <v>91</v>
      </c>
      <c r="F178" s="17" t="s">
        <v>613</v>
      </c>
      <c r="G178" s="17" t="s">
        <v>123</v>
      </c>
      <c r="H178" s="17" t="s">
        <v>1567</v>
      </c>
      <c r="I178" s="17" t="s">
        <v>125</v>
      </c>
      <c r="J178" s="22" t="s">
        <v>144</v>
      </c>
      <c r="K178" s="23" t="s">
        <v>108</v>
      </c>
      <c r="L178" s="24" t="s">
        <v>91</v>
      </c>
      <c r="M178" s="2">
        <v>6.0</v>
      </c>
      <c r="N178" s="25">
        <v>31.0</v>
      </c>
      <c r="O178" s="25"/>
      <c r="P178" s="25"/>
    </row>
    <row r="179">
      <c r="A179" s="16">
        <v>177.0</v>
      </c>
      <c r="B179" s="17" t="s">
        <v>236</v>
      </c>
      <c r="C179" s="18">
        <v>7.0</v>
      </c>
      <c r="D179" s="19" t="s">
        <v>1560</v>
      </c>
      <c r="E179" s="20" t="s">
        <v>91</v>
      </c>
      <c r="F179" s="17" t="s">
        <v>140</v>
      </c>
      <c r="G179" s="17" t="s">
        <v>1568</v>
      </c>
      <c r="H179" s="17" t="s">
        <v>1569</v>
      </c>
      <c r="I179" s="17" t="s">
        <v>125</v>
      </c>
      <c r="J179" s="22" t="s">
        <v>144</v>
      </c>
      <c r="K179" s="23" t="s">
        <v>108</v>
      </c>
      <c r="L179" s="24" t="s">
        <v>91</v>
      </c>
      <c r="M179" s="2">
        <v>6.0</v>
      </c>
      <c r="N179" s="25">
        <v>31.0</v>
      </c>
      <c r="O179" s="25"/>
      <c r="P179" s="25"/>
    </row>
    <row r="180">
      <c r="A180" s="16">
        <v>178.0</v>
      </c>
      <c r="B180" s="17" t="s">
        <v>236</v>
      </c>
      <c r="C180" s="18">
        <v>8.0</v>
      </c>
      <c r="D180" s="19" t="s">
        <v>1560</v>
      </c>
      <c r="E180" s="20" t="s">
        <v>91</v>
      </c>
      <c r="F180" s="17" t="s">
        <v>1025</v>
      </c>
      <c r="G180" s="17" t="s">
        <v>1570</v>
      </c>
      <c r="H180" s="17" t="s">
        <v>1571</v>
      </c>
      <c r="I180" s="17" t="s">
        <v>125</v>
      </c>
      <c r="J180" s="22" t="s">
        <v>144</v>
      </c>
      <c r="K180" s="23" t="s">
        <v>108</v>
      </c>
      <c r="L180" s="24" t="s">
        <v>91</v>
      </c>
      <c r="M180" s="2">
        <v>6.0</v>
      </c>
      <c r="N180" s="25">
        <v>31.0</v>
      </c>
      <c r="O180" s="25"/>
      <c r="P180" s="25"/>
    </row>
    <row r="181">
      <c r="A181" s="16">
        <v>179.0</v>
      </c>
      <c r="B181" s="17" t="s">
        <v>236</v>
      </c>
      <c r="C181" s="18">
        <v>9.0</v>
      </c>
      <c r="D181" s="19" t="s">
        <v>1560</v>
      </c>
      <c r="E181" s="20" t="s">
        <v>91</v>
      </c>
      <c r="F181" s="17" t="s">
        <v>930</v>
      </c>
      <c r="G181" s="17" t="s">
        <v>1572</v>
      </c>
      <c r="H181" s="17" t="s">
        <v>1573</v>
      </c>
      <c r="I181" s="17" t="s">
        <v>125</v>
      </c>
      <c r="J181" s="22" t="s">
        <v>144</v>
      </c>
      <c r="K181" s="23" t="s">
        <v>108</v>
      </c>
      <c r="L181" s="24" t="s">
        <v>91</v>
      </c>
      <c r="M181" s="2">
        <v>6.0</v>
      </c>
      <c r="N181" s="25">
        <v>31.0</v>
      </c>
      <c r="O181" s="25"/>
      <c r="P181" s="25"/>
    </row>
    <row r="182">
      <c r="A182" s="16">
        <v>180.0</v>
      </c>
      <c r="B182" s="17" t="s">
        <v>236</v>
      </c>
      <c r="C182" s="18">
        <v>10.0</v>
      </c>
      <c r="D182" s="19" t="s">
        <v>1560</v>
      </c>
      <c r="E182" s="20" t="s">
        <v>91</v>
      </c>
      <c r="F182" s="17" t="s">
        <v>919</v>
      </c>
      <c r="G182" s="17" t="s">
        <v>1574</v>
      </c>
      <c r="H182" s="17" t="s">
        <v>1575</v>
      </c>
      <c r="I182" s="17" t="s">
        <v>125</v>
      </c>
      <c r="J182" s="22" t="s">
        <v>144</v>
      </c>
      <c r="K182" s="23" t="s">
        <v>108</v>
      </c>
      <c r="L182" s="24" t="s">
        <v>91</v>
      </c>
      <c r="M182" s="2">
        <v>6.0</v>
      </c>
      <c r="N182" s="25">
        <v>31.0</v>
      </c>
      <c r="O182" s="25"/>
      <c r="P182" s="25"/>
    </row>
    <row r="183">
      <c r="A183" s="16">
        <v>181.0</v>
      </c>
      <c r="B183" s="17" t="s">
        <v>236</v>
      </c>
      <c r="C183" s="18">
        <v>11.0</v>
      </c>
      <c r="D183" s="19" t="s">
        <v>1432</v>
      </c>
      <c r="E183" s="20" t="s">
        <v>91</v>
      </c>
      <c r="F183" s="17" t="s">
        <v>658</v>
      </c>
      <c r="G183" s="17" t="s">
        <v>1576</v>
      </c>
      <c r="H183" s="17" t="s">
        <v>1577</v>
      </c>
      <c r="I183" s="17" t="s">
        <v>125</v>
      </c>
      <c r="J183" s="22" t="s">
        <v>144</v>
      </c>
      <c r="K183" s="23" t="s">
        <v>108</v>
      </c>
      <c r="L183" s="24" t="s">
        <v>91</v>
      </c>
      <c r="M183" s="2">
        <v>6.0</v>
      </c>
      <c r="N183" s="25">
        <v>31.0</v>
      </c>
      <c r="O183" s="25"/>
      <c r="P183" s="25"/>
    </row>
    <row r="184">
      <c r="A184" s="16">
        <v>182.0</v>
      </c>
      <c r="B184" s="17" t="s">
        <v>236</v>
      </c>
      <c r="C184" s="18">
        <v>12.0</v>
      </c>
      <c r="D184" s="19" t="s">
        <v>1432</v>
      </c>
      <c r="E184" s="20" t="s">
        <v>91</v>
      </c>
      <c r="F184" s="17" t="s">
        <v>216</v>
      </c>
      <c r="G184" s="17" t="s">
        <v>123</v>
      </c>
      <c r="H184" s="17" t="s">
        <v>482</v>
      </c>
      <c r="I184" s="17" t="s">
        <v>125</v>
      </c>
      <c r="J184" s="22" t="s">
        <v>144</v>
      </c>
      <c r="K184" s="23" t="s">
        <v>108</v>
      </c>
      <c r="L184" s="24" t="s">
        <v>91</v>
      </c>
      <c r="M184" s="2">
        <v>6.0</v>
      </c>
      <c r="N184" s="25">
        <v>31.0</v>
      </c>
      <c r="O184" s="25"/>
      <c r="P184" s="25"/>
    </row>
    <row r="185">
      <c r="A185" s="16">
        <v>183.0</v>
      </c>
      <c r="B185" s="17" t="s">
        <v>236</v>
      </c>
      <c r="C185" s="18">
        <v>13.0</v>
      </c>
      <c r="D185" s="19" t="s">
        <v>1432</v>
      </c>
      <c r="E185" s="20" t="s">
        <v>91</v>
      </c>
      <c r="F185" s="17" t="s">
        <v>842</v>
      </c>
      <c r="G185" s="17" t="s">
        <v>1578</v>
      </c>
      <c r="H185" s="17" t="s">
        <v>1579</v>
      </c>
      <c r="I185" s="17" t="s">
        <v>125</v>
      </c>
      <c r="J185" s="22" t="s">
        <v>144</v>
      </c>
      <c r="K185" s="23" t="s">
        <v>108</v>
      </c>
      <c r="L185" s="24" t="s">
        <v>91</v>
      </c>
      <c r="M185" s="2">
        <v>6.0</v>
      </c>
      <c r="N185" s="25">
        <v>31.0</v>
      </c>
      <c r="O185" s="25"/>
      <c r="P185" s="25"/>
    </row>
    <row r="186">
      <c r="A186" s="16">
        <v>184.0</v>
      </c>
      <c r="B186" s="17" t="s">
        <v>236</v>
      </c>
      <c r="C186" s="18">
        <v>14.0</v>
      </c>
      <c r="D186" s="19" t="s">
        <v>1580</v>
      </c>
      <c r="E186" s="20" t="s">
        <v>91</v>
      </c>
      <c r="F186" s="17" t="s">
        <v>843</v>
      </c>
      <c r="G186" s="17" t="s">
        <v>1581</v>
      </c>
      <c r="H186" s="17" t="s">
        <v>1582</v>
      </c>
      <c r="I186" s="17" t="s">
        <v>125</v>
      </c>
      <c r="J186" s="22" t="s">
        <v>144</v>
      </c>
      <c r="K186" s="23" t="s">
        <v>108</v>
      </c>
      <c r="L186" s="24" t="s">
        <v>91</v>
      </c>
      <c r="M186" s="2">
        <v>6.0</v>
      </c>
      <c r="N186" s="25">
        <v>31.0</v>
      </c>
      <c r="O186" s="25"/>
      <c r="P186" s="25"/>
    </row>
    <row r="187">
      <c r="A187" s="16">
        <v>185.0</v>
      </c>
      <c r="B187" s="17" t="s">
        <v>236</v>
      </c>
      <c r="C187" s="18">
        <v>15.0</v>
      </c>
      <c r="D187" s="19" t="s">
        <v>1580</v>
      </c>
      <c r="E187" s="20" t="s">
        <v>91</v>
      </c>
      <c r="F187" s="17" t="s">
        <v>225</v>
      </c>
      <c r="G187" s="17" t="s">
        <v>123</v>
      </c>
      <c r="H187" s="17" t="s">
        <v>1583</v>
      </c>
      <c r="I187" s="17" t="s">
        <v>125</v>
      </c>
      <c r="J187" s="22" t="s">
        <v>144</v>
      </c>
      <c r="K187" s="23" t="s">
        <v>108</v>
      </c>
      <c r="L187" s="24" t="s">
        <v>91</v>
      </c>
      <c r="M187" s="2">
        <v>6.0</v>
      </c>
      <c r="N187" s="25">
        <v>31.0</v>
      </c>
      <c r="O187" s="25"/>
      <c r="P187" s="25"/>
    </row>
    <row r="188">
      <c r="A188" s="16">
        <v>186.0</v>
      </c>
      <c r="B188" s="17" t="s">
        <v>236</v>
      </c>
      <c r="C188" s="18">
        <v>16.0</v>
      </c>
      <c r="D188" s="19" t="s">
        <v>1580</v>
      </c>
      <c r="E188" s="20" t="s">
        <v>91</v>
      </c>
      <c r="F188" s="17" t="s">
        <v>126</v>
      </c>
      <c r="G188" s="17" t="s">
        <v>123</v>
      </c>
      <c r="H188" s="17" t="s">
        <v>1584</v>
      </c>
      <c r="I188" s="17" t="s">
        <v>125</v>
      </c>
      <c r="J188" s="22" t="s">
        <v>144</v>
      </c>
      <c r="K188" s="23" t="s">
        <v>108</v>
      </c>
      <c r="L188" s="24" t="s">
        <v>91</v>
      </c>
      <c r="M188" s="2">
        <v>6.0</v>
      </c>
      <c r="N188" s="25">
        <v>31.0</v>
      </c>
      <c r="O188" s="25"/>
      <c r="P188" s="25"/>
    </row>
    <row r="189">
      <c r="A189" s="16">
        <v>187.0</v>
      </c>
      <c r="B189" s="17" t="s">
        <v>236</v>
      </c>
      <c r="C189" s="18">
        <v>17.0</v>
      </c>
      <c r="D189" s="19" t="s">
        <v>1580</v>
      </c>
      <c r="E189" s="20" t="s">
        <v>91</v>
      </c>
      <c r="F189" s="17" t="s">
        <v>623</v>
      </c>
      <c r="G189" s="17" t="s">
        <v>123</v>
      </c>
      <c r="H189" s="17" t="s">
        <v>1585</v>
      </c>
      <c r="I189" s="17" t="s">
        <v>125</v>
      </c>
      <c r="J189" s="22" t="s">
        <v>144</v>
      </c>
      <c r="K189" s="23" t="s">
        <v>108</v>
      </c>
      <c r="L189" s="24" t="s">
        <v>91</v>
      </c>
      <c r="M189" s="2">
        <v>6.0</v>
      </c>
      <c r="N189" s="25">
        <v>31.0</v>
      </c>
      <c r="O189" s="25"/>
      <c r="P189" s="25"/>
    </row>
    <row r="190">
      <c r="A190" s="16">
        <v>188.0</v>
      </c>
      <c r="B190" s="17" t="s">
        <v>236</v>
      </c>
      <c r="C190" s="18">
        <v>18.0</v>
      </c>
      <c r="D190" s="19" t="s">
        <v>1580</v>
      </c>
      <c r="E190" s="20" t="s">
        <v>91</v>
      </c>
      <c r="F190" s="17" t="s">
        <v>403</v>
      </c>
      <c r="G190" s="17" t="s">
        <v>666</v>
      </c>
      <c r="H190" s="17" t="s">
        <v>1586</v>
      </c>
      <c r="I190" s="17" t="s">
        <v>125</v>
      </c>
      <c r="J190" s="22" t="s">
        <v>144</v>
      </c>
      <c r="K190" s="23" t="s">
        <v>108</v>
      </c>
      <c r="L190" s="24" t="s">
        <v>91</v>
      </c>
      <c r="M190" s="2">
        <v>6.0</v>
      </c>
      <c r="N190" s="25">
        <v>31.0</v>
      </c>
      <c r="O190" s="25"/>
      <c r="P190" s="25"/>
    </row>
    <row r="191">
      <c r="A191" s="16">
        <v>189.0</v>
      </c>
      <c r="B191" s="17" t="s">
        <v>236</v>
      </c>
      <c r="C191" s="18">
        <v>19.0</v>
      </c>
      <c r="D191" s="19" t="s">
        <v>1580</v>
      </c>
      <c r="E191" s="20" t="s">
        <v>91</v>
      </c>
      <c r="F191" s="17" t="s">
        <v>1159</v>
      </c>
      <c r="G191" s="17" t="s">
        <v>1587</v>
      </c>
      <c r="H191" s="17" t="s">
        <v>1588</v>
      </c>
      <c r="I191" s="17" t="s">
        <v>125</v>
      </c>
      <c r="J191" s="22" t="s">
        <v>144</v>
      </c>
      <c r="K191" s="23" t="s">
        <v>108</v>
      </c>
      <c r="L191" s="24" t="s">
        <v>91</v>
      </c>
      <c r="M191" s="2">
        <v>6.0</v>
      </c>
      <c r="N191" s="25">
        <v>31.0</v>
      </c>
      <c r="O191" s="25"/>
      <c r="P191" s="25"/>
    </row>
    <row r="192">
      <c r="A192" s="16">
        <v>190.0</v>
      </c>
      <c r="B192" s="17" t="s">
        <v>236</v>
      </c>
      <c r="C192" s="18">
        <v>20.0</v>
      </c>
      <c r="D192" s="19" t="s">
        <v>1580</v>
      </c>
      <c r="E192" s="20" t="s">
        <v>91</v>
      </c>
      <c r="F192" s="17" t="s">
        <v>397</v>
      </c>
      <c r="G192" s="17" t="s">
        <v>123</v>
      </c>
      <c r="H192" s="17" t="s">
        <v>1590</v>
      </c>
      <c r="I192" s="17" t="s">
        <v>125</v>
      </c>
      <c r="J192" s="22" t="s">
        <v>144</v>
      </c>
      <c r="K192" s="23" t="s">
        <v>108</v>
      </c>
      <c r="L192" s="24" t="s">
        <v>1243</v>
      </c>
      <c r="M192" s="2">
        <v>6.0</v>
      </c>
      <c r="N192" s="25">
        <v>36.0</v>
      </c>
      <c r="O192" s="25"/>
      <c r="P192" s="25"/>
    </row>
    <row r="193">
      <c r="A193" s="16">
        <v>191.0</v>
      </c>
      <c r="B193" s="17" t="s">
        <v>236</v>
      </c>
      <c r="C193" s="18">
        <v>21.0</v>
      </c>
      <c r="D193" s="19" t="s">
        <v>1580</v>
      </c>
      <c r="E193" s="20" t="s">
        <v>91</v>
      </c>
      <c r="F193" s="17" t="s">
        <v>634</v>
      </c>
      <c r="G193" s="17" t="s">
        <v>1592</v>
      </c>
      <c r="H193" s="17" t="s">
        <v>1593</v>
      </c>
      <c r="I193" s="17" t="s">
        <v>125</v>
      </c>
      <c r="J193" s="22" t="s">
        <v>144</v>
      </c>
      <c r="K193" s="23" t="s">
        <v>108</v>
      </c>
      <c r="L193" s="24" t="s">
        <v>1243</v>
      </c>
      <c r="M193" s="2">
        <v>6.0</v>
      </c>
      <c r="N193" s="25">
        <v>36.0</v>
      </c>
      <c r="O193" s="25"/>
      <c r="P193" s="25"/>
    </row>
    <row r="194">
      <c r="A194" s="16">
        <v>192.0</v>
      </c>
      <c r="B194" s="17" t="s">
        <v>236</v>
      </c>
      <c r="C194" s="18">
        <v>22.0</v>
      </c>
      <c r="D194" s="19" t="s">
        <v>1580</v>
      </c>
      <c r="E194" s="20" t="s">
        <v>91</v>
      </c>
      <c r="F194" s="17" t="s">
        <v>401</v>
      </c>
      <c r="G194" s="17" t="s">
        <v>1594</v>
      </c>
      <c r="H194" s="17" t="s">
        <v>1593</v>
      </c>
      <c r="I194" s="17" t="s">
        <v>125</v>
      </c>
      <c r="J194" s="22" t="s">
        <v>144</v>
      </c>
      <c r="K194" s="23" t="s">
        <v>108</v>
      </c>
      <c r="L194" s="24" t="s">
        <v>1243</v>
      </c>
      <c r="M194" s="2">
        <v>6.0</v>
      </c>
      <c r="N194" s="25">
        <v>36.0</v>
      </c>
      <c r="O194" s="25"/>
      <c r="P194" s="25"/>
    </row>
    <row r="195">
      <c r="A195" s="16">
        <v>193.0</v>
      </c>
      <c r="B195" s="17" t="s">
        <v>658</v>
      </c>
      <c r="C195" s="18">
        <v>1.0</v>
      </c>
      <c r="D195" s="19" t="s">
        <v>1596</v>
      </c>
      <c r="E195" s="20" t="s">
        <v>91</v>
      </c>
      <c r="F195" s="17" t="s">
        <v>27</v>
      </c>
      <c r="G195" s="17" t="s">
        <v>123</v>
      </c>
      <c r="H195" s="17" t="s">
        <v>1597</v>
      </c>
      <c r="I195" s="17" t="s">
        <v>98</v>
      </c>
      <c r="J195" s="22" t="s">
        <v>100</v>
      </c>
      <c r="K195" s="23" t="s">
        <v>108</v>
      </c>
      <c r="L195" s="24" t="s">
        <v>91</v>
      </c>
      <c r="M195" s="2">
        <v>7.0</v>
      </c>
      <c r="N195" s="25">
        <v>10.0</v>
      </c>
      <c r="O195" s="25"/>
      <c r="P195" s="25"/>
    </row>
    <row r="196">
      <c r="A196" s="16">
        <v>194.0</v>
      </c>
      <c r="B196" s="17" t="s">
        <v>658</v>
      </c>
      <c r="C196" s="18">
        <v>2.0</v>
      </c>
      <c r="D196" s="19" t="s">
        <v>1596</v>
      </c>
      <c r="E196" s="20" t="s">
        <v>91</v>
      </c>
      <c r="F196" s="17" t="s">
        <v>84</v>
      </c>
      <c r="G196" s="17" t="s">
        <v>1599</v>
      </c>
      <c r="H196" s="17" t="s">
        <v>1600</v>
      </c>
      <c r="I196" s="17" t="s">
        <v>125</v>
      </c>
      <c r="J196" s="22" t="s">
        <v>100</v>
      </c>
      <c r="K196" s="23" t="s">
        <v>108</v>
      </c>
      <c r="L196" s="24" t="s">
        <v>91</v>
      </c>
      <c r="M196" s="2">
        <v>7.0</v>
      </c>
      <c r="N196" s="25">
        <v>11.0</v>
      </c>
      <c r="O196" s="25"/>
      <c r="P196" s="25"/>
    </row>
    <row r="197">
      <c r="A197" s="16">
        <v>195.0</v>
      </c>
      <c r="B197" s="17" t="s">
        <v>658</v>
      </c>
      <c r="C197" s="18">
        <v>3.0</v>
      </c>
      <c r="D197" s="19" t="s">
        <v>1596</v>
      </c>
      <c r="E197" s="20" t="s">
        <v>91</v>
      </c>
      <c r="F197" s="17" t="s">
        <v>425</v>
      </c>
      <c r="G197" s="17" t="s">
        <v>123</v>
      </c>
      <c r="H197" s="17" t="s">
        <v>1601</v>
      </c>
      <c r="I197" s="17" t="s">
        <v>125</v>
      </c>
      <c r="J197" s="22" t="s">
        <v>100</v>
      </c>
      <c r="K197" s="23" t="s">
        <v>108</v>
      </c>
      <c r="L197" s="24" t="s">
        <v>91</v>
      </c>
      <c r="M197" s="2">
        <v>7.0</v>
      </c>
      <c r="N197" s="25">
        <v>11.0</v>
      </c>
      <c r="O197" s="25"/>
      <c r="P197" s="25"/>
    </row>
    <row r="198">
      <c r="A198" s="16">
        <v>196.0</v>
      </c>
      <c r="B198" s="17" t="s">
        <v>658</v>
      </c>
      <c r="C198" s="18">
        <v>4.0</v>
      </c>
      <c r="D198" s="19" t="s">
        <v>1482</v>
      </c>
      <c r="E198" s="20" t="s">
        <v>91</v>
      </c>
      <c r="F198" s="17" t="s">
        <v>933</v>
      </c>
      <c r="G198" s="17" t="s">
        <v>1466</v>
      </c>
      <c r="H198" s="17" t="s">
        <v>1602</v>
      </c>
      <c r="I198" s="17" t="s">
        <v>125</v>
      </c>
      <c r="J198" s="22" t="s">
        <v>135</v>
      </c>
      <c r="K198" s="23" t="s">
        <v>108</v>
      </c>
      <c r="L198" s="24" t="s">
        <v>91</v>
      </c>
      <c r="M198" s="2">
        <v>7.0</v>
      </c>
      <c r="N198" s="25">
        <v>21.0</v>
      </c>
      <c r="O198" s="25"/>
      <c r="P198" s="25"/>
    </row>
    <row r="199">
      <c r="A199" s="16">
        <v>197.0</v>
      </c>
      <c r="B199" s="17" t="s">
        <v>658</v>
      </c>
      <c r="C199" s="18">
        <v>5.0</v>
      </c>
      <c r="D199" s="19" t="s">
        <v>1596</v>
      </c>
      <c r="E199" s="20" t="s">
        <v>91</v>
      </c>
      <c r="F199" s="17" t="s">
        <v>835</v>
      </c>
      <c r="G199" s="17" t="s">
        <v>1603</v>
      </c>
      <c r="H199" s="17" t="s">
        <v>1604</v>
      </c>
      <c r="I199" s="17" t="s">
        <v>98</v>
      </c>
      <c r="J199" s="22" t="s">
        <v>135</v>
      </c>
      <c r="K199" s="23" t="s">
        <v>108</v>
      </c>
      <c r="L199" s="24" t="s">
        <v>1010</v>
      </c>
      <c r="M199" s="2">
        <v>7.0</v>
      </c>
      <c r="N199" s="25">
        <v>25.0</v>
      </c>
      <c r="O199" s="25"/>
      <c r="P199" s="25"/>
    </row>
    <row r="200">
      <c r="A200" s="16">
        <v>198.0</v>
      </c>
      <c r="B200" s="17" t="s">
        <v>658</v>
      </c>
      <c r="C200" s="18">
        <v>6.0</v>
      </c>
      <c r="D200" s="19" t="s">
        <v>1596</v>
      </c>
      <c r="E200" s="20" t="s">
        <v>91</v>
      </c>
      <c r="F200" s="17" t="s">
        <v>128</v>
      </c>
      <c r="G200" s="17" t="s">
        <v>123</v>
      </c>
      <c r="H200" s="17" t="s">
        <v>1605</v>
      </c>
      <c r="I200" s="17" t="s">
        <v>98</v>
      </c>
      <c r="J200" s="22" t="s">
        <v>144</v>
      </c>
      <c r="K200" s="23" t="s">
        <v>108</v>
      </c>
      <c r="L200" s="24" t="s">
        <v>91</v>
      </c>
      <c r="M200" s="2">
        <v>7.0</v>
      </c>
      <c r="N200" s="25">
        <v>30.0</v>
      </c>
      <c r="O200" s="25"/>
      <c r="P200" s="25"/>
    </row>
    <row r="201">
      <c r="A201" s="16">
        <v>199.0</v>
      </c>
      <c r="B201" s="17" t="s">
        <v>658</v>
      </c>
      <c r="C201" s="18">
        <v>7.0</v>
      </c>
      <c r="D201" s="19" t="s">
        <v>1596</v>
      </c>
      <c r="E201" s="20" t="s">
        <v>91</v>
      </c>
      <c r="F201" s="17" t="s">
        <v>385</v>
      </c>
      <c r="G201" s="17" t="s">
        <v>123</v>
      </c>
      <c r="H201" s="17" t="s">
        <v>1606</v>
      </c>
      <c r="I201" s="17" t="s">
        <v>98</v>
      </c>
      <c r="J201" s="22" t="s">
        <v>144</v>
      </c>
      <c r="K201" s="23" t="s">
        <v>108</v>
      </c>
      <c r="L201" s="24" t="s">
        <v>91</v>
      </c>
      <c r="M201" s="2">
        <v>7.0</v>
      </c>
      <c r="N201" s="25">
        <v>30.0</v>
      </c>
      <c r="O201" s="25"/>
      <c r="P201" s="25"/>
    </row>
    <row r="202">
      <c r="A202" s="16">
        <v>200.0</v>
      </c>
      <c r="B202" s="17" t="s">
        <v>658</v>
      </c>
      <c r="C202" s="18">
        <v>8.0</v>
      </c>
      <c r="D202" s="19" t="s">
        <v>1596</v>
      </c>
      <c r="E202" s="20" t="s">
        <v>91</v>
      </c>
      <c r="F202" s="17" t="s">
        <v>605</v>
      </c>
      <c r="G202" s="17" t="s">
        <v>123</v>
      </c>
      <c r="H202" s="17" t="s">
        <v>1607</v>
      </c>
      <c r="I202" s="17" t="s">
        <v>98</v>
      </c>
      <c r="J202" s="22" t="s">
        <v>144</v>
      </c>
      <c r="K202" s="23" t="s">
        <v>108</v>
      </c>
      <c r="L202" s="24" t="s">
        <v>91</v>
      </c>
      <c r="M202" s="2">
        <v>7.0</v>
      </c>
      <c r="N202" s="25">
        <v>30.0</v>
      </c>
      <c r="O202" s="25"/>
      <c r="P202" s="25"/>
    </row>
    <row r="203">
      <c r="A203" s="16">
        <v>201.0</v>
      </c>
      <c r="B203" s="17" t="s">
        <v>658</v>
      </c>
      <c r="C203" s="18">
        <v>9.0</v>
      </c>
      <c r="D203" s="19" t="s">
        <v>1596</v>
      </c>
      <c r="E203" s="20" t="s">
        <v>91</v>
      </c>
      <c r="F203" s="17" t="s">
        <v>130</v>
      </c>
      <c r="G203" s="17" t="s">
        <v>123</v>
      </c>
      <c r="H203" s="17" t="s">
        <v>1608</v>
      </c>
      <c r="I203" s="17" t="s">
        <v>98</v>
      </c>
      <c r="J203" s="22" t="s">
        <v>144</v>
      </c>
      <c r="K203" s="23" t="s">
        <v>108</v>
      </c>
      <c r="L203" s="24" t="s">
        <v>91</v>
      </c>
      <c r="M203" s="2">
        <v>7.0</v>
      </c>
      <c r="N203" s="25">
        <v>30.0</v>
      </c>
      <c r="O203" s="25"/>
      <c r="P203" s="25"/>
    </row>
    <row r="204">
      <c r="A204" s="16">
        <v>202.0</v>
      </c>
      <c r="B204" s="17" t="s">
        <v>658</v>
      </c>
      <c r="C204" s="18">
        <v>10.0</v>
      </c>
      <c r="D204" s="19" t="s">
        <v>1596</v>
      </c>
      <c r="E204" s="20" t="s">
        <v>91</v>
      </c>
      <c r="F204" s="17" t="s">
        <v>236</v>
      </c>
      <c r="G204" s="17" t="s">
        <v>123</v>
      </c>
      <c r="H204" s="17" t="s">
        <v>1609</v>
      </c>
      <c r="I204" s="17" t="s">
        <v>98</v>
      </c>
      <c r="J204" s="22" t="s">
        <v>144</v>
      </c>
      <c r="K204" s="23" t="s">
        <v>108</v>
      </c>
      <c r="L204" s="24" t="s">
        <v>91</v>
      </c>
      <c r="M204" s="2">
        <v>7.0</v>
      </c>
      <c r="N204" s="25">
        <v>30.0</v>
      </c>
      <c r="O204" s="25"/>
      <c r="P204" s="25"/>
    </row>
    <row r="205">
      <c r="A205" s="16">
        <v>203.0</v>
      </c>
      <c r="B205" s="17" t="s">
        <v>658</v>
      </c>
      <c r="C205" s="18">
        <v>11.0</v>
      </c>
      <c r="D205" s="19" t="s">
        <v>1596</v>
      </c>
      <c r="E205" s="20" t="s">
        <v>91</v>
      </c>
      <c r="F205" s="17" t="s">
        <v>80</v>
      </c>
      <c r="G205" s="17" t="s">
        <v>1610</v>
      </c>
      <c r="H205" s="17" t="s">
        <v>1611</v>
      </c>
      <c r="I205" s="17" t="s">
        <v>98</v>
      </c>
      <c r="J205" s="22" t="s">
        <v>144</v>
      </c>
      <c r="K205" s="23" t="s">
        <v>108</v>
      </c>
      <c r="L205" s="24" t="s">
        <v>91</v>
      </c>
      <c r="M205" s="2">
        <v>7.0</v>
      </c>
      <c r="N205" s="25">
        <v>30.0</v>
      </c>
      <c r="O205" s="25"/>
      <c r="P205" s="25"/>
    </row>
    <row r="206">
      <c r="A206" s="16">
        <v>204.0</v>
      </c>
      <c r="B206" s="17" t="s">
        <v>658</v>
      </c>
      <c r="C206" s="18">
        <v>12.0</v>
      </c>
      <c r="D206" s="19" t="s">
        <v>1482</v>
      </c>
      <c r="E206" s="20" t="s">
        <v>91</v>
      </c>
      <c r="F206" s="17" t="s">
        <v>247</v>
      </c>
      <c r="G206" s="17" t="s">
        <v>123</v>
      </c>
      <c r="H206" s="17" t="s">
        <v>1612</v>
      </c>
      <c r="I206" s="17" t="s">
        <v>125</v>
      </c>
      <c r="J206" s="22" t="s">
        <v>144</v>
      </c>
      <c r="K206" s="23" t="s">
        <v>108</v>
      </c>
      <c r="L206" s="24" t="s">
        <v>91</v>
      </c>
      <c r="M206" s="2">
        <v>7.0</v>
      </c>
      <c r="N206" s="25">
        <v>31.0</v>
      </c>
      <c r="O206" s="25"/>
      <c r="P206" s="25"/>
    </row>
    <row r="207">
      <c r="A207" s="16">
        <v>205.0</v>
      </c>
      <c r="B207" s="17" t="s">
        <v>658</v>
      </c>
      <c r="C207" s="18">
        <v>13.0</v>
      </c>
      <c r="D207" s="19" t="s">
        <v>1614</v>
      </c>
      <c r="E207" s="20" t="s">
        <v>91</v>
      </c>
      <c r="F207" s="17" t="s">
        <v>1160</v>
      </c>
      <c r="G207" s="17" t="s">
        <v>1615</v>
      </c>
      <c r="H207" s="17" t="s">
        <v>1616</v>
      </c>
      <c r="I207" s="17" t="s">
        <v>125</v>
      </c>
      <c r="J207" s="22" t="s">
        <v>144</v>
      </c>
      <c r="K207" s="23" t="s">
        <v>108</v>
      </c>
      <c r="L207" s="24" t="s">
        <v>91</v>
      </c>
      <c r="M207" s="2">
        <v>7.0</v>
      </c>
      <c r="N207" s="25">
        <v>31.0</v>
      </c>
      <c r="O207" s="25"/>
      <c r="P207" s="25"/>
    </row>
    <row r="208">
      <c r="A208" s="16">
        <v>206.0</v>
      </c>
      <c r="B208" s="17" t="s">
        <v>658</v>
      </c>
      <c r="C208" s="18">
        <v>14.0</v>
      </c>
      <c r="D208" s="19" t="s">
        <v>1596</v>
      </c>
      <c r="E208" s="20" t="s">
        <v>91</v>
      </c>
      <c r="F208" s="17" t="s">
        <v>1279</v>
      </c>
      <c r="G208" s="17" t="s">
        <v>123</v>
      </c>
      <c r="H208" s="17" t="s">
        <v>1617</v>
      </c>
      <c r="I208" s="17" t="s">
        <v>125</v>
      </c>
      <c r="J208" s="22" t="s">
        <v>144</v>
      </c>
      <c r="K208" s="23" t="s">
        <v>108</v>
      </c>
      <c r="L208" s="24" t="s">
        <v>91</v>
      </c>
      <c r="M208" s="2">
        <v>7.0</v>
      </c>
      <c r="N208" s="25">
        <v>31.0</v>
      </c>
      <c r="O208" s="25"/>
      <c r="P208" s="25"/>
    </row>
    <row r="209">
      <c r="A209" s="16">
        <v>207.0</v>
      </c>
      <c r="B209" s="17" t="s">
        <v>658</v>
      </c>
      <c r="C209" s="18">
        <v>15.0</v>
      </c>
      <c r="D209" s="19" t="s">
        <v>1596</v>
      </c>
      <c r="E209" s="20" t="s">
        <v>91</v>
      </c>
      <c r="F209" s="17" t="s">
        <v>127</v>
      </c>
      <c r="G209" s="17" t="s">
        <v>123</v>
      </c>
      <c r="H209" s="17" t="s">
        <v>1338</v>
      </c>
      <c r="I209" s="17" t="s">
        <v>125</v>
      </c>
      <c r="J209" s="22" t="s">
        <v>144</v>
      </c>
      <c r="K209" s="23" t="s">
        <v>108</v>
      </c>
      <c r="L209" s="24" t="s">
        <v>91</v>
      </c>
      <c r="M209" s="2">
        <v>7.0</v>
      </c>
      <c r="N209" s="25">
        <v>31.0</v>
      </c>
      <c r="O209" s="25"/>
      <c r="P209" s="25"/>
    </row>
    <row r="210">
      <c r="A210" s="16">
        <v>208.0</v>
      </c>
      <c r="B210" s="17" t="s">
        <v>658</v>
      </c>
      <c r="C210" s="18">
        <v>16.0</v>
      </c>
      <c r="D210" s="19" t="s">
        <v>1596</v>
      </c>
      <c r="E210" s="20" t="s">
        <v>91</v>
      </c>
      <c r="F210" s="17" t="s">
        <v>749</v>
      </c>
      <c r="G210" s="17" t="s">
        <v>1618</v>
      </c>
      <c r="H210" s="17" t="s">
        <v>1619</v>
      </c>
      <c r="I210" s="17" t="s">
        <v>125</v>
      </c>
      <c r="J210" s="22" t="s">
        <v>144</v>
      </c>
      <c r="K210" s="23" t="s">
        <v>108</v>
      </c>
      <c r="L210" s="24" t="s">
        <v>91</v>
      </c>
      <c r="M210" s="2">
        <v>7.0</v>
      </c>
      <c r="N210" s="25">
        <v>31.0</v>
      </c>
      <c r="O210" s="25"/>
      <c r="P210" s="25"/>
    </row>
    <row r="211">
      <c r="A211" s="16">
        <v>209.0</v>
      </c>
      <c r="B211" s="17" t="s">
        <v>658</v>
      </c>
      <c r="C211" s="18">
        <v>17.0</v>
      </c>
      <c r="D211" s="19" t="s">
        <v>1596</v>
      </c>
      <c r="E211" s="20" t="s">
        <v>91</v>
      </c>
      <c r="F211" s="17" t="s">
        <v>1280</v>
      </c>
      <c r="G211" s="17" t="s">
        <v>123</v>
      </c>
      <c r="H211" s="17" t="s">
        <v>1620</v>
      </c>
      <c r="I211" s="17" t="s">
        <v>125</v>
      </c>
      <c r="J211" s="22" t="s">
        <v>144</v>
      </c>
      <c r="K211" s="23" t="s">
        <v>108</v>
      </c>
      <c r="L211" s="24" t="s">
        <v>91</v>
      </c>
      <c r="M211" s="2">
        <v>7.0</v>
      </c>
      <c r="N211" s="25">
        <v>31.0</v>
      </c>
      <c r="O211" s="25"/>
      <c r="P211" s="25"/>
    </row>
    <row r="212">
      <c r="A212" s="16">
        <v>210.0</v>
      </c>
      <c r="B212" s="17" t="s">
        <v>658</v>
      </c>
      <c r="C212" s="18">
        <v>18.0</v>
      </c>
      <c r="D212" s="19" t="s">
        <v>1596</v>
      </c>
      <c r="E212" s="20" t="s">
        <v>91</v>
      </c>
      <c r="F212" s="17" t="s">
        <v>901</v>
      </c>
      <c r="G212" s="17" t="s">
        <v>123</v>
      </c>
      <c r="H212" s="17" t="s">
        <v>1621</v>
      </c>
      <c r="I212" s="17" t="s">
        <v>125</v>
      </c>
      <c r="J212" s="22" t="s">
        <v>144</v>
      </c>
      <c r="K212" s="23" t="s">
        <v>108</v>
      </c>
      <c r="L212" s="24" t="s">
        <v>91</v>
      </c>
      <c r="M212" s="2">
        <v>7.0</v>
      </c>
      <c r="N212" s="25">
        <v>31.0</v>
      </c>
      <c r="O212" s="25"/>
      <c r="P212" s="25"/>
    </row>
    <row r="213">
      <c r="A213" s="16">
        <v>211.0</v>
      </c>
      <c r="B213" s="17" t="s">
        <v>658</v>
      </c>
      <c r="C213" s="18">
        <v>19.0</v>
      </c>
      <c r="D213" s="19" t="s">
        <v>1596</v>
      </c>
      <c r="E213" s="20" t="s">
        <v>91</v>
      </c>
      <c r="F213" s="17" t="s">
        <v>136</v>
      </c>
      <c r="G213" s="17" t="s">
        <v>123</v>
      </c>
      <c r="H213" s="17" t="s">
        <v>1622</v>
      </c>
      <c r="I213" s="17" t="s">
        <v>125</v>
      </c>
      <c r="J213" s="22" t="s">
        <v>144</v>
      </c>
      <c r="K213" s="23" t="s">
        <v>108</v>
      </c>
      <c r="L213" s="24" t="s">
        <v>91</v>
      </c>
      <c r="M213" s="2">
        <v>7.0</v>
      </c>
      <c r="N213" s="25">
        <v>31.0</v>
      </c>
      <c r="O213" s="25"/>
      <c r="P213" s="25"/>
    </row>
    <row r="214">
      <c r="A214" s="16">
        <v>212.0</v>
      </c>
      <c r="B214" s="17" t="s">
        <v>658</v>
      </c>
      <c r="C214" s="18">
        <v>20.0</v>
      </c>
      <c r="D214" s="19" t="s">
        <v>1596</v>
      </c>
      <c r="E214" s="20" t="s">
        <v>91</v>
      </c>
      <c r="F214" s="17" t="s">
        <v>1282</v>
      </c>
      <c r="G214" s="17" t="s">
        <v>123</v>
      </c>
      <c r="H214" s="17" t="s">
        <v>1623</v>
      </c>
      <c r="I214" s="17" t="s">
        <v>125</v>
      </c>
      <c r="J214" s="22" t="s">
        <v>144</v>
      </c>
      <c r="K214" s="23" t="s">
        <v>108</v>
      </c>
      <c r="L214" s="24" t="s">
        <v>91</v>
      </c>
      <c r="M214" s="2">
        <v>7.0</v>
      </c>
      <c r="N214" s="25">
        <v>31.0</v>
      </c>
      <c r="O214" s="25"/>
      <c r="P214" s="25"/>
    </row>
    <row r="215">
      <c r="A215" s="16">
        <v>213.0</v>
      </c>
      <c r="B215" s="17" t="s">
        <v>658</v>
      </c>
      <c r="C215" s="18">
        <v>21.0</v>
      </c>
      <c r="D215" s="19" t="s">
        <v>1596</v>
      </c>
      <c r="E215" s="20" t="s">
        <v>91</v>
      </c>
      <c r="F215" s="17" t="s">
        <v>927</v>
      </c>
      <c r="G215" s="17" t="s">
        <v>1468</v>
      </c>
      <c r="H215" s="17" t="s">
        <v>1469</v>
      </c>
      <c r="I215" s="17" t="s">
        <v>125</v>
      </c>
      <c r="J215" s="22" t="s">
        <v>144</v>
      </c>
      <c r="K215" s="23" t="s">
        <v>108</v>
      </c>
      <c r="L215" s="24" t="s">
        <v>91</v>
      </c>
      <c r="M215" s="2">
        <v>7.0</v>
      </c>
      <c r="N215" s="25">
        <v>31.0</v>
      </c>
      <c r="O215" s="25"/>
      <c r="P215" s="25"/>
    </row>
    <row r="216">
      <c r="A216" s="16">
        <v>214.0</v>
      </c>
      <c r="B216" s="17" t="s">
        <v>658</v>
      </c>
      <c r="C216" s="18">
        <v>22.0</v>
      </c>
      <c r="D216" s="19" t="s">
        <v>1596</v>
      </c>
      <c r="E216" s="20" t="s">
        <v>91</v>
      </c>
      <c r="F216" s="17" t="s">
        <v>3</v>
      </c>
      <c r="G216" s="17" t="s">
        <v>1376</v>
      </c>
      <c r="H216" s="17" t="s">
        <v>1378</v>
      </c>
      <c r="I216" s="17" t="s">
        <v>125</v>
      </c>
      <c r="J216" s="22" t="s">
        <v>144</v>
      </c>
      <c r="K216" s="23" t="s">
        <v>108</v>
      </c>
      <c r="L216" s="24" t="s">
        <v>91</v>
      </c>
      <c r="M216" s="2">
        <v>7.0</v>
      </c>
      <c r="N216" s="25">
        <v>31.0</v>
      </c>
      <c r="O216" s="25"/>
      <c r="P216" s="25"/>
    </row>
    <row r="217">
      <c r="A217" s="16">
        <v>215.0</v>
      </c>
      <c r="B217" s="17" t="s">
        <v>658</v>
      </c>
      <c r="C217" s="18">
        <v>23.0</v>
      </c>
      <c r="D217" s="19" t="s">
        <v>1596</v>
      </c>
      <c r="E217" s="20" t="s">
        <v>91</v>
      </c>
      <c r="F217" s="17" t="s">
        <v>40</v>
      </c>
      <c r="G217" s="17" t="s">
        <v>1385</v>
      </c>
      <c r="H217" s="17" t="s">
        <v>1624</v>
      </c>
      <c r="I217" s="17" t="s">
        <v>125</v>
      </c>
      <c r="J217" s="22" t="s">
        <v>144</v>
      </c>
      <c r="K217" s="23" t="s">
        <v>108</v>
      </c>
      <c r="L217" s="24" t="s">
        <v>91</v>
      </c>
      <c r="M217" s="2">
        <v>7.0</v>
      </c>
      <c r="N217" s="25">
        <v>31.0</v>
      </c>
      <c r="O217" s="25"/>
      <c r="P217" s="25"/>
    </row>
    <row r="218">
      <c r="A218" s="16">
        <v>216.0</v>
      </c>
      <c r="B218" s="17" t="s">
        <v>658</v>
      </c>
      <c r="C218" s="18">
        <v>24.0</v>
      </c>
      <c r="D218" s="19" t="s">
        <v>1596</v>
      </c>
      <c r="E218" s="20" t="s">
        <v>91</v>
      </c>
      <c r="F218" s="17" t="s">
        <v>251</v>
      </c>
      <c r="G218" s="17" t="s">
        <v>1625</v>
      </c>
      <c r="H218" s="17" t="s">
        <v>1626</v>
      </c>
      <c r="I218" s="17" t="s">
        <v>125</v>
      </c>
      <c r="J218" s="22" t="s">
        <v>144</v>
      </c>
      <c r="K218" s="23" t="s">
        <v>108</v>
      </c>
      <c r="L218" s="24" t="s">
        <v>91</v>
      </c>
      <c r="M218" s="2">
        <v>7.0</v>
      </c>
      <c r="N218" s="25">
        <v>31.0</v>
      </c>
      <c r="O218" s="25"/>
      <c r="P218" s="25"/>
    </row>
    <row r="219">
      <c r="A219" s="16">
        <v>217.0</v>
      </c>
      <c r="B219" s="17" t="s">
        <v>658</v>
      </c>
      <c r="C219" s="18">
        <v>25.0</v>
      </c>
      <c r="D219" s="19" t="s">
        <v>1596</v>
      </c>
      <c r="E219" s="20" t="s">
        <v>91</v>
      </c>
      <c r="F219" s="17" t="s">
        <v>429</v>
      </c>
      <c r="G219" s="17" t="s">
        <v>1627</v>
      </c>
      <c r="H219" s="17" t="s">
        <v>1628</v>
      </c>
      <c r="I219" s="17" t="s">
        <v>125</v>
      </c>
      <c r="J219" s="22" t="s">
        <v>144</v>
      </c>
      <c r="K219" s="23" t="s">
        <v>108</v>
      </c>
      <c r="L219" s="24" t="s">
        <v>91</v>
      </c>
      <c r="M219" s="2">
        <v>7.0</v>
      </c>
      <c r="N219" s="25">
        <v>31.0</v>
      </c>
      <c r="O219" s="25"/>
      <c r="P219" s="25"/>
    </row>
    <row r="220">
      <c r="A220" s="16">
        <v>218.0</v>
      </c>
      <c r="B220" s="17" t="s">
        <v>658</v>
      </c>
      <c r="C220" s="18">
        <v>26.0</v>
      </c>
      <c r="D220" s="19" t="s">
        <v>1596</v>
      </c>
      <c r="E220" s="20" t="s">
        <v>91</v>
      </c>
      <c r="F220" s="17" t="s">
        <v>631</v>
      </c>
      <c r="G220" s="17" t="s">
        <v>123</v>
      </c>
      <c r="H220" s="17" t="s">
        <v>1630</v>
      </c>
      <c r="I220" s="17" t="s">
        <v>125</v>
      </c>
      <c r="J220" s="22" t="s">
        <v>144</v>
      </c>
      <c r="K220" s="23" t="s">
        <v>108</v>
      </c>
      <c r="L220" s="24" t="s">
        <v>91</v>
      </c>
      <c r="M220" s="2">
        <v>7.0</v>
      </c>
      <c r="N220" s="25">
        <v>31.0</v>
      </c>
      <c r="O220" s="25"/>
      <c r="P220" s="25"/>
    </row>
    <row r="221">
      <c r="A221" s="16">
        <v>219.0</v>
      </c>
      <c r="B221" s="27" t="s">
        <v>658</v>
      </c>
      <c r="C221" s="18">
        <v>27.0</v>
      </c>
      <c r="D221" s="19" t="s">
        <v>1596</v>
      </c>
      <c r="E221" s="20" t="s">
        <v>91</v>
      </c>
      <c r="F221" s="27" t="s">
        <v>946</v>
      </c>
      <c r="G221" s="17" t="s">
        <v>1479</v>
      </c>
      <c r="H221" s="17" t="s">
        <v>1480</v>
      </c>
      <c r="I221" s="17" t="s">
        <v>125</v>
      </c>
      <c r="J221" s="22" t="s">
        <v>144</v>
      </c>
      <c r="K221" s="23" t="s">
        <v>108</v>
      </c>
      <c r="L221" s="24"/>
      <c r="M221" s="2">
        <v>7.0</v>
      </c>
      <c r="N221" s="25">
        <v>31.0</v>
      </c>
      <c r="O221" s="25"/>
      <c r="P221" s="25"/>
    </row>
    <row r="222">
      <c r="A222" s="16">
        <v>220.0</v>
      </c>
      <c r="B222" s="27" t="s">
        <v>658</v>
      </c>
      <c r="C222" s="18">
        <v>28.0</v>
      </c>
      <c r="D222" s="19" t="s">
        <v>1596</v>
      </c>
      <c r="E222" s="20" t="s">
        <v>91</v>
      </c>
      <c r="F222" s="27" t="s">
        <v>1026</v>
      </c>
      <c r="G222" s="17" t="s">
        <v>123</v>
      </c>
      <c r="H222" s="17" t="s">
        <v>1631</v>
      </c>
      <c r="I222" s="17" t="s">
        <v>125</v>
      </c>
      <c r="J222" s="22" t="s">
        <v>144</v>
      </c>
      <c r="K222" s="23" t="s">
        <v>108</v>
      </c>
      <c r="L222" s="24"/>
      <c r="M222" s="2">
        <v>7.0</v>
      </c>
      <c r="N222" s="25">
        <v>31.0</v>
      </c>
      <c r="O222" s="25"/>
      <c r="P222" s="25"/>
    </row>
    <row r="223">
      <c r="A223" s="16">
        <v>221.0</v>
      </c>
      <c r="B223" s="27" t="s">
        <v>658</v>
      </c>
      <c r="C223" s="18">
        <v>29.0</v>
      </c>
      <c r="D223" s="19" t="s">
        <v>1596</v>
      </c>
      <c r="E223" s="20" t="s">
        <v>91</v>
      </c>
      <c r="F223" s="27" t="s">
        <v>890</v>
      </c>
      <c r="G223" s="17" t="s">
        <v>892</v>
      </c>
      <c r="H223" s="17" t="s">
        <v>894</v>
      </c>
      <c r="I223" s="17" t="s">
        <v>125</v>
      </c>
      <c r="J223" s="22" t="s">
        <v>144</v>
      </c>
      <c r="K223" s="23" t="s">
        <v>108</v>
      </c>
      <c r="L223" s="24"/>
      <c r="M223" s="2">
        <v>7.0</v>
      </c>
      <c r="N223" s="25">
        <v>31.0</v>
      </c>
      <c r="O223" s="25"/>
      <c r="P223" s="25"/>
    </row>
    <row r="224">
      <c r="A224" s="16">
        <v>222.0</v>
      </c>
      <c r="B224" s="17" t="s">
        <v>658</v>
      </c>
      <c r="C224" s="18">
        <v>30.0</v>
      </c>
      <c r="D224" s="19" t="s">
        <v>1596</v>
      </c>
      <c r="E224" s="20" t="s">
        <v>91</v>
      </c>
      <c r="F224" s="17" t="s">
        <v>408</v>
      </c>
      <c r="G224" s="17" t="s">
        <v>1558</v>
      </c>
      <c r="H224" s="17" t="s">
        <v>1559</v>
      </c>
      <c r="I224" s="17" t="s">
        <v>125</v>
      </c>
      <c r="J224" s="22" t="s">
        <v>144</v>
      </c>
      <c r="K224" s="23" t="s">
        <v>108</v>
      </c>
      <c r="L224" s="24" t="s">
        <v>1243</v>
      </c>
      <c r="M224" s="2">
        <v>7.0</v>
      </c>
      <c r="N224" s="25">
        <v>36.0</v>
      </c>
      <c r="O224" s="25"/>
      <c r="P224" s="25"/>
    </row>
    <row r="225">
      <c r="A225" s="16">
        <v>223.0</v>
      </c>
      <c r="B225" s="17" t="s">
        <v>429</v>
      </c>
      <c r="C225" s="18">
        <v>1.0</v>
      </c>
      <c r="D225" s="19" t="s">
        <v>1632</v>
      </c>
      <c r="E225" s="20" t="s">
        <v>91</v>
      </c>
      <c r="F225" s="17" t="s">
        <v>829</v>
      </c>
      <c r="G225" s="17" t="s">
        <v>1409</v>
      </c>
      <c r="H225" s="17" t="s">
        <v>1633</v>
      </c>
      <c r="I225" s="17" t="s">
        <v>125</v>
      </c>
      <c r="J225" s="22" t="s">
        <v>100</v>
      </c>
      <c r="K225" s="23" t="s">
        <v>108</v>
      </c>
      <c r="L225" s="24" t="s">
        <v>91</v>
      </c>
      <c r="M225" s="2">
        <v>8.0</v>
      </c>
      <c r="N225" s="25">
        <v>11.0</v>
      </c>
      <c r="O225" s="25"/>
      <c r="P225" s="25"/>
    </row>
    <row r="226">
      <c r="A226" s="16">
        <v>224.0</v>
      </c>
      <c r="B226" s="17" t="s">
        <v>429</v>
      </c>
      <c r="C226" s="18">
        <v>2.0</v>
      </c>
      <c r="D226" s="19" t="s">
        <v>1506</v>
      </c>
      <c r="E226" s="20" t="s">
        <v>91</v>
      </c>
      <c r="F226" s="17" t="s">
        <v>826</v>
      </c>
      <c r="G226" s="17" t="s">
        <v>1635</v>
      </c>
      <c r="H226" s="17" t="s">
        <v>1636</v>
      </c>
      <c r="I226" s="17" t="s">
        <v>125</v>
      </c>
      <c r="J226" s="22" t="s">
        <v>100</v>
      </c>
      <c r="K226" s="23" t="s">
        <v>108</v>
      </c>
      <c r="L226" s="24" t="s">
        <v>91</v>
      </c>
      <c r="M226" s="2">
        <v>8.0</v>
      </c>
      <c r="N226" s="25">
        <v>11.0</v>
      </c>
      <c r="O226" s="25"/>
      <c r="P226" s="25"/>
    </row>
    <row r="227">
      <c r="A227" s="16">
        <v>225.0</v>
      </c>
      <c r="B227" s="17" t="s">
        <v>429</v>
      </c>
      <c r="C227" s="18">
        <v>3.0</v>
      </c>
      <c r="D227" s="19" t="s">
        <v>1506</v>
      </c>
      <c r="E227" s="20" t="s">
        <v>91</v>
      </c>
      <c r="F227" s="17" t="s">
        <v>139</v>
      </c>
      <c r="G227" s="17" t="s">
        <v>1638</v>
      </c>
      <c r="H227" s="17" t="s">
        <v>1639</v>
      </c>
      <c r="I227" s="17" t="s">
        <v>125</v>
      </c>
      <c r="J227" s="22" t="s">
        <v>100</v>
      </c>
      <c r="K227" s="23" t="s">
        <v>108</v>
      </c>
      <c r="L227" s="24" t="s">
        <v>91</v>
      </c>
      <c r="M227" s="2">
        <v>8.0</v>
      </c>
      <c r="N227" s="25">
        <v>11.0</v>
      </c>
      <c r="O227" s="25"/>
      <c r="P227" s="25"/>
    </row>
    <row r="228">
      <c r="A228" s="16">
        <v>226.0</v>
      </c>
      <c r="B228" s="17" t="s">
        <v>429</v>
      </c>
      <c r="C228" s="18">
        <v>4.0</v>
      </c>
      <c r="D228" s="19" t="s">
        <v>1506</v>
      </c>
      <c r="E228" s="20" t="s">
        <v>91</v>
      </c>
      <c r="F228" s="17" t="s">
        <v>404</v>
      </c>
      <c r="G228" s="17" t="s">
        <v>1640</v>
      </c>
      <c r="H228" s="17" t="s">
        <v>1641</v>
      </c>
      <c r="I228" s="17" t="s">
        <v>125</v>
      </c>
      <c r="J228" s="22" t="s">
        <v>135</v>
      </c>
      <c r="K228" s="23" t="s">
        <v>108</v>
      </c>
      <c r="L228" s="24" t="s">
        <v>1010</v>
      </c>
      <c r="M228" s="2">
        <v>8.0</v>
      </c>
      <c r="N228" s="25">
        <v>26.0</v>
      </c>
      <c r="O228" s="25"/>
      <c r="P228" s="25"/>
    </row>
    <row r="229">
      <c r="A229" s="16">
        <v>227.0</v>
      </c>
      <c r="B229" s="17" t="s">
        <v>429</v>
      </c>
      <c r="C229" s="18">
        <v>5.0</v>
      </c>
      <c r="D229" s="19" t="s">
        <v>1632</v>
      </c>
      <c r="E229" s="20" t="s">
        <v>91</v>
      </c>
      <c r="F229" s="17" t="s">
        <v>145</v>
      </c>
      <c r="G229" s="17" t="s">
        <v>1642</v>
      </c>
      <c r="H229" s="17" t="s">
        <v>1643</v>
      </c>
      <c r="I229" s="17" t="s">
        <v>125</v>
      </c>
      <c r="J229" s="22" t="s">
        <v>144</v>
      </c>
      <c r="K229" s="23" t="s">
        <v>108</v>
      </c>
      <c r="L229" s="24" t="s">
        <v>91</v>
      </c>
      <c r="M229" s="2">
        <v>8.0</v>
      </c>
      <c r="N229" s="25">
        <v>31.0</v>
      </c>
      <c r="O229" s="25"/>
      <c r="P229" s="25"/>
    </row>
    <row r="230">
      <c r="A230" s="16">
        <v>228.0</v>
      </c>
      <c r="B230" s="17" t="s">
        <v>429</v>
      </c>
      <c r="C230" s="18">
        <v>6.0</v>
      </c>
      <c r="D230" s="19" t="s">
        <v>1632</v>
      </c>
      <c r="E230" s="20" t="s">
        <v>91</v>
      </c>
      <c r="F230" s="17" t="s">
        <v>496</v>
      </c>
      <c r="G230" s="17" t="s">
        <v>1644</v>
      </c>
      <c r="H230" s="17" t="s">
        <v>1645</v>
      </c>
      <c r="I230" s="17" t="s">
        <v>125</v>
      </c>
      <c r="J230" s="22" t="s">
        <v>144</v>
      </c>
      <c r="K230" s="23" t="s">
        <v>108</v>
      </c>
      <c r="L230" s="24" t="s">
        <v>91</v>
      </c>
      <c r="M230" s="2">
        <v>8.0</v>
      </c>
      <c r="N230" s="25">
        <v>31.0</v>
      </c>
      <c r="O230" s="25"/>
      <c r="P230" s="25"/>
    </row>
    <row r="231">
      <c r="A231" s="16">
        <v>229.0</v>
      </c>
      <c r="B231" s="17" t="s">
        <v>429</v>
      </c>
      <c r="C231" s="18">
        <v>7.0</v>
      </c>
      <c r="D231" s="19" t="s">
        <v>1632</v>
      </c>
      <c r="E231" s="20" t="s">
        <v>91</v>
      </c>
      <c r="F231" s="17" t="s">
        <v>1284</v>
      </c>
      <c r="G231" s="17" t="s">
        <v>1646</v>
      </c>
      <c r="H231" s="17" t="s">
        <v>1647</v>
      </c>
      <c r="I231" s="17" t="s">
        <v>125</v>
      </c>
      <c r="J231" s="22" t="s">
        <v>144</v>
      </c>
      <c r="K231" s="23" t="s">
        <v>108</v>
      </c>
      <c r="L231" s="24" t="s">
        <v>91</v>
      </c>
      <c r="M231" s="2">
        <v>8.0</v>
      </c>
      <c r="N231" s="25">
        <v>31.0</v>
      </c>
      <c r="O231" s="25"/>
      <c r="P231" s="25"/>
    </row>
    <row r="232">
      <c r="A232" s="16">
        <v>230.0</v>
      </c>
      <c r="B232" s="17" t="s">
        <v>429</v>
      </c>
      <c r="C232" s="18">
        <v>8.0</v>
      </c>
      <c r="D232" s="19" t="s">
        <v>1632</v>
      </c>
      <c r="E232" s="20" t="s">
        <v>91</v>
      </c>
      <c r="F232" s="17" t="s">
        <v>927</v>
      </c>
      <c r="G232" s="17" t="s">
        <v>1648</v>
      </c>
      <c r="H232" s="17" t="s">
        <v>1649</v>
      </c>
      <c r="I232" s="17" t="s">
        <v>125</v>
      </c>
      <c r="J232" s="22" t="s">
        <v>144</v>
      </c>
      <c r="K232" s="23" t="s">
        <v>108</v>
      </c>
      <c r="L232" s="24" t="s">
        <v>91</v>
      </c>
      <c r="M232" s="2">
        <v>8.0</v>
      </c>
      <c r="N232" s="25">
        <v>31.0</v>
      </c>
      <c r="O232" s="25"/>
      <c r="P232" s="25"/>
    </row>
    <row r="233">
      <c r="A233" s="16">
        <v>231.0</v>
      </c>
      <c r="B233" s="17" t="s">
        <v>429</v>
      </c>
      <c r="C233" s="18">
        <v>9.0</v>
      </c>
      <c r="D233" s="19" t="s">
        <v>1632</v>
      </c>
      <c r="E233" s="20" t="s">
        <v>91</v>
      </c>
      <c r="F233" s="17" t="s">
        <v>842</v>
      </c>
      <c r="G233" s="17" t="s">
        <v>1578</v>
      </c>
      <c r="H233" s="17" t="s">
        <v>1650</v>
      </c>
      <c r="I233" s="17" t="s">
        <v>125</v>
      </c>
      <c r="J233" s="22" t="s">
        <v>144</v>
      </c>
      <c r="K233" s="23" t="s">
        <v>108</v>
      </c>
      <c r="L233" s="24" t="s">
        <v>91</v>
      </c>
      <c r="M233" s="2">
        <v>8.0</v>
      </c>
      <c r="N233" s="25">
        <v>31.0</v>
      </c>
      <c r="O233" s="25"/>
      <c r="P233" s="25"/>
    </row>
    <row r="234">
      <c r="A234" s="16">
        <v>232.0</v>
      </c>
      <c r="B234" s="17" t="s">
        <v>429</v>
      </c>
      <c r="C234" s="18">
        <v>10.0</v>
      </c>
      <c r="D234" s="19" t="s">
        <v>1632</v>
      </c>
      <c r="E234" s="20" t="s">
        <v>91</v>
      </c>
      <c r="F234" s="17" t="s">
        <v>436</v>
      </c>
      <c r="G234" s="17" t="s">
        <v>1651</v>
      </c>
      <c r="H234" s="17" t="s">
        <v>1652</v>
      </c>
      <c r="I234" s="17" t="s">
        <v>125</v>
      </c>
      <c r="J234" s="22" t="s">
        <v>144</v>
      </c>
      <c r="K234" s="23" t="s">
        <v>108</v>
      </c>
      <c r="L234" s="24" t="s">
        <v>91</v>
      </c>
      <c r="M234" s="2">
        <v>8.0</v>
      </c>
      <c r="N234" s="25">
        <v>31.0</v>
      </c>
      <c r="O234" s="25"/>
      <c r="P234" s="25"/>
    </row>
    <row r="235">
      <c r="A235" s="16">
        <v>233.0</v>
      </c>
      <c r="B235" s="17" t="s">
        <v>429</v>
      </c>
      <c r="C235" s="18">
        <v>11.0</v>
      </c>
      <c r="D235" s="19" t="s">
        <v>1632</v>
      </c>
      <c r="E235" s="20" t="s">
        <v>91</v>
      </c>
      <c r="F235" s="17" t="s">
        <v>1161</v>
      </c>
      <c r="G235" s="17" t="s">
        <v>1653</v>
      </c>
      <c r="H235" s="17" t="s">
        <v>1654</v>
      </c>
      <c r="I235" s="17" t="s">
        <v>125</v>
      </c>
      <c r="J235" s="22" t="s">
        <v>144</v>
      </c>
      <c r="K235" s="23" t="s">
        <v>108</v>
      </c>
      <c r="L235" s="24" t="s">
        <v>91</v>
      </c>
      <c r="M235" s="2">
        <v>8.0</v>
      </c>
      <c r="N235" s="25">
        <v>31.0</v>
      </c>
      <c r="O235" s="25"/>
      <c r="P235" s="25"/>
    </row>
    <row r="236">
      <c r="A236" s="16">
        <v>234.0</v>
      </c>
      <c r="B236" s="17" t="s">
        <v>429</v>
      </c>
      <c r="C236" s="18">
        <v>12.0</v>
      </c>
      <c r="D236" s="19" t="s">
        <v>1632</v>
      </c>
      <c r="E236" s="20" t="s">
        <v>91</v>
      </c>
      <c r="F236" s="17" t="s">
        <v>1285</v>
      </c>
      <c r="G236" s="17" t="s">
        <v>1655</v>
      </c>
      <c r="H236" s="17" t="s">
        <v>1656</v>
      </c>
      <c r="I236" s="17" t="s">
        <v>125</v>
      </c>
      <c r="J236" s="22" t="s">
        <v>144</v>
      </c>
      <c r="K236" s="23" t="s">
        <v>108</v>
      </c>
      <c r="L236" s="24" t="s">
        <v>91</v>
      </c>
      <c r="M236" s="2">
        <v>8.0</v>
      </c>
      <c r="N236" s="25">
        <v>31.0</v>
      </c>
      <c r="O236" s="25"/>
      <c r="P236" s="25"/>
    </row>
    <row r="237">
      <c r="A237" s="16">
        <v>235.0</v>
      </c>
      <c r="B237" s="17" t="s">
        <v>429</v>
      </c>
      <c r="C237" s="18">
        <v>13.0</v>
      </c>
      <c r="D237" s="19" t="s">
        <v>1632</v>
      </c>
      <c r="E237" s="20" t="s">
        <v>91</v>
      </c>
      <c r="F237" s="17" t="s">
        <v>938</v>
      </c>
      <c r="G237" s="17" t="s">
        <v>1657</v>
      </c>
      <c r="H237" s="17" t="s">
        <v>1658</v>
      </c>
      <c r="I237" s="17" t="s">
        <v>125</v>
      </c>
      <c r="J237" s="22" t="s">
        <v>144</v>
      </c>
      <c r="K237" s="23" t="s">
        <v>108</v>
      </c>
      <c r="L237" s="24" t="s">
        <v>91</v>
      </c>
      <c r="M237" s="2">
        <v>8.0</v>
      </c>
      <c r="N237" s="25">
        <v>31.0</v>
      </c>
      <c r="O237" s="25"/>
      <c r="P237" s="25"/>
    </row>
    <row r="238">
      <c r="A238" s="16">
        <v>236.0</v>
      </c>
      <c r="B238" s="17" t="s">
        <v>429</v>
      </c>
      <c r="C238" s="18">
        <v>14.0</v>
      </c>
      <c r="D238" s="19" t="s">
        <v>1506</v>
      </c>
      <c r="E238" s="20" t="s">
        <v>91</v>
      </c>
      <c r="F238" s="17" t="s">
        <v>1024</v>
      </c>
      <c r="G238" s="17" t="s">
        <v>1464</v>
      </c>
      <c r="H238" s="17" t="s">
        <v>1659</v>
      </c>
      <c r="I238" s="17" t="s">
        <v>125</v>
      </c>
      <c r="J238" s="22" t="s">
        <v>144</v>
      </c>
      <c r="K238" s="23" t="s">
        <v>108</v>
      </c>
      <c r="L238" s="24" t="s">
        <v>91</v>
      </c>
      <c r="M238" s="2">
        <v>8.0</v>
      </c>
      <c r="N238" s="25">
        <v>31.0</v>
      </c>
      <c r="O238" s="25"/>
      <c r="P238" s="25"/>
    </row>
    <row r="239">
      <c r="A239" s="16">
        <v>237.0</v>
      </c>
      <c r="B239" s="17" t="s">
        <v>429</v>
      </c>
      <c r="C239" s="18">
        <v>15.0</v>
      </c>
      <c r="D239" s="19" t="s">
        <v>1506</v>
      </c>
      <c r="E239" s="20" t="s">
        <v>91</v>
      </c>
      <c r="F239" s="17" t="s">
        <v>127</v>
      </c>
      <c r="G239" s="17" t="s">
        <v>1660</v>
      </c>
      <c r="H239" s="17" t="s">
        <v>1661</v>
      </c>
      <c r="I239" s="17" t="s">
        <v>125</v>
      </c>
      <c r="J239" s="22" t="s">
        <v>144</v>
      </c>
      <c r="K239" s="23" t="s">
        <v>108</v>
      </c>
      <c r="L239" s="24" t="s">
        <v>91</v>
      </c>
      <c r="M239" s="2">
        <v>8.0</v>
      </c>
      <c r="N239" s="25">
        <v>31.0</v>
      </c>
      <c r="O239" s="25"/>
      <c r="P239" s="25"/>
    </row>
    <row r="240">
      <c r="A240" s="16">
        <v>238.0</v>
      </c>
      <c r="B240" s="17" t="s">
        <v>429</v>
      </c>
      <c r="C240" s="18">
        <v>16.0</v>
      </c>
      <c r="D240" s="19" t="s">
        <v>1506</v>
      </c>
      <c r="E240" s="20" t="s">
        <v>91</v>
      </c>
      <c r="F240" s="17" t="s">
        <v>444</v>
      </c>
      <c r="G240" s="17" t="s">
        <v>1663</v>
      </c>
      <c r="H240" s="17" t="s">
        <v>1664</v>
      </c>
      <c r="I240" s="17" t="s">
        <v>125</v>
      </c>
      <c r="J240" s="22" t="s">
        <v>144</v>
      </c>
      <c r="K240" s="23" t="s">
        <v>108</v>
      </c>
      <c r="L240" s="24" t="s">
        <v>91</v>
      </c>
      <c r="M240" s="2">
        <v>8.0</v>
      </c>
      <c r="N240" s="25">
        <v>31.0</v>
      </c>
      <c r="O240" s="25"/>
      <c r="P240" s="25"/>
    </row>
    <row r="241">
      <c r="A241" s="16">
        <v>239.0</v>
      </c>
      <c r="B241" s="17" t="s">
        <v>429</v>
      </c>
      <c r="C241" s="18">
        <v>17.0</v>
      </c>
      <c r="D241" s="19" t="s">
        <v>1506</v>
      </c>
      <c r="E241" s="20" t="s">
        <v>91</v>
      </c>
      <c r="F241" s="17" t="s">
        <v>515</v>
      </c>
      <c r="G241" s="17" t="s">
        <v>1665</v>
      </c>
      <c r="H241" s="17" t="s">
        <v>1666</v>
      </c>
      <c r="I241" s="17" t="s">
        <v>125</v>
      </c>
      <c r="J241" s="22" t="s">
        <v>144</v>
      </c>
      <c r="K241" s="23" t="s">
        <v>108</v>
      </c>
      <c r="L241" s="24" t="s">
        <v>91</v>
      </c>
      <c r="M241" s="2">
        <v>8.0</v>
      </c>
      <c r="N241" s="25">
        <v>31.0</v>
      </c>
      <c r="O241" s="25"/>
      <c r="P241" s="25"/>
    </row>
    <row r="242">
      <c r="A242" s="16">
        <v>240.0</v>
      </c>
      <c r="B242" s="17" t="s">
        <v>429</v>
      </c>
      <c r="C242" s="18">
        <v>18.0</v>
      </c>
      <c r="D242" s="19" t="s">
        <v>1506</v>
      </c>
      <c r="E242" s="20" t="s">
        <v>91</v>
      </c>
      <c r="F242" s="17" t="s">
        <v>934</v>
      </c>
      <c r="G242" s="17" t="s">
        <v>1667</v>
      </c>
      <c r="H242" s="17" t="s">
        <v>1668</v>
      </c>
      <c r="I242" s="17" t="s">
        <v>125</v>
      </c>
      <c r="J242" s="22" t="s">
        <v>144</v>
      </c>
      <c r="K242" s="23" t="s">
        <v>108</v>
      </c>
      <c r="L242" s="24" t="s">
        <v>91</v>
      </c>
      <c r="M242" s="2">
        <v>8.0</v>
      </c>
      <c r="N242" s="25">
        <v>31.0</v>
      </c>
      <c r="O242" s="25"/>
      <c r="P242" s="25"/>
    </row>
    <row r="243">
      <c r="A243" s="16">
        <v>241.0</v>
      </c>
      <c r="B243" s="17" t="s">
        <v>429</v>
      </c>
      <c r="C243" s="18">
        <v>19.0</v>
      </c>
      <c r="D243" s="19" t="s">
        <v>1506</v>
      </c>
      <c r="E243" s="20" t="s">
        <v>91</v>
      </c>
      <c r="F243" s="17" t="s">
        <v>1286</v>
      </c>
      <c r="G243" s="17" t="s">
        <v>1669</v>
      </c>
      <c r="H243" s="17" t="s">
        <v>1670</v>
      </c>
      <c r="I243" s="17" t="s">
        <v>125</v>
      </c>
      <c r="J243" s="22" t="s">
        <v>144</v>
      </c>
      <c r="K243" s="23" t="s">
        <v>108</v>
      </c>
      <c r="L243" s="24" t="s">
        <v>91</v>
      </c>
      <c r="M243" s="2">
        <v>8.0</v>
      </c>
      <c r="N243" s="25">
        <v>31.0</v>
      </c>
      <c r="O243" s="25"/>
      <c r="P243" s="25"/>
    </row>
    <row r="244">
      <c r="A244" s="16">
        <v>242.0</v>
      </c>
      <c r="B244" s="17" t="s">
        <v>429</v>
      </c>
      <c r="C244" s="18">
        <v>20.0</v>
      </c>
      <c r="D244" s="19" t="s">
        <v>1506</v>
      </c>
      <c r="E244" s="20" t="s">
        <v>91</v>
      </c>
      <c r="F244" s="17" t="s">
        <v>1026</v>
      </c>
      <c r="G244" s="17" t="s">
        <v>1672</v>
      </c>
      <c r="H244" s="17" t="s">
        <v>1673</v>
      </c>
      <c r="I244" s="17" t="s">
        <v>125</v>
      </c>
      <c r="J244" s="22" t="s">
        <v>144</v>
      </c>
      <c r="K244" s="23" t="s">
        <v>108</v>
      </c>
      <c r="L244" s="24" t="s">
        <v>91</v>
      </c>
      <c r="M244" s="2">
        <v>8.0</v>
      </c>
      <c r="N244" s="25">
        <v>31.0</v>
      </c>
      <c r="O244" s="25"/>
      <c r="P244" s="25"/>
    </row>
    <row r="245">
      <c r="A245" s="16">
        <v>243.0</v>
      </c>
      <c r="B245" s="17" t="s">
        <v>429</v>
      </c>
      <c r="C245" s="18">
        <v>21.0</v>
      </c>
      <c r="D245" s="19" t="s">
        <v>1506</v>
      </c>
      <c r="E245" s="20" t="s">
        <v>91</v>
      </c>
      <c r="F245" s="17" t="s">
        <v>218</v>
      </c>
      <c r="G245" s="17" t="s">
        <v>1674</v>
      </c>
      <c r="H245" s="17" t="s">
        <v>1675</v>
      </c>
      <c r="I245" s="17" t="s">
        <v>125</v>
      </c>
      <c r="J245" s="22" t="s">
        <v>144</v>
      </c>
      <c r="K245" s="23" t="s">
        <v>108</v>
      </c>
      <c r="L245" s="24" t="s">
        <v>91</v>
      </c>
      <c r="M245" s="2">
        <v>8.0</v>
      </c>
      <c r="N245" s="25">
        <v>31.0</v>
      </c>
      <c r="O245" s="25"/>
      <c r="P245" s="25"/>
    </row>
    <row r="246">
      <c r="A246" s="16">
        <v>244.0</v>
      </c>
      <c r="B246" s="17" t="s">
        <v>429</v>
      </c>
      <c r="C246" s="18">
        <v>22.0</v>
      </c>
      <c r="D246" s="19" t="s">
        <v>1506</v>
      </c>
      <c r="E246" s="20" t="s">
        <v>91</v>
      </c>
      <c r="F246" s="17" t="s">
        <v>259</v>
      </c>
      <c r="G246" s="17" t="s">
        <v>1676</v>
      </c>
      <c r="H246" s="17" t="s">
        <v>1677</v>
      </c>
      <c r="I246" s="17" t="s">
        <v>125</v>
      </c>
      <c r="J246" s="22" t="s">
        <v>144</v>
      </c>
      <c r="K246" s="23" t="s">
        <v>108</v>
      </c>
      <c r="L246" s="24" t="s">
        <v>91</v>
      </c>
      <c r="M246" s="2">
        <v>8.0</v>
      </c>
      <c r="N246" s="25">
        <v>31.0</v>
      </c>
      <c r="O246" s="25"/>
      <c r="P246" s="25"/>
    </row>
    <row r="247">
      <c r="A247" s="16">
        <v>245.0</v>
      </c>
      <c r="B247" s="17" t="s">
        <v>429</v>
      </c>
      <c r="C247" s="18">
        <v>23.0</v>
      </c>
      <c r="D247" s="19" t="s">
        <v>1506</v>
      </c>
      <c r="E247" s="20" t="s">
        <v>91</v>
      </c>
      <c r="F247" s="17" t="s">
        <v>648</v>
      </c>
      <c r="G247" s="17" t="s">
        <v>1678</v>
      </c>
      <c r="H247" s="17" t="s">
        <v>1679</v>
      </c>
      <c r="I247" s="17" t="s">
        <v>125</v>
      </c>
      <c r="J247" s="22" t="s">
        <v>144</v>
      </c>
      <c r="K247" s="23" t="s">
        <v>108</v>
      </c>
      <c r="L247" s="24" t="s">
        <v>91</v>
      </c>
      <c r="M247" s="2">
        <v>8.0</v>
      </c>
      <c r="N247" s="25">
        <v>31.0</v>
      </c>
      <c r="O247" s="25"/>
      <c r="P247" s="25"/>
    </row>
    <row r="248">
      <c r="A248" s="16">
        <v>246.0</v>
      </c>
      <c r="B248" s="17" t="s">
        <v>429</v>
      </c>
      <c r="C248" s="18">
        <v>24.0</v>
      </c>
      <c r="D248" s="19" t="s">
        <v>1506</v>
      </c>
      <c r="E248" s="20" t="s">
        <v>91</v>
      </c>
      <c r="F248" s="17" t="s">
        <v>652</v>
      </c>
      <c r="G248" s="17" t="s">
        <v>1680</v>
      </c>
      <c r="H248" s="17" t="s">
        <v>1681</v>
      </c>
      <c r="I248" s="17" t="s">
        <v>125</v>
      </c>
      <c r="J248" s="22" t="s">
        <v>144</v>
      </c>
      <c r="K248" s="23" t="s">
        <v>108</v>
      </c>
      <c r="L248" s="24" t="s">
        <v>91</v>
      </c>
      <c r="M248" s="2">
        <v>8.0</v>
      </c>
      <c r="N248" s="25">
        <v>31.0</v>
      </c>
      <c r="O248" s="25"/>
      <c r="P248" s="25"/>
    </row>
    <row r="249">
      <c r="A249" s="16">
        <v>247.0</v>
      </c>
      <c r="B249" s="17" t="s">
        <v>429</v>
      </c>
      <c r="C249" s="18">
        <v>25.0</v>
      </c>
      <c r="D249" s="19" t="s">
        <v>1506</v>
      </c>
      <c r="E249" s="20" t="s">
        <v>91</v>
      </c>
      <c r="F249" s="17" t="s">
        <v>940</v>
      </c>
      <c r="G249" s="17" t="s">
        <v>1682</v>
      </c>
      <c r="H249" s="17" t="s">
        <v>1683</v>
      </c>
      <c r="I249" s="17" t="s">
        <v>125</v>
      </c>
      <c r="J249" s="22" t="s">
        <v>144</v>
      </c>
      <c r="K249" s="23" t="s">
        <v>108</v>
      </c>
      <c r="L249" s="24" t="s">
        <v>91</v>
      </c>
      <c r="M249" s="2">
        <v>8.0</v>
      </c>
      <c r="N249" s="25">
        <v>31.0</v>
      </c>
      <c r="O249" s="25"/>
      <c r="P249" s="25"/>
    </row>
    <row r="250">
      <c r="A250" s="16">
        <v>248.0</v>
      </c>
      <c r="B250" s="27" t="s">
        <v>429</v>
      </c>
      <c r="C250" s="18">
        <v>26.0</v>
      </c>
      <c r="D250" s="19" t="s">
        <v>1506</v>
      </c>
      <c r="E250" s="20" t="s">
        <v>91</v>
      </c>
      <c r="F250" s="27" t="s">
        <v>946</v>
      </c>
      <c r="G250" s="17" t="s">
        <v>1684</v>
      </c>
      <c r="H250" s="17" t="s">
        <v>1685</v>
      </c>
      <c r="I250" s="17" t="s">
        <v>125</v>
      </c>
      <c r="J250" s="22" t="s">
        <v>144</v>
      </c>
      <c r="K250" s="23" t="s">
        <v>108</v>
      </c>
      <c r="L250" s="24"/>
      <c r="M250" s="2">
        <v>8.0</v>
      </c>
      <c r="N250" s="25">
        <v>31.0</v>
      </c>
      <c r="O250" s="25"/>
      <c r="P250" s="25"/>
    </row>
    <row r="251">
      <c r="A251" s="16">
        <v>249.0</v>
      </c>
      <c r="B251" s="27" t="s">
        <v>429</v>
      </c>
      <c r="C251" s="18">
        <v>27.0</v>
      </c>
      <c r="D251" s="19" t="s">
        <v>1506</v>
      </c>
      <c r="E251" s="20" t="s">
        <v>91</v>
      </c>
      <c r="F251" s="27" t="s">
        <v>1250</v>
      </c>
      <c r="G251" s="17" t="s">
        <v>1686</v>
      </c>
      <c r="H251" s="17" t="s">
        <v>1687</v>
      </c>
      <c r="I251" s="17" t="s">
        <v>125</v>
      </c>
      <c r="J251" s="22" t="s">
        <v>144</v>
      </c>
      <c r="K251" s="23" t="s">
        <v>108</v>
      </c>
      <c r="L251" s="24"/>
      <c r="M251" s="2">
        <v>8.0</v>
      </c>
      <c r="N251" s="25">
        <v>31.0</v>
      </c>
      <c r="O251" s="25"/>
      <c r="P251" s="25"/>
    </row>
    <row r="252">
      <c r="A252" s="16">
        <v>250.0</v>
      </c>
      <c r="B252" s="27" t="s">
        <v>429</v>
      </c>
      <c r="C252" s="18">
        <v>28.0</v>
      </c>
      <c r="D252" s="19" t="s">
        <v>1506</v>
      </c>
      <c r="E252" s="20" t="s">
        <v>91</v>
      </c>
      <c r="F252" s="27" t="s">
        <v>1104</v>
      </c>
      <c r="G252" s="17" t="s">
        <v>1688</v>
      </c>
      <c r="H252" s="17" t="s">
        <v>1689</v>
      </c>
      <c r="I252" s="17" t="s">
        <v>125</v>
      </c>
      <c r="J252" s="22" t="s">
        <v>144</v>
      </c>
      <c r="K252" s="23" t="s">
        <v>108</v>
      </c>
      <c r="L252" s="24"/>
      <c r="M252" s="2">
        <v>8.0</v>
      </c>
      <c r="N252" s="25">
        <v>31.0</v>
      </c>
      <c r="O252" s="25"/>
      <c r="P252" s="25"/>
    </row>
    <row r="253">
      <c r="A253" s="16">
        <v>251.0</v>
      </c>
      <c r="B253" s="27" t="s">
        <v>429</v>
      </c>
      <c r="C253" s="18">
        <v>29.0</v>
      </c>
      <c r="D253" s="19" t="s">
        <v>1506</v>
      </c>
      <c r="E253" s="20" t="s">
        <v>91</v>
      </c>
      <c r="F253" s="27" t="s">
        <v>1435</v>
      </c>
      <c r="G253" s="17" t="s">
        <v>1691</v>
      </c>
      <c r="H253" s="17" t="s">
        <v>1692</v>
      </c>
      <c r="I253" s="17" t="s">
        <v>125</v>
      </c>
      <c r="J253" s="22" t="s">
        <v>144</v>
      </c>
      <c r="K253" s="23" t="s">
        <v>108</v>
      </c>
      <c r="L253" s="24"/>
      <c r="M253" s="2">
        <v>8.0</v>
      </c>
      <c r="N253" s="25">
        <v>31.0</v>
      </c>
      <c r="O253" s="25"/>
      <c r="P253" s="25"/>
    </row>
    <row r="254">
      <c r="A254" s="16">
        <v>252.0</v>
      </c>
      <c r="B254" s="17" t="s">
        <v>127</v>
      </c>
      <c r="C254" s="18">
        <v>1.0</v>
      </c>
      <c r="D254" s="19" t="s">
        <v>1561</v>
      </c>
      <c r="E254" s="20" t="s">
        <v>91</v>
      </c>
      <c r="F254" s="17" t="s">
        <v>247</v>
      </c>
      <c r="G254" s="17" t="s">
        <v>1693</v>
      </c>
      <c r="H254" s="17" t="s">
        <v>1694</v>
      </c>
      <c r="I254" s="17" t="s">
        <v>125</v>
      </c>
      <c r="J254" s="22" t="s">
        <v>100</v>
      </c>
      <c r="K254" s="23" t="s">
        <v>108</v>
      </c>
      <c r="L254" s="24" t="s">
        <v>91</v>
      </c>
      <c r="M254" s="2">
        <v>9.0</v>
      </c>
      <c r="N254" s="25">
        <v>11.0</v>
      </c>
      <c r="O254" s="25"/>
      <c r="P254" s="25"/>
    </row>
    <row r="255">
      <c r="A255" s="16">
        <v>253.0</v>
      </c>
      <c r="B255" s="17" t="s">
        <v>127</v>
      </c>
      <c r="C255" s="18">
        <v>2.0</v>
      </c>
      <c r="D255" s="19" t="s">
        <v>1561</v>
      </c>
      <c r="E255" s="20" t="s">
        <v>91</v>
      </c>
      <c r="F255" s="17" t="s">
        <v>710</v>
      </c>
      <c r="G255" s="17" t="s">
        <v>1319</v>
      </c>
      <c r="H255" s="17" t="s">
        <v>1321</v>
      </c>
      <c r="I255" s="17" t="s">
        <v>125</v>
      </c>
      <c r="J255" s="22" t="s">
        <v>100</v>
      </c>
      <c r="K255" s="23" t="s">
        <v>108</v>
      </c>
      <c r="L255" s="24" t="s">
        <v>91</v>
      </c>
      <c r="M255" s="2">
        <v>9.0</v>
      </c>
      <c r="N255" s="25">
        <v>11.0</v>
      </c>
      <c r="O255" s="25"/>
      <c r="P255" s="25"/>
    </row>
    <row r="256">
      <c r="A256" s="16">
        <v>254.0</v>
      </c>
      <c r="B256" s="17" t="s">
        <v>127</v>
      </c>
      <c r="C256" s="18">
        <v>3.0</v>
      </c>
      <c r="D256" s="19" t="s">
        <v>1695</v>
      </c>
      <c r="E256" s="20" t="s">
        <v>91</v>
      </c>
      <c r="F256" s="17" t="s">
        <v>1156</v>
      </c>
      <c r="G256" s="17" t="s">
        <v>1696</v>
      </c>
      <c r="H256" s="17" t="s">
        <v>1697</v>
      </c>
      <c r="I256" s="17" t="s">
        <v>125</v>
      </c>
      <c r="J256" s="22" t="s">
        <v>135</v>
      </c>
      <c r="K256" s="23" t="s">
        <v>108</v>
      </c>
      <c r="L256" s="24" t="s">
        <v>91</v>
      </c>
      <c r="M256" s="2">
        <v>9.0</v>
      </c>
      <c r="N256" s="25">
        <v>21.0</v>
      </c>
      <c r="O256" s="25"/>
      <c r="P256" s="25"/>
    </row>
    <row r="257">
      <c r="A257" s="16">
        <v>255.0</v>
      </c>
      <c r="B257" s="17" t="s">
        <v>127</v>
      </c>
      <c r="C257" s="18">
        <v>4.0</v>
      </c>
      <c r="D257" s="19" t="s">
        <v>1695</v>
      </c>
      <c r="E257" s="20" t="s">
        <v>91</v>
      </c>
      <c r="F257" s="17" t="s">
        <v>901</v>
      </c>
      <c r="G257" s="17" t="s">
        <v>1483</v>
      </c>
      <c r="H257" s="17" t="s">
        <v>1698</v>
      </c>
      <c r="I257" s="17" t="s">
        <v>125</v>
      </c>
      <c r="J257" s="22" t="s">
        <v>135</v>
      </c>
      <c r="K257" s="23" t="s">
        <v>108</v>
      </c>
      <c r="L257" s="24" t="s">
        <v>91</v>
      </c>
      <c r="M257" s="2">
        <v>9.0</v>
      </c>
      <c r="N257" s="25">
        <v>21.0</v>
      </c>
      <c r="O257" s="25"/>
      <c r="P257" s="25"/>
    </row>
    <row r="258">
      <c r="A258" s="16">
        <v>256.0</v>
      </c>
      <c r="B258" s="17" t="s">
        <v>127</v>
      </c>
      <c r="C258" s="18">
        <v>5.0</v>
      </c>
      <c r="D258" s="19" t="s">
        <v>1561</v>
      </c>
      <c r="E258" s="20" t="s">
        <v>91</v>
      </c>
      <c r="F258" s="17" t="s">
        <v>140</v>
      </c>
      <c r="G258" s="17" t="s">
        <v>1699</v>
      </c>
      <c r="H258" s="17" t="s">
        <v>1700</v>
      </c>
      <c r="I258" s="17" t="s">
        <v>125</v>
      </c>
      <c r="J258" s="22" t="s">
        <v>144</v>
      </c>
      <c r="K258" s="23" t="s">
        <v>108</v>
      </c>
      <c r="L258" s="24" t="s">
        <v>91</v>
      </c>
      <c r="M258" s="2">
        <v>9.0</v>
      </c>
      <c r="N258" s="25">
        <v>31.0</v>
      </c>
      <c r="O258" s="25"/>
      <c r="P258" s="25"/>
    </row>
    <row r="259">
      <c r="A259" s="16">
        <v>257.0</v>
      </c>
      <c r="B259" s="17" t="s">
        <v>127</v>
      </c>
      <c r="C259" s="18">
        <v>6.0</v>
      </c>
      <c r="D259" s="19" t="s">
        <v>1561</v>
      </c>
      <c r="E259" s="20" t="s">
        <v>91</v>
      </c>
      <c r="F259" s="17" t="s">
        <v>136</v>
      </c>
      <c r="G259" s="17" t="s">
        <v>1360</v>
      </c>
      <c r="H259" s="17" t="s">
        <v>1701</v>
      </c>
      <c r="I259" s="17" t="s">
        <v>125</v>
      </c>
      <c r="J259" s="22" t="s">
        <v>144</v>
      </c>
      <c r="K259" s="23" t="s">
        <v>108</v>
      </c>
      <c r="L259" s="24" t="s">
        <v>91</v>
      </c>
      <c r="M259" s="2">
        <v>9.0</v>
      </c>
      <c r="N259" s="25">
        <v>31.0</v>
      </c>
      <c r="O259" s="25"/>
      <c r="P259" s="25"/>
    </row>
    <row r="260">
      <c r="A260" s="16">
        <v>258.0</v>
      </c>
      <c r="B260" s="17" t="s">
        <v>127</v>
      </c>
      <c r="C260" s="18">
        <v>7.0</v>
      </c>
      <c r="D260" s="19" t="s">
        <v>1561</v>
      </c>
      <c r="E260" s="20" t="s">
        <v>91</v>
      </c>
      <c r="F260" s="17" t="s">
        <v>836</v>
      </c>
      <c r="G260" s="17" t="s">
        <v>1281</v>
      </c>
      <c r="H260" s="17" t="s">
        <v>1702</v>
      </c>
      <c r="I260" s="17" t="s">
        <v>125</v>
      </c>
      <c r="J260" s="22" t="s">
        <v>144</v>
      </c>
      <c r="K260" s="23" t="s">
        <v>108</v>
      </c>
      <c r="L260" s="24" t="s">
        <v>91</v>
      </c>
      <c r="M260" s="2">
        <v>9.0</v>
      </c>
      <c r="N260" s="25">
        <v>31.0</v>
      </c>
      <c r="O260" s="25"/>
      <c r="P260" s="25"/>
    </row>
    <row r="261">
      <c r="A261" s="16">
        <v>259.0</v>
      </c>
      <c r="B261" s="17" t="s">
        <v>127</v>
      </c>
      <c r="C261" s="18">
        <v>8.0</v>
      </c>
      <c r="D261" s="19" t="s">
        <v>1561</v>
      </c>
      <c r="E261" s="20" t="s">
        <v>91</v>
      </c>
      <c r="F261" s="17" t="s">
        <v>139</v>
      </c>
      <c r="G261" s="17" t="s">
        <v>1638</v>
      </c>
      <c r="H261" s="17" t="s">
        <v>1703</v>
      </c>
      <c r="I261" s="17" t="s">
        <v>125</v>
      </c>
      <c r="J261" s="22" t="s">
        <v>144</v>
      </c>
      <c r="K261" s="23" t="s">
        <v>108</v>
      </c>
      <c r="L261" s="24" t="s">
        <v>91</v>
      </c>
      <c r="M261" s="2">
        <v>9.0</v>
      </c>
      <c r="N261" s="25">
        <v>31.0</v>
      </c>
      <c r="O261" s="25"/>
      <c r="P261" s="25"/>
    </row>
    <row r="262">
      <c r="A262" s="16">
        <v>260.0</v>
      </c>
      <c r="B262" s="17" t="s">
        <v>127</v>
      </c>
      <c r="C262" s="18">
        <v>9.0</v>
      </c>
      <c r="D262" s="19" t="s">
        <v>1561</v>
      </c>
      <c r="E262" s="20" t="s">
        <v>91</v>
      </c>
      <c r="F262" s="17" t="s">
        <v>829</v>
      </c>
      <c r="G262" s="17" t="s">
        <v>1409</v>
      </c>
      <c r="H262" s="17" t="s">
        <v>1704</v>
      </c>
      <c r="I262" s="17" t="s">
        <v>125</v>
      </c>
      <c r="J262" s="22" t="s">
        <v>144</v>
      </c>
      <c r="K262" s="23" t="s">
        <v>108</v>
      </c>
      <c r="L262" s="24" t="s">
        <v>91</v>
      </c>
      <c r="M262" s="2">
        <v>9.0</v>
      </c>
      <c r="N262" s="25">
        <v>31.0</v>
      </c>
      <c r="O262" s="25"/>
      <c r="P262" s="25"/>
    </row>
    <row r="263">
      <c r="A263" s="16">
        <v>261.0</v>
      </c>
      <c r="B263" s="17" t="s">
        <v>127</v>
      </c>
      <c r="C263" s="18">
        <v>10.0</v>
      </c>
      <c r="D263" s="19" t="s">
        <v>1561</v>
      </c>
      <c r="E263" s="20" t="s">
        <v>91</v>
      </c>
      <c r="F263" s="17" t="s">
        <v>631</v>
      </c>
      <c r="G263" s="17" t="s">
        <v>1189</v>
      </c>
      <c r="H263" s="17" t="s">
        <v>1705</v>
      </c>
      <c r="I263" s="17" t="s">
        <v>125</v>
      </c>
      <c r="J263" s="22" t="s">
        <v>144</v>
      </c>
      <c r="K263" s="23" t="s">
        <v>108</v>
      </c>
      <c r="L263" s="24" t="s">
        <v>91</v>
      </c>
      <c r="M263" s="2">
        <v>9.0</v>
      </c>
      <c r="N263" s="25">
        <v>31.0</v>
      </c>
      <c r="O263" s="25"/>
      <c r="P263" s="25"/>
    </row>
    <row r="264">
      <c r="A264" s="16">
        <v>262.0</v>
      </c>
      <c r="B264" s="17" t="s">
        <v>127</v>
      </c>
      <c r="C264" s="18">
        <v>11.0</v>
      </c>
      <c r="D264" s="19" t="s">
        <v>1561</v>
      </c>
      <c r="E264" s="20" t="s">
        <v>91</v>
      </c>
      <c r="F264" s="17" t="s">
        <v>835</v>
      </c>
      <c r="G264" s="17" t="s">
        <v>1706</v>
      </c>
      <c r="H264" s="17" t="s">
        <v>1707</v>
      </c>
      <c r="I264" s="17" t="s">
        <v>125</v>
      </c>
      <c r="J264" s="22" t="s">
        <v>144</v>
      </c>
      <c r="K264" s="23" t="s">
        <v>108</v>
      </c>
      <c r="L264" s="24" t="s">
        <v>91</v>
      </c>
      <c r="M264" s="2">
        <v>9.0</v>
      </c>
      <c r="N264" s="25">
        <v>31.0</v>
      </c>
      <c r="O264" s="25"/>
      <c r="P264" s="25"/>
    </row>
    <row r="265">
      <c r="A265" s="16">
        <v>263.0</v>
      </c>
      <c r="B265" s="17" t="s">
        <v>127</v>
      </c>
      <c r="C265" s="18">
        <v>12.0</v>
      </c>
      <c r="D265" s="19" t="s">
        <v>1561</v>
      </c>
      <c r="E265" s="20" t="s">
        <v>91</v>
      </c>
      <c r="F265" s="17" t="s">
        <v>388</v>
      </c>
      <c r="G265" s="17" t="s">
        <v>1457</v>
      </c>
      <c r="H265" s="17" t="s">
        <v>1458</v>
      </c>
      <c r="I265" s="17" t="s">
        <v>125</v>
      </c>
      <c r="J265" s="22" t="s">
        <v>144</v>
      </c>
      <c r="K265" s="23" t="s">
        <v>108</v>
      </c>
      <c r="L265" s="24" t="s">
        <v>91</v>
      </c>
      <c r="M265" s="2">
        <v>9.0</v>
      </c>
      <c r="N265" s="25">
        <v>31.0</v>
      </c>
      <c r="O265" s="25"/>
      <c r="P265" s="25"/>
    </row>
    <row r="266">
      <c r="A266" s="16">
        <v>264.0</v>
      </c>
      <c r="B266" s="17" t="s">
        <v>127</v>
      </c>
      <c r="C266" s="18">
        <v>13.0</v>
      </c>
      <c r="D266" s="19" t="s">
        <v>1695</v>
      </c>
      <c r="E266" s="20" t="s">
        <v>91</v>
      </c>
      <c r="F266" s="17" t="s">
        <v>80</v>
      </c>
      <c r="G266" s="17" t="s">
        <v>1708</v>
      </c>
      <c r="H266" s="17" t="s">
        <v>1709</v>
      </c>
      <c r="I266" s="17" t="s">
        <v>125</v>
      </c>
      <c r="J266" s="22" t="s">
        <v>144</v>
      </c>
      <c r="K266" s="23" t="s">
        <v>108</v>
      </c>
      <c r="L266" s="24" t="s">
        <v>91</v>
      </c>
      <c r="M266" s="2">
        <v>9.0</v>
      </c>
      <c r="N266" s="25">
        <v>31.0</v>
      </c>
      <c r="O266" s="25"/>
      <c r="P266" s="25"/>
    </row>
    <row r="267">
      <c r="A267" s="16">
        <v>265.0</v>
      </c>
      <c r="B267" s="17" t="s">
        <v>127</v>
      </c>
      <c r="C267" s="18">
        <v>14.0</v>
      </c>
      <c r="D267" s="19" t="s">
        <v>1695</v>
      </c>
      <c r="E267" s="20" t="s">
        <v>91</v>
      </c>
      <c r="F267" s="17" t="s">
        <v>605</v>
      </c>
      <c r="G267" s="17" t="s">
        <v>1150</v>
      </c>
      <c r="H267" s="17" t="s">
        <v>1152</v>
      </c>
      <c r="I267" s="17" t="s">
        <v>125</v>
      </c>
      <c r="J267" s="22" t="s">
        <v>144</v>
      </c>
      <c r="K267" s="23" t="s">
        <v>108</v>
      </c>
      <c r="L267" s="24" t="s">
        <v>91</v>
      </c>
      <c r="M267" s="2">
        <v>9.0</v>
      </c>
      <c r="N267" s="25">
        <v>31.0</v>
      </c>
      <c r="O267" s="25"/>
      <c r="P267" s="25"/>
    </row>
    <row r="268">
      <c r="A268" s="16">
        <v>266.0</v>
      </c>
      <c r="B268" s="17" t="s">
        <v>127</v>
      </c>
      <c r="C268" s="18">
        <v>15.0</v>
      </c>
      <c r="D268" s="19" t="s">
        <v>1695</v>
      </c>
      <c r="E268" s="20" t="s">
        <v>91</v>
      </c>
      <c r="F268" s="17" t="s">
        <v>461</v>
      </c>
      <c r="G268" s="17" t="s">
        <v>123</v>
      </c>
      <c r="H268" s="17" t="s">
        <v>464</v>
      </c>
      <c r="I268" s="17" t="s">
        <v>125</v>
      </c>
      <c r="J268" s="22" t="s">
        <v>144</v>
      </c>
      <c r="K268" s="23" t="s">
        <v>108</v>
      </c>
      <c r="L268" s="24" t="s">
        <v>91</v>
      </c>
      <c r="M268" s="2">
        <v>9.0</v>
      </c>
      <c r="N268" s="25">
        <v>31.0</v>
      </c>
      <c r="O268" s="25"/>
      <c r="P268" s="25"/>
    </row>
    <row r="269">
      <c r="A269" s="16">
        <v>267.0</v>
      </c>
      <c r="B269" s="17" t="s">
        <v>127</v>
      </c>
      <c r="C269" s="18">
        <v>16.0</v>
      </c>
      <c r="D269" s="19" t="s">
        <v>1695</v>
      </c>
      <c r="E269" s="20" t="s">
        <v>91</v>
      </c>
      <c r="F269" s="17" t="s">
        <v>613</v>
      </c>
      <c r="G269" s="17" t="s">
        <v>1710</v>
      </c>
      <c r="H269" s="17" t="s">
        <v>1711</v>
      </c>
      <c r="I269" s="17" t="s">
        <v>125</v>
      </c>
      <c r="J269" s="22" t="s">
        <v>144</v>
      </c>
      <c r="K269" s="23" t="s">
        <v>108</v>
      </c>
      <c r="L269" s="24" t="s">
        <v>91</v>
      </c>
      <c r="M269" s="2">
        <v>9.0</v>
      </c>
      <c r="N269" s="25">
        <v>31.0</v>
      </c>
      <c r="O269" s="25"/>
      <c r="P269" s="25"/>
    </row>
    <row r="270">
      <c r="A270" s="16">
        <v>268.0</v>
      </c>
      <c r="B270" s="17" t="s">
        <v>127</v>
      </c>
      <c r="C270" s="18">
        <v>17.0</v>
      </c>
      <c r="D270" s="19" t="s">
        <v>1712</v>
      </c>
      <c r="E270" s="20" t="s">
        <v>91</v>
      </c>
      <c r="F270" s="17" t="s">
        <v>432</v>
      </c>
      <c r="G270" s="17" t="s">
        <v>123</v>
      </c>
      <c r="H270" s="17" t="s">
        <v>1713</v>
      </c>
      <c r="I270" s="17" t="s">
        <v>125</v>
      </c>
      <c r="J270" s="22" t="s">
        <v>144</v>
      </c>
      <c r="K270" s="23" t="s">
        <v>108</v>
      </c>
      <c r="L270" s="24" t="s">
        <v>91</v>
      </c>
      <c r="M270" s="2">
        <v>9.0</v>
      </c>
      <c r="N270" s="25">
        <v>31.0</v>
      </c>
      <c r="O270" s="25"/>
      <c r="P270" s="25"/>
    </row>
    <row r="271">
      <c r="A271" s="16">
        <v>269.0</v>
      </c>
      <c r="B271" s="17" t="s">
        <v>127</v>
      </c>
      <c r="C271" s="18">
        <v>18.0</v>
      </c>
      <c r="D271" s="19" t="s">
        <v>1712</v>
      </c>
      <c r="E271" s="20" t="s">
        <v>91</v>
      </c>
      <c r="F271" s="17" t="s">
        <v>658</v>
      </c>
      <c r="G271" s="17" t="s">
        <v>1714</v>
      </c>
      <c r="H271" s="17" t="s">
        <v>1715</v>
      </c>
      <c r="I271" s="17" t="s">
        <v>125</v>
      </c>
      <c r="J271" s="22" t="s">
        <v>144</v>
      </c>
      <c r="K271" s="23" t="s">
        <v>108</v>
      </c>
      <c r="L271" s="24" t="s">
        <v>91</v>
      </c>
      <c r="M271" s="2">
        <v>9.0</v>
      </c>
      <c r="N271" s="25">
        <v>31.0</v>
      </c>
      <c r="O271" s="25"/>
      <c r="P271" s="25"/>
    </row>
    <row r="272">
      <c r="A272" s="16">
        <v>270.0</v>
      </c>
      <c r="B272" s="17" t="s">
        <v>127</v>
      </c>
      <c r="C272" s="18">
        <v>19.0</v>
      </c>
      <c r="D272" s="19" t="s">
        <v>1712</v>
      </c>
      <c r="E272" s="20" t="s">
        <v>91</v>
      </c>
      <c r="F272" s="17" t="s">
        <v>417</v>
      </c>
      <c r="G272" s="17" t="s">
        <v>1716</v>
      </c>
      <c r="H272" s="17" t="s">
        <v>1717</v>
      </c>
      <c r="I272" s="17" t="s">
        <v>125</v>
      </c>
      <c r="J272" s="22" t="s">
        <v>144</v>
      </c>
      <c r="K272" s="23" t="s">
        <v>108</v>
      </c>
      <c r="L272" s="24" t="s">
        <v>91</v>
      </c>
      <c r="M272" s="2">
        <v>9.0</v>
      </c>
      <c r="N272" s="25">
        <v>31.0</v>
      </c>
      <c r="O272" s="25"/>
      <c r="P272" s="25"/>
    </row>
    <row r="273">
      <c r="A273" s="16">
        <v>271.0</v>
      </c>
      <c r="B273" s="17" t="s">
        <v>127</v>
      </c>
      <c r="C273" s="18">
        <v>20.0</v>
      </c>
      <c r="D273" s="19" t="s">
        <v>1712</v>
      </c>
      <c r="E273" s="20" t="s">
        <v>91</v>
      </c>
      <c r="F273" s="17" t="s">
        <v>1027</v>
      </c>
      <c r="G273" s="17" t="s">
        <v>1719</v>
      </c>
      <c r="H273" s="17" t="s">
        <v>1720</v>
      </c>
      <c r="I273" s="17" t="s">
        <v>125</v>
      </c>
      <c r="J273" s="22" t="s">
        <v>144</v>
      </c>
      <c r="K273" s="23" t="s">
        <v>108</v>
      </c>
      <c r="L273" s="24" t="s">
        <v>91</v>
      </c>
      <c r="M273" s="2">
        <v>9.0</v>
      </c>
      <c r="N273" s="25">
        <v>31.0</v>
      </c>
      <c r="O273" s="25"/>
      <c r="P273" s="25"/>
    </row>
    <row r="274">
      <c r="A274" s="16">
        <v>272.0</v>
      </c>
      <c r="B274" s="17" t="s">
        <v>127</v>
      </c>
      <c r="C274" s="18">
        <v>21.0</v>
      </c>
      <c r="D274" s="19" t="s">
        <v>1712</v>
      </c>
      <c r="E274" s="20" t="s">
        <v>91</v>
      </c>
      <c r="F274" s="17" t="s">
        <v>929</v>
      </c>
      <c r="G274" s="17" t="s">
        <v>1721</v>
      </c>
      <c r="H274" s="17" t="s">
        <v>1722</v>
      </c>
      <c r="I274" s="17" t="s">
        <v>125</v>
      </c>
      <c r="J274" s="22" t="s">
        <v>144</v>
      </c>
      <c r="K274" s="23" t="s">
        <v>108</v>
      </c>
      <c r="L274" s="24" t="s">
        <v>91</v>
      </c>
      <c r="M274" s="2">
        <v>9.0</v>
      </c>
      <c r="N274" s="25">
        <v>31.0</v>
      </c>
      <c r="O274" s="25"/>
      <c r="P274" s="25"/>
    </row>
    <row r="275">
      <c r="A275" s="16">
        <v>273.0</v>
      </c>
      <c r="B275" s="17" t="s">
        <v>127</v>
      </c>
      <c r="C275" s="18">
        <v>22.0</v>
      </c>
      <c r="D275" s="19" t="s">
        <v>1712</v>
      </c>
      <c r="E275" s="20" t="s">
        <v>91</v>
      </c>
      <c r="F275" s="17" t="s">
        <v>551</v>
      </c>
      <c r="G275" s="17" t="s">
        <v>1723</v>
      </c>
      <c r="H275" s="17" t="s">
        <v>1724</v>
      </c>
      <c r="I275" s="17" t="s">
        <v>125</v>
      </c>
      <c r="J275" s="22" t="s">
        <v>144</v>
      </c>
      <c r="K275" s="23" t="s">
        <v>108</v>
      </c>
      <c r="L275" s="24" t="s">
        <v>91</v>
      </c>
      <c r="M275" s="2">
        <v>9.0</v>
      </c>
      <c r="N275" s="25">
        <v>31.0</v>
      </c>
      <c r="O275" s="25"/>
      <c r="P275" s="25"/>
    </row>
    <row r="276">
      <c r="A276" s="16">
        <v>274.0</v>
      </c>
      <c r="B276" s="17" t="s">
        <v>914</v>
      </c>
      <c r="C276" s="18">
        <v>1.0</v>
      </c>
      <c r="D276" s="19" t="s">
        <v>1725</v>
      </c>
      <c r="E276" s="20" t="s">
        <v>443</v>
      </c>
      <c r="F276" s="17" t="s">
        <v>1162</v>
      </c>
      <c r="G276" s="17" t="s">
        <v>123</v>
      </c>
      <c r="H276" s="17" t="s">
        <v>1726</v>
      </c>
      <c r="I276" s="17" t="s">
        <v>125</v>
      </c>
      <c r="J276" s="22" t="s">
        <v>100</v>
      </c>
      <c r="K276" s="23" t="s">
        <v>108</v>
      </c>
      <c r="L276" s="24" t="s">
        <v>91</v>
      </c>
      <c r="M276" s="2">
        <v>10.0</v>
      </c>
      <c r="N276" s="25">
        <v>11.0</v>
      </c>
      <c r="O276" s="25"/>
      <c r="P276" s="25"/>
    </row>
    <row r="277">
      <c r="A277" s="16">
        <v>275.0</v>
      </c>
      <c r="B277" s="17" t="s">
        <v>914</v>
      </c>
      <c r="C277" s="18">
        <v>2.0</v>
      </c>
      <c r="D277" s="19" t="s">
        <v>1727</v>
      </c>
      <c r="E277" s="20" t="s">
        <v>443</v>
      </c>
      <c r="F277" s="17" t="s">
        <v>1163</v>
      </c>
      <c r="G277" s="17" t="s">
        <v>1728</v>
      </c>
      <c r="H277" s="17" t="s">
        <v>1729</v>
      </c>
      <c r="I277" s="17" t="s">
        <v>125</v>
      </c>
      <c r="J277" s="22" t="s">
        <v>100</v>
      </c>
      <c r="K277" s="23" t="s">
        <v>108</v>
      </c>
      <c r="L277" s="24" t="s">
        <v>91</v>
      </c>
      <c r="M277" s="2">
        <v>10.0</v>
      </c>
      <c r="N277" s="25">
        <v>11.0</v>
      </c>
      <c r="O277" s="25"/>
      <c r="P277" s="25"/>
    </row>
    <row r="278">
      <c r="A278" s="16">
        <v>276.0</v>
      </c>
      <c r="B278" s="17" t="s">
        <v>914</v>
      </c>
      <c r="C278" s="18">
        <v>3.0</v>
      </c>
      <c r="D278" s="19" t="s">
        <v>1730</v>
      </c>
      <c r="E278" s="20" t="s">
        <v>443</v>
      </c>
      <c r="F278" s="17" t="s">
        <v>1164</v>
      </c>
      <c r="G278" s="17" t="s">
        <v>1731</v>
      </c>
      <c r="H278" s="17" t="s">
        <v>1732</v>
      </c>
      <c r="I278" s="17" t="s">
        <v>125</v>
      </c>
      <c r="J278" s="22" t="s">
        <v>100</v>
      </c>
      <c r="K278" s="23" t="s">
        <v>108</v>
      </c>
      <c r="L278" s="24" t="s">
        <v>91</v>
      </c>
      <c r="M278" s="2">
        <v>10.0</v>
      </c>
      <c r="N278" s="25">
        <v>11.0</v>
      </c>
      <c r="O278" s="25"/>
      <c r="P278" s="25"/>
    </row>
    <row r="279">
      <c r="A279" s="16">
        <v>277.0</v>
      </c>
      <c r="B279" s="17" t="s">
        <v>914</v>
      </c>
      <c r="C279" s="18">
        <v>4.0</v>
      </c>
      <c r="D279" s="19" t="s">
        <v>1725</v>
      </c>
      <c r="E279" s="20" t="s">
        <v>443</v>
      </c>
      <c r="F279" s="17" t="s">
        <v>1165</v>
      </c>
      <c r="G279" s="17" t="s">
        <v>1733</v>
      </c>
      <c r="H279" s="17" t="s">
        <v>1734</v>
      </c>
      <c r="I279" s="17" t="s">
        <v>125</v>
      </c>
      <c r="J279" s="22" t="s">
        <v>135</v>
      </c>
      <c r="K279" s="23" t="s">
        <v>108</v>
      </c>
      <c r="L279" s="24" t="s">
        <v>91</v>
      </c>
      <c r="M279" s="2">
        <v>10.0</v>
      </c>
      <c r="N279" s="25">
        <v>21.0</v>
      </c>
      <c r="O279" s="25"/>
      <c r="P279" s="25"/>
    </row>
    <row r="280">
      <c r="A280" s="16">
        <v>278.0</v>
      </c>
      <c r="B280" s="17" t="s">
        <v>914</v>
      </c>
      <c r="C280" s="18">
        <v>5.0</v>
      </c>
      <c r="D280" s="19" t="s">
        <v>1725</v>
      </c>
      <c r="E280" s="20" t="s">
        <v>443</v>
      </c>
      <c r="F280" s="17" t="s">
        <v>1167</v>
      </c>
      <c r="G280" s="17" t="s">
        <v>1735</v>
      </c>
      <c r="H280" s="17" t="s">
        <v>1736</v>
      </c>
      <c r="I280" s="17" t="s">
        <v>125</v>
      </c>
      <c r="J280" s="22" t="s">
        <v>135</v>
      </c>
      <c r="K280" s="23" t="s">
        <v>108</v>
      </c>
      <c r="L280" s="24" t="s">
        <v>91</v>
      </c>
      <c r="M280" s="2">
        <v>10.0</v>
      </c>
      <c r="N280" s="25">
        <v>21.0</v>
      </c>
      <c r="O280" s="25"/>
      <c r="P280" s="25"/>
    </row>
    <row r="281">
      <c r="A281" s="16">
        <v>279.0</v>
      </c>
      <c r="B281" s="17" t="s">
        <v>914</v>
      </c>
      <c r="C281" s="18">
        <v>6.0</v>
      </c>
      <c r="D281" s="19" t="s">
        <v>1737</v>
      </c>
      <c r="E281" s="20" t="s">
        <v>443</v>
      </c>
      <c r="F281" s="17" t="s">
        <v>1028</v>
      </c>
      <c r="G281" s="17" t="s">
        <v>1738</v>
      </c>
      <c r="H281" s="17" t="s">
        <v>1739</v>
      </c>
      <c r="I281" s="17" t="s">
        <v>125</v>
      </c>
      <c r="J281" s="22" t="s">
        <v>144</v>
      </c>
      <c r="K281" s="23" t="s">
        <v>108</v>
      </c>
      <c r="L281" s="24" t="s">
        <v>91</v>
      </c>
      <c r="M281" s="2">
        <v>10.0</v>
      </c>
      <c r="N281" s="25">
        <v>31.0</v>
      </c>
      <c r="O281" s="25"/>
      <c r="P281" s="25"/>
    </row>
    <row r="282">
      <c r="A282" s="16">
        <v>280.0</v>
      </c>
      <c r="B282" s="17" t="s">
        <v>914</v>
      </c>
      <c r="C282" s="18">
        <v>7.0</v>
      </c>
      <c r="D282" s="19" t="s">
        <v>1737</v>
      </c>
      <c r="E282" s="20" t="s">
        <v>443</v>
      </c>
      <c r="F282" s="17" t="s">
        <v>941</v>
      </c>
      <c r="G282" s="17" t="s">
        <v>123</v>
      </c>
      <c r="H282" s="17" t="s">
        <v>1740</v>
      </c>
      <c r="I282" s="17" t="s">
        <v>125</v>
      </c>
      <c r="J282" s="22" t="s">
        <v>144</v>
      </c>
      <c r="K282" s="23" t="s">
        <v>108</v>
      </c>
      <c r="L282" s="24" t="s">
        <v>91</v>
      </c>
      <c r="M282" s="2">
        <v>10.0</v>
      </c>
      <c r="N282" s="25">
        <v>31.0</v>
      </c>
      <c r="O282" s="25"/>
      <c r="P282" s="25"/>
    </row>
    <row r="283">
      <c r="A283" s="16">
        <v>281.0</v>
      </c>
      <c r="B283" s="17" t="s">
        <v>914</v>
      </c>
      <c r="C283" s="18">
        <v>8.0</v>
      </c>
      <c r="D283" s="19" t="s">
        <v>1725</v>
      </c>
      <c r="E283" s="20" t="s">
        <v>443</v>
      </c>
      <c r="F283" s="17" t="s">
        <v>844</v>
      </c>
      <c r="G283" s="17" t="s">
        <v>1741</v>
      </c>
      <c r="H283" s="17" t="s">
        <v>1742</v>
      </c>
      <c r="I283" s="17" t="s">
        <v>125</v>
      </c>
      <c r="J283" s="22" t="s">
        <v>144</v>
      </c>
      <c r="K283" s="23" t="s">
        <v>108</v>
      </c>
      <c r="L283" s="24" t="s">
        <v>91</v>
      </c>
      <c r="M283" s="2">
        <v>10.0</v>
      </c>
      <c r="N283" s="25">
        <v>31.0</v>
      </c>
      <c r="O283" s="25"/>
      <c r="P283" s="25"/>
    </row>
    <row r="284">
      <c r="A284" s="16">
        <v>282.0</v>
      </c>
      <c r="B284" s="17" t="s">
        <v>914</v>
      </c>
      <c r="C284" s="18">
        <v>9.0</v>
      </c>
      <c r="D284" s="19" t="s">
        <v>1725</v>
      </c>
      <c r="E284" s="20" t="s">
        <v>443</v>
      </c>
      <c r="F284" s="17" t="s">
        <v>942</v>
      </c>
      <c r="G284" s="17" t="s">
        <v>1743</v>
      </c>
      <c r="H284" s="17" t="s">
        <v>1744</v>
      </c>
      <c r="I284" s="17" t="s">
        <v>125</v>
      </c>
      <c r="J284" s="22" t="s">
        <v>144</v>
      </c>
      <c r="K284" s="23" t="s">
        <v>108</v>
      </c>
      <c r="L284" s="24" t="s">
        <v>91</v>
      </c>
      <c r="M284" s="2">
        <v>10.0</v>
      </c>
      <c r="N284" s="25">
        <v>31.0</v>
      </c>
      <c r="O284" s="25"/>
      <c r="P284" s="25"/>
    </row>
    <row r="285">
      <c r="A285" s="16">
        <v>283.0</v>
      </c>
      <c r="B285" s="17" t="s">
        <v>914</v>
      </c>
      <c r="C285" s="18">
        <v>10.0</v>
      </c>
      <c r="D285" s="19" t="s">
        <v>1725</v>
      </c>
      <c r="E285" s="20" t="s">
        <v>443</v>
      </c>
      <c r="F285" s="17" t="s">
        <v>655</v>
      </c>
      <c r="G285" s="17" t="s">
        <v>1745</v>
      </c>
      <c r="H285" s="17" t="s">
        <v>1746</v>
      </c>
      <c r="I285" s="17" t="s">
        <v>125</v>
      </c>
      <c r="J285" s="22" t="s">
        <v>144</v>
      </c>
      <c r="K285" s="23" t="s">
        <v>108</v>
      </c>
      <c r="L285" s="24" t="s">
        <v>91</v>
      </c>
      <c r="M285" s="2">
        <v>10.0</v>
      </c>
      <c r="N285" s="25">
        <v>31.0</v>
      </c>
      <c r="O285" s="25"/>
      <c r="P285" s="25"/>
    </row>
    <row r="286">
      <c r="A286" s="16">
        <v>284.0</v>
      </c>
      <c r="B286" s="17" t="s">
        <v>914</v>
      </c>
      <c r="C286" s="18">
        <v>11.0</v>
      </c>
      <c r="D286" s="19" t="s">
        <v>1725</v>
      </c>
      <c r="E286" s="20" t="s">
        <v>443</v>
      </c>
      <c r="F286" s="17" t="s">
        <v>1031</v>
      </c>
      <c r="G286" s="17" t="s">
        <v>1747</v>
      </c>
      <c r="H286" s="17" t="s">
        <v>1748</v>
      </c>
      <c r="I286" s="17" t="s">
        <v>125</v>
      </c>
      <c r="J286" s="22" t="s">
        <v>144</v>
      </c>
      <c r="K286" s="23" t="s">
        <v>108</v>
      </c>
      <c r="L286" s="24" t="s">
        <v>91</v>
      </c>
      <c r="M286" s="2">
        <v>10.0</v>
      </c>
      <c r="N286" s="25">
        <v>31.0</v>
      </c>
      <c r="O286" s="25"/>
      <c r="P286" s="25"/>
    </row>
    <row r="287">
      <c r="A287" s="16">
        <v>285.0</v>
      </c>
      <c r="B287" s="17" t="s">
        <v>914</v>
      </c>
      <c r="C287" s="18">
        <v>12.0</v>
      </c>
      <c r="D287" s="19" t="s">
        <v>1725</v>
      </c>
      <c r="E287" s="20" t="s">
        <v>443</v>
      </c>
      <c r="F287" s="17" t="s">
        <v>1032</v>
      </c>
      <c r="G287" s="17" t="s">
        <v>1750</v>
      </c>
      <c r="H287" s="17" t="s">
        <v>1751</v>
      </c>
      <c r="I287" s="17" t="s">
        <v>125</v>
      </c>
      <c r="J287" s="22" t="s">
        <v>144</v>
      </c>
      <c r="K287" s="23" t="s">
        <v>108</v>
      </c>
      <c r="L287" s="24" t="s">
        <v>91</v>
      </c>
      <c r="M287" s="2">
        <v>10.0</v>
      </c>
      <c r="N287" s="25">
        <v>31.0</v>
      </c>
      <c r="O287" s="25"/>
      <c r="P287" s="25"/>
    </row>
    <row r="288">
      <c r="A288" s="16">
        <v>286.0</v>
      </c>
      <c r="B288" s="17" t="s">
        <v>914</v>
      </c>
      <c r="C288" s="18">
        <v>13.0</v>
      </c>
      <c r="D288" s="19" t="s">
        <v>1725</v>
      </c>
      <c r="E288" s="20" t="s">
        <v>443</v>
      </c>
      <c r="F288" s="17" t="s">
        <v>943</v>
      </c>
      <c r="G288" s="17" t="s">
        <v>1752</v>
      </c>
      <c r="H288" s="17" t="s">
        <v>1753</v>
      </c>
      <c r="I288" s="17" t="s">
        <v>125</v>
      </c>
      <c r="J288" s="22" t="s">
        <v>144</v>
      </c>
      <c r="K288" s="23" t="s">
        <v>108</v>
      </c>
      <c r="L288" s="24" t="s">
        <v>91</v>
      </c>
      <c r="M288" s="2">
        <v>10.0</v>
      </c>
      <c r="N288" s="25">
        <v>31.0</v>
      </c>
      <c r="O288" s="25"/>
      <c r="P288" s="25"/>
    </row>
    <row r="289">
      <c r="A289" s="16">
        <v>287.0</v>
      </c>
      <c r="B289" s="17" t="s">
        <v>914</v>
      </c>
      <c r="C289" s="18">
        <v>14.0</v>
      </c>
      <c r="D289" s="19" t="s">
        <v>1725</v>
      </c>
      <c r="E289" s="20" t="s">
        <v>443</v>
      </c>
      <c r="F289" s="17" t="s">
        <v>1287</v>
      </c>
      <c r="G289" s="17" t="s">
        <v>1754</v>
      </c>
      <c r="H289" s="17" t="s">
        <v>1755</v>
      </c>
      <c r="I289" s="17" t="s">
        <v>125</v>
      </c>
      <c r="J289" s="22" t="s">
        <v>144</v>
      </c>
      <c r="K289" s="23" t="s">
        <v>108</v>
      </c>
      <c r="L289" s="24" t="s">
        <v>91</v>
      </c>
      <c r="M289" s="2">
        <v>10.0</v>
      </c>
      <c r="N289" s="25">
        <v>31.0</v>
      </c>
      <c r="O289" s="25"/>
      <c r="P289" s="25"/>
    </row>
    <row r="290">
      <c r="A290" s="16">
        <v>288.0</v>
      </c>
      <c r="B290" s="17" t="s">
        <v>914</v>
      </c>
      <c r="C290" s="18">
        <v>15.0</v>
      </c>
      <c r="D290" s="19" t="s">
        <v>1725</v>
      </c>
      <c r="E290" s="20" t="s">
        <v>443</v>
      </c>
      <c r="F290" s="17" t="s">
        <v>1033</v>
      </c>
      <c r="G290" s="17" t="s">
        <v>1754</v>
      </c>
      <c r="H290" s="17" t="s">
        <v>1755</v>
      </c>
      <c r="I290" s="17" t="s">
        <v>125</v>
      </c>
      <c r="J290" s="22" t="s">
        <v>144</v>
      </c>
      <c r="K290" s="23" t="s">
        <v>108</v>
      </c>
      <c r="L290" s="24" t="s">
        <v>91</v>
      </c>
      <c r="M290" s="2">
        <v>10.0</v>
      </c>
      <c r="N290" s="25">
        <v>31.0</v>
      </c>
      <c r="O290" s="25"/>
      <c r="P290" s="25"/>
    </row>
    <row r="291">
      <c r="A291" s="16">
        <v>289.0</v>
      </c>
      <c r="B291" s="17" t="s">
        <v>914</v>
      </c>
      <c r="C291" s="18">
        <v>16.0</v>
      </c>
      <c r="D291" s="19" t="s">
        <v>1727</v>
      </c>
      <c r="E291" s="20" t="s">
        <v>443</v>
      </c>
      <c r="F291" s="17" t="s">
        <v>1168</v>
      </c>
      <c r="G291" s="17" t="s">
        <v>1756</v>
      </c>
      <c r="H291" s="17" t="s">
        <v>1757</v>
      </c>
      <c r="I291" s="17" t="s">
        <v>125</v>
      </c>
      <c r="J291" s="22" t="s">
        <v>144</v>
      </c>
      <c r="K291" s="23" t="s">
        <v>108</v>
      </c>
      <c r="L291" s="24" t="s">
        <v>91</v>
      </c>
      <c r="M291" s="2">
        <v>10.0</v>
      </c>
      <c r="N291" s="25">
        <v>31.0</v>
      </c>
      <c r="O291" s="25"/>
      <c r="P291" s="25"/>
    </row>
    <row r="292">
      <c r="A292" s="16">
        <v>290.0</v>
      </c>
      <c r="B292" s="17" t="s">
        <v>914</v>
      </c>
      <c r="C292" s="18">
        <v>17.0</v>
      </c>
      <c r="D292" s="19" t="s">
        <v>1727</v>
      </c>
      <c r="E292" s="20" t="s">
        <v>443</v>
      </c>
      <c r="F292" s="17" t="s">
        <v>944</v>
      </c>
      <c r="G292" s="17" t="s">
        <v>123</v>
      </c>
      <c r="H292" s="17" t="s">
        <v>1758</v>
      </c>
      <c r="I292" s="17" t="s">
        <v>125</v>
      </c>
      <c r="J292" s="22" t="s">
        <v>144</v>
      </c>
      <c r="K292" s="23" t="s">
        <v>108</v>
      </c>
      <c r="L292" s="24" t="s">
        <v>91</v>
      </c>
      <c r="M292" s="2">
        <v>10.0</v>
      </c>
      <c r="N292" s="25">
        <v>31.0</v>
      </c>
      <c r="O292" s="25"/>
      <c r="P292" s="25"/>
    </row>
    <row r="293">
      <c r="A293" s="16">
        <v>291.0</v>
      </c>
      <c r="B293" s="17" t="s">
        <v>914</v>
      </c>
      <c r="C293" s="18">
        <v>18.0</v>
      </c>
      <c r="D293" s="19" t="s">
        <v>1727</v>
      </c>
      <c r="E293" s="20" t="s">
        <v>443</v>
      </c>
      <c r="F293" s="17" t="s">
        <v>1034</v>
      </c>
      <c r="G293" s="17" t="s">
        <v>1759</v>
      </c>
      <c r="H293" s="17" t="s">
        <v>1760</v>
      </c>
      <c r="I293" s="17" t="s">
        <v>125</v>
      </c>
      <c r="J293" s="22" t="s">
        <v>144</v>
      </c>
      <c r="K293" s="23" t="s">
        <v>108</v>
      </c>
      <c r="L293" s="24" t="s">
        <v>91</v>
      </c>
      <c r="M293" s="2">
        <v>10.0</v>
      </c>
      <c r="N293" s="25">
        <v>31.0</v>
      </c>
      <c r="O293" s="25"/>
      <c r="P293" s="25"/>
    </row>
    <row r="294">
      <c r="A294" s="16">
        <v>292.0</v>
      </c>
      <c r="B294" s="17" t="s">
        <v>914</v>
      </c>
      <c r="C294" s="18">
        <v>19.0</v>
      </c>
      <c r="D294" s="19" t="s">
        <v>1727</v>
      </c>
      <c r="E294" s="20" t="s">
        <v>443</v>
      </c>
      <c r="F294" s="17" t="s">
        <v>411</v>
      </c>
      <c r="G294" s="17" t="s">
        <v>1761</v>
      </c>
      <c r="H294" s="17" t="s">
        <v>1762</v>
      </c>
      <c r="I294" s="17" t="s">
        <v>125</v>
      </c>
      <c r="J294" s="22" t="s">
        <v>144</v>
      </c>
      <c r="K294" s="23" t="s">
        <v>108</v>
      </c>
      <c r="L294" s="24" t="s">
        <v>91</v>
      </c>
      <c r="M294" s="2">
        <v>10.0</v>
      </c>
      <c r="N294" s="25">
        <v>31.0</v>
      </c>
      <c r="O294" s="25"/>
      <c r="P294" s="25"/>
    </row>
    <row r="295">
      <c r="A295" s="16">
        <v>293.0</v>
      </c>
      <c r="B295" s="17" t="s">
        <v>914</v>
      </c>
      <c r="C295" s="18">
        <v>20.0</v>
      </c>
      <c r="D295" s="19" t="s">
        <v>1727</v>
      </c>
      <c r="E295" s="20" t="s">
        <v>443</v>
      </c>
      <c r="F295" s="17" t="s">
        <v>1035</v>
      </c>
      <c r="G295" s="17" t="s">
        <v>1763</v>
      </c>
      <c r="H295" s="17" t="s">
        <v>1764</v>
      </c>
      <c r="I295" s="17" t="s">
        <v>125</v>
      </c>
      <c r="J295" s="22" t="s">
        <v>144</v>
      </c>
      <c r="K295" s="23" t="s">
        <v>108</v>
      </c>
      <c r="L295" s="24" t="s">
        <v>91</v>
      </c>
      <c r="M295" s="2">
        <v>10.0</v>
      </c>
      <c r="N295" s="25">
        <v>31.0</v>
      </c>
      <c r="O295" s="25"/>
      <c r="P295" s="25"/>
    </row>
    <row r="296">
      <c r="A296" s="16">
        <v>294.0</v>
      </c>
      <c r="B296" s="17" t="s">
        <v>914</v>
      </c>
      <c r="C296" s="18">
        <v>21.0</v>
      </c>
      <c r="D296" s="19" t="s">
        <v>1727</v>
      </c>
      <c r="E296" s="20" t="s">
        <v>443</v>
      </c>
      <c r="F296" s="17" t="s">
        <v>447</v>
      </c>
      <c r="G296" s="17" t="s">
        <v>1766</v>
      </c>
      <c r="H296" s="17" t="s">
        <v>1767</v>
      </c>
      <c r="I296" s="17" t="s">
        <v>125</v>
      </c>
      <c r="J296" s="22" t="s">
        <v>144</v>
      </c>
      <c r="K296" s="23" t="s">
        <v>108</v>
      </c>
      <c r="L296" s="24" t="s">
        <v>91</v>
      </c>
      <c r="M296" s="2">
        <v>10.0</v>
      </c>
      <c r="N296" s="25">
        <v>31.0</v>
      </c>
      <c r="O296" s="25"/>
      <c r="P296" s="25"/>
    </row>
    <row r="297">
      <c r="A297" s="16">
        <v>295.0</v>
      </c>
      <c r="B297" s="17" t="s">
        <v>914</v>
      </c>
      <c r="C297" s="18">
        <v>22.0</v>
      </c>
      <c r="D297" s="19" t="s">
        <v>1730</v>
      </c>
      <c r="E297" s="20" t="s">
        <v>443</v>
      </c>
      <c r="F297" s="17" t="s">
        <v>652</v>
      </c>
      <c r="G297" s="17" t="s">
        <v>1768</v>
      </c>
      <c r="H297" s="17" t="s">
        <v>1769</v>
      </c>
      <c r="I297" s="17" t="s">
        <v>125</v>
      </c>
      <c r="J297" s="22" t="s">
        <v>144</v>
      </c>
      <c r="K297" s="23" t="s">
        <v>108</v>
      </c>
      <c r="L297" s="24" t="s">
        <v>91</v>
      </c>
      <c r="M297" s="2">
        <v>10.0</v>
      </c>
      <c r="N297" s="25">
        <v>31.0</v>
      </c>
      <c r="O297" s="25"/>
      <c r="P297" s="25"/>
    </row>
    <row r="298">
      <c r="A298" s="16">
        <v>296.0</v>
      </c>
      <c r="B298" s="17" t="s">
        <v>914</v>
      </c>
      <c r="C298" s="18">
        <v>23.0</v>
      </c>
      <c r="D298" s="19" t="s">
        <v>1730</v>
      </c>
      <c r="E298" s="20" t="s">
        <v>443</v>
      </c>
      <c r="F298" s="17" t="s">
        <v>945</v>
      </c>
      <c r="G298" s="17" t="s">
        <v>1772</v>
      </c>
      <c r="H298" s="17" t="s">
        <v>1773</v>
      </c>
      <c r="I298" s="17" t="s">
        <v>125</v>
      </c>
      <c r="J298" s="22" t="s">
        <v>144</v>
      </c>
      <c r="K298" s="23" t="s">
        <v>108</v>
      </c>
      <c r="L298" s="24" t="s">
        <v>91</v>
      </c>
      <c r="M298" s="2">
        <v>10.0</v>
      </c>
      <c r="N298" s="25">
        <v>31.0</v>
      </c>
      <c r="O298" s="25"/>
      <c r="P298" s="25"/>
    </row>
    <row r="299">
      <c r="A299" s="16">
        <v>297.0</v>
      </c>
      <c r="B299" s="17" t="s">
        <v>914</v>
      </c>
      <c r="C299" s="18">
        <v>24.0</v>
      </c>
      <c r="D299" s="19" t="s">
        <v>1730</v>
      </c>
      <c r="E299" s="20" t="s">
        <v>443</v>
      </c>
      <c r="F299" s="17" t="s">
        <v>660</v>
      </c>
      <c r="G299" s="17" t="s">
        <v>1775</v>
      </c>
      <c r="H299" s="17" t="s">
        <v>1776</v>
      </c>
      <c r="I299" s="17" t="s">
        <v>125</v>
      </c>
      <c r="J299" s="22" t="s">
        <v>144</v>
      </c>
      <c r="K299" s="23" t="s">
        <v>108</v>
      </c>
      <c r="L299" s="24" t="s">
        <v>91</v>
      </c>
      <c r="M299" s="2">
        <v>10.0</v>
      </c>
      <c r="N299" s="25">
        <v>31.0</v>
      </c>
      <c r="O299" s="25"/>
      <c r="P299" s="25"/>
    </row>
    <row r="300">
      <c r="A300" s="16">
        <v>298.0</v>
      </c>
      <c r="B300" s="17" t="s">
        <v>914</v>
      </c>
      <c r="C300" s="18">
        <v>25.0</v>
      </c>
      <c r="D300" s="19" t="s">
        <v>1730</v>
      </c>
      <c r="E300" s="20" t="s">
        <v>443</v>
      </c>
      <c r="F300" s="17" t="s">
        <v>664</v>
      </c>
      <c r="G300" s="17" t="s">
        <v>1777</v>
      </c>
      <c r="H300" s="17" t="s">
        <v>1779</v>
      </c>
      <c r="I300" s="17" t="s">
        <v>125</v>
      </c>
      <c r="J300" s="22" t="s">
        <v>144</v>
      </c>
      <c r="K300" s="23" t="s">
        <v>108</v>
      </c>
      <c r="L300" s="24" t="s">
        <v>91</v>
      </c>
      <c r="M300" s="2">
        <v>10.0</v>
      </c>
      <c r="N300" s="25">
        <v>31.0</v>
      </c>
      <c r="O300" s="25"/>
      <c r="P300" s="25"/>
    </row>
    <row r="301">
      <c r="A301" s="16">
        <v>299.0</v>
      </c>
      <c r="B301" s="17" t="s">
        <v>914</v>
      </c>
      <c r="C301" s="18">
        <v>26.0</v>
      </c>
      <c r="D301" s="19" t="s">
        <v>1730</v>
      </c>
      <c r="E301" s="20" t="s">
        <v>443</v>
      </c>
      <c r="F301" s="17" t="s">
        <v>1037</v>
      </c>
      <c r="G301" s="17" t="s">
        <v>1780</v>
      </c>
      <c r="H301" s="17" t="s">
        <v>1781</v>
      </c>
      <c r="I301" s="17" t="s">
        <v>125</v>
      </c>
      <c r="J301" s="22" t="s">
        <v>144</v>
      </c>
      <c r="K301" s="23" t="s">
        <v>108</v>
      </c>
      <c r="L301" s="24" t="s">
        <v>91</v>
      </c>
      <c r="M301" s="2">
        <v>10.0</v>
      </c>
      <c r="N301" s="25">
        <v>31.0</v>
      </c>
      <c r="O301" s="25"/>
      <c r="P301" s="25"/>
    </row>
    <row r="302">
      <c r="A302" s="16">
        <v>300.0</v>
      </c>
      <c r="B302" s="17" t="s">
        <v>958</v>
      </c>
      <c r="C302" s="18">
        <v>1.0</v>
      </c>
      <c r="D302" s="19" t="s">
        <v>1782</v>
      </c>
      <c r="E302" s="20" t="s">
        <v>443</v>
      </c>
      <c r="F302" s="17" t="s">
        <v>444</v>
      </c>
      <c r="G302" s="17" t="s">
        <v>1663</v>
      </c>
      <c r="H302" s="17" t="s">
        <v>1783</v>
      </c>
      <c r="I302" s="17" t="s">
        <v>125</v>
      </c>
      <c r="J302" s="22" t="s">
        <v>135</v>
      </c>
      <c r="K302" s="23" t="s">
        <v>108</v>
      </c>
      <c r="L302" s="24" t="s">
        <v>91</v>
      </c>
      <c r="M302" s="2">
        <v>11.0</v>
      </c>
      <c r="N302" s="25">
        <v>21.0</v>
      </c>
      <c r="O302" s="25"/>
      <c r="P302" s="25"/>
    </row>
    <row r="303">
      <c r="A303" s="16">
        <v>301.0</v>
      </c>
      <c r="B303" s="17" t="s">
        <v>958</v>
      </c>
      <c r="C303" s="18">
        <v>2.0</v>
      </c>
      <c r="D303" s="19" t="s">
        <v>1782</v>
      </c>
      <c r="E303" s="20" t="s">
        <v>443</v>
      </c>
      <c r="F303" s="17" t="s">
        <v>1288</v>
      </c>
      <c r="G303" s="17" t="s">
        <v>1784</v>
      </c>
      <c r="H303" s="17" t="s">
        <v>1785</v>
      </c>
      <c r="I303" s="17" t="s">
        <v>125</v>
      </c>
      <c r="J303" s="22" t="s">
        <v>144</v>
      </c>
      <c r="K303" s="23" t="s">
        <v>108</v>
      </c>
      <c r="L303" s="24" t="s">
        <v>91</v>
      </c>
      <c r="M303" s="2">
        <v>11.0</v>
      </c>
      <c r="N303" s="25">
        <v>31.0</v>
      </c>
      <c r="O303" s="25"/>
      <c r="P303" s="25"/>
    </row>
    <row r="304">
      <c r="A304" s="16">
        <v>302.0</v>
      </c>
      <c r="B304" s="17" t="s">
        <v>958</v>
      </c>
      <c r="C304" s="18">
        <v>3.0</v>
      </c>
      <c r="D304" s="19" t="s">
        <v>1782</v>
      </c>
      <c r="E304" s="20" t="s">
        <v>443</v>
      </c>
      <c r="F304" s="17" t="s">
        <v>452</v>
      </c>
      <c r="G304" s="17" t="s">
        <v>1786</v>
      </c>
      <c r="H304" s="17" t="s">
        <v>1787</v>
      </c>
      <c r="I304" s="17" t="s">
        <v>125</v>
      </c>
      <c r="J304" s="22" t="s">
        <v>144</v>
      </c>
      <c r="K304" s="23" t="s">
        <v>108</v>
      </c>
      <c r="L304" s="24" t="s">
        <v>91</v>
      </c>
      <c r="M304" s="2">
        <v>11.0</v>
      </c>
      <c r="N304" s="25">
        <v>31.0</v>
      </c>
      <c r="O304" s="25"/>
      <c r="P304" s="25"/>
    </row>
    <row r="305">
      <c r="A305" s="16">
        <v>303.0</v>
      </c>
      <c r="B305" s="17" t="s">
        <v>958</v>
      </c>
      <c r="C305" s="18">
        <v>4.0</v>
      </c>
      <c r="D305" s="19" t="s">
        <v>1782</v>
      </c>
      <c r="E305" s="20" t="s">
        <v>443</v>
      </c>
      <c r="F305" s="17" t="s">
        <v>149</v>
      </c>
      <c r="G305" s="17" t="s">
        <v>123</v>
      </c>
      <c r="H305" s="17" t="s">
        <v>1788</v>
      </c>
      <c r="I305" s="17" t="s">
        <v>125</v>
      </c>
      <c r="J305" s="22" t="s">
        <v>144</v>
      </c>
      <c r="K305" s="23" t="s">
        <v>108</v>
      </c>
      <c r="L305" s="24" t="s">
        <v>91</v>
      </c>
      <c r="M305" s="2">
        <v>11.0</v>
      </c>
      <c r="N305" s="25">
        <v>31.0</v>
      </c>
      <c r="O305" s="25"/>
      <c r="P305" s="25"/>
    </row>
    <row r="306">
      <c r="A306" s="16">
        <v>304.0</v>
      </c>
      <c r="B306" s="17" t="s">
        <v>958</v>
      </c>
      <c r="C306" s="18">
        <v>5.0</v>
      </c>
      <c r="D306" s="19" t="s">
        <v>1782</v>
      </c>
      <c r="E306" s="20" t="s">
        <v>443</v>
      </c>
      <c r="F306" s="17" t="s">
        <v>836</v>
      </c>
      <c r="G306" s="17" t="s">
        <v>1789</v>
      </c>
      <c r="H306" s="17" t="s">
        <v>1790</v>
      </c>
      <c r="I306" s="17" t="s">
        <v>125</v>
      </c>
      <c r="J306" s="22" t="s">
        <v>144</v>
      </c>
      <c r="K306" s="23" t="s">
        <v>108</v>
      </c>
      <c r="L306" s="24" t="s">
        <v>91</v>
      </c>
      <c r="M306" s="2">
        <v>11.0</v>
      </c>
      <c r="N306" s="25">
        <v>31.0</v>
      </c>
      <c r="O306" s="25"/>
      <c r="P306" s="25"/>
    </row>
    <row r="307">
      <c r="A307" s="16">
        <v>305.0</v>
      </c>
      <c r="B307" s="17" t="s">
        <v>958</v>
      </c>
      <c r="C307" s="18">
        <v>6.0</v>
      </c>
      <c r="D307" s="19" t="s">
        <v>1782</v>
      </c>
      <c r="E307" s="20" t="s">
        <v>443</v>
      </c>
      <c r="F307" s="17" t="s">
        <v>947</v>
      </c>
      <c r="G307" s="17" t="s">
        <v>1791</v>
      </c>
      <c r="H307" s="17" t="s">
        <v>1792</v>
      </c>
      <c r="I307" s="17" t="s">
        <v>125</v>
      </c>
      <c r="J307" s="22" t="s">
        <v>144</v>
      </c>
      <c r="K307" s="23" t="s">
        <v>108</v>
      </c>
      <c r="L307" s="24" t="s">
        <v>91</v>
      </c>
      <c r="M307" s="2">
        <v>11.0</v>
      </c>
      <c r="N307" s="25">
        <v>31.0</v>
      </c>
      <c r="O307" s="25"/>
      <c r="P307" s="25"/>
    </row>
    <row r="308">
      <c r="A308" s="16">
        <v>306.0</v>
      </c>
      <c r="B308" s="17" t="s">
        <v>958</v>
      </c>
      <c r="C308" s="18">
        <v>7.0</v>
      </c>
      <c r="D308" s="19" t="s">
        <v>1782</v>
      </c>
      <c r="E308" s="20" t="s">
        <v>443</v>
      </c>
      <c r="F308" s="17" t="s">
        <v>1289</v>
      </c>
      <c r="G308" s="17" t="s">
        <v>1793</v>
      </c>
      <c r="H308" s="17" t="s">
        <v>1794</v>
      </c>
      <c r="I308" s="17" t="s">
        <v>125</v>
      </c>
      <c r="J308" s="22" t="s">
        <v>144</v>
      </c>
      <c r="K308" s="23" t="s">
        <v>108</v>
      </c>
      <c r="L308" s="24" t="s">
        <v>91</v>
      </c>
      <c r="M308" s="2">
        <v>11.0</v>
      </c>
      <c r="N308" s="25">
        <v>31.0</v>
      </c>
      <c r="O308" s="25"/>
      <c r="P308" s="25"/>
    </row>
    <row r="309">
      <c r="A309" s="16">
        <v>307.0</v>
      </c>
      <c r="B309" s="17" t="s">
        <v>958</v>
      </c>
      <c r="C309" s="18">
        <v>8.0</v>
      </c>
      <c r="D309" s="19" t="s">
        <v>1782</v>
      </c>
      <c r="E309" s="20" t="s">
        <v>443</v>
      </c>
      <c r="F309" s="17" t="s">
        <v>1039</v>
      </c>
      <c r="G309" s="17" t="s">
        <v>1795</v>
      </c>
      <c r="H309" s="17" t="s">
        <v>1796</v>
      </c>
      <c r="I309" s="17" t="s">
        <v>125</v>
      </c>
      <c r="J309" s="22" t="s">
        <v>144</v>
      </c>
      <c r="K309" s="23" t="s">
        <v>108</v>
      </c>
      <c r="L309" s="24" t="s">
        <v>91</v>
      </c>
      <c r="M309" s="2">
        <v>11.0</v>
      </c>
      <c r="N309" s="25">
        <v>31.0</v>
      </c>
      <c r="O309" s="25"/>
      <c r="P309" s="25"/>
    </row>
    <row r="310">
      <c r="A310" s="16">
        <v>308.0</v>
      </c>
      <c r="B310" s="17" t="s">
        <v>958</v>
      </c>
      <c r="C310" s="18">
        <v>9.0</v>
      </c>
      <c r="D310" s="19" t="s">
        <v>1782</v>
      </c>
      <c r="E310" s="20" t="s">
        <v>443</v>
      </c>
      <c r="F310" s="17" t="s">
        <v>845</v>
      </c>
      <c r="G310" s="17" t="s">
        <v>1797</v>
      </c>
      <c r="H310" s="17" t="s">
        <v>1798</v>
      </c>
      <c r="I310" s="17" t="s">
        <v>125</v>
      </c>
      <c r="J310" s="22" t="s">
        <v>144</v>
      </c>
      <c r="K310" s="23" t="s">
        <v>108</v>
      </c>
      <c r="L310" s="24" t="s">
        <v>91</v>
      </c>
      <c r="M310" s="2">
        <v>11.0</v>
      </c>
      <c r="N310" s="25">
        <v>31.0</v>
      </c>
      <c r="O310" s="25"/>
      <c r="P310" s="25"/>
    </row>
    <row r="311">
      <c r="A311" s="16">
        <v>309.0</v>
      </c>
      <c r="B311" s="17" t="s">
        <v>958</v>
      </c>
      <c r="C311" s="18">
        <v>10.0</v>
      </c>
      <c r="D311" s="19" t="s">
        <v>1782</v>
      </c>
      <c r="E311" s="20" t="s">
        <v>443</v>
      </c>
      <c r="F311" s="17" t="s">
        <v>414</v>
      </c>
      <c r="G311" s="17" t="s">
        <v>1800</v>
      </c>
      <c r="H311" s="17" t="s">
        <v>1801</v>
      </c>
      <c r="I311" s="17" t="s">
        <v>125</v>
      </c>
      <c r="J311" s="22" t="s">
        <v>144</v>
      </c>
      <c r="K311" s="23" t="s">
        <v>108</v>
      </c>
      <c r="L311" s="24" t="s">
        <v>91</v>
      </c>
      <c r="M311" s="2">
        <v>11.0</v>
      </c>
      <c r="N311" s="25">
        <v>31.0</v>
      </c>
      <c r="O311" s="25"/>
      <c r="P311" s="25"/>
    </row>
    <row r="312">
      <c r="A312" s="16">
        <v>310.0</v>
      </c>
      <c r="B312" s="17" t="s">
        <v>958</v>
      </c>
      <c r="C312" s="18">
        <v>11.0</v>
      </c>
      <c r="D312" s="19" t="s">
        <v>1782</v>
      </c>
      <c r="E312" s="20" t="s">
        <v>443</v>
      </c>
      <c r="F312" s="17" t="s">
        <v>1040</v>
      </c>
      <c r="G312" s="17" t="s">
        <v>1802</v>
      </c>
      <c r="H312" s="17" t="s">
        <v>1803</v>
      </c>
      <c r="I312" s="17" t="s">
        <v>125</v>
      </c>
      <c r="J312" s="22" t="s">
        <v>144</v>
      </c>
      <c r="K312" s="23" t="s">
        <v>108</v>
      </c>
      <c r="L312" s="24" t="s">
        <v>91</v>
      </c>
      <c r="M312" s="2">
        <v>11.0</v>
      </c>
      <c r="N312" s="25">
        <v>31.0</v>
      </c>
      <c r="O312" s="25"/>
      <c r="P312" s="25"/>
    </row>
    <row r="313">
      <c r="A313" s="16">
        <v>311.0</v>
      </c>
      <c r="B313" s="17" t="s">
        <v>958</v>
      </c>
      <c r="C313" s="18">
        <v>12.0</v>
      </c>
      <c r="D313" s="19" t="s">
        <v>1782</v>
      </c>
      <c r="E313" s="20" t="s">
        <v>443</v>
      </c>
      <c r="F313" s="17" t="s">
        <v>1292</v>
      </c>
      <c r="G313" s="17" t="s">
        <v>1804</v>
      </c>
      <c r="H313" s="17" t="s">
        <v>1805</v>
      </c>
      <c r="I313" s="17" t="s">
        <v>125</v>
      </c>
      <c r="J313" s="22" t="s">
        <v>144</v>
      </c>
      <c r="K313" s="23" t="s">
        <v>108</v>
      </c>
      <c r="L313" s="24" t="s">
        <v>91</v>
      </c>
      <c r="M313" s="2">
        <v>11.0</v>
      </c>
      <c r="N313" s="25">
        <v>31.0</v>
      </c>
      <c r="O313" s="25"/>
      <c r="P313" s="25"/>
    </row>
    <row r="314">
      <c r="A314" s="16">
        <v>312.0</v>
      </c>
      <c r="B314" s="17" t="s">
        <v>958</v>
      </c>
      <c r="C314" s="18">
        <v>13.0</v>
      </c>
      <c r="D314" s="19" t="s">
        <v>1782</v>
      </c>
      <c r="E314" s="20" t="s">
        <v>443</v>
      </c>
      <c r="F314" s="17" t="s">
        <v>1169</v>
      </c>
      <c r="G314" s="17" t="s">
        <v>1806</v>
      </c>
      <c r="H314" s="17" t="s">
        <v>1807</v>
      </c>
      <c r="I314" s="17" t="s">
        <v>125</v>
      </c>
      <c r="J314" s="22" t="s">
        <v>144</v>
      </c>
      <c r="K314" s="23" t="s">
        <v>108</v>
      </c>
      <c r="L314" s="24" t="s">
        <v>91</v>
      </c>
      <c r="M314" s="2">
        <v>11.0</v>
      </c>
      <c r="N314" s="25">
        <v>31.0</v>
      </c>
      <c r="O314" s="25"/>
      <c r="P314" s="25"/>
    </row>
    <row r="315">
      <c r="A315" s="16">
        <v>313.0</v>
      </c>
      <c r="B315" s="17" t="s">
        <v>958</v>
      </c>
      <c r="C315" s="18">
        <v>14.0</v>
      </c>
      <c r="D315" s="19" t="s">
        <v>1782</v>
      </c>
      <c r="E315" s="20" t="s">
        <v>443</v>
      </c>
      <c r="F315" s="17" t="s">
        <v>848</v>
      </c>
      <c r="G315" s="17" t="s">
        <v>1808</v>
      </c>
      <c r="H315" s="17" t="s">
        <v>1809</v>
      </c>
      <c r="I315" s="17" t="s">
        <v>125</v>
      </c>
      <c r="J315" s="22" t="s">
        <v>144</v>
      </c>
      <c r="K315" s="23" t="s">
        <v>108</v>
      </c>
      <c r="L315" s="24" t="s">
        <v>91</v>
      </c>
      <c r="M315" s="2">
        <v>11.0</v>
      </c>
      <c r="N315" s="25">
        <v>31.0</v>
      </c>
      <c r="O315" s="25"/>
      <c r="P315" s="25"/>
    </row>
    <row r="316">
      <c r="A316" s="16">
        <v>314.0</v>
      </c>
      <c r="B316" s="17" t="s">
        <v>958</v>
      </c>
      <c r="C316" s="18">
        <v>15.0</v>
      </c>
      <c r="D316" s="19" t="s">
        <v>1782</v>
      </c>
      <c r="E316" s="20" t="s">
        <v>443</v>
      </c>
      <c r="F316" s="17" t="s">
        <v>1293</v>
      </c>
      <c r="G316" s="17" t="s">
        <v>1810</v>
      </c>
      <c r="H316" s="17" t="s">
        <v>1811</v>
      </c>
      <c r="I316" s="17" t="s">
        <v>125</v>
      </c>
      <c r="J316" s="22" t="s">
        <v>144</v>
      </c>
      <c r="K316" s="23" t="s">
        <v>108</v>
      </c>
      <c r="L316" s="24" t="s">
        <v>91</v>
      </c>
      <c r="M316" s="2">
        <v>11.0</v>
      </c>
      <c r="N316" s="25">
        <v>31.0</v>
      </c>
      <c r="O316" s="25"/>
      <c r="P316" s="25"/>
    </row>
    <row r="317">
      <c r="A317" s="16">
        <v>315.0</v>
      </c>
      <c r="B317" s="17" t="s">
        <v>958</v>
      </c>
      <c r="C317" s="18">
        <v>16.0</v>
      </c>
      <c r="D317" s="19" t="s">
        <v>1782</v>
      </c>
      <c r="E317" s="20" t="s">
        <v>443</v>
      </c>
      <c r="F317" s="17" t="s">
        <v>949</v>
      </c>
      <c r="G317" s="17" t="s">
        <v>1812</v>
      </c>
      <c r="H317" s="17" t="s">
        <v>1813</v>
      </c>
      <c r="I317" s="17" t="s">
        <v>125</v>
      </c>
      <c r="J317" s="22" t="s">
        <v>144</v>
      </c>
      <c r="K317" s="23" t="s">
        <v>108</v>
      </c>
      <c r="L317" s="24" t="s">
        <v>91</v>
      </c>
      <c r="M317" s="2">
        <v>11.0</v>
      </c>
      <c r="N317" s="25">
        <v>31.0</v>
      </c>
      <c r="O317" s="25"/>
      <c r="P317" s="25"/>
    </row>
    <row r="318">
      <c r="A318" s="16">
        <v>316.0</v>
      </c>
      <c r="B318" s="17" t="s">
        <v>958</v>
      </c>
      <c r="C318" s="18">
        <v>17.0</v>
      </c>
      <c r="D318" s="19" t="s">
        <v>1782</v>
      </c>
      <c r="E318" s="20" t="s">
        <v>443</v>
      </c>
      <c r="F318" s="17" t="s">
        <v>1041</v>
      </c>
      <c r="G318" s="17" t="s">
        <v>1814</v>
      </c>
      <c r="H318" s="17" t="s">
        <v>1815</v>
      </c>
      <c r="I318" s="17" t="s">
        <v>125</v>
      </c>
      <c r="J318" s="22" t="s">
        <v>144</v>
      </c>
      <c r="K318" s="23" t="s">
        <v>108</v>
      </c>
      <c r="L318" s="24" t="s">
        <v>91</v>
      </c>
      <c r="M318" s="2">
        <v>11.0</v>
      </c>
      <c r="N318" s="25">
        <v>31.0</v>
      </c>
      <c r="O318" s="25"/>
      <c r="P318" s="25"/>
    </row>
    <row r="319">
      <c r="A319" s="16">
        <v>317.0</v>
      </c>
      <c r="B319" s="17" t="s">
        <v>958</v>
      </c>
      <c r="C319" s="18">
        <v>18.0</v>
      </c>
      <c r="D319" s="19" t="s">
        <v>1782</v>
      </c>
      <c r="E319" s="20" t="s">
        <v>443</v>
      </c>
      <c r="F319" s="17" t="s">
        <v>1294</v>
      </c>
      <c r="G319" s="17" t="s">
        <v>123</v>
      </c>
      <c r="H319" s="17" t="s">
        <v>1816</v>
      </c>
      <c r="I319" s="17" t="s">
        <v>125</v>
      </c>
      <c r="J319" s="22" t="s">
        <v>144</v>
      </c>
      <c r="K319" s="23" t="s">
        <v>108</v>
      </c>
      <c r="L319" s="24" t="s">
        <v>91</v>
      </c>
      <c r="M319" s="2">
        <v>11.0</v>
      </c>
      <c r="N319" s="25">
        <v>31.0</v>
      </c>
      <c r="O319" s="25"/>
      <c r="P319" s="25"/>
    </row>
    <row r="320">
      <c r="A320" s="16">
        <v>318.0</v>
      </c>
      <c r="B320" s="17" t="s">
        <v>958</v>
      </c>
      <c r="C320" s="18">
        <v>19.0</v>
      </c>
      <c r="D320" s="19" t="s">
        <v>1782</v>
      </c>
      <c r="E320" s="20" t="s">
        <v>443</v>
      </c>
      <c r="F320" s="17" t="s">
        <v>950</v>
      </c>
      <c r="G320" s="17" t="s">
        <v>1817</v>
      </c>
      <c r="H320" s="17" t="s">
        <v>1818</v>
      </c>
      <c r="I320" s="17" t="s">
        <v>125</v>
      </c>
      <c r="J320" s="22" t="s">
        <v>144</v>
      </c>
      <c r="K320" s="23" t="s">
        <v>108</v>
      </c>
      <c r="L320" s="24" t="s">
        <v>91</v>
      </c>
      <c r="M320" s="2">
        <v>11.0</v>
      </c>
      <c r="N320" s="25">
        <v>31.0</v>
      </c>
      <c r="O320" s="25"/>
      <c r="P320" s="25"/>
    </row>
    <row r="321">
      <c r="A321" s="16">
        <v>319.0</v>
      </c>
      <c r="B321" s="17" t="s">
        <v>958</v>
      </c>
      <c r="C321" s="18">
        <v>20.0</v>
      </c>
      <c r="D321" s="19" t="s">
        <v>1782</v>
      </c>
      <c r="E321" s="20" t="s">
        <v>443</v>
      </c>
      <c r="F321" s="17" t="s">
        <v>1170</v>
      </c>
      <c r="G321" s="17" t="s">
        <v>1819</v>
      </c>
      <c r="H321" s="17" t="s">
        <v>1820</v>
      </c>
      <c r="I321" s="17" t="s">
        <v>125</v>
      </c>
      <c r="J321" s="22" t="s">
        <v>144</v>
      </c>
      <c r="K321" s="23" t="s">
        <v>108</v>
      </c>
      <c r="L321" s="24" t="s">
        <v>91</v>
      </c>
      <c r="M321" s="2">
        <v>11.0</v>
      </c>
      <c r="N321" s="25">
        <v>31.0</v>
      </c>
      <c r="O321" s="25"/>
      <c r="P321" s="25"/>
    </row>
    <row r="322">
      <c r="A322" s="16">
        <v>320.0</v>
      </c>
      <c r="B322" s="17" t="s">
        <v>958</v>
      </c>
      <c r="C322" s="18">
        <v>21.0</v>
      </c>
      <c r="D322" s="19" t="s">
        <v>1782</v>
      </c>
      <c r="E322" s="20" t="s">
        <v>443</v>
      </c>
      <c r="F322" s="17" t="s">
        <v>432</v>
      </c>
      <c r="G322" s="17" t="s">
        <v>1821</v>
      </c>
      <c r="H322" s="17" t="s">
        <v>1822</v>
      </c>
      <c r="I322" s="17" t="s">
        <v>125</v>
      </c>
      <c r="J322" s="22" t="s">
        <v>144</v>
      </c>
      <c r="K322" s="23" t="s">
        <v>108</v>
      </c>
      <c r="L322" s="24" t="s">
        <v>91</v>
      </c>
      <c r="M322" s="2">
        <v>11.0</v>
      </c>
      <c r="N322" s="25">
        <v>31.0</v>
      </c>
      <c r="O322" s="25"/>
      <c r="P322" s="25"/>
    </row>
    <row r="323">
      <c r="A323" s="16">
        <v>321.0</v>
      </c>
      <c r="B323" s="17" t="s">
        <v>958</v>
      </c>
      <c r="C323" s="18">
        <v>22.0</v>
      </c>
      <c r="D323" s="19" t="s">
        <v>1782</v>
      </c>
      <c r="E323" s="20" t="s">
        <v>443</v>
      </c>
      <c r="F323" s="17" t="s">
        <v>1295</v>
      </c>
      <c r="G323" s="17" t="s">
        <v>1823</v>
      </c>
      <c r="H323" s="17" t="s">
        <v>1824</v>
      </c>
      <c r="I323" s="17" t="s">
        <v>125</v>
      </c>
      <c r="J323" s="22" t="s">
        <v>144</v>
      </c>
      <c r="K323" s="23" t="s">
        <v>108</v>
      </c>
      <c r="L323" s="24" t="s">
        <v>91</v>
      </c>
      <c r="M323" s="2">
        <v>11.0</v>
      </c>
      <c r="N323" s="25">
        <v>31.0</v>
      </c>
      <c r="O323" s="25"/>
      <c r="P323" s="25"/>
    </row>
    <row r="324">
      <c r="A324" s="16">
        <v>322.0</v>
      </c>
      <c r="B324" s="17" t="s">
        <v>958</v>
      </c>
      <c r="C324" s="18">
        <v>23.0</v>
      </c>
      <c r="D324" s="19" t="s">
        <v>1782</v>
      </c>
      <c r="E324" s="20" t="s">
        <v>443</v>
      </c>
      <c r="F324" s="17" t="s">
        <v>1171</v>
      </c>
      <c r="G324" s="17" t="s">
        <v>1825</v>
      </c>
      <c r="H324" s="17" t="s">
        <v>1826</v>
      </c>
      <c r="I324" s="17" t="s">
        <v>125</v>
      </c>
      <c r="J324" s="22" t="s">
        <v>144</v>
      </c>
      <c r="K324" s="23" t="s">
        <v>108</v>
      </c>
      <c r="L324" s="24" t="s">
        <v>91</v>
      </c>
      <c r="M324" s="2">
        <v>11.0</v>
      </c>
      <c r="N324" s="25">
        <v>31.0</v>
      </c>
      <c r="O324" s="25"/>
      <c r="P324" s="25"/>
    </row>
    <row r="325">
      <c r="A325" s="16">
        <v>323.0</v>
      </c>
      <c r="B325" s="17" t="s">
        <v>958</v>
      </c>
      <c r="C325" s="18">
        <v>24.0</v>
      </c>
      <c r="D325" s="19" t="s">
        <v>1782</v>
      </c>
      <c r="E325" s="20" t="s">
        <v>443</v>
      </c>
      <c r="F325" s="17" t="s">
        <v>644</v>
      </c>
      <c r="G325" s="17" t="s">
        <v>1827</v>
      </c>
      <c r="H325" s="17" t="s">
        <v>1828</v>
      </c>
      <c r="I325" s="17" t="s">
        <v>125</v>
      </c>
      <c r="J325" s="22" t="s">
        <v>144</v>
      </c>
      <c r="K325" s="23" t="s">
        <v>108</v>
      </c>
      <c r="L325" s="24" t="s">
        <v>91</v>
      </c>
      <c r="M325" s="2">
        <v>11.0</v>
      </c>
      <c r="N325" s="25">
        <v>31.0</v>
      </c>
      <c r="O325" s="25"/>
      <c r="P325" s="25"/>
    </row>
    <row r="326">
      <c r="A326" s="16">
        <v>324.0</v>
      </c>
      <c r="B326" s="27" t="s">
        <v>958</v>
      </c>
      <c r="C326" s="18">
        <v>25.0</v>
      </c>
      <c r="D326" s="19" t="s">
        <v>1782</v>
      </c>
      <c r="E326" s="20" t="s">
        <v>443</v>
      </c>
      <c r="F326" s="27" t="s">
        <v>1830</v>
      </c>
      <c r="G326" s="17" t="s">
        <v>1831</v>
      </c>
      <c r="H326" s="17" t="s">
        <v>1832</v>
      </c>
      <c r="I326" s="17" t="s">
        <v>125</v>
      </c>
      <c r="J326" s="22" t="s">
        <v>144</v>
      </c>
      <c r="K326" s="23" t="s">
        <v>108</v>
      </c>
      <c r="L326" s="24"/>
      <c r="M326" s="2">
        <v>11.0</v>
      </c>
      <c r="N326" s="25">
        <v>31.0</v>
      </c>
      <c r="O326" s="25"/>
      <c r="P326" s="25"/>
    </row>
    <row r="327">
      <c r="A327" s="16">
        <v>325.0</v>
      </c>
      <c r="B327" s="17" t="s">
        <v>958</v>
      </c>
      <c r="C327" s="18">
        <v>26.0</v>
      </c>
      <c r="D327" s="19" t="s">
        <v>1833</v>
      </c>
      <c r="E327" s="20" t="s">
        <v>443</v>
      </c>
      <c r="F327" s="17" t="s">
        <v>1173</v>
      </c>
      <c r="G327" s="17" t="s">
        <v>123</v>
      </c>
      <c r="H327" s="17" t="s">
        <v>1834</v>
      </c>
      <c r="I327" s="17" t="s">
        <v>125</v>
      </c>
      <c r="J327" s="22" t="s">
        <v>144</v>
      </c>
      <c r="K327" s="23" t="s">
        <v>108</v>
      </c>
      <c r="L327" s="24" t="s">
        <v>91</v>
      </c>
      <c r="M327" s="2">
        <v>11.0</v>
      </c>
      <c r="N327" s="25">
        <v>31.0</v>
      </c>
      <c r="O327" s="25"/>
      <c r="P327" s="25"/>
    </row>
    <row r="328">
      <c r="A328" s="16">
        <v>326.0</v>
      </c>
      <c r="B328" s="17" t="s">
        <v>958</v>
      </c>
      <c r="C328" s="18">
        <v>27.0</v>
      </c>
      <c r="D328" s="19" t="s">
        <v>1833</v>
      </c>
      <c r="E328" s="20" t="s">
        <v>443</v>
      </c>
      <c r="F328" s="17" t="s">
        <v>1296</v>
      </c>
      <c r="G328" s="17" t="s">
        <v>123</v>
      </c>
      <c r="H328" s="17" t="s">
        <v>1835</v>
      </c>
      <c r="I328" s="17" t="s">
        <v>125</v>
      </c>
      <c r="J328" s="22" t="s">
        <v>144</v>
      </c>
      <c r="K328" s="23" t="s">
        <v>108</v>
      </c>
      <c r="L328" s="24" t="s">
        <v>91</v>
      </c>
      <c r="M328" s="2">
        <v>11.0</v>
      </c>
      <c r="N328" s="25">
        <v>31.0</v>
      </c>
      <c r="O328" s="25"/>
      <c r="P328" s="25"/>
    </row>
    <row r="329">
      <c r="A329" s="16">
        <v>327.0</v>
      </c>
      <c r="B329" s="17" t="s">
        <v>958</v>
      </c>
      <c r="C329" s="18">
        <v>28.0</v>
      </c>
      <c r="D329" s="19" t="s">
        <v>1833</v>
      </c>
      <c r="E329" s="20" t="s">
        <v>443</v>
      </c>
      <c r="F329" s="17" t="s">
        <v>951</v>
      </c>
      <c r="G329" s="17" t="s">
        <v>1836</v>
      </c>
      <c r="H329" s="17" t="s">
        <v>1837</v>
      </c>
      <c r="I329" s="17" t="s">
        <v>125</v>
      </c>
      <c r="J329" s="22" t="s">
        <v>144</v>
      </c>
      <c r="K329" s="23" t="s">
        <v>108</v>
      </c>
      <c r="L329" s="24" t="s">
        <v>91</v>
      </c>
      <c r="M329" s="2">
        <v>11.0</v>
      </c>
      <c r="N329" s="25">
        <v>31.0</v>
      </c>
      <c r="O329" s="25"/>
      <c r="P329" s="25"/>
    </row>
    <row r="330">
      <c r="A330" s="16">
        <v>328.0</v>
      </c>
      <c r="B330" s="17" t="s">
        <v>958</v>
      </c>
      <c r="C330" s="18">
        <v>29.0</v>
      </c>
      <c r="D330" s="19" t="s">
        <v>1833</v>
      </c>
      <c r="E330" s="20" t="s">
        <v>443</v>
      </c>
      <c r="F330" s="17" t="s">
        <v>1159</v>
      </c>
      <c r="G330" s="17" t="s">
        <v>1838</v>
      </c>
      <c r="H330" s="17" t="s">
        <v>1839</v>
      </c>
      <c r="I330" s="17" t="s">
        <v>1840</v>
      </c>
      <c r="J330" s="22" t="s">
        <v>144</v>
      </c>
      <c r="K330" s="23" t="s">
        <v>108</v>
      </c>
      <c r="L330" s="24" t="s">
        <v>91</v>
      </c>
      <c r="M330" s="2">
        <v>11.0</v>
      </c>
      <c r="N330" s="25">
        <v>31.0</v>
      </c>
      <c r="O330" s="25"/>
      <c r="P330" s="25"/>
    </row>
    <row r="331">
      <c r="A331" s="16">
        <v>329.0</v>
      </c>
      <c r="B331" s="17" t="s">
        <v>958</v>
      </c>
      <c r="C331" s="18">
        <v>30.0</v>
      </c>
      <c r="D331" s="19" t="s">
        <v>1833</v>
      </c>
      <c r="E331" s="20" t="s">
        <v>443</v>
      </c>
      <c r="F331" s="17" t="s">
        <v>1298</v>
      </c>
      <c r="G331" s="17" t="s">
        <v>1841</v>
      </c>
      <c r="H331" s="17" t="s">
        <v>1842</v>
      </c>
      <c r="I331" s="17" t="s">
        <v>1840</v>
      </c>
      <c r="J331" s="22" t="s">
        <v>144</v>
      </c>
      <c r="K331" s="23" t="s">
        <v>108</v>
      </c>
      <c r="L331" s="24" t="s">
        <v>91</v>
      </c>
      <c r="M331" s="2">
        <v>11.0</v>
      </c>
      <c r="N331" s="25">
        <v>31.0</v>
      </c>
      <c r="O331" s="25"/>
      <c r="P331" s="25"/>
    </row>
    <row r="332">
      <c r="A332" s="16">
        <v>330.0</v>
      </c>
      <c r="B332" s="17" t="s">
        <v>958</v>
      </c>
      <c r="C332" s="18">
        <v>31.0</v>
      </c>
      <c r="D332" s="19" t="s">
        <v>1833</v>
      </c>
      <c r="E332" s="20" t="s">
        <v>443</v>
      </c>
      <c r="F332" s="17" t="s">
        <v>1031</v>
      </c>
      <c r="G332" s="17" t="s">
        <v>123</v>
      </c>
      <c r="H332" s="17" t="s">
        <v>1843</v>
      </c>
      <c r="I332" s="17" t="s">
        <v>1840</v>
      </c>
      <c r="J332" s="22" t="s">
        <v>144</v>
      </c>
      <c r="K332" s="23" t="s">
        <v>108</v>
      </c>
      <c r="L332" s="24" t="s">
        <v>91</v>
      </c>
      <c r="M332" s="2">
        <v>11.0</v>
      </c>
      <c r="N332" s="25">
        <v>31.0</v>
      </c>
      <c r="O332" s="25"/>
      <c r="P332" s="25"/>
    </row>
    <row r="333">
      <c r="A333" s="16">
        <v>331.0</v>
      </c>
      <c r="B333" s="17" t="s">
        <v>958</v>
      </c>
      <c r="C333" s="18">
        <v>32.0</v>
      </c>
      <c r="D333" s="19" t="s">
        <v>1833</v>
      </c>
      <c r="E333" s="20" t="s">
        <v>443</v>
      </c>
      <c r="F333" s="17" t="s">
        <v>1042</v>
      </c>
      <c r="G333" s="17" t="s">
        <v>1844</v>
      </c>
      <c r="H333" s="17" t="s">
        <v>1845</v>
      </c>
      <c r="I333" s="17" t="s">
        <v>1840</v>
      </c>
      <c r="J333" s="22" t="s">
        <v>144</v>
      </c>
      <c r="K333" s="23" t="s">
        <v>108</v>
      </c>
      <c r="L333" s="24" t="s">
        <v>91</v>
      </c>
      <c r="M333" s="2">
        <v>11.0</v>
      </c>
      <c r="N333" s="25">
        <v>31.0</v>
      </c>
      <c r="O333" s="25"/>
      <c r="P333" s="25"/>
    </row>
    <row r="334">
      <c r="A334" s="16">
        <v>332.0</v>
      </c>
      <c r="B334" s="17" t="s">
        <v>958</v>
      </c>
      <c r="C334" s="18">
        <v>33.0</v>
      </c>
      <c r="D334" s="19" t="s">
        <v>1833</v>
      </c>
      <c r="E334" s="20" t="s">
        <v>443</v>
      </c>
      <c r="F334" s="17" t="s">
        <v>1043</v>
      </c>
      <c r="G334" s="17" t="s">
        <v>1846</v>
      </c>
      <c r="H334" s="17" t="s">
        <v>1847</v>
      </c>
      <c r="I334" s="17" t="s">
        <v>1840</v>
      </c>
      <c r="J334" s="22" t="s">
        <v>144</v>
      </c>
      <c r="K334" s="23" t="s">
        <v>108</v>
      </c>
      <c r="L334" s="24" t="s">
        <v>91</v>
      </c>
      <c r="M334" s="2">
        <v>11.0</v>
      </c>
      <c r="N334" s="25">
        <v>31.0</v>
      </c>
      <c r="O334" s="25"/>
      <c r="P334" s="25"/>
    </row>
    <row r="335">
      <c r="A335" s="16">
        <v>333.0</v>
      </c>
      <c r="B335" s="17" t="s">
        <v>958</v>
      </c>
      <c r="C335" s="18">
        <v>34.0</v>
      </c>
      <c r="D335" s="19" t="s">
        <v>1833</v>
      </c>
      <c r="E335" s="20" t="s">
        <v>443</v>
      </c>
      <c r="F335" s="17" t="s">
        <v>1044</v>
      </c>
      <c r="G335" s="17" t="s">
        <v>1848</v>
      </c>
      <c r="H335" s="17" t="s">
        <v>1847</v>
      </c>
      <c r="I335" s="17" t="s">
        <v>1840</v>
      </c>
      <c r="J335" s="22" t="s">
        <v>144</v>
      </c>
      <c r="K335" s="23" t="s">
        <v>108</v>
      </c>
      <c r="L335" s="24" t="s">
        <v>91</v>
      </c>
      <c r="M335" s="2">
        <v>11.0</v>
      </c>
      <c r="N335" s="25">
        <v>31.0</v>
      </c>
      <c r="O335" s="25"/>
      <c r="P335" s="25"/>
    </row>
    <row r="336">
      <c r="A336" s="16">
        <v>334.0</v>
      </c>
      <c r="B336" s="17" t="s">
        <v>958</v>
      </c>
      <c r="C336" s="18">
        <v>35.0</v>
      </c>
      <c r="D336" s="19" t="s">
        <v>1833</v>
      </c>
      <c r="E336" s="20" t="s">
        <v>443</v>
      </c>
      <c r="F336" s="17" t="s">
        <v>943</v>
      </c>
      <c r="G336" s="17" t="s">
        <v>1849</v>
      </c>
      <c r="H336" s="17" t="s">
        <v>1753</v>
      </c>
      <c r="I336" s="17" t="s">
        <v>1840</v>
      </c>
      <c r="J336" s="22" t="s">
        <v>144</v>
      </c>
      <c r="K336" s="23" t="s">
        <v>108</v>
      </c>
      <c r="L336" s="24" t="s">
        <v>91</v>
      </c>
      <c r="M336" s="2">
        <v>11.0</v>
      </c>
      <c r="N336" s="25">
        <v>31.0</v>
      </c>
      <c r="O336" s="25"/>
      <c r="P336" s="25"/>
    </row>
    <row r="337">
      <c r="A337" s="16">
        <v>335.0</v>
      </c>
      <c r="B337" s="17" t="s">
        <v>958</v>
      </c>
      <c r="C337" s="18">
        <v>36.0</v>
      </c>
      <c r="D337" s="19" t="s">
        <v>1833</v>
      </c>
      <c r="E337" s="20" t="s">
        <v>443</v>
      </c>
      <c r="F337" s="17" t="s">
        <v>945</v>
      </c>
      <c r="G337" s="17" t="s">
        <v>1850</v>
      </c>
      <c r="H337" s="17" t="s">
        <v>1851</v>
      </c>
      <c r="I337" s="17" t="s">
        <v>1840</v>
      </c>
      <c r="J337" s="22" t="s">
        <v>144</v>
      </c>
      <c r="K337" s="23" t="s">
        <v>108</v>
      </c>
      <c r="L337" s="24" t="s">
        <v>91</v>
      </c>
      <c r="M337" s="2">
        <v>11.0</v>
      </c>
      <c r="N337" s="25">
        <v>31.0</v>
      </c>
      <c r="O337" s="25"/>
      <c r="P337" s="25"/>
    </row>
    <row r="338">
      <c r="A338" s="16">
        <v>336.0</v>
      </c>
      <c r="B338" s="17" t="s">
        <v>958</v>
      </c>
      <c r="C338" s="18">
        <v>37.0</v>
      </c>
      <c r="D338" s="19" t="s">
        <v>1833</v>
      </c>
      <c r="E338" s="20" t="s">
        <v>443</v>
      </c>
      <c r="F338" s="17" t="s">
        <v>841</v>
      </c>
      <c r="G338" s="17" t="s">
        <v>1853</v>
      </c>
      <c r="H338" s="17" t="s">
        <v>1847</v>
      </c>
      <c r="I338" s="17" t="s">
        <v>1840</v>
      </c>
      <c r="J338" s="22" t="s">
        <v>144</v>
      </c>
      <c r="K338" s="23" t="s">
        <v>108</v>
      </c>
      <c r="L338" s="24" t="s">
        <v>91</v>
      </c>
      <c r="M338" s="2">
        <v>11.0</v>
      </c>
      <c r="N338" s="25">
        <v>31.0</v>
      </c>
      <c r="O338" s="25"/>
      <c r="P338" s="25"/>
    </row>
    <row r="339">
      <c r="A339" s="16">
        <v>337.0</v>
      </c>
      <c r="B339" s="17" t="s">
        <v>958</v>
      </c>
      <c r="C339" s="18">
        <v>38.0</v>
      </c>
      <c r="D339" s="19" t="s">
        <v>1833</v>
      </c>
      <c r="E339" s="20" t="s">
        <v>443</v>
      </c>
      <c r="F339" s="17" t="s">
        <v>1032</v>
      </c>
      <c r="G339" s="17" t="s">
        <v>1750</v>
      </c>
      <c r="H339" s="17" t="s">
        <v>1854</v>
      </c>
      <c r="I339" s="17" t="s">
        <v>1840</v>
      </c>
      <c r="J339" s="22" t="s">
        <v>144</v>
      </c>
      <c r="K339" s="23" t="s">
        <v>108</v>
      </c>
      <c r="L339" s="24" t="s">
        <v>91</v>
      </c>
      <c r="M339" s="2">
        <v>11.0</v>
      </c>
      <c r="N339" s="25">
        <v>31.0</v>
      </c>
      <c r="O339" s="25"/>
      <c r="P339" s="25"/>
    </row>
    <row r="340">
      <c r="A340" s="16">
        <v>338.0</v>
      </c>
      <c r="B340" s="17" t="s">
        <v>958</v>
      </c>
      <c r="C340" s="18">
        <v>39.0</v>
      </c>
      <c r="D340" s="19" t="s">
        <v>1833</v>
      </c>
      <c r="E340" s="20" t="s">
        <v>443</v>
      </c>
      <c r="F340" s="17" t="s">
        <v>1300</v>
      </c>
      <c r="G340" s="17" t="s">
        <v>1855</v>
      </c>
      <c r="H340" s="17" t="s">
        <v>1854</v>
      </c>
      <c r="I340" s="17" t="s">
        <v>1840</v>
      </c>
      <c r="J340" s="22" t="s">
        <v>144</v>
      </c>
      <c r="K340" s="23" t="s">
        <v>108</v>
      </c>
      <c r="L340" s="24" t="s">
        <v>91</v>
      </c>
      <c r="M340" s="2">
        <v>11.0</v>
      </c>
      <c r="N340" s="25">
        <v>31.0</v>
      </c>
      <c r="O340" s="25"/>
      <c r="P340" s="25"/>
    </row>
    <row r="341">
      <c r="A341" s="16">
        <v>339.0</v>
      </c>
      <c r="B341" s="17" t="s">
        <v>958</v>
      </c>
      <c r="C341" s="18">
        <v>40.0</v>
      </c>
      <c r="D341" s="19" t="s">
        <v>1833</v>
      </c>
      <c r="E341" s="20" t="s">
        <v>443</v>
      </c>
      <c r="F341" s="17" t="s">
        <v>1301</v>
      </c>
      <c r="G341" s="17" t="s">
        <v>1856</v>
      </c>
      <c r="H341" s="17" t="s">
        <v>1857</v>
      </c>
      <c r="I341" s="17" t="s">
        <v>1840</v>
      </c>
      <c r="J341" s="22" t="s">
        <v>144</v>
      </c>
      <c r="K341" s="23" t="s">
        <v>108</v>
      </c>
      <c r="L341" s="24" t="s">
        <v>91</v>
      </c>
      <c r="M341" s="2">
        <v>11.0</v>
      </c>
      <c r="N341" s="25">
        <v>31.0</v>
      </c>
      <c r="O341" s="25"/>
      <c r="P341" s="25"/>
    </row>
    <row r="342">
      <c r="A342" s="16">
        <v>340.0</v>
      </c>
      <c r="B342" s="17" t="s">
        <v>958</v>
      </c>
      <c r="C342" s="18">
        <v>41.0</v>
      </c>
      <c r="D342" s="19" t="s">
        <v>1833</v>
      </c>
      <c r="E342" s="20" t="s">
        <v>443</v>
      </c>
      <c r="F342" s="17" t="s">
        <v>890</v>
      </c>
      <c r="G342" s="17" t="s">
        <v>892</v>
      </c>
      <c r="H342" s="17" t="s">
        <v>894</v>
      </c>
      <c r="I342" s="17" t="s">
        <v>1840</v>
      </c>
      <c r="J342" s="22" t="s">
        <v>144</v>
      </c>
      <c r="K342" s="23" t="s">
        <v>108</v>
      </c>
      <c r="L342" s="24" t="s">
        <v>91</v>
      </c>
      <c r="M342" s="2">
        <v>11.0</v>
      </c>
      <c r="N342" s="25">
        <v>31.0</v>
      </c>
      <c r="O342" s="25"/>
      <c r="P342" s="25"/>
    </row>
    <row r="343">
      <c r="A343" s="16">
        <v>341.0</v>
      </c>
      <c r="B343" s="27" t="s">
        <v>958</v>
      </c>
      <c r="C343" s="18">
        <v>42.0</v>
      </c>
      <c r="D343" s="19" t="s">
        <v>1833</v>
      </c>
      <c r="E343" s="20" t="s">
        <v>443</v>
      </c>
      <c r="F343" s="27" t="s">
        <v>910</v>
      </c>
      <c r="G343" s="17" t="s">
        <v>123</v>
      </c>
      <c r="H343" s="17" t="s">
        <v>1859</v>
      </c>
      <c r="I343" s="17" t="s">
        <v>125</v>
      </c>
      <c r="J343" s="22" t="s">
        <v>144</v>
      </c>
      <c r="K343" s="23" t="s">
        <v>108</v>
      </c>
      <c r="L343" s="24"/>
      <c r="M343" s="2">
        <v>11.0</v>
      </c>
      <c r="N343" s="25">
        <v>31.0</v>
      </c>
      <c r="O343" s="25"/>
      <c r="P343" s="25"/>
    </row>
    <row r="344">
      <c r="A344" s="16">
        <v>342.0</v>
      </c>
      <c r="B344" s="27" t="s">
        <v>958</v>
      </c>
      <c r="C344" s="18">
        <v>43.0</v>
      </c>
      <c r="D344" s="19" t="s">
        <v>1833</v>
      </c>
      <c r="E344" s="20" t="s">
        <v>443</v>
      </c>
      <c r="F344" s="27" t="s">
        <v>1077</v>
      </c>
      <c r="G344" s="17" t="s">
        <v>1860</v>
      </c>
      <c r="H344" s="17" t="s">
        <v>1861</v>
      </c>
      <c r="I344" s="17" t="s">
        <v>125</v>
      </c>
      <c r="J344" s="22" t="s">
        <v>144</v>
      </c>
      <c r="K344" s="23" t="s">
        <v>108</v>
      </c>
      <c r="L344" s="24"/>
      <c r="M344" s="2">
        <v>11.0</v>
      </c>
      <c r="N344" s="25">
        <v>31.0</v>
      </c>
      <c r="O344" s="25"/>
      <c r="P344" s="25"/>
    </row>
    <row r="345">
      <c r="A345" s="16">
        <v>343.0</v>
      </c>
      <c r="B345" s="27" t="s">
        <v>958</v>
      </c>
      <c r="C345" s="18">
        <v>44.0</v>
      </c>
      <c r="D345" s="19" t="s">
        <v>1833</v>
      </c>
      <c r="E345" s="20" t="s">
        <v>443</v>
      </c>
      <c r="F345" s="27" t="s">
        <v>1258</v>
      </c>
      <c r="G345" s="17" t="s">
        <v>1862</v>
      </c>
      <c r="H345" s="17" t="s">
        <v>894</v>
      </c>
      <c r="I345" s="17" t="s">
        <v>125</v>
      </c>
      <c r="J345" s="22" t="s">
        <v>144</v>
      </c>
      <c r="K345" s="23" t="s">
        <v>108</v>
      </c>
      <c r="L345" s="24"/>
      <c r="M345" s="2">
        <v>11.0</v>
      </c>
      <c r="N345" s="25">
        <v>31.0</v>
      </c>
      <c r="O345" s="25"/>
      <c r="P345" s="25"/>
    </row>
    <row r="346">
      <c r="A346" s="16">
        <v>344.0</v>
      </c>
      <c r="B346" s="27" t="s">
        <v>958</v>
      </c>
      <c r="C346" s="18">
        <v>45.0</v>
      </c>
      <c r="D346" s="19" t="s">
        <v>1833</v>
      </c>
      <c r="E346" s="20" t="s">
        <v>443</v>
      </c>
      <c r="F346" s="27" t="s">
        <v>1863</v>
      </c>
      <c r="G346" s="17" t="s">
        <v>123</v>
      </c>
      <c r="H346" s="17" t="s">
        <v>1864</v>
      </c>
      <c r="I346" s="17" t="s">
        <v>125</v>
      </c>
      <c r="J346" s="22" t="s">
        <v>144</v>
      </c>
      <c r="K346" s="23" t="s">
        <v>108</v>
      </c>
      <c r="L346" s="24"/>
      <c r="M346" s="2">
        <v>11.0</v>
      </c>
      <c r="N346" s="25">
        <v>31.0</v>
      </c>
      <c r="O346" s="25"/>
      <c r="P346" s="25"/>
    </row>
    <row r="347">
      <c r="A347" s="16">
        <v>345.0</v>
      </c>
      <c r="B347" s="27" t="s">
        <v>958</v>
      </c>
      <c r="C347" s="18">
        <v>46.0</v>
      </c>
      <c r="D347" s="19" t="s">
        <v>1833</v>
      </c>
      <c r="E347" s="20" t="s">
        <v>443</v>
      </c>
      <c r="F347" s="27" t="s">
        <v>1168</v>
      </c>
      <c r="G347" s="17" t="s">
        <v>1865</v>
      </c>
      <c r="H347" s="17" t="s">
        <v>1866</v>
      </c>
      <c r="I347" s="17" t="s">
        <v>125</v>
      </c>
      <c r="J347" s="22" t="s">
        <v>144</v>
      </c>
      <c r="K347" s="23" t="s">
        <v>108</v>
      </c>
      <c r="L347" s="24"/>
      <c r="M347" s="2">
        <v>11.0</v>
      </c>
      <c r="N347" s="25">
        <v>31.0</v>
      </c>
      <c r="O347" s="25"/>
      <c r="P347" s="25"/>
    </row>
    <row r="348">
      <c r="A348" s="16">
        <v>346.0</v>
      </c>
      <c r="B348" s="27" t="s">
        <v>958</v>
      </c>
      <c r="C348" s="18">
        <v>47.0</v>
      </c>
      <c r="D348" s="19" t="s">
        <v>1833</v>
      </c>
      <c r="E348" s="20" t="s">
        <v>443</v>
      </c>
      <c r="F348" s="27" t="s">
        <v>1085</v>
      </c>
      <c r="G348" s="17" t="s">
        <v>1867</v>
      </c>
      <c r="H348" s="17" t="s">
        <v>1868</v>
      </c>
      <c r="I348" s="17" t="s">
        <v>125</v>
      </c>
      <c r="J348" s="22" t="s">
        <v>144</v>
      </c>
      <c r="K348" s="23" t="s">
        <v>108</v>
      </c>
      <c r="L348" s="24"/>
      <c r="M348" s="2">
        <v>11.0</v>
      </c>
      <c r="N348" s="25">
        <v>31.0</v>
      </c>
      <c r="O348" s="25"/>
      <c r="P348" s="25"/>
    </row>
    <row r="349">
      <c r="A349" s="16">
        <v>347.0</v>
      </c>
      <c r="B349" s="27" t="s">
        <v>958</v>
      </c>
      <c r="C349" s="18">
        <v>48.0</v>
      </c>
      <c r="D349" s="19" t="s">
        <v>1833</v>
      </c>
      <c r="E349" s="20" t="s">
        <v>443</v>
      </c>
      <c r="F349" s="27" t="s">
        <v>1308</v>
      </c>
      <c r="G349" s="17" t="s">
        <v>1870</v>
      </c>
      <c r="H349" s="17" t="s">
        <v>1871</v>
      </c>
      <c r="I349" s="17" t="s">
        <v>125</v>
      </c>
      <c r="J349" s="22" t="s">
        <v>144</v>
      </c>
      <c r="K349" s="23" t="s">
        <v>108</v>
      </c>
      <c r="L349" s="24"/>
      <c r="M349" s="2">
        <v>11.0</v>
      </c>
      <c r="N349" s="25">
        <v>31.0</v>
      </c>
      <c r="O349" s="25"/>
      <c r="P349" s="25"/>
    </row>
    <row r="350">
      <c r="A350" s="16">
        <v>348.0</v>
      </c>
      <c r="B350" s="27" t="s">
        <v>958</v>
      </c>
      <c r="C350" s="18">
        <v>49.0</v>
      </c>
      <c r="D350" s="19" t="s">
        <v>1833</v>
      </c>
      <c r="E350" s="20" t="s">
        <v>443</v>
      </c>
      <c r="F350" s="27" t="s">
        <v>1320</v>
      </c>
      <c r="G350" s="17" t="s">
        <v>1872</v>
      </c>
      <c r="H350" s="17" t="s">
        <v>1873</v>
      </c>
      <c r="I350" s="17" t="s">
        <v>125</v>
      </c>
      <c r="J350" s="22" t="s">
        <v>144</v>
      </c>
      <c r="K350" s="23" t="s">
        <v>108</v>
      </c>
      <c r="L350" s="24"/>
      <c r="M350" s="2">
        <v>11.0</v>
      </c>
      <c r="N350" s="25">
        <v>31.0</v>
      </c>
      <c r="O350" s="25"/>
      <c r="P350" s="25"/>
    </row>
    <row r="351">
      <c r="A351" s="16">
        <v>349.0</v>
      </c>
      <c r="B351" s="27" t="s">
        <v>958</v>
      </c>
      <c r="C351" s="18">
        <v>50.0</v>
      </c>
      <c r="D351" s="19" t="s">
        <v>1833</v>
      </c>
      <c r="E351" s="20" t="s">
        <v>443</v>
      </c>
      <c r="F351" s="27" t="s">
        <v>914</v>
      </c>
      <c r="G351" s="17" t="s">
        <v>1874</v>
      </c>
      <c r="H351" s="17" t="s">
        <v>1875</v>
      </c>
      <c r="I351" s="17" t="s">
        <v>125</v>
      </c>
      <c r="J351" s="22" t="s">
        <v>144</v>
      </c>
      <c r="K351" s="23" t="s">
        <v>108</v>
      </c>
      <c r="L351" s="24"/>
      <c r="M351" s="2">
        <v>11.0</v>
      </c>
      <c r="N351" s="25">
        <v>31.0</v>
      </c>
      <c r="O351" s="25"/>
      <c r="P351" s="25"/>
    </row>
    <row r="352">
      <c r="A352" s="16">
        <v>350.0</v>
      </c>
      <c r="B352" s="17" t="s">
        <v>417</v>
      </c>
      <c r="C352" s="18">
        <v>1.0</v>
      </c>
      <c r="D352" s="19" t="s">
        <v>1876</v>
      </c>
      <c r="E352" s="20" t="s">
        <v>443</v>
      </c>
      <c r="F352" s="17" t="s">
        <v>634</v>
      </c>
      <c r="G352" s="17" t="s">
        <v>123</v>
      </c>
      <c r="H352" s="17" t="s">
        <v>1877</v>
      </c>
      <c r="I352" s="17" t="s">
        <v>98</v>
      </c>
      <c r="J352" s="22" t="s">
        <v>100</v>
      </c>
      <c r="K352" s="23" t="s">
        <v>108</v>
      </c>
      <c r="L352" s="24" t="s">
        <v>1010</v>
      </c>
      <c r="M352" s="2">
        <v>12.0</v>
      </c>
      <c r="N352" s="25">
        <v>15.0</v>
      </c>
      <c r="O352" s="25"/>
      <c r="P352" s="25"/>
    </row>
    <row r="353">
      <c r="A353" s="16">
        <v>351.0</v>
      </c>
      <c r="B353" s="17" t="s">
        <v>417</v>
      </c>
      <c r="C353" s="18">
        <v>2.0</v>
      </c>
      <c r="D353" s="19" t="s">
        <v>1876</v>
      </c>
      <c r="E353" s="20" t="s">
        <v>443</v>
      </c>
      <c r="F353" s="17" t="s">
        <v>401</v>
      </c>
      <c r="G353" s="17" t="s">
        <v>123</v>
      </c>
      <c r="H353" s="17" t="s">
        <v>1882</v>
      </c>
      <c r="I353" s="17" t="s">
        <v>98</v>
      </c>
      <c r="J353" s="22" t="s">
        <v>100</v>
      </c>
      <c r="K353" s="23" t="s">
        <v>108</v>
      </c>
      <c r="L353" s="24" t="s">
        <v>1010</v>
      </c>
      <c r="M353" s="2">
        <v>12.0</v>
      </c>
      <c r="N353" s="25">
        <v>15.0</v>
      </c>
      <c r="O353" s="25"/>
      <c r="P353" s="25"/>
    </row>
    <row r="354">
      <c r="A354" s="16">
        <v>352.0</v>
      </c>
      <c r="B354" s="17" t="s">
        <v>417</v>
      </c>
      <c r="C354" s="18">
        <v>3.0</v>
      </c>
      <c r="D354" s="19" t="s">
        <v>1876</v>
      </c>
      <c r="E354" s="20" t="s">
        <v>443</v>
      </c>
      <c r="F354" s="17" t="s">
        <v>404</v>
      </c>
      <c r="G354" s="17" t="s">
        <v>1883</v>
      </c>
      <c r="H354" s="17" t="s">
        <v>1884</v>
      </c>
      <c r="I354" s="17" t="s">
        <v>98</v>
      </c>
      <c r="J354" s="22" t="s">
        <v>135</v>
      </c>
      <c r="K354" s="23" t="s">
        <v>108</v>
      </c>
      <c r="L354" s="24" t="s">
        <v>91</v>
      </c>
      <c r="M354" s="2">
        <v>12.0</v>
      </c>
      <c r="N354" s="25">
        <v>20.0</v>
      </c>
      <c r="O354" s="25"/>
      <c r="P354" s="25"/>
    </row>
    <row r="355">
      <c r="A355" s="16">
        <v>353.0</v>
      </c>
      <c r="B355" s="17" t="s">
        <v>417</v>
      </c>
      <c r="C355" s="18">
        <v>4.0</v>
      </c>
      <c r="D355" s="19" t="s">
        <v>1876</v>
      </c>
      <c r="E355" s="20" t="s">
        <v>443</v>
      </c>
      <c r="F355" s="17" t="s">
        <v>19</v>
      </c>
      <c r="G355" s="17" t="s">
        <v>1512</v>
      </c>
      <c r="H355" s="17" t="s">
        <v>1886</v>
      </c>
      <c r="I355" s="17" t="s">
        <v>98</v>
      </c>
      <c r="J355" s="22" t="s">
        <v>135</v>
      </c>
      <c r="K355" s="23" t="s">
        <v>108</v>
      </c>
      <c r="L355" s="24" t="s">
        <v>91</v>
      </c>
      <c r="M355" s="2">
        <v>12.0</v>
      </c>
      <c r="N355" s="25">
        <v>20.0</v>
      </c>
      <c r="O355" s="25"/>
      <c r="P355" s="25"/>
    </row>
    <row r="356">
      <c r="A356" s="16">
        <v>354.0</v>
      </c>
      <c r="B356" s="17" t="s">
        <v>417</v>
      </c>
      <c r="C356" s="18">
        <v>5.0</v>
      </c>
      <c r="D356" s="19" t="s">
        <v>1876</v>
      </c>
      <c r="E356" s="20" t="s">
        <v>443</v>
      </c>
      <c r="F356" s="17" t="s">
        <v>222</v>
      </c>
      <c r="G356" s="17" t="s">
        <v>1101</v>
      </c>
      <c r="H356" s="17" t="s">
        <v>1514</v>
      </c>
      <c r="I356" s="17" t="s">
        <v>98</v>
      </c>
      <c r="J356" s="22" t="s">
        <v>135</v>
      </c>
      <c r="K356" s="23" t="s">
        <v>108</v>
      </c>
      <c r="L356" s="24" t="s">
        <v>91</v>
      </c>
      <c r="M356" s="2">
        <v>12.0</v>
      </c>
      <c r="N356" s="25">
        <v>20.0</v>
      </c>
      <c r="O356" s="25"/>
      <c r="P356" s="25"/>
    </row>
    <row r="357">
      <c r="A357" s="16">
        <v>355.0</v>
      </c>
      <c r="B357" s="17" t="s">
        <v>417</v>
      </c>
      <c r="C357" s="18">
        <v>6.0</v>
      </c>
      <c r="D357" s="19" t="s">
        <v>1876</v>
      </c>
      <c r="E357" s="20" t="s">
        <v>443</v>
      </c>
      <c r="F357" s="17" t="s">
        <v>84</v>
      </c>
      <c r="G357" s="17" t="s">
        <v>1523</v>
      </c>
      <c r="H357" s="17" t="s">
        <v>1887</v>
      </c>
      <c r="I357" s="17" t="s">
        <v>98</v>
      </c>
      <c r="J357" s="22" t="s">
        <v>135</v>
      </c>
      <c r="K357" s="23" t="s">
        <v>108</v>
      </c>
      <c r="L357" s="24" t="s">
        <v>91</v>
      </c>
      <c r="M357" s="2">
        <v>12.0</v>
      </c>
      <c r="N357" s="25">
        <v>20.0</v>
      </c>
      <c r="O357" s="25"/>
      <c r="P357" s="25"/>
    </row>
    <row r="358">
      <c r="A358" s="16">
        <v>356.0</v>
      </c>
      <c r="B358" s="17" t="s">
        <v>417</v>
      </c>
      <c r="C358" s="18">
        <v>7.0</v>
      </c>
      <c r="D358" s="19" t="s">
        <v>1876</v>
      </c>
      <c r="E358" s="20" t="s">
        <v>443</v>
      </c>
      <c r="F358" s="17" t="s">
        <v>414</v>
      </c>
      <c r="G358" s="17" t="s">
        <v>1451</v>
      </c>
      <c r="H358" s="17" t="s">
        <v>1453</v>
      </c>
      <c r="I358" s="17" t="s">
        <v>98</v>
      </c>
      <c r="J358" s="22" t="s">
        <v>135</v>
      </c>
      <c r="K358" s="23" t="s">
        <v>108</v>
      </c>
      <c r="L358" s="24" t="s">
        <v>91</v>
      </c>
      <c r="M358" s="2">
        <v>12.0</v>
      </c>
      <c r="N358" s="25">
        <v>20.0</v>
      </c>
      <c r="O358" s="25"/>
      <c r="P358" s="25"/>
    </row>
    <row r="359">
      <c r="A359" s="16">
        <v>357.0</v>
      </c>
      <c r="B359" s="17" t="s">
        <v>417</v>
      </c>
      <c r="C359" s="18">
        <v>8.0</v>
      </c>
      <c r="D359" s="19" t="s">
        <v>1876</v>
      </c>
      <c r="E359" s="20" t="s">
        <v>443</v>
      </c>
      <c r="F359" s="17" t="s">
        <v>81</v>
      </c>
      <c r="G359" s="17" t="s">
        <v>1527</v>
      </c>
      <c r="H359" s="17" t="s">
        <v>1528</v>
      </c>
      <c r="I359" s="17" t="s">
        <v>98</v>
      </c>
      <c r="J359" s="22" t="s">
        <v>135</v>
      </c>
      <c r="K359" s="23" t="s">
        <v>108</v>
      </c>
      <c r="L359" s="24" t="s">
        <v>91</v>
      </c>
      <c r="M359" s="2">
        <v>12.0</v>
      </c>
      <c r="N359" s="25">
        <v>20.0</v>
      </c>
      <c r="O359" s="25"/>
      <c r="P359" s="25"/>
    </row>
    <row r="360">
      <c r="A360" s="16">
        <v>358.0</v>
      </c>
      <c r="B360" s="17" t="s">
        <v>417</v>
      </c>
      <c r="C360" s="18">
        <v>9.0</v>
      </c>
      <c r="D360" s="19" t="s">
        <v>1876</v>
      </c>
      <c r="E360" s="20" t="s">
        <v>443</v>
      </c>
      <c r="F360" s="17" t="s">
        <v>1302</v>
      </c>
      <c r="G360" s="17" t="s">
        <v>1888</v>
      </c>
      <c r="H360" s="17" t="s">
        <v>1889</v>
      </c>
      <c r="I360" s="17" t="s">
        <v>98</v>
      </c>
      <c r="J360" s="22" t="s">
        <v>135</v>
      </c>
      <c r="K360" s="23" t="s">
        <v>108</v>
      </c>
      <c r="L360" s="24" t="s">
        <v>91</v>
      </c>
      <c r="M360" s="2">
        <v>12.0</v>
      </c>
      <c r="N360" s="25">
        <v>20.0</v>
      </c>
      <c r="O360" s="25"/>
      <c r="P360" s="25"/>
    </row>
    <row r="361">
      <c r="A361" s="16">
        <v>359.0</v>
      </c>
      <c r="B361" s="17" t="s">
        <v>417</v>
      </c>
      <c r="C361" s="18">
        <v>10.0</v>
      </c>
      <c r="D361" s="19" t="s">
        <v>1876</v>
      </c>
      <c r="E361" s="20" t="s">
        <v>443</v>
      </c>
      <c r="F361" s="17" t="s">
        <v>138</v>
      </c>
      <c r="G361" s="17" t="s">
        <v>1890</v>
      </c>
      <c r="H361" s="17" t="s">
        <v>1453</v>
      </c>
      <c r="I361" s="17" t="s">
        <v>98</v>
      </c>
      <c r="J361" s="22" t="s">
        <v>135</v>
      </c>
      <c r="K361" s="23" t="s">
        <v>108</v>
      </c>
      <c r="L361" s="24" t="s">
        <v>91</v>
      </c>
      <c r="M361" s="2">
        <v>12.0</v>
      </c>
      <c r="N361" s="25">
        <v>20.0</v>
      </c>
      <c r="O361" s="25"/>
      <c r="P361" s="25"/>
    </row>
    <row r="362">
      <c r="A362" s="16">
        <v>360.0</v>
      </c>
      <c r="B362" s="17" t="s">
        <v>417</v>
      </c>
      <c r="C362" s="18">
        <v>11.0</v>
      </c>
      <c r="D362" s="19" t="s">
        <v>1876</v>
      </c>
      <c r="E362" s="20" t="s">
        <v>443</v>
      </c>
      <c r="F362" s="17" t="s">
        <v>254</v>
      </c>
      <c r="G362" s="17" t="s">
        <v>1891</v>
      </c>
      <c r="H362" s="17" t="s">
        <v>1892</v>
      </c>
      <c r="I362" s="17" t="s">
        <v>98</v>
      </c>
      <c r="J362" s="22" t="s">
        <v>135</v>
      </c>
      <c r="K362" s="23" t="s">
        <v>108</v>
      </c>
      <c r="L362" s="24" t="s">
        <v>91</v>
      </c>
      <c r="M362" s="2">
        <v>12.0</v>
      </c>
      <c r="N362" s="25">
        <v>20.0</v>
      </c>
      <c r="O362" s="25"/>
      <c r="P362" s="25"/>
    </row>
    <row r="363">
      <c r="A363" s="16">
        <v>361.0</v>
      </c>
      <c r="B363" s="17" t="s">
        <v>417</v>
      </c>
      <c r="C363" s="18">
        <v>12.0</v>
      </c>
      <c r="D363" s="19" t="s">
        <v>1876</v>
      </c>
      <c r="E363" s="20" t="s">
        <v>443</v>
      </c>
      <c r="F363" s="17" t="s">
        <v>1175</v>
      </c>
      <c r="G363" s="17" t="s">
        <v>1893</v>
      </c>
      <c r="H363" s="17" t="s">
        <v>1894</v>
      </c>
      <c r="I363" s="17" t="s">
        <v>98</v>
      </c>
      <c r="J363" s="22" t="s">
        <v>135</v>
      </c>
      <c r="K363" s="23" t="s">
        <v>108</v>
      </c>
      <c r="L363" s="24" t="s">
        <v>91</v>
      </c>
      <c r="M363" s="2">
        <v>12.0</v>
      </c>
      <c r="N363" s="25">
        <v>20.0</v>
      </c>
      <c r="O363" s="25"/>
      <c r="P363" s="25"/>
    </row>
    <row r="364">
      <c r="A364" s="16">
        <v>362.0</v>
      </c>
      <c r="B364" s="17" t="s">
        <v>417</v>
      </c>
      <c r="C364" s="18">
        <v>13.0</v>
      </c>
      <c r="D364" s="19" t="s">
        <v>1876</v>
      </c>
      <c r="E364" s="20" t="s">
        <v>443</v>
      </c>
      <c r="F364" s="17" t="s">
        <v>82</v>
      </c>
      <c r="G364" s="17" t="s">
        <v>1525</v>
      </c>
      <c r="H364" s="17" t="s">
        <v>1895</v>
      </c>
      <c r="I364" s="17" t="s">
        <v>98</v>
      </c>
      <c r="J364" s="22" t="s">
        <v>135</v>
      </c>
      <c r="K364" s="23" t="s">
        <v>108</v>
      </c>
      <c r="L364" s="24" t="s">
        <v>91</v>
      </c>
      <c r="M364" s="2">
        <v>12.0</v>
      </c>
      <c r="N364" s="25">
        <v>20.0</v>
      </c>
      <c r="O364" s="25"/>
      <c r="P364" s="25"/>
    </row>
    <row r="365">
      <c r="A365" s="16">
        <v>363.0</v>
      </c>
      <c r="B365" s="17" t="s">
        <v>417</v>
      </c>
      <c r="C365" s="18">
        <v>14.0</v>
      </c>
      <c r="D365" s="19" t="s">
        <v>1876</v>
      </c>
      <c r="E365" s="20" t="s">
        <v>443</v>
      </c>
      <c r="F365" s="17" t="s">
        <v>838</v>
      </c>
      <c r="G365" s="17" t="s">
        <v>1290</v>
      </c>
      <c r="H365" s="17" t="s">
        <v>1896</v>
      </c>
      <c r="I365" s="17" t="s">
        <v>98</v>
      </c>
      <c r="J365" s="22" t="s">
        <v>135</v>
      </c>
      <c r="K365" s="23" t="s">
        <v>108</v>
      </c>
      <c r="L365" s="24" t="s">
        <v>91</v>
      </c>
      <c r="M365" s="2">
        <v>12.0</v>
      </c>
      <c r="N365" s="25">
        <v>20.0</v>
      </c>
      <c r="O365" s="25"/>
      <c r="P365" s="25"/>
    </row>
    <row r="366">
      <c r="A366" s="16">
        <v>364.0</v>
      </c>
      <c r="B366" s="17" t="s">
        <v>417</v>
      </c>
      <c r="C366" s="18">
        <v>15.0</v>
      </c>
      <c r="D366" s="19" t="s">
        <v>1876</v>
      </c>
      <c r="E366" s="20" t="s">
        <v>443</v>
      </c>
      <c r="F366" s="17" t="s">
        <v>606</v>
      </c>
      <c r="G366" s="17" t="s">
        <v>1897</v>
      </c>
      <c r="H366" s="17" t="s">
        <v>1898</v>
      </c>
      <c r="I366" s="17" t="s">
        <v>98</v>
      </c>
      <c r="J366" s="22" t="s">
        <v>135</v>
      </c>
      <c r="K366" s="23" t="s">
        <v>108</v>
      </c>
      <c r="L366" s="24" t="s">
        <v>91</v>
      </c>
      <c r="M366" s="2">
        <v>12.0</v>
      </c>
      <c r="N366" s="25">
        <v>20.0</v>
      </c>
      <c r="O366" s="25"/>
      <c r="P366" s="25"/>
    </row>
    <row r="367">
      <c r="A367" s="16">
        <v>365.0</v>
      </c>
      <c r="B367" s="27" t="s">
        <v>417</v>
      </c>
      <c r="C367" s="18">
        <v>16.0</v>
      </c>
      <c r="D367" s="19" t="s">
        <v>1876</v>
      </c>
      <c r="E367" s="20" t="s">
        <v>443</v>
      </c>
      <c r="F367" s="27" t="s">
        <v>1128</v>
      </c>
      <c r="G367" s="17" t="s">
        <v>1899</v>
      </c>
      <c r="H367" s="17" t="s">
        <v>1900</v>
      </c>
      <c r="I367" s="17" t="s">
        <v>98</v>
      </c>
      <c r="J367" s="22" t="s">
        <v>135</v>
      </c>
      <c r="K367" s="23" t="s">
        <v>108</v>
      </c>
      <c r="L367" s="24"/>
      <c r="M367" s="2">
        <v>12.0</v>
      </c>
      <c r="N367" s="25">
        <v>20.0</v>
      </c>
      <c r="O367" s="25"/>
      <c r="P367" s="25"/>
    </row>
    <row r="368">
      <c r="A368" s="16">
        <v>366.0</v>
      </c>
      <c r="B368" s="27" t="s">
        <v>417</v>
      </c>
      <c r="C368" s="18">
        <v>17.0</v>
      </c>
      <c r="D368" s="19" t="s">
        <v>1876</v>
      </c>
      <c r="E368" s="20" t="s">
        <v>443</v>
      </c>
      <c r="F368" s="27" t="s">
        <v>566</v>
      </c>
      <c r="G368" s="17" t="s">
        <v>568</v>
      </c>
      <c r="H368" s="17" t="s">
        <v>1895</v>
      </c>
      <c r="I368" s="17" t="s">
        <v>98</v>
      </c>
      <c r="J368" s="22" t="s">
        <v>135</v>
      </c>
      <c r="K368" s="23" t="s">
        <v>108</v>
      </c>
      <c r="L368" s="24"/>
      <c r="M368" s="2">
        <v>12.0</v>
      </c>
      <c r="N368" s="25">
        <v>20.0</v>
      </c>
      <c r="O368" s="25"/>
      <c r="P368" s="25"/>
    </row>
    <row r="369">
      <c r="A369" s="16">
        <v>367.0</v>
      </c>
      <c r="B369" s="27" t="s">
        <v>417</v>
      </c>
      <c r="C369" s="18">
        <v>18.0</v>
      </c>
      <c r="D369" s="19" t="s">
        <v>1876</v>
      </c>
      <c r="E369" s="20" t="s">
        <v>443</v>
      </c>
      <c r="F369" s="27" t="s">
        <v>644</v>
      </c>
      <c r="G369" s="17" t="s">
        <v>1827</v>
      </c>
      <c r="H369" s="17" t="s">
        <v>1901</v>
      </c>
      <c r="I369" s="17" t="s">
        <v>98</v>
      </c>
      <c r="J369" s="22" t="s">
        <v>135</v>
      </c>
      <c r="K369" s="23" t="s">
        <v>108</v>
      </c>
      <c r="L369" s="24"/>
      <c r="M369" s="2">
        <v>12.0</v>
      </c>
      <c r="N369" s="25">
        <v>20.0</v>
      </c>
      <c r="O369" s="25"/>
      <c r="P369" s="25"/>
    </row>
    <row r="370">
      <c r="A370" s="16">
        <v>368.0</v>
      </c>
      <c r="B370" s="27" t="s">
        <v>417</v>
      </c>
      <c r="C370" s="18">
        <v>19.0</v>
      </c>
      <c r="D370" s="19" t="s">
        <v>1876</v>
      </c>
      <c r="E370" s="20" t="s">
        <v>443</v>
      </c>
      <c r="F370" s="27" t="s">
        <v>658</v>
      </c>
      <c r="G370" s="17" t="s">
        <v>1537</v>
      </c>
      <c r="H370" s="17" t="s">
        <v>1896</v>
      </c>
      <c r="I370" s="17" t="s">
        <v>98</v>
      </c>
      <c r="J370" s="22" t="s">
        <v>135</v>
      </c>
      <c r="K370" s="23" t="s">
        <v>108</v>
      </c>
      <c r="L370" s="24"/>
      <c r="M370" s="2">
        <v>12.0</v>
      </c>
      <c r="N370" s="25">
        <v>20.0</v>
      </c>
      <c r="O370" s="25"/>
      <c r="P370" s="25"/>
    </row>
    <row r="371">
      <c r="A371" s="16">
        <v>369.0</v>
      </c>
      <c r="B371" s="17" t="s">
        <v>417</v>
      </c>
      <c r="C371" s="18">
        <v>20.0</v>
      </c>
      <c r="D371" s="19" t="s">
        <v>1876</v>
      </c>
      <c r="E371" s="20" t="s">
        <v>443</v>
      </c>
      <c r="F371" s="17" t="s">
        <v>1045</v>
      </c>
      <c r="G371" s="17" t="s">
        <v>123</v>
      </c>
      <c r="H371" s="17" t="s">
        <v>1902</v>
      </c>
      <c r="I371" s="17" t="s">
        <v>125</v>
      </c>
      <c r="J371" s="22" t="s">
        <v>135</v>
      </c>
      <c r="K371" s="23" t="s">
        <v>108</v>
      </c>
      <c r="L371" s="24" t="s">
        <v>91</v>
      </c>
      <c r="M371" s="2">
        <v>12.0</v>
      </c>
      <c r="N371" s="25">
        <v>21.0</v>
      </c>
      <c r="O371" s="25"/>
      <c r="P371" s="25"/>
    </row>
    <row r="372">
      <c r="A372" s="16">
        <v>370.0</v>
      </c>
      <c r="B372" s="17" t="s">
        <v>417</v>
      </c>
      <c r="C372" s="18">
        <v>21.0</v>
      </c>
      <c r="D372" s="19" t="s">
        <v>1876</v>
      </c>
      <c r="E372" s="20" t="s">
        <v>443</v>
      </c>
      <c r="F372" s="17" t="s">
        <v>397</v>
      </c>
      <c r="G372" s="17" t="s">
        <v>123</v>
      </c>
      <c r="H372" s="17" t="s">
        <v>1590</v>
      </c>
      <c r="I372" s="17" t="s">
        <v>125</v>
      </c>
      <c r="J372" s="22" t="s">
        <v>135</v>
      </c>
      <c r="K372" s="23" t="s">
        <v>108</v>
      </c>
      <c r="L372" s="24" t="s">
        <v>1010</v>
      </c>
      <c r="M372" s="2">
        <v>12.0</v>
      </c>
      <c r="N372" s="25">
        <v>26.0</v>
      </c>
      <c r="O372" s="25"/>
      <c r="P372" s="25"/>
    </row>
    <row r="373">
      <c r="A373" s="16">
        <v>371.0</v>
      </c>
      <c r="B373" s="17" t="s">
        <v>417</v>
      </c>
      <c r="C373" s="18">
        <v>22.0</v>
      </c>
      <c r="D373" s="19" t="s">
        <v>1876</v>
      </c>
      <c r="E373" s="20" t="s">
        <v>443</v>
      </c>
      <c r="F373" s="17" t="s">
        <v>392</v>
      </c>
      <c r="G373" s="17" t="s">
        <v>1903</v>
      </c>
      <c r="H373" s="17" t="s">
        <v>1904</v>
      </c>
      <c r="I373" s="17" t="s">
        <v>98</v>
      </c>
      <c r="J373" s="22" t="s">
        <v>144</v>
      </c>
      <c r="K373" s="23" t="s">
        <v>108</v>
      </c>
      <c r="L373" s="24" t="s">
        <v>91</v>
      </c>
      <c r="M373" s="2">
        <v>12.0</v>
      </c>
      <c r="N373" s="25">
        <v>30.0</v>
      </c>
      <c r="O373" s="25"/>
      <c r="P373" s="25"/>
    </row>
    <row r="374">
      <c r="A374" s="16">
        <v>372.0</v>
      </c>
      <c r="B374" s="17" t="s">
        <v>417</v>
      </c>
      <c r="C374" s="18">
        <v>23.0</v>
      </c>
      <c r="D374" s="19" t="s">
        <v>1876</v>
      </c>
      <c r="E374" s="20" t="s">
        <v>443</v>
      </c>
      <c r="F374" s="17" t="s">
        <v>225</v>
      </c>
      <c r="G374" s="17" t="s">
        <v>123</v>
      </c>
      <c r="H374" s="17" t="s">
        <v>1905</v>
      </c>
      <c r="I374" s="17" t="s">
        <v>98</v>
      </c>
      <c r="J374" s="22" t="s">
        <v>144</v>
      </c>
      <c r="K374" s="23" t="s">
        <v>108</v>
      </c>
      <c r="L374" s="24" t="s">
        <v>91</v>
      </c>
      <c r="M374" s="2">
        <v>12.0</v>
      </c>
      <c r="N374" s="25">
        <v>30.0</v>
      </c>
      <c r="O374" s="25"/>
      <c r="P374" s="25"/>
    </row>
    <row r="375">
      <c r="A375" s="16">
        <v>373.0</v>
      </c>
      <c r="B375" s="17" t="s">
        <v>417</v>
      </c>
      <c r="C375" s="18">
        <v>24.0</v>
      </c>
      <c r="D375" s="19" t="s">
        <v>1876</v>
      </c>
      <c r="E375" s="20" t="s">
        <v>443</v>
      </c>
      <c r="F375" s="17" t="s">
        <v>35</v>
      </c>
      <c r="G375" s="17" t="s">
        <v>1490</v>
      </c>
      <c r="H375" s="17" t="s">
        <v>1907</v>
      </c>
      <c r="I375" s="17" t="s">
        <v>98</v>
      </c>
      <c r="J375" s="22" t="s">
        <v>144</v>
      </c>
      <c r="K375" s="23" t="s">
        <v>108</v>
      </c>
      <c r="L375" s="24" t="s">
        <v>91</v>
      </c>
      <c r="M375" s="2">
        <v>12.0</v>
      </c>
      <c r="N375" s="25">
        <v>30.0</v>
      </c>
      <c r="O375" s="25"/>
      <c r="P375" s="25"/>
    </row>
    <row r="376">
      <c r="A376" s="16">
        <v>374.0</v>
      </c>
      <c r="B376" s="17" t="s">
        <v>417</v>
      </c>
      <c r="C376" s="18">
        <v>25.0</v>
      </c>
      <c r="D376" s="19" t="s">
        <v>1876</v>
      </c>
      <c r="E376" s="20" t="s">
        <v>443</v>
      </c>
      <c r="F376" s="17" t="s">
        <v>610</v>
      </c>
      <c r="G376" s="17" t="s">
        <v>1493</v>
      </c>
      <c r="H376" s="17" t="s">
        <v>1908</v>
      </c>
      <c r="I376" s="17" t="s">
        <v>98</v>
      </c>
      <c r="J376" s="22" t="s">
        <v>144</v>
      </c>
      <c r="K376" s="23" t="s">
        <v>108</v>
      </c>
      <c r="L376" s="24" t="s">
        <v>91</v>
      </c>
      <c r="M376" s="2">
        <v>12.0</v>
      </c>
      <c r="N376" s="25">
        <v>30.0</v>
      </c>
      <c r="O376" s="25"/>
      <c r="P376" s="25"/>
    </row>
    <row r="377">
      <c r="A377" s="16">
        <v>375.0</v>
      </c>
      <c r="B377" s="17" t="s">
        <v>417</v>
      </c>
      <c r="C377" s="18">
        <v>26.0</v>
      </c>
      <c r="D377" s="19" t="s">
        <v>1876</v>
      </c>
      <c r="E377" s="20" t="s">
        <v>443</v>
      </c>
      <c r="F377" s="17" t="s">
        <v>403</v>
      </c>
      <c r="G377" s="17" t="s">
        <v>123</v>
      </c>
      <c r="H377" s="17" t="s">
        <v>1909</v>
      </c>
      <c r="I377" s="17" t="s">
        <v>98</v>
      </c>
      <c r="J377" s="22" t="s">
        <v>144</v>
      </c>
      <c r="K377" s="23" t="s">
        <v>108</v>
      </c>
      <c r="L377" s="24" t="s">
        <v>91</v>
      </c>
      <c r="M377" s="2">
        <v>12.0</v>
      </c>
      <c r="N377" s="25">
        <v>30.0</v>
      </c>
      <c r="O377" s="25"/>
      <c r="P377" s="25"/>
    </row>
    <row r="378">
      <c r="A378" s="16">
        <v>376.0</v>
      </c>
      <c r="B378" s="17" t="s">
        <v>417</v>
      </c>
      <c r="C378" s="18">
        <v>27.0</v>
      </c>
      <c r="D378" s="19" t="s">
        <v>1876</v>
      </c>
      <c r="E378" s="20" t="s">
        <v>443</v>
      </c>
      <c r="F378" s="17" t="s">
        <v>130</v>
      </c>
      <c r="G378" s="17" t="s">
        <v>1368</v>
      </c>
      <c r="H378" s="17" t="s">
        <v>1896</v>
      </c>
      <c r="I378" s="17" t="s">
        <v>98</v>
      </c>
      <c r="J378" s="22" t="s">
        <v>144</v>
      </c>
      <c r="K378" s="23" t="s">
        <v>108</v>
      </c>
      <c r="L378" s="24" t="s">
        <v>91</v>
      </c>
      <c r="M378" s="2">
        <v>12.0</v>
      </c>
      <c r="N378" s="25">
        <v>30.0</v>
      </c>
      <c r="O378" s="25"/>
      <c r="P378" s="25"/>
    </row>
    <row r="379">
      <c r="A379" s="16">
        <v>377.0</v>
      </c>
      <c r="B379" s="17" t="s">
        <v>417</v>
      </c>
      <c r="C379" s="18">
        <v>28.0</v>
      </c>
      <c r="D379" s="19" t="s">
        <v>1876</v>
      </c>
      <c r="E379" s="20" t="s">
        <v>443</v>
      </c>
      <c r="F379" s="17" t="s">
        <v>27</v>
      </c>
      <c r="G379" s="17" t="s">
        <v>1910</v>
      </c>
      <c r="H379" s="17" t="s">
        <v>1896</v>
      </c>
      <c r="I379" s="17" t="s">
        <v>98</v>
      </c>
      <c r="J379" s="22" t="s">
        <v>144</v>
      </c>
      <c r="K379" s="23" t="s">
        <v>108</v>
      </c>
      <c r="L379" s="24" t="s">
        <v>91</v>
      </c>
      <c r="M379" s="2">
        <v>12.0</v>
      </c>
      <c r="N379" s="25">
        <v>30.0</v>
      </c>
      <c r="O379" s="25"/>
      <c r="P379" s="25"/>
    </row>
    <row r="380">
      <c r="A380" s="16">
        <v>378.0</v>
      </c>
      <c r="B380" s="17" t="s">
        <v>417</v>
      </c>
      <c r="C380" s="18">
        <v>29.0</v>
      </c>
      <c r="D380" s="19" t="s">
        <v>1876</v>
      </c>
      <c r="E380" s="20" t="s">
        <v>443</v>
      </c>
      <c r="F380" s="17" t="s">
        <v>3</v>
      </c>
      <c r="G380" s="17" t="s">
        <v>1541</v>
      </c>
      <c r="H380" s="17" t="s">
        <v>1911</v>
      </c>
      <c r="I380" s="17" t="s">
        <v>98</v>
      </c>
      <c r="J380" s="22" t="s">
        <v>144</v>
      </c>
      <c r="K380" s="23" t="s">
        <v>108</v>
      </c>
      <c r="L380" s="24" t="s">
        <v>91</v>
      </c>
      <c r="M380" s="2">
        <v>12.0</v>
      </c>
      <c r="N380" s="25">
        <v>30.0</v>
      </c>
      <c r="O380" s="25"/>
      <c r="P380" s="25"/>
    </row>
    <row r="381">
      <c r="A381" s="16">
        <v>379.0</v>
      </c>
      <c r="B381" s="17" t="s">
        <v>417</v>
      </c>
      <c r="C381" s="18">
        <v>30.0</v>
      </c>
      <c r="D381" s="19" t="s">
        <v>1876</v>
      </c>
      <c r="E381" s="20" t="s">
        <v>443</v>
      </c>
      <c r="F381" s="17" t="s">
        <v>129</v>
      </c>
      <c r="G381" s="17" t="s">
        <v>1912</v>
      </c>
      <c r="H381" s="17" t="s">
        <v>1913</v>
      </c>
      <c r="I381" s="17" t="s">
        <v>98</v>
      </c>
      <c r="J381" s="22" t="s">
        <v>144</v>
      </c>
      <c r="K381" s="23" t="s">
        <v>108</v>
      </c>
      <c r="L381" s="24" t="s">
        <v>91</v>
      </c>
      <c r="M381" s="2">
        <v>12.0</v>
      </c>
      <c r="N381" s="25">
        <v>30.0</v>
      </c>
      <c r="O381" s="25"/>
      <c r="P381" s="25"/>
    </row>
    <row r="382">
      <c r="A382" s="16">
        <v>380.0</v>
      </c>
      <c r="B382" s="17" t="s">
        <v>417</v>
      </c>
      <c r="C382" s="18">
        <v>31.0</v>
      </c>
      <c r="D382" s="19" t="s">
        <v>1876</v>
      </c>
      <c r="E382" s="20" t="s">
        <v>443</v>
      </c>
      <c r="F382" s="17" t="s">
        <v>425</v>
      </c>
      <c r="G382" s="17" t="s">
        <v>1394</v>
      </c>
      <c r="H382" s="17" t="s">
        <v>1896</v>
      </c>
      <c r="I382" s="17" t="s">
        <v>98</v>
      </c>
      <c r="J382" s="22" t="s">
        <v>144</v>
      </c>
      <c r="K382" s="23" t="s">
        <v>108</v>
      </c>
      <c r="L382" s="24" t="s">
        <v>91</v>
      </c>
      <c r="M382" s="2">
        <v>12.0</v>
      </c>
      <c r="N382" s="25">
        <v>30.0</v>
      </c>
      <c r="O382" s="25"/>
      <c r="P382" s="25"/>
    </row>
    <row r="383">
      <c r="A383" s="16">
        <v>381.0</v>
      </c>
      <c r="B383" s="17" t="s">
        <v>417</v>
      </c>
      <c r="C383" s="18">
        <v>32.0</v>
      </c>
      <c r="D383" s="19" t="s">
        <v>1876</v>
      </c>
      <c r="E383" s="20" t="s">
        <v>443</v>
      </c>
      <c r="F383" s="17" t="s">
        <v>1176</v>
      </c>
      <c r="G383" s="17" t="s">
        <v>1914</v>
      </c>
      <c r="H383" s="17" t="s">
        <v>1915</v>
      </c>
      <c r="I383" s="17" t="s">
        <v>125</v>
      </c>
      <c r="J383" s="22" t="s">
        <v>144</v>
      </c>
      <c r="K383" s="23" t="s">
        <v>108</v>
      </c>
      <c r="L383" s="24" t="s">
        <v>91</v>
      </c>
      <c r="M383" s="2">
        <v>12.0</v>
      </c>
      <c r="N383" s="25">
        <v>31.0</v>
      </c>
      <c r="O383" s="25"/>
      <c r="P383" s="25"/>
    </row>
    <row r="384">
      <c r="A384" s="16">
        <v>382.0</v>
      </c>
      <c r="B384" s="17" t="s">
        <v>417</v>
      </c>
      <c r="C384" s="18">
        <v>33.0</v>
      </c>
      <c r="D384" s="19" t="s">
        <v>1876</v>
      </c>
      <c r="E384" s="20" t="s">
        <v>443</v>
      </c>
      <c r="F384" s="17" t="s">
        <v>1046</v>
      </c>
      <c r="G384" s="17" t="s">
        <v>1916</v>
      </c>
      <c r="H384" s="17" t="s">
        <v>1917</v>
      </c>
      <c r="I384" s="17" t="s">
        <v>125</v>
      </c>
      <c r="J384" s="22" t="s">
        <v>144</v>
      </c>
      <c r="K384" s="23" t="s">
        <v>108</v>
      </c>
      <c r="L384" s="24" t="s">
        <v>91</v>
      </c>
      <c r="M384" s="2">
        <v>12.0</v>
      </c>
      <c r="N384" s="25">
        <v>31.0</v>
      </c>
      <c r="O384" s="25"/>
      <c r="P384" s="25"/>
    </row>
    <row r="385">
      <c r="A385" s="16">
        <v>383.0</v>
      </c>
      <c r="B385" s="17" t="s">
        <v>417</v>
      </c>
      <c r="C385" s="18">
        <v>34.0</v>
      </c>
      <c r="D385" s="19" t="s">
        <v>1876</v>
      </c>
      <c r="E385" s="20" t="s">
        <v>443</v>
      </c>
      <c r="F385" s="17" t="s">
        <v>675</v>
      </c>
      <c r="G385" s="17" t="s">
        <v>1919</v>
      </c>
      <c r="H385" s="17" t="s">
        <v>1920</v>
      </c>
      <c r="I385" s="17" t="s">
        <v>125</v>
      </c>
      <c r="J385" s="22" t="s">
        <v>144</v>
      </c>
      <c r="K385" s="23" t="s">
        <v>108</v>
      </c>
      <c r="L385" s="24" t="s">
        <v>91</v>
      </c>
      <c r="M385" s="2">
        <v>12.0</v>
      </c>
      <c r="N385" s="25">
        <v>31.0</v>
      </c>
      <c r="O385" s="25"/>
      <c r="P385" s="25"/>
    </row>
    <row r="386">
      <c r="A386" s="16">
        <v>384.0</v>
      </c>
      <c r="B386" s="17" t="s">
        <v>417</v>
      </c>
      <c r="C386" s="18">
        <v>35.0</v>
      </c>
      <c r="D386" s="19" t="s">
        <v>1876</v>
      </c>
      <c r="E386" s="20" t="s">
        <v>443</v>
      </c>
      <c r="F386" s="17" t="s">
        <v>127</v>
      </c>
      <c r="G386" s="17" t="s">
        <v>1922</v>
      </c>
      <c r="H386" s="17" t="s">
        <v>1923</v>
      </c>
      <c r="I386" s="17" t="s">
        <v>125</v>
      </c>
      <c r="J386" s="22" t="s">
        <v>144</v>
      </c>
      <c r="K386" s="23" t="s">
        <v>108</v>
      </c>
      <c r="L386" s="24" t="s">
        <v>91</v>
      </c>
      <c r="M386" s="2">
        <v>12.0</v>
      </c>
      <c r="N386" s="25">
        <v>31.0</v>
      </c>
      <c r="O386" s="25"/>
      <c r="P386" s="25"/>
    </row>
    <row r="387">
      <c r="A387" s="16">
        <v>385.0</v>
      </c>
      <c r="B387" s="17" t="s">
        <v>417</v>
      </c>
      <c r="C387" s="18">
        <v>36.0</v>
      </c>
      <c r="D387" s="19" t="s">
        <v>1876</v>
      </c>
      <c r="E387" s="20" t="s">
        <v>443</v>
      </c>
      <c r="F387" s="17" t="s">
        <v>236</v>
      </c>
      <c r="G387" s="17" t="s">
        <v>1924</v>
      </c>
      <c r="H387" s="17" t="s">
        <v>1925</v>
      </c>
      <c r="I387" s="17" t="s">
        <v>125</v>
      </c>
      <c r="J387" s="22" t="s">
        <v>144</v>
      </c>
      <c r="K387" s="23" t="s">
        <v>108</v>
      </c>
      <c r="L387" s="24" t="s">
        <v>91</v>
      </c>
      <c r="M387" s="2">
        <v>12.0</v>
      </c>
      <c r="N387" s="25">
        <v>31.0</v>
      </c>
      <c r="O387" s="25"/>
      <c r="P387" s="25"/>
    </row>
    <row r="388">
      <c r="A388" s="16">
        <v>386.0</v>
      </c>
      <c r="B388" s="17" t="s">
        <v>417</v>
      </c>
      <c r="C388" s="18">
        <v>37.0</v>
      </c>
      <c r="D388" s="19" t="s">
        <v>1876</v>
      </c>
      <c r="E388" s="20" t="s">
        <v>443</v>
      </c>
      <c r="F388" s="17" t="s">
        <v>1303</v>
      </c>
      <c r="G388" s="17" t="s">
        <v>1926</v>
      </c>
      <c r="H388" s="17" t="s">
        <v>1927</v>
      </c>
      <c r="I388" s="17" t="s">
        <v>125</v>
      </c>
      <c r="J388" s="22" t="s">
        <v>144</v>
      </c>
      <c r="K388" s="23" t="s">
        <v>108</v>
      </c>
      <c r="L388" s="24" t="s">
        <v>91</v>
      </c>
      <c r="M388" s="2">
        <v>12.0</v>
      </c>
      <c r="N388" s="25">
        <v>31.0</v>
      </c>
      <c r="O388" s="25"/>
      <c r="P388" s="25"/>
    </row>
    <row r="389">
      <c r="A389" s="16">
        <v>387.0</v>
      </c>
      <c r="B389" s="17" t="s">
        <v>417</v>
      </c>
      <c r="C389" s="18">
        <v>38.0</v>
      </c>
      <c r="D389" s="19" t="s">
        <v>1876</v>
      </c>
      <c r="E389" s="20" t="s">
        <v>443</v>
      </c>
      <c r="F389" s="17" t="s">
        <v>1170</v>
      </c>
      <c r="G389" s="17" t="s">
        <v>123</v>
      </c>
      <c r="H389" s="17" t="s">
        <v>1928</v>
      </c>
      <c r="I389" s="17" t="s">
        <v>125</v>
      </c>
      <c r="J389" s="22" t="s">
        <v>144</v>
      </c>
      <c r="K389" s="23" t="s">
        <v>108</v>
      </c>
      <c r="L389" s="24" t="s">
        <v>91</v>
      </c>
      <c r="M389" s="2">
        <v>12.0</v>
      </c>
      <c r="N389" s="25">
        <v>31.0</v>
      </c>
      <c r="O389" s="25"/>
      <c r="P389" s="25"/>
    </row>
    <row r="390">
      <c r="A390" s="16">
        <v>388.0</v>
      </c>
      <c r="B390" s="17" t="s">
        <v>417</v>
      </c>
      <c r="C390" s="18">
        <v>39.0</v>
      </c>
      <c r="D390" s="19" t="s">
        <v>1876</v>
      </c>
      <c r="E390" s="20" t="s">
        <v>443</v>
      </c>
      <c r="F390" s="17" t="s">
        <v>198</v>
      </c>
      <c r="G390" s="17" t="s">
        <v>123</v>
      </c>
      <c r="H390" s="17" t="s">
        <v>1929</v>
      </c>
      <c r="I390" s="17" t="s">
        <v>125</v>
      </c>
      <c r="J390" s="22" t="s">
        <v>144</v>
      </c>
      <c r="K390" s="23" t="s">
        <v>108</v>
      </c>
      <c r="L390" s="24" t="s">
        <v>91</v>
      </c>
      <c r="M390" s="2">
        <v>12.0</v>
      </c>
      <c r="N390" s="25">
        <v>31.0</v>
      </c>
      <c r="O390" s="25"/>
      <c r="P390" s="25"/>
    </row>
    <row r="391">
      <c r="A391" s="16">
        <v>389.0</v>
      </c>
      <c r="B391" s="17" t="s">
        <v>417</v>
      </c>
      <c r="C391" s="18">
        <v>40.0</v>
      </c>
      <c r="D391" s="19" t="s">
        <v>1876</v>
      </c>
      <c r="E391" s="20" t="s">
        <v>443</v>
      </c>
      <c r="F391" s="17" t="s">
        <v>623</v>
      </c>
      <c r="G391" s="17" t="s">
        <v>1930</v>
      </c>
      <c r="H391" s="17" t="s">
        <v>1931</v>
      </c>
      <c r="I391" s="17" t="s">
        <v>125</v>
      </c>
      <c r="J391" s="22" t="s">
        <v>144</v>
      </c>
      <c r="K391" s="23" t="s">
        <v>108</v>
      </c>
      <c r="L391" s="24" t="s">
        <v>91</v>
      </c>
      <c r="M391" s="2">
        <v>12.0</v>
      </c>
      <c r="N391" s="25">
        <v>31.0</v>
      </c>
      <c r="O391" s="25"/>
      <c r="P391" s="25"/>
    </row>
    <row r="392">
      <c r="A392" s="16">
        <v>390.0</v>
      </c>
      <c r="B392" s="17" t="s">
        <v>417</v>
      </c>
      <c r="C392" s="18">
        <v>41.0</v>
      </c>
      <c r="D392" s="19" t="s">
        <v>1876</v>
      </c>
      <c r="E392" s="20" t="s">
        <v>443</v>
      </c>
      <c r="F392" s="17" t="s">
        <v>952</v>
      </c>
      <c r="G392" s="17" t="s">
        <v>1932</v>
      </c>
      <c r="H392" s="17" t="s">
        <v>1933</v>
      </c>
      <c r="I392" s="17" t="s">
        <v>125</v>
      </c>
      <c r="J392" s="22" t="s">
        <v>144</v>
      </c>
      <c r="K392" s="23" t="s">
        <v>108</v>
      </c>
      <c r="L392" s="24" t="s">
        <v>91</v>
      </c>
      <c r="M392" s="2">
        <v>12.0</v>
      </c>
      <c r="N392" s="25">
        <v>31.0</v>
      </c>
      <c r="O392" s="25"/>
      <c r="P392" s="25"/>
    </row>
    <row r="393">
      <c r="A393" s="16">
        <v>391.0</v>
      </c>
      <c r="B393" s="17" t="s">
        <v>417</v>
      </c>
      <c r="C393" s="18">
        <v>42.0</v>
      </c>
      <c r="D393" s="19" t="s">
        <v>1876</v>
      </c>
      <c r="E393" s="20" t="s">
        <v>443</v>
      </c>
      <c r="F393" s="17" t="s">
        <v>954</v>
      </c>
      <c r="G393" s="17" t="s">
        <v>1934</v>
      </c>
      <c r="H393" s="17" t="s">
        <v>1935</v>
      </c>
      <c r="I393" s="17" t="s">
        <v>125</v>
      </c>
      <c r="J393" s="22" t="s">
        <v>144</v>
      </c>
      <c r="K393" s="23" t="s">
        <v>108</v>
      </c>
      <c r="L393" s="24" t="s">
        <v>91</v>
      </c>
      <c r="M393" s="2">
        <v>12.0</v>
      </c>
      <c r="N393" s="25">
        <v>31.0</v>
      </c>
      <c r="O393" s="25"/>
      <c r="P393" s="25"/>
    </row>
    <row r="394">
      <c r="A394" s="16">
        <v>392.0</v>
      </c>
      <c r="B394" s="17" t="s">
        <v>417</v>
      </c>
      <c r="C394" s="18">
        <v>43.0</v>
      </c>
      <c r="D394" s="19" t="s">
        <v>1876</v>
      </c>
      <c r="E394" s="20" t="s">
        <v>443</v>
      </c>
      <c r="F394" s="17" t="s">
        <v>638</v>
      </c>
      <c r="G394" s="17" t="s">
        <v>1066</v>
      </c>
      <c r="H394" s="17" t="s">
        <v>1068</v>
      </c>
      <c r="I394" s="17" t="s">
        <v>125</v>
      </c>
      <c r="J394" s="22" t="s">
        <v>144</v>
      </c>
      <c r="K394" s="23" t="s">
        <v>108</v>
      </c>
      <c r="L394" s="24" t="s">
        <v>91</v>
      </c>
      <c r="M394" s="2">
        <v>12.0</v>
      </c>
      <c r="N394" s="25">
        <v>31.0</v>
      </c>
      <c r="O394" s="25"/>
      <c r="P394" s="25"/>
    </row>
    <row r="395">
      <c r="A395" s="16">
        <v>393.0</v>
      </c>
      <c r="B395" s="17" t="s">
        <v>417</v>
      </c>
      <c r="C395" s="18">
        <v>44.0</v>
      </c>
      <c r="D395" s="19" t="s">
        <v>1876</v>
      </c>
      <c r="E395" s="20" t="s">
        <v>443</v>
      </c>
      <c r="F395" s="17" t="s">
        <v>385</v>
      </c>
      <c r="G395" s="17" t="s">
        <v>1936</v>
      </c>
      <c r="H395" s="17" t="s">
        <v>1937</v>
      </c>
      <c r="I395" s="17" t="s">
        <v>125</v>
      </c>
      <c r="J395" s="22" t="s">
        <v>144</v>
      </c>
      <c r="K395" s="23" t="s">
        <v>108</v>
      </c>
      <c r="L395" s="24" t="s">
        <v>91</v>
      </c>
      <c r="M395" s="2">
        <v>12.0</v>
      </c>
      <c r="N395" s="25">
        <v>31.0</v>
      </c>
      <c r="O395" s="25"/>
      <c r="P395" s="25"/>
    </row>
    <row r="396">
      <c r="A396" s="16">
        <v>394.0</v>
      </c>
      <c r="B396" s="27" t="s">
        <v>417</v>
      </c>
      <c r="C396" s="18">
        <v>45.0</v>
      </c>
      <c r="D396" s="19" t="s">
        <v>1876</v>
      </c>
      <c r="E396" s="20" t="s">
        <v>443</v>
      </c>
      <c r="F396" s="27" t="s">
        <v>931</v>
      </c>
      <c r="G396" s="17" t="s">
        <v>1939</v>
      </c>
      <c r="H396" s="17" t="s">
        <v>1940</v>
      </c>
      <c r="I396" s="17" t="s">
        <v>125</v>
      </c>
      <c r="J396" s="22" t="s">
        <v>144</v>
      </c>
      <c r="K396" s="23" t="s">
        <v>108</v>
      </c>
      <c r="L396" s="24"/>
      <c r="M396" s="2">
        <v>12.0</v>
      </c>
      <c r="N396" s="25">
        <v>31.0</v>
      </c>
      <c r="O396" s="25"/>
      <c r="P396" s="25"/>
    </row>
    <row r="397">
      <c r="A397" s="16">
        <v>395.0</v>
      </c>
      <c r="B397" s="27" t="s">
        <v>417</v>
      </c>
      <c r="C397" s="18">
        <v>46.0</v>
      </c>
      <c r="D397" s="19" t="s">
        <v>1876</v>
      </c>
      <c r="E397" s="20" t="s">
        <v>443</v>
      </c>
      <c r="F397" s="27" t="s">
        <v>588</v>
      </c>
      <c r="G397" s="17" t="s">
        <v>1941</v>
      </c>
      <c r="H397" s="17" t="s">
        <v>1942</v>
      </c>
      <c r="I397" s="17" t="s">
        <v>125</v>
      </c>
      <c r="J397" s="22" t="s">
        <v>144</v>
      </c>
      <c r="K397" s="23" t="s">
        <v>108</v>
      </c>
      <c r="L397" s="24"/>
      <c r="M397" s="2">
        <v>12.0</v>
      </c>
      <c r="N397" s="25">
        <v>31.0</v>
      </c>
      <c r="O397" s="25"/>
      <c r="P397" s="25"/>
    </row>
    <row r="398">
      <c r="A398" s="16">
        <v>396.0</v>
      </c>
      <c r="B398" s="27" t="s">
        <v>417</v>
      </c>
      <c r="C398" s="18">
        <v>47.0</v>
      </c>
      <c r="D398" s="19" t="s">
        <v>1876</v>
      </c>
      <c r="E398" s="20" t="s">
        <v>443</v>
      </c>
      <c r="F398" s="27" t="s">
        <v>461</v>
      </c>
      <c r="G398" s="17" t="s">
        <v>1943</v>
      </c>
      <c r="H398" s="17" t="s">
        <v>1944</v>
      </c>
      <c r="I398" s="17" t="s">
        <v>125</v>
      </c>
      <c r="J398" s="22" t="s">
        <v>144</v>
      </c>
      <c r="K398" s="23" t="s">
        <v>108</v>
      </c>
      <c r="L398" s="24"/>
      <c r="M398" s="2">
        <v>12.0</v>
      </c>
      <c r="N398" s="25">
        <v>31.0</v>
      </c>
      <c r="O398" s="25"/>
      <c r="P398" s="25"/>
    </row>
    <row r="399">
      <c r="A399" s="16">
        <v>397.0</v>
      </c>
      <c r="B399" s="17" t="s">
        <v>417</v>
      </c>
      <c r="C399" s="18">
        <v>48.0</v>
      </c>
      <c r="D399" s="19" t="s">
        <v>1945</v>
      </c>
      <c r="E399" s="20" t="s">
        <v>443</v>
      </c>
      <c r="F399" s="17" t="s">
        <v>78</v>
      </c>
      <c r="G399" s="17" t="s">
        <v>1509</v>
      </c>
      <c r="H399" s="17" t="s">
        <v>1946</v>
      </c>
      <c r="I399" s="17" t="s">
        <v>125</v>
      </c>
      <c r="J399" s="22" t="s">
        <v>144</v>
      </c>
      <c r="K399" s="23" t="s">
        <v>108</v>
      </c>
      <c r="L399" s="24" t="s">
        <v>91</v>
      </c>
      <c r="M399" s="2">
        <v>12.0</v>
      </c>
      <c r="N399" s="25">
        <v>31.0</v>
      </c>
      <c r="O399" s="25"/>
      <c r="P399" s="25"/>
    </row>
    <row r="400">
      <c r="A400" s="16">
        <v>398.0</v>
      </c>
      <c r="B400" s="17" t="s">
        <v>1127</v>
      </c>
      <c r="C400" s="18">
        <v>1.0</v>
      </c>
      <c r="D400" s="19" t="s">
        <v>1947</v>
      </c>
      <c r="E400" s="20" t="s">
        <v>443</v>
      </c>
      <c r="F400" s="17" t="s">
        <v>453</v>
      </c>
      <c r="G400" s="17" t="s">
        <v>1948</v>
      </c>
      <c r="H400" s="17" t="s">
        <v>1949</v>
      </c>
      <c r="I400" s="17" t="s">
        <v>125</v>
      </c>
      <c r="J400" s="22" t="s">
        <v>100</v>
      </c>
      <c r="K400" s="23" t="s">
        <v>108</v>
      </c>
      <c r="L400" s="24" t="s">
        <v>91</v>
      </c>
      <c r="M400" s="2">
        <v>13.0</v>
      </c>
      <c r="N400" s="25">
        <v>11.0</v>
      </c>
      <c r="O400" s="25"/>
      <c r="P400" s="25"/>
    </row>
    <row r="401">
      <c r="A401" s="16">
        <v>399.0</v>
      </c>
      <c r="B401" s="17" t="s">
        <v>1127</v>
      </c>
      <c r="C401" s="18">
        <v>2.0</v>
      </c>
      <c r="D401" s="19" t="s">
        <v>1950</v>
      </c>
      <c r="E401" s="20" t="s">
        <v>443</v>
      </c>
      <c r="F401" s="17" t="s">
        <v>1047</v>
      </c>
      <c r="G401" s="17" t="s">
        <v>1951</v>
      </c>
      <c r="H401" s="17" t="s">
        <v>1952</v>
      </c>
      <c r="I401" s="17" t="s">
        <v>125</v>
      </c>
      <c r="J401" s="22" t="s">
        <v>100</v>
      </c>
      <c r="K401" s="23" t="s">
        <v>108</v>
      </c>
      <c r="L401" s="24" t="s">
        <v>91</v>
      </c>
      <c r="M401" s="2">
        <v>13.0</v>
      </c>
      <c r="N401" s="25">
        <v>11.0</v>
      </c>
      <c r="O401" s="25"/>
      <c r="P401" s="25"/>
    </row>
    <row r="402">
      <c r="A402" s="16">
        <v>400.0</v>
      </c>
      <c r="B402" s="17" t="s">
        <v>1127</v>
      </c>
      <c r="C402" s="18">
        <v>3.0</v>
      </c>
      <c r="D402" s="19" t="s">
        <v>1950</v>
      </c>
      <c r="E402" s="20" t="s">
        <v>443</v>
      </c>
      <c r="F402" s="17" t="s">
        <v>842</v>
      </c>
      <c r="G402" s="17" t="s">
        <v>123</v>
      </c>
      <c r="H402" s="17" t="s">
        <v>1953</v>
      </c>
      <c r="I402" s="17" t="s">
        <v>98</v>
      </c>
      <c r="J402" s="22" t="s">
        <v>135</v>
      </c>
      <c r="K402" s="23" t="s">
        <v>108</v>
      </c>
      <c r="L402" s="24" t="s">
        <v>91</v>
      </c>
      <c r="M402" s="2">
        <v>13.0</v>
      </c>
      <c r="N402" s="25">
        <v>20.0</v>
      </c>
      <c r="O402" s="25"/>
      <c r="P402" s="25"/>
    </row>
    <row r="403">
      <c r="A403" s="16">
        <v>401.0</v>
      </c>
      <c r="B403" s="17" t="s">
        <v>1127</v>
      </c>
      <c r="C403" s="18">
        <v>4.0</v>
      </c>
      <c r="D403" s="19" t="s">
        <v>1947</v>
      </c>
      <c r="E403" s="20" t="s">
        <v>443</v>
      </c>
      <c r="F403" s="17" t="s">
        <v>1177</v>
      </c>
      <c r="G403" s="17" t="s">
        <v>1954</v>
      </c>
      <c r="H403" s="17" t="s">
        <v>1955</v>
      </c>
      <c r="I403" s="17" t="s">
        <v>125</v>
      </c>
      <c r="J403" s="22" t="s">
        <v>135</v>
      </c>
      <c r="K403" s="23" t="s">
        <v>108</v>
      </c>
      <c r="L403" s="24" t="s">
        <v>91</v>
      </c>
      <c r="M403" s="2">
        <v>13.0</v>
      </c>
      <c r="N403" s="25">
        <v>21.0</v>
      </c>
      <c r="O403" s="25"/>
      <c r="P403" s="25"/>
    </row>
    <row r="404">
      <c r="A404" s="16">
        <v>402.0</v>
      </c>
      <c r="B404" s="17" t="s">
        <v>1127</v>
      </c>
      <c r="C404" s="18">
        <v>5.0</v>
      </c>
      <c r="D404" s="19" t="s">
        <v>1950</v>
      </c>
      <c r="E404" s="20" t="s">
        <v>443</v>
      </c>
      <c r="F404" s="17" t="s">
        <v>1178</v>
      </c>
      <c r="G404" s="17" t="s">
        <v>1956</v>
      </c>
      <c r="H404" s="17" t="s">
        <v>1957</v>
      </c>
      <c r="I404" s="17" t="s">
        <v>125</v>
      </c>
      <c r="J404" s="22" t="s">
        <v>135</v>
      </c>
      <c r="K404" s="23" t="s">
        <v>108</v>
      </c>
      <c r="L404" s="24" t="s">
        <v>91</v>
      </c>
      <c r="M404" s="2">
        <v>13.0</v>
      </c>
      <c r="N404" s="25">
        <v>21.0</v>
      </c>
      <c r="O404" s="25"/>
      <c r="P404" s="25"/>
    </row>
    <row r="405">
      <c r="A405" s="16">
        <v>403.0</v>
      </c>
      <c r="B405" s="17" t="s">
        <v>1127</v>
      </c>
      <c r="C405" s="18">
        <v>6.0</v>
      </c>
      <c r="D405" s="19" t="s">
        <v>1947</v>
      </c>
      <c r="E405" s="20" t="s">
        <v>443</v>
      </c>
      <c r="F405" s="17" t="s">
        <v>1048</v>
      </c>
      <c r="G405" s="17" t="s">
        <v>123</v>
      </c>
      <c r="H405" s="17" t="s">
        <v>1958</v>
      </c>
      <c r="I405" s="17" t="s">
        <v>125</v>
      </c>
      <c r="J405" s="22" t="s">
        <v>144</v>
      </c>
      <c r="K405" s="23" t="s">
        <v>108</v>
      </c>
      <c r="L405" s="24" t="s">
        <v>91</v>
      </c>
      <c r="M405" s="2">
        <v>13.0</v>
      </c>
      <c r="N405" s="25">
        <v>31.0</v>
      </c>
      <c r="O405" s="25"/>
      <c r="P405" s="25"/>
    </row>
    <row r="406">
      <c r="A406" s="16">
        <v>404.0</v>
      </c>
      <c r="B406" s="17" t="s">
        <v>1127</v>
      </c>
      <c r="C406" s="18">
        <v>7.0</v>
      </c>
      <c r="D406" s="19" t="s">
        <v>1947</v>
      </c>
      <c r="E406" s="20" t="s">
        <v>443</v>
      </c>
      <c r="F406" s="17" t="s">
        <v>849</v>
      </c>
      <c r="G406" s="17" t="s">
        <v>123</v>
      </c>
      <c r="H406" s="17" t="s">
        <v>1959</v>
      </c>
      <c r="I406" s="17" t="s">
        <v>125</v>
      </c>
      <c r="J406" s="22" t="s">
        <v>144</v>
      </c>
      <c r="K406" s="23" t="s">
        <v>108</v>
      </c>
      <c r="L406" s="24" t="s">
        <v>91</v>
      </c>
      <c r="M406" s="2">
        <v>13.0</v>
      </c>
      <c r="N406" s="25">
        <v>31.0</v>
      </c>
      <c r="O406" s="25"/>
      <c r="P406" s="25"/>
    </row>
    <row r="407">
      <c r="A407" s="16">
        <v>405.0</v>
      </c>
      <c r="B407" s="17" t="s">
        <v>1127</v>
      </c>
      <c r="C407" s="18">
        <v>8.0</v>
      </c>
      <c r="D407" s="19" t="s">
        <v>1947</v>
      </c>
      <c r="E407" s="20" t="s">
        <v>443</v>
      </c>
      <c r="F407" s="17" t="s">
        <v>1051</v>
      </c>
      <c r="G407" s="17" t="s">
        <v>123</v>
      </c>
      <c r="H407" s="17" t="s">
        <v>1960</v>
      </c>
      <c r="I407" s="17" t="s">
        <v>125</v>
      </c>
      <c r="J407" s="22" t="s">
        <v>144</v>
      </c>
      <c r="K407" s="23" t="s">
        <v>108</v>
      </c>
      <c r="L407" s="24" t="s">
        <v>91</v>
      </c>
      <c r="M407" s="2">
        <v>13.0</v>
      </c>
      <c r="N407" s="25">
        <v>31.0</v>
      </c>
      <c r="O407" s="25"/>
      <c r="P407" s="25"/>
    </row>
    <row r="408">
      <c r="A408" s="16">
        <v>406.0</v>
      </c>
      <c r="B408" s="17" t="s">
        <v>1127</v>
      </c>
      <c r="C408" s="18">
        <v>9.0</v>
      </c>
      <c r="D408" s="19" t="s">
        <v>1947</v>
      </c>
      <c r="E408" s="20" t="s">
        <v>443</v>
      </c>
      <c r="F408" s="17" t="s">
        <v>1052</v>
      </c>
      <c r="G408" s="17" t="s">
        <v>1962</v>
      </c>
      <c r="H408" s="17" t="s">
        <v>1963</v>
      </c>
      <c r="I408" s="17" t="s">
        <v>125</v>
      </c>
      <c r="J408" s="22" t="s">
        <v>144</v>
      </c>
      <c r="K408" s="23" t="s">
        <v>108</v>
      </c>
      <c r="L408" s="24" t="s">
        <v>91</v>
      </c>
      <c r="M408" s="2">
        <v>13.0</v>
      </c>
      <c r="N408" s="25">
        <v>31.0</v>
      </c>
      <c r="O408" s="25"/>
      <c r="P408" s="25"/>
    </row>
    <row r="409">
      <c r="A409" s="16">
        <v>407.0</v>
      </c>
      <c r="B409" s="17" t="s">
        <v>1127</v>
      </c>
      <c r="C409" s="18">
        <v>10.0</v>
      </c>
      <c r="D409" s="19" t="s">
        <v>1947</v>
      </c>
      <c r="E409" s="20" t="s">
        <v>443</v>
      </c>
      <c r="F409" s="17" t="s">
        <v>1304</v>
      </c>
      <c r="G409" s="17" t="s">
        <v>1964</v>
      </c>
      <c r="H409" s="17" t="s">
        <v>1965</v>
      </c>
      <c r="I409" s="17" t="s">
        <v>125</v>
      </c>
      <c r="J409" s="22" t="s">
        <v>144</v>
      </c>
      <c r="K409" s="23" t="s">
        <v>108</v>
      </c>
      <c r="L409" s="24" t="s">
        <v>91</v>
      </c>
      <c r="M409" s="2">
        <v>13.0</v>
      </c>
      <c r="N409" s="25">
        <v>31.0</v>
      </c>
      <c r="O409" s="25"/>
      <c r="P409" s="25"/>
    </row>
    <row r="410">
      <c r="A410" s="16">
        <v>408.0</v>
      </c>
      <c r="B410" s="17" t="s">
        <v>1127</v>
      </c>
      <c r="C410" s="18">
        <v>11.0</v>
      </c>
      <c r="D410" s="19" t="s">
        <v>1947</v>
      </c>
      <c r="E410" s="20" t="s">
        <v>443</v>
      </c>
      <c r="F410" s="17" t="s">
        <v>1179</v>
      </c>
      <c r="G410" s="17" t="s">
        <v>1966</v>
      </c>
      <c r="H410" s="17" t="s">
        <v>1967</v>
      </c>
      <c r="I410" s="17" t="s">
        <v>125</v>
      </c>
      <c r="J410" s="22" t="s">
        <v>144</v>
      </c>
      <c r="K410" s="23" t="s">
        <v>108</v>
      </c>
      <c r="L410" s="24" t="s">
        <v>91</v>
      </c>
      <c r="M410" s="2">
        <v>13.0</v>
      </c>
      <c r="N410" s="25">
        <v>31.0</v>
      </c>
      <c r="O410" s="25"/>
      <c r="P410" s="25"/>
    </row>
    <row r="411">
      <c r="A411" s="16">
        <v>409.0</v>
      </c>
      <c r="B411" s="17" t="s">
        <v>1127</v>
      </c>
      <c r="C411" s="18">
        <v>12.0</v>
      </c>
      <c r="D411" s="19" t="s">
        <v>1947</v>
      </c>
      <c r="E411" s="20" t="s">
        <v>443</v>
      </c>
      <c r="F411" s="17" t="s">
        <v>1180</v>
      </c>
      <c r="G411" s="17" t="s">
        <v>1968</v>
      </c>
      <c r="H411" s="17" t="s">
        <v>1969</v>
      </c>
      <c r="I411" s="17" t="s">
        <v>125</v>
      </c>
      <c r="J411" s="22" t="s">
        <v>144</v>
      </c>
      <c r="K411" s="23" t="s">
        <v>108</v>
      </c>
      <c r="L411" s="24" t="s">
        <v>91</v>
      </c>
      <c r="M411" s="2">
        <v>13.0</v>
      </c>
      <c r="N411" s="25">
        <v>31.0</v>
      </c>
      <c r="O411" s="25"/>
      <c r="P411" s="25"/>
    </row>
    <row r="412">
      <c r="A412" s="16">
        <v>410.0</v>
      </c>
      <c r="B412" s="17" t="s">
        <v>1127</v>
      </c>
      <c r="C412" s="18">
        <v>13.0</v>
      </c>
      <c r="D412" s="19" t="s">
        <v>1947</v>
      </c>
      <c r="E412" s="20" t="s">
        <v>443</v>
      </c>
      <c r="F412" s="17" t="s">
        <v>1181</v>
      </c>
      <c r="G412" s="17" t="s">
        <v>123</v>
      </c>
      <c r="H412" s="17" t="s">
        <v>1970</v>
      </c>
      <c r="I412" s="17" t="s">
        <v>125</v>
      </c>
      <c r="J412" s="22" t="s">
        <v>144</v>
      </c>
      <c r="K412" s="23" t="s">
        <v>108</v>
      </c>
      <c r="L412" s="24" t="s">
        <v>91</v>
      </c>
      <c r="M412" s="2">
        <v>13.0</v>
      </c>
      <c r="N412" s="25">
        <v>31.0</v>
      </c>
      <c r="O412" s="25"/>
      <c r="P412" s="25"/>
    </row>
    <row r="413">
      <c r="A413" s="16">
        <v>411.0</v>
      </c>
      <c r="B413" s="17" t="s">
        <v>1127</v>
      </c>
      <c r="C413" s="18">
        <v>14.0</v>
      </c>
      <c r="D413" s="19" t="s">
        <v>1947</v>
      </c>
      <c r="E413" s="20" t="s">
        <v>443</v>
      </c>
      <c r="F413" s="17" t="s">
        <v>956</v>
      </c>
      <c r="G413" s="17" t="s">
        <v>123</v>
      </c>
      <c r="H413" s="17" t="s">
        <v>1971</v>
      </c>
      <c r="I413" s="17" t="s">
        <v>125</v>
      </c>
      <c r="J413" s="22" t="s">
        <v>144</v>
      </c>
      <c r="K413" s="23" t="s">
        <v>108</v>
      </c>
      <c r="L413" s="24" t="s">
        <v>91</v>
      </c>
      <c r="M413" s="2">
        <v>13.0</v>
      </c>
      <c r="N413" s="25">
        <v>31.0</v>
      </c>
      <c r="O413" s="25"/>
      <c r="P413" s="25"/>
    </row>
    <row r="414">
      <c r="A414" s="16">
        <v>412.0</v>
      </c>
      <c r="B414" s="17" t="s">
        <v>1127</v>
      </c>
      <c r="C414" s="18">
        <v>15.0</v>
      </c>
      <c r="D414" s="19" t="s">
        <v>1947</v>
      </c>
      <c r="E414" s="20" t="s">
        <v>443</v>
      </c>
      <c r="F414" s="17" t="s">
        <v>1183</v>
      </c>
      <c r="G414" s="17" t="s">
        <v>1972</v>
      </c>
      <c r="H414" s="17" t="s">
        <v>1965</v>
      </c>
      <c r="I414" s="17" t="s">
        <v>125</v>
      </c>
      <c r="J414" s="22" t="s">
        <v>144</v>
      </c>
      <c r="K414" s="23" t="s">
        <v>108</v>
      </c>
      <c r="L414" s="24" t="s">
        <v>91</v>
      </c>
      <c r="M414" s="2">
        <v>13.0</v>
      </c>
      <c r="N414" s="25">
        <v>31.0</v>
      </c>
      <c r="O414" s="25"/>
      <c r="P414" s="25"/>
    </row>
    <row r="415">
      <c r="A415" s="16">
        <v>413.0</v>
      </c>
      <c r="B415" s="17" t="s">
        <v>1127</v>
      </c>
      <c r="C415" s="18">
        <v>16.0</v>
      </c>
      <c r="D415" s="19" t="s">
        <v>1947</v>
      </c>
      <c r="E415" s="20" t="s">
        <v>443</v>
      </c>
      <c r="F415" s="17" t="s">
        <v>1184</v>
      </c>
      <c r="G415" s="17" t="s">
        <v>123</v>
      </c>
      <c r="H415" s="17" t="s">
        <v>1973</v>
      </c>
      <c r="I415" s="17" t="s">
        <v>125</v>
      </c>
      <c r="J415" s="22" t="s">
        <v>144</v>
      </c>
      <c r="K415" s="23" t="s">
        <v>108</v>
      </c>
      <c r="L415" s="24" t="s">
        <v>91</v>
      </c>
      <c r="M415" s="2">
        <v>13.0</v>
      </c>
      <c r="N415" s="25">
        <v>31.0</v>
      </c>
      <c r="O415" s="25"/>
      <c r="P415" s="25"/>
    </row>
    <row r="416">
      <c r="A416" s="16">
        <v>414.0</v>
      </c>
      <c r="B416" s="17" t="s">
        <v>1127</v>
      </c>
      <c r="C416" s="18">
        <v>17.0</v>
      </c>
      <c r="D416" s="19" t="s">
        <v>1947</v>
      </c>
      <c r="E416" s="20" t="s">
        <v>443</v>
      </c>
      <c r="F416" s="17" t="s">
        <v>1185</v>
      </c>
      <c r="G416" s="17" t="s">
        <v>1974</v>
      </c>
      <c r="H416" s="17" t="s">
        <v>1965</v>
      </c>
      <c r="I416" s="17" t="s">
        <v>125</v>
      </c>
      <c r="J416" s="22" t="s">
        <v>144</v>
      </c>
      <c r="K416" s="23" t="s">
        <v>108</v>
      </c>
      <c r="L416" s="24" t="s">
        <v>91</v>
      </c>
      <c r="M416" s="2">
        <v>13.0</v>
      </c>
      <c r="N416" s="25">
        <v>31.0</v>
      </c>
      <c r="O416" s="25"/>
      <c r="P416" s="25"/>
    </row>
    <row r="417">
      <c r="A417" s="16">
        <v>415.0</v>
      </c>
      <c r="B417" s="17" t="s">
        <v>1127</v>
      </c>
      <c r="C417" s="18">
        <v>18.0</v>
      </c>
      <c r="D417" s="19" t="s">
        <v>1947</v>
      </c>
      <c r="E417" s="20" t="s">
        <v>443</v>
      </c>
      <c r="F417" s="17" t="s">
        <v>455</v>
      </c>
      <c r="G417" s="17" t="s">
        <v>1975</v>
      </c>
      <c r="H417" s="17" t="s">
        <v>1976</v>
      </c>
      <c r="I417" s="17" t="s">
        <v>125</v>
      </c>
      <c r="J417" s="22" t="s">
        <v>144</v>
      </c>
      <c r="K417" s="23" t="s">
        <v>108</v>
      </c>
      <c r="L417" s="24" t="s">
        <v>91</v>
      </c>
      <c r="M417" s="2">
        <v>13.0</v>
      </c>
      <c r="N417" s="25">
        <v>31.0</v>
      </c>
      <c r="O417" s="25"/>
      <c r="P417" s="25"/>
    </row>
    <row r="418">
      <c r="A418" s="16">
        <v>416.0</v>
      </c>
      <c r="B418" s="17" t="s">
        <v>1127</v>
      </c>
      <c r="C418" s="18">
        <v>19.0</v>
      </c>
      <c r="D418" s="19" t="s">
        <v>1947</v>
      </c>
      <c r="E418" s="20" t="s">
        <v>443</v>
      </c>
      <c r="F418" s="17" t="s">
        <v>1307</v>
      </c>
      <c r="G418" s="17" t="s">
        <v>1977</v>
      </c>
      <c r="H418" s="17" t="s">
        <v>1978</v>
      </c>
      <c r="I418" s="17" t="s">
        <v>125</v>
      </c>
      <c r="J418" s="22" t="s">
        <v>144</v>
      </c>
      <c r="K418" s="23" t="s">
        <v>108</v>
      </c>
      <c r="L418" s="24" t="s">
        <v>91</v>
      </c>
      <c r="M418" s="2">
        <v>13.0</v>
      </c>
      <c r="N418" s="25">
        <v>31.0</v>
      </c>
      <c r="O418" s="25"/>
      <c r="P418" s="25"/>
    </row>
    <row r="419">
      <c r="A419" s="16">
        <v>417.0</v>
      </c>
      <c r="B419" s="17" t="s">
        <v>1127</v>
      </c>
      <c r="C419" s="18">
        <v>20.0</v>
      </c>
      <c r="D419" s="19" t="s">
        <v>1947</v>
      </c>
      <c r="E419" s="20" t="s">
        <v>443</v>
      </c>
      <c r="F419" s="17" t="s">
        <v>86</v>
      </c>
      <c r="G419" s="17" t="s">
        <v>1979</v>
      </c>
      <c r="H419" s="17" t="s">
        <v>1980</v>
      </c>
      <c r="I419" s="17" t="s">
        <v>125</v>
      </c>
      <c r="J419" s="22" t="s">
        <v>144</v>
      </c>
      <c r="K419" s="23" t="s">
        <v>108</v>
      </c>
      <c r="L419" s="24" t="s">
        <v>91</v>
      </c>
      <c r="M419" s="2">
        <v>13.0</v>
      </c>
      <c r="N419" s="25">
        <v>31.0</v>
      </c>
      <c r="O419" s="25"/>
      <c r="P419" s="25"/>
    </row>
    <row r="420">
      <c r="A420" s="16">
        <v>418.0</v>
      </c>
      <c r="B420" s="17" t="s">
        <v>1127</v>
      </c>
      <c r="C420" s="18">
        <v>21.0</v>
      </c>
      <c r="D420" s="19" t="s">
        <v>1947</v>
      </c>
      <c r="E420" s="20" t="s">
        <v>443</v>
      </c>
      <c r="F420" s="17" t="s">
        <v>850</v>
      </c>
      <c r="G420" s="17" t="s">
        <v>123</v>
      </c>
      <c r="H420" s="17" t="s">
        <v>1981</v>
      </c>
      <c r="I420" s="17" t="s">
        <v>125</v>
      </c>
      <c r="J420" s="22" t="s">
        <v>144</v>
      </c>
      <c r="K420" s="23" t="s">
        <v>108</v>
      </c>
      <c r="L420" s="24" t="s">
        <v>91</v>
      </c>
      <c r="M420" s="2">
        <v>13.0</v>
      </c>
      <c r="N420" s="25">
        <v>31.0</v>
      </c>
      <c r="O420" s="25"/>
      <c r="P420" s="25"/>
    </row>
    <row r="421">
      <c r="A421" s="16">
        <v>419.0</v>
      </c>
      <c r="B421" s="17" t="s">
        <v>1127</v>
      </c>
      <c r="C421" s="18">
        <v>22.0</v>
      </c>
      <c r="D421" s="19" t="s">
        <v>1947</v>
      </c>
      <c r="E421" s="20" t="s">
        <v>443</v>
      </c>
      <c r="F421" s="17" t="s">
        <v>1053</v>
      </c>
      <c r="G421" s="17" t="s">
        <v>1982</v>
      </c>
      <c r="H421" s="17" t="s">
        <v>1983</v>
      </c>
      <c r="I421" s="17" t="s">
        <v>125</v>
      </c>
      <c r="J421" s="22" t="s">
        <v>144</v>
      </c>
      <c r="K421" s="23" t="s">
        <v>108</v>
      </c>
      <c r="L421" s="24" t="s">
        <v>91</v>
      </c>
      <c r="M421" s="2">
        <v>13.0</v>
      </c>
      <c r="N421" s="25">
        <v>31.0</v>
      </c>
      <c r="O421" s="25"/>
      <c r="P421" s="25"/>
    </row>
    <row r="422">
      <c r="A422" s="16">
        <v>420.0</v>
      </c>
      <c r="B422" s="17" t="s">
        <v>1127</v>
      </c>
      <c r="C422" s="18">
        <v>23.0</v>
      </c>
      <c r="D422" s="19" t="s">
        <v>1947</v>
      </c>
      <c r="E422" s="20" t="s">
        <v>443</v>
      </c>
      <c r="F422" s="17" t="s">
        <v>957</v>
      </c>
      <c r="G422" s="17" t="s">
        <v>1984</v>
      </c>
      <c r="H422" s="17" t="s">
        <v>1985</v>
      </c>
      <c r="I422" s="17" t="s">
        <v>125</v>
      </c>
      <c r="J422" s="22" t="s">
        <v>144</v>
      </c>
      <c r="K422" s="23" t="s">
        <v>108</v>
      </c>
      <c r="L422" s="24" t="s">
        <v>91</v>
      </c>
      <c r="M422" s="2">
        <v>13.0</v>
      </c>
      <c r="N422" s="25">
        <v>31.0</v>
      </c>
      <c r="O422" s="25"/>
      <c r="P422" s="25"/>
    </row>
    <row r="423">
      <c r="A423" s="16">
        <v>421.0</v>
      </c>
      <c r="B423" s="17" t="s">
        <v>1127</v>
      </c>
      <c r="C423" s="18">
        <v>24.0</v>
      </c>
      <c r="D423" s="19" t="s">
        <v>1947</v>
      </c>
      <c r="E423" s="20" t="s">
        <v>443</v>
      </c>
      <c r="F423" s="17" t="s">
        <v>1186</v>
      </c>
      <c r="G423" s="17" t="s">
        <v>1986</v>
      </c>
      <c r="H423" s="17" t="s">
        <v>1987</v>
      </c>
      <c r="I423" s="17" t="s">
        <v>125</v>
      </c>
      <c r="J423" s="22" t="s">
        <v>144</v>
      </c>
      <c r="K423" s="23" t="s">
        <v>108</v>
      </c>
      <c r="L423" s="24" t="s">
        <v>91</v>
      </c>
      <c r="M423" s="2">
        <v>13.0</v>
      </c>
      <c r="N423" s="25">
        <v>31.0</v>
      </c>
      <c r="O423" s="25"/>
      <c r="P423" s="25"/>
    </row>
    <row r="424">
      <c r="A424" s="16">
        <v>422.0</v>
      </c>
      <c r="B424" s="17" t="s">
        <v>1127</v>
      </c>
      <c r="C424" s="18">
        <v>25.0</v>
      </c>
      <c r="D424" s="19" t="s">
        <v>1950</v>
      </c>
      <c r="E424" s="20" t="s">
        <v>443</v>
      </c>
      <c r="F424" s="17" t="s">
        <v>851</v>
      </c>
      <c r="G424" s="17" t="s">
        <v>123</v>
      </c>
      <c r="H424" s="17" t="s">
        <v>1988</v>
      </c>
      <c r="I424" s="17" t="s">
        <v>125</v>
      </c>
      <c r="J424" s="22" t="s">
        <v>144</v>
      </c>
      <c r="K424" s="23" t="s">
        <v>108</v>
      </c>
      <c r="L424" s="24" t="s">
        <v>91</v>
      </c>
      <c r="M424" s="2">
        <v>13.0</v>
      </c>
      <c r="N424" s="25">
        <v>31.0</v>
      </c>
      <c r="O424" s="25"/>
      <c r="P424" s="25"/>
    </row>
    <row r="425">
      <c r="A425" s="16">
        <v>423.0</v>
      </c>
      <c r="B425" s="17" t="s">
        <v>1127</v>
      </c>
      <c r="C425" s="18">
        <v>26.0</v>
      </c>
      <c r="D425" s="19" t="s">
        <v>1950</v>
      </c>
      <c r="E425" s="20" t="s">
        <v>443</v>
      </c>
      <c r="F425" s="17" t="s">
        <v>951</v>
      </c>
      <c r="G425" s="17" t="s">
        <v>1989</v>
      </c>
      <c r="H425" s="17" t="s">
        <v>1952</v>
      </c>
      <c r="I425" s="17" t="s">
        <v>125</v>
      </c>
      <c r="J425" s="22" t="s">
        <v>144</v>
      </c>
      <c r="K425" s="23" t="s">
        <v>108</v>
      </c>
      <c r="L425" s="24" t="s">
        <v>91</v>
      </c>
      <c r="M425" s="2">
        <v>13.0</v>
      </c>
      <c r="N425" s="25">
        <v>31.0</v>
      </c>
      <c r="O425" s="25"/>
      <c r="P425" s="25"/>
    </row>
    <row r="426">
      <c r="A426" s="16">
        <v>424.0</v>
      </c>
      <c r="B426" s="17" t="s">
        <v>1127</v>
      </c>
      <c r="C426" s="18">
        <v>27.0</v>
      </c>
      <c r="D426" s="19" t="s">
        <v>1950</v>
      </c>
      <c r="E426" s="20" t="s">
        <v>443</v>
      </c>
      <c r="F426" s="17" t="s">
        <v>1035</v>
      </c>
      <c r="G426" s="17" t="s">
        <v>1990</v>
      </c>
      <c r="H426" s="17" t="s">
        <v>1991</v>
      </c>
      <c r="I426" s="17" t="s">
        <v>125</v>
      </c>
      <c r="J426" s="22" t="s">
        <v>144</v>
      </c>
      <c r="K426" s="23" t="s">
        <v>108</v>
      </c>
      <c r="L426" s="24" t="s">
        <v>91</v>
      </c>
      <c r="M426" s="2">
        <v>13.0</v>
      </c>
      <c r="N426" s="25">
        <v>31.0</v>
      </c>
      <c r="O426" s="25"/>
      <c r="P426" s="25"/>
    </row>
    <row r="427">
      <c r="A427" s="16">
        <v>425.0</v>
      </c>
      <c r="B427" s="17" t="s">
        <v>1127</v>
      </c>
      <c r="C427" s="18">
        <v>28.0</v>
      </c>
      <c r="D427" s="19" t="s">
        <v>1950</v>
      </c>
      <c r="E427" s="20" t="s">
        <v>443</v>
      </c>
      <c r="F427" s="17" t="s">
        <v>942</v>
      </c>
      <c r="G427" s="17" t="s">
        <v>1743</v>
      </c>
      <c r="H427" s="17" t="s">
        <v>1993</v>
      </c>
      <c r="I427" s="17" t="s">
        <v>125</v>
      </c>
      <c r="J427" s="22" t="s">
        <v>144</v>
      </c>
      <c r="K427" s="23" t="s">
        <v>108</v>
      </c>
      <c r="L427" s="24" t="s">
        <v>91</v>
      </c>
      <c r="M427" s="2">
        <v>13.0</v>
      </c>
      <c r="N427" s="25">
        <v>31.0</v>
      </c>
      <c r="O427" s="25"/>
      <c r="P427" s="25"/>
    </row>
    <row r="428">
      <c r="A428" s="16">
        <v>426.0</v>
      </c>
      <c r="B428" s="17" t="s">
        <v>1127</v>
      </c>
      <c r="C428" s="18">
        <v>29.0</v>
      </c>
      <c r="D428" s="19" t="s">
        <v>1950</v>
      </c>
      <c r="E428" s="20" t="s">
        <v>443</v>
      </c>
      <c r="F428" s="17" t="s">
        <v>830</v>
      </c>
      <c r="G428" s="17" t="s">
        <v>1994</v>
      </c>
      <c r="H428" s="17" t="s">
        <v>1995</v>
      </c>
      <c r="I428" s="17" t="s">
        <v>125</v>
      </c>
      <c r="J428" s="22" t="s">
        <v>144</v>
      </c>
      <c r="K428" s="23" t="s">
        <v>108</v>
      </c>
      <c r="L428" s="24" t="s">
        <v>91</v>
      </c>
      <c r="M428" s="2">
        <v>13.0</v>
      </c>
      <c r="N428" s="25">
        <v>31.0</v>
      </c>
      <c r="O428" s="25"/>
      <c r="P428" s="25"/>
    </row>
    <row r="429">
      <c r="A429" s="16">
        <v>427.0</v>
      </c>
      <c r="B429" s="17" t="s">
        <v>1127</v>
      </c>
      <c r="C429" s="18">
        <v>30.0</v>
      </c>
      <c r="D429" s="19" t="s">
        <v>1950</v>
      </c>
      <c r="E429" s="20" t="s">
        <v>443</v>
      </c>
      <c r="F429" s="17" t="s">
        <v>1054</v>
      </c>
      <c r="G429" s="17" t="s">
        <v>1996</v>
      </c>
      <c r="H429" s="17" t="s">
        <v>1997</v>
      </c>
      <c r="I429" s="17" t="s">
        <v>125</v>
      </c>
      <c r="J429" s="22" t="s">
        <v>144</v>
      </c>
      <c r="K429" s="23" t="s">
        <v>108</v>
      </c>
      <c r="L429" s="24" t="s">
        <v>91</v>
      </c>
      <c r="M429" s="2">
        <v>13.0</v>
      </c>
      <c r="N429" s="25">
        <v>31.0</v>
      </c>
      <c r="O429" s="25"/>
      <c r="P429" s="25"/>
    </row>
    <row r="430">
      <c r="A430" s="16">
        <v>428.0</v>
      </c>
      <c r="B430" s="17" t="s">
        <v>1087</v>
      </c>
      <c r="C430" s="18">
        <v>1.0</v>
      </c>
      <c r="D430" s="19" t="s">
        <v>1998</v>
      </c>
      <c r="E430" s="20" t="s">
        <v>443</v>
      </c>
      <c r="F430" s="17" t="s">
        <v>957</v>
      </c>
      <c r="G430" s="17" t="s">
        <v>123</v>
      </c>
      <c r="H430" s="17" t="s">
        <v>1999</v>
      </c>
      <c r="I430" s="17" t="s">
        <v>98</v>
      </c>
      <c r="J430" s="22" t="s">
        <v>100</v>
      </c>
      <c r="K430" s="23" t="s">
        <v>108</v>
      </c>
      <c r="L430" s="24" t="s">
        <v>91</v>
      </c>
      <c r="M430" s="2">
        <v>14.0</v>
      </c>
      <c r="N430" s="25">
        <v>10.0</v>
      </c>
      <c r="O430" s="25"/>
      <c r="P430" s="25"/>
    </row>
    <row r="431">
      <c r="A431" s="16">
        <v>429.0</v>
      </c>
      <c r="B431" s="17" t="s">
        <v>1087</v>
      </c>
      <c r="C431" s="18">
        <v>2.0</v>
      </c>
      <c r="D431" s="19" t="s">
        <v>2000</v>
      </c>
      <c r="E431" s="20" t="s">
        <v>443</v>
      </c>
      <c r="F431" s="17" t="s">
        <v>1186</v>
      </c>
      <c r="G431" s="17" t="s">
        <v>1986</v>
      </c>
      <c r="H431" s="17" t="s">
        <v>2001</v>
      </c>
      <c r="I431" s="17" t="s">
        <v>125</v>
      </c>
      <c r="J431" s="22" t="s">
        <v>100</v>
      </c>
      <c r="K431" s="23" t="s">
        <v>108</v>
      </c>
      <c r="L431" s="24" t="s">
        <v>91</v>
      </c>
      <c r="M431" s="2">
        <v>14.0</v>
      </c>
      <c r="N431" s="25">
        <v>11.0</v>
      </c>
      <c r="O431" s="25"/>
      <c r="P431" s="25"/>
    </row>
    <row r="432">
      <c r="A432" s="16">
        <v>430.0</v>
      </c>
      <c r="B432" s="17" t="s">
        <v>1087</v>
      </c>
      <c r="C432" s="18">
        <v>3.0</v>
      </c>
      <c r="D432" s="19" t="s">
        <v>1998</v>
      </c>
      <c r="E432" s="20" t="s">
        <v>443</v>
      </c>
      <c r="F432" s="17" t="s">
        <v>169</v>
      </c>
      <c r="G432" s="17" t="s">
        <v>2002</v>
      </c>
      <c r="H432" s="17" t="s">
        <v>2003</v>
      </c>
      <c r="I432" s="17" t="s">
        <v>125</v>
      </c>
      <c r="J432" s="22" t="s">
        <v>100</v>
      </c>
      <c r="K432" s="23" t="s">
        <v>108</v>
      </c>
      <c r="L432" s="24" t="s">
        <v>91</v>
      </c>
      <c r="M432" s="2">
        <v>14.0</v>
      </c>
      <c r="N432" s="25">
        <v>11.0</v>
      </c>
      <c r="O432" s="25"/>
      <c r="P432" s="25"/>
    </row>
    <row r="433">
      <c r="A433" s="16">
        <v>431.0</v>
      </c>
      <c r="B433" s="17" t="s">
        <v>1087</v>
      </c>
      <c r="C433" s="18">
        <v>4.0</v>
      </c>
      <c r="D433" s="19" t="s">
        <v>1998</v>
      </c>
      <c r="E433" s="20" t="s">
        <v>443</v>
      </c>
      <c r="F433" s="17" t="s">
        <v>1187</v>
      </c>
      <c r="G433" s="17" t="s">
        <v>2004</v>
      </c>
      <c r="H433" s="17" t="s">
        <v>2005</v>
      </c>
      <c r="I433" s="17" t="s">
        <v>98</v>
      </c>
      <c r="J433" s="22" t="s">
        <v>135</v>
      </c>
      <c r="K433" s="23" t="s">
        <v>108</v>
      </c>
      <c r="L433" s="24" t="s">
        <v>91</v>
      </c>
      <c r="M433" s="2">
        <v>14.0</v>
      </c>
      <c r="N433" s="25">
        <v>20.0</v>
      </c>
      <c r="O433" s="25"/>
      <c r="P433" s="25"/>
    </row>
    <row r="434">
      <c r="A434" s="16">
        <v>432.0</v>
      </c>
      <c r="B434" s="17" t="s">
        <v>1087</v>
      </c>
      <c r="C434" s="18">
        <v>5.0</v>
      </c>
      <c r="D434" s="19" t="s">
        <v>1998</v>
      </c>
      <c r="E434" s="20" t="s">
        <v>443</v>
      </c>
      <c r="F434" s="17" t="s">
        <v>1188</v>
      </c>
      <c r="G434" s="17" t="s">
        <v>2006</v>
      </c>
      <c r="H434" s="17" t="s">
        <v>2007</v>
      </c>
      <c r="I434" s="17" t="s">
        <v>98</v>
      </c>
      <c r="J434" s="22" t="s">
        <v>135</v>
      </c>
      <c r="K434" s="23" t="s">
        <v>108</v>
      </c>
      <c r="L434" s="24" t="s">
        <v>91</v>
      </c>
      <c r="M434" s="2">
        <v>14.0</v>
      </c>
      <c r="N434" s="25">
        <v>20.0</v>
      </c>
      <c r="O434" s="25"/>
      <c r="P434" s="25"/>
    </row>
    <row r="435">
      <c r="A435" s="16">
        <v>433.0</v>
      </c>
      <c r="B435" s="17" t="s">
        <v>1087</v>
      </c>
      <c r="C435" s="18">
        <v>6.0</v>
      </c>
      <c r="D435" s="19" t="s">
        <v>1998</v>
      </c>
      <c r="E435" s="20" t="s">
        <v>443</v>
      </c>
      <c r="F435" s="17" t="s">
        <v>959</v>
      </c>
      <c r="G435" s="17" t="s">
        <v>2008</v>
      </c>
      <c r="H435" s="17" t="s">
        <v>2009</v>
      </c>
      <c r="I435" s="17" t="s">
        <v>98</v>
      </c>
      <c r="J435" s="22" t="s">
        <v>135</v>
      </c>
      <c r="K435" s="23" t="s">
        <v>108</v>
      </c>
      <c r="L435" s="24" t="s">
        <v>91</v>
      </c>
      <c r="M435" s="2">
        <v>14.0</v>
      </c>
      <c r="N435" s="25">
        <v>20.0</v>
      </c>
      <c r="O435" s="25"/>
      <c r="P435" s="25"/>
    </row>
    <row r="436">
      <c r="A436" s="16">
        <v>434.0</v>
      </c>
      <c r="B436" s="17" t="s">
        <v>1087</v>
      </c>
      <c r="C436" s="18">
        <v>7.0</v>
      </c>
      <c r="D436" s="19" t="s">
        <v>1998</v>
      </c>
      <c r="E436" s="20" t="s">
        <v>443</v>
      </c>
      <c r="F436" s="17" t="s">
        <v>850</v>
      </c>
      <c r="G436" s="17" t="s">
        <v>2010</v>
      </c>
      <c r="H436" s="17" t="s">
        <v>2011</v>
      </c>
      <c r="I436" s="17" t="s">
        <v>125</v>
      </c>
      <c r="J436" s="22" t="s">
        <v>135</v>
      </c>
      <c r="K436" s="23" t="s">
        <v>108</v>
      </c>
      <c r="L436" s="24" t="s">
        <v>91</v>
      </c>
      <c r="M436" s="2">
        <v>14.0</v>
      </c>
      <c r="N436" s="25">
        <v>21.0</v>
      </c>
      <c r="O436" s="25"/>
      <c r="P436" s="25"/>
    </row>
    <row r="437">
      <c r="A437" s="16">
        <v>435.0</v>
      </c>
      <c r="B437" s="17" t="s">
        <v>1087</v>
      </c>
      <c r="C437" s="18">
        <v>8.0</v>
      </c>
      <c r="D437" s="19" t="s">
        <v>1998</v>
      </c>
      <c r="E437" s="20" t="s">
        <v>443</v>
      </c>
      <c r="F437" s="17" t="s">
        <v>86</v>
      </c>
      <c r="G437" s="17" t="s">
        <v>1979</v>
      </c>
      <c r="H437" s="17" t="s">
        <v>2012</v>
      </c>
      <c r="I437" s="17" t="s">
        <v>98</v>
      </c>
      <c r="J437" s="22" t="s">
        <v>144</v>
      </c>
      <c r="K437" s="23" t="s">
        <v>108</v>
      </c>
      <c r="L437" s="24" t="s">
        <v>91</v>
      </c>
      <c r="M437" s="2">
        <v>14.0</v>
      </c>
      <c r="N437" s="25">
        <v>30.0</v>
      </c>
      <c r="O437" s="25"/>
      <c r="P437" s="25"/>
    </row>
    <row r="438">
      <c r="A438" s="16">
        <v>436.0</v>
      </c>
      <c r="B438" s="17" t="s">
        <v>1087</v>
      </c>
      <c r="C438" s="18">
        <v>9.0</v>
      </c>
      <c r="D438" s="19" t="s">
        <v>1998</v>
      </c>
      <c r="E438" s="20" t="s">
        <v>443</v>
      </c>
      <c r="F438" s="17" t="s">
        <v>1190</v>
      </c>
      <c r="G438" s="17" t="s">
        <v>2013</v>
      </c>
      <c r="H438" s="17" t="s">
        <v>2014</v>
      </c>
      <c r="I438" s="17" t="s">
        <v>98</v>
      </c>
      <c r="J438" s="22" t="s">
        <v>144</v>
      </c>
      <c r="K438" s="23" t="s">
        <v>108</v>
      </c>
      <c r="L438" s="24" t="s">
        <v>91</v>
      </c>
      <c r="M438" s="2">
        <v>14.0</v>
      </c>
      <c r="N438" s="25">
        <v>30.0</v>
      </c>
      <c r="O438" s="25"/>
      <c r="P438" s="25"/>
    </row>
    <row r="439">
      <c r="A439" s="16">
        <v>437.0</v>
      </c>
      <c r="B439" s="17" t="s">
        <v>1087</v>
      </c>
      <c r="C439" s="18">
        <v>10.0</v>
      </c>
      <c r="D439" s="19" t="s">
        <v>2000</v>
      </c>
      <c r="E439" s="20" t="s">
        <v>443</v>
      </c>
      <c r="F439" s="17" t="s">
        <v>617</v>
      </c>
      <c r="G439" s="17" t="s">
        <v>2015</v>
      </c>
      <c r="H439" s="17" t="s">
        <v>2016</v>
      </c>
      <c r="I439" s="17" t="s">
        <v>125</v>
      </c>
      <c r="J439" s="22" t="s">
        <v>144</v>
      </c>
      <c r="K439" s="23" t="s">
        <v>108</v>
      </c>
      <c r="L439" s="24" t="s">
        <v>91</v>
      </c>
      <c r="M439" s="2">
        <v>14.0</v>
      </c>
      <c r="N439" s="25">
        <v>31.0</v>
      </c>
      <c r="O439" s="25"/>
      <c r="P439" s="25"/>
    </row>
    <row r="440">
      <c r="A440" s="16">
        <v>438.0</v>
      </c>
      <c r="B440" s="17" t="s">
        <v>1087</v>
      </c>
      <c r="C440" s="18">
        <v>11.0</v>
      </c>
      <c r="D440" s="19" t="s">
        <v>2000</v>
      </c>
      <c r="E440" s="20" t="s">
        <v>443</v>
      </c>
      <c r="F440" s="17" t="s">
        <v>842</v>
      </c>
      <c r="G440" s="17" t="s">
        <v>123</v>
      </c>
      <c r="H440" s="17" t="s">
        <v>2017</v>
      </c>
      <c r="I440" s="17" t="s">
        <v>125</v>
      </c>
      <c r="J440" s="22" t="s">
        <v>144</v>
      </c>
      <c r="K440" s="23" t="s">
        <v>108</v>
      </c>
      <c r="L440" s="24" t="s">
        <v>91</v>
      </c>
      <c r="M440" s="2">
        <v>14.0</v>
      </c>
      <c r="N440" s="25">
        <v>31.0</v>
      </c>
      <c r="O440" s="25"/>
      <c r="P440" s="25"/>
    </row>
    <row r="441">
      <c r="A441" s="16">
        <v>439.0</v>
      </c>
      <c r="B441" s="17" t="s">
        <v>1087</v>
      </c>
      <c r="C441" s="18">
        <v>12.0</v>
      </c>
      <c r="D441" s="19" t="s">
        <v>2000</v>
      </c>
      <c r="E441" s="20" t="s">
        <v>443</v>
      </c>
      <c r="F441" s="17" t="s">
        <v>1192</v>
      </c>
      <c r="G441" s="17" t="s">
        <v>123</v>
      </c>
      <c r="H441" s="17" t="s">
        <v>2018</v>
      </c>
      <c r="I441" s="17" t="s">
        <v>125</v>
      </c>
      <c r="J441" s="22" t="s">
        <v>144</v>
      </c>
      <c r="K441" s="23" t="s">
        <v>108</v>
      </c>
      <c r="L441" s="24" t="s">
        <v>91</v>
      </c>
      <c r="M441" s="2">
        <v>14.0</v>
      </c>
      <c r="N441" s="25">
        <v>31.0</v>
      </c>
      <c r="O441" s="25"/>
      <c r="P441" s="25"/>
    </row>
    <row r="442">
      <c r="A442" s="16">
        <v>440.0</v>
      </c>
      <c r="B442" s="17" t="s">
        <v>1087</v>
      </c>
      <c r="C442" s="18">
        <v>13.0</v>
      </c>
      <c r="D442" s="19" t="s">
        <v>2000</v>
      </c>
      <c r="E442" s="20" t="s">
        <v>443</v>
      </c>
      <c r="F442" s="17" t="s">
        <v>29</v>
      </c>
      <c r="G442" s="17" t="s">
        <v>2019</v>
      </c>
      <c r="H442" s="17" t="s">
        <v>2020</v>
      </c>
      <c r="I442" s="17" t="s">
        <v>125</v>
      </c>
      <c r="J442" s="22" t="s">
        <v>144</v>
      </c>
      <c r="K442" s="23" t="s">
        <v>108</v>
      </c>
      <c r="L442" s="24" t="s">
        <v>91</v>
      </c>
      <c r="M442" s="2">
        <v>14.0</v>
      </c>
      <c r="N442" s="25">
        <v>31.0</v>
      </c>
      <c r="O442" s="25"/>
      <c r="P442" s="25"/>
    </row>
    <row r="443">
      <c r="A443" s="16">
        <v>441.0</v>
      </c>
      <c r="B443" s="17" t="s">
        <v>1087</v>
      </c>
      <c r="C443" s="18">
        <v>14.0</v>
      </c>
      <c r="D443" s="19" t="s">
        <v>2000</v>
      </c>
      <c r="E443" s="20" t="s">
        <v>443</v>
      </c>
      <c r="F443" s="17" t="s">
        <v>848</v>
      </c>
      <c r="G443" s="17" t="s">
        <v>2022</v>
      </c>
      <c r="H443" s="17" t="s">
        <v>2023</v>
      </c>
      <c r="I443" s="17" t="s">
        <v>125</v>
      </c>
      <c r="J443" s="22" t="s">
        <v>144</v>
      </c>
      <c r="K443" s="23" t="s">
        <v>108</v>
      </c>
      <c r="L443" s="24" t="s">
        <v>91</v>
      </c>
      <c r="M443" s="2">
        <v>14.0</v>
      </c>
      <c r="N443" s="25">
        <v>31.0</v>
      </c>
      <c r="O443" s="25"/>
      <c r="P443" s="25"/>
    </row>
    <row r="444">
      <c r="A444" s="16">
        <v>442.0</v>
      </c>
      <c r="B444" s="17" t="s">
        <v>1087</v>
      </c>
      <c r="C444" s="18">
        <v>15.0</v>
      </c>
      <c r="D444" s="19" t="s">
        <v>2000</v>
      </c>
      <c r="E444" s="20" t="s">
        <v>443</v>
      </c>
      <c r="F444" s="17" t="s">
        <v>1053</v>
      </c>
      <c r="G444" s="17" t="s">
        <v>123</v>
      </c>
      <c r="H444" s="17" t="s">
        <v>2024</v>
      </c>
      <c r="I444" s="17" t="s">
        <v>125</v>
      </c>
      <c r="J444" s="22" t="s">
        <v>144</v>
      </c>
      <c r="K444" s="23" t="s">
        <v>108</v>
      </c>
      <c r="L444" s="24" t="s">
        <v>91</v>
      </c>
      <c r="M444" s="2">
        <v>14.0</v>
      </c>
      <c r="N444" s="25">
        <v>31.0</v>
      </c>
      <c r="O444" s="25"/>
      <c r="P444" s="25"/>
    </row>
    <row r="445">
      <c r="A445" s="16">
        <v>443.0</v>
      </c>
      <c r="B445" s="17" t="s">
        <v>1087</v>
      </c>
      <c r="C445" s="18">
        <v>16.0</v>
      </c>
      <c r="D445" s="19" t="s">
        <v>2000</v>
      </c>
      <c r="E445" s="20" t="s">
        <v>443</v>
      </c>
      <c r="F445" s="17" t="s">
        <v>1055</v>
      </c>
      <c r="G445" s="17" t="s">
        <v>123</v>
      </c>
      <c r="H445" s="17" t="s">
        <v>2025</v>
      </c>
      <c r="I445" s="17" t="s">
        <v>125</v>
      </c>
      <c r="J445" s="22" t="s">
        <v>144</v>
      </c>
      <c r="K445" s="23" t="s">
        <v>108</v>
      </c>
      <c r="L445" s="24" t="s">
        <v>91</v>
      </c>
      <c r="M445" s="2">
        <v>14.0</v>
      </c>
      <c r="N445" s="25">
        <v>31.0</v>
      </c>
      <c r="O445" s="25"/>
      <c r="P445" s="25"/>
    </row>
    <row r="446">
      <c r="A446" s="16">
        <v>444.0</v>
      </c>
      <c r="B446" s="17" t="s">
        <v>1087</v>
      </c>
      <c r="C446" s="18">
        <v>17.0</v>
      </c>
      <c r="D446" s="19" t="s">
        <v>2000</v>
      </c>
      <c r="E446" s="20" t="s">
        <v>443</v>
      </c>
      <c r="F446" s="17" t="s">
        <v>1051</v>
      </c>
      <c r="G446" s="17" t="s">
        <v>2026</v>
      </c>
      <c r="H446" s="17" t="s">
        <v>2027</v>
      </c>
      <c r="I446" s="17" t="s">
        <v>125</v>
      </c>
      <c r="J446" s="22" t="s">
        <v>144</v>
      </c>
      <c r="K446" s="23" t="s">
        <v>108</v>
      </c>
      <c r="L446" s="24" t="s">
        <v>91</v>
      </c>
      <c r="M446" s="2">
        <v>14.0</v>
      </c>
      <c r="N446" s="25">
        <v>31.0</v>
      </c>
      <c r="O446" s="25"/>
      <c r="P446" s="25"/>
    </row>
    <row r="447">
      <c r="A447" s="16">
        <v>445.0</v>
      </c>
      <c r="B447" s="17" t="s">
        <v>1087</v>
      </c>
      <c r="C447" s="18">
        <v>18.0</v>
      </c>
      <c r="D447" s="19" t="s">
        <v>2000</v>
      </c>
      <c r="E447" s="20" t="s">
        <v>443</v>
      </c>
      <c r="F447" s="17" t="s">
        <v>551</v>
      </c>
      <c r="G447" s="17" t="s">
        <v>1049</v>
      </c>
      <c r="H447" s="17" t="s">
        <v>2028</v>
      </c>
      <c r="I447" s="17" t="s">
        <v>125</v>
      </c>
      <c r="J447" s="22" t="s">
        <v>144</v>
      </c>
      <c r="K447" s="23" t="s">
        <v>108</v>
      </c>
      <c r="L447" s="24" t="s">
        <v>91</v>
      </c>
      <c r="M447" s="2">
        <v>14.0</v>
      </c>
      <c r="N447" s="25">
        <v>31.0</v>
      </c>
      <c r="O447" s="25"/>
      <c r="P447" s="25"/>
    </row>
    <row r="448">
      <c r="A448" s="16">
        <v>446.0</v>
      </c>
      <c r="B448" s="17" t="s">
        <v>1087</v>
      </c>
      <c r="C448" s="18">
        <v>19.0</v>
      </c>
      <c r="D448" s="19" t="s">
        <v>2000</v>
      </c>
      <c r="E448" s="20" t="s">
        <v>443</v>
      </c>
      <c r="F448" s="17" t="s">
        <v>1031</v>
      </c>
      <c r="G448" s="17" t="s">
        <v>123</v>
      </c>
      <c r="H448" s="17" t="s">
        <v>2029</v>
      </c>
      <c r="I448" s="17" t="s">
        <v>125</v>
      </c>
      <c r="J448" s="22" t="s">
        <v>144</v>
      </c>
      <c r="K448" s="23" t="s">
        <v>108</v>
      </c>
      <c r="L448" s="24" t="s">
        <v>91</v>
      </c>
      <c r="M448" s="2">
        <v>14.0</v>
      </c>
      <c r="N448" s="25">
        <v>31.0</v>
      </c>
      <c r="O448" s="25"/>
      <c r="P448" s="25"/>
    </row>
    <row r="449">
      <c r="A449" s="16">
        <v>447.0</v>
      </c>
      <c r="B449" s="17" t="s">
        <v>1087</v>
      </c>
      <c r="C449" s="18">
        <v>20.0</v>
      </c>
      <c r="D449" s="19" t="s">
        <v>2000</v>
      </c>
      <c r="E449" s="20" t="s">
        <v>443</v>
      </c>
      <c r="F449" s="17" t="s">
        <v>652</v>
      </c>
      <c r="G449" s="17" t="s">
        <v>123</v>
      </c>
      <c r="H449" s="17" t="s">
        <v>2030</v>
      </c>
      <c r="I449" s="17" t="s">
        <v>125</v>
      </c>
      <c r="J449" s="22" t="s">
        <v>144</v>
      </c>
      <c r="K449" s="23" t="s">
        <v>108</v>
      </c>
      <c r="L449" s="24" t="s">
        <v>91</v>
      </c>
      <c r="M449" s="2">
        <v>14.0</v>
      </c>
      <c r="N449" s="25">
        <v>31.0</v>
      </c>
      <c r="O449" s="25"/>
      <c r="P449" s="25"/>
    </row>
    <row r="450">
      <c r="A450" s="16">
        <v>448.0</v>
      </c>
      <c r="B450" s="17" t="s">
        <v>1087</v>
      </c>
      <c r="C450" s="18">
        <v>21.0</v>
      </c>
      <c r="D450" s="19" t="s">
        <v>1998</v>
      </c>
      <c r="E450" s="20" t="s">
        <v>443</v>
      </c>
      <c r="F450" s="17" t="s">
        <v>826</v>
      </c>
      <c r="G450" s="17" t="s">
        <v>1474</v>
      </c>
      <c r="H450" s="17" t="s">
        <v>2031</v>
      </c>
      <c r="I450" s="17" t="s">
        <v>125</v>
      </c>
      <c r="J450" s="22" t="s">
        <v>144</v>
      </c>
      <c r="K450" s="23" t="s">
        <v>108</v>
      </c>
      <c r="L450" s="24" t="s">
        <v>91</v>
      </c>
      <c r="M450" s="2">
        <v>14.0</v>
      </c>
      <c r="N450" s="25">
        <v>31.0</v>
      </c>
      <c r="O450" s="25"/>
      <c r="P450" s="25"/>
    </row>
    <row r="451">
      <c r="A451" s="16">
        <v>449.0</v>
      </c>
      <c r="B451" s="17" t="s">
        <v>1087</v>
      </c>
      <c r="C451" s="18">
        <v>22.0</v>
      </c>
      <c r="D451" s="19" t="s">
        <v>1998</v>
      </c>
      <c r="E451" s="20" t="s">
        <v>443</v>
      </c>
      <c r="F451" s="17" t="s">
        <v>1024</v>
      </c>
      <c r="G451" s="17" t="s">
        <v>2032</v>
      </c>
      <c r="H451" s="17" t="s">
        <v>2033</v>
      </c>
      <c r="I451" s="17" t="s">
        <v>125</v>
      </c>
      <c r="J451" s="22" t="s">
        <v>144</v>
      </c>
      <c r="K451" s="23" t="s">
        <v>108</v>
      </c>
      <c r="L451" s="24" t="s">
        <v>91</v>
      </c>
      <c r="M451" s="2">
        <v>14.0</v>
      </c>
      <c r="N451" s="25">
        <v>31.0</v>
      </c>
      <c r="O451" s="25"/>
      <c r="P451" s="25"/>
    </row>
    <row r="452">
      <c r="A452" s="16">
        <v>450.0</v>
      </c>
      <c r="B452" s="17" t="s">
        <v>1087</v>
      </c>
      <c r="C452" s="18">
        <v>23.0</v>
      </c>
      <c r="D452" s="19" t="s">
        <v>1998</v>
      </c>
      <c r="E452" s="20" t="s">
        <v>443</v>
      </c>
      <c r="F452" s="17" t="s">
        <v>1</v>
      </c>
      <c r="G452" s="17" t="s">
        <v>2034</v>
      </c>
      <c r="H452" s="17" t="s">
        <v>2035</v>
      </c>
      <c r="I452" s="17" t="s">
        <v>125</v>
      </c>
      <c r="J452" s="22" t="s">
        <v>144</v>
      </c>
      <c r="K452" s="23" t="s">
        <v>108</v>
      </c>
      <c r="L452" s="24" t="s">
        <v>91</v>
      </c>
      <c r="M452" s="2">
        <v>14.0</v>
      </c>
      <c r="N452" s="25">
        <v>31.0</v>
      </c>
      <c r="O452" s="25"/>
      <c r="P452" s="25"/>
    </row>
    <row r="453">
      <c r="A453" s="16">
        <v>451.0</v>
      </c>
      <c r="B453" s="17" t="s">
        <v>1087</v>
      </c>
      <c r="C453" s="18">
        <v>24.0</v>
      </c>
      <c r="D453" s="19" t="s">
        <v>1998</v>
      </c>
      <c r="E453" s="20" t="s">
        <v>443</v>
      </c>
      <c r="F453" s="17" t="s">
        <v>1048</v>
      </c>
      <c r="G453" s="17" t="s">
        <v>2036</v>
      </c>
      <c r="H453" s="17" t="s">
        <v>2037</v>
      </c>
      <c r="I453" s="17" t="s">
        <v>125</v>
      </c>
      <c r="J453" s="22" t="s">
        <v>144</v>
      </c>
      <c r="K453" s="23" t="s">
        <v>108</v>
      </c>
      <c r="L453" s="24" t="s">
        <v>91</v>
      </c>
      <c r="M453" s="2">
        <v>14.0</v>
      </c>
      <c r="N453" s="25">
        <v>31.0</v>
      </c>
      <c r="O453" s="25"/>
      <c r="P453" s="25"/>
    </row>
    <row r="454">
      <c r="A454" s="16">
        <v>452.0</v>
      </c>
      <c r="B454" s="17" t="s">
        <v>1087</v>
      </c>
      <c r="C454" s="18">
        <v>25.0</v>
      </c>
      <c r="D454" s="19" t="s">
        <v>1998</v>
      </c>
      <c r="E454" s="20" t="s">
        <v>443</v>
      </c>
      <c r="F454" s="17" t="s">
        <v>1056</v>
      </c>
      <c r="G454" s="17" t="s">
        <v>2038</v>
      </c>
      <c r="H454" s="17" t="s">
        <v>2039</v>
      </c>
      <c r="I454" s="17" t="s">
        <v>125</v>
      </c>
      <c r="J454" s="22" t="s">
        <v>144</v>
      </c>
      <c r="K454" s="23" t="s">
        <v>108</v>
      </c>
      <c r="L454" s="24" t="s">
        <v>91</v>
      </c>
      <c r="M454" s="2">
        <v>14.0</v>
      </c>
      <c r="N454" s="25">
        <v>31.0</v>
      </c>
      <c r="O454" s="25"/>
      <c r="P454" s="25"/>
    </row>
    <row r="455">
      <c r="A455" s="16">
        <v>453.0</v>
      </c>
      <c r="B455" s="17" t="s">
        <v>1087</v>
      </c>
      <c r="C455" s="18">
        <v>26.0</v>
      </c>
      <c r="D455" s="19" t="s">
        <v>1998</v>
      </c>
      <c r="E455" s="20" t="s">
        <v>443</v>
      </c>
      <c r="F455" s="17" t="s">
        <v>843</v>
      </c>
      <c r="G455" s="17" t="s">
        <v>2040</v>
      </c>
      <c r="H455" s="17" t="s">
        <v>2041</v>
      </c>
      <c r="I455" s="17" t="s">
        <v>125</v>
      </c>
      <c r="J455" s="22" t="s">
        <v>144</v>
      </c>
      <c r="K455" s="23" t="s">
        <v>108</v>
      </c>
      <c r="L455" s="24" t="s">
        <v>91</v>
      </c>
      <c r="M455" s="2">
        <v>14.0</v>
      </c>
      <c r="N455" s="25">
        <v>31.0</v>
      </c>
      <c r="O455" s="25"/>
      <c r="P455" s="25"/>
    </row>
    <row r="456">
      <c r="A456" s="16">
        <v>454.0</v>
      </c>
      <c r="B456" s="17" t="s">
        <v>1087</v>
      </c>
      <c r="C456" s="18">
        <v>27.0</v>
      </c>
      <c r="D456" s="19" t="s">
        <v>1998</v>
      </c>
      <c r="E456" s="20" t="s">
        <v>443</v>
      </c>
      <c r="F456" s="17" t="s">
        <v>1057</v>
      </c>
      <c r="G456" s="17" t="s">
        <v>2042</v>
      </c>
      <c r="H456" s="17" t="s">
        <v>2043</v>
      </c>
      <c r="I456" s="17" t="s">
        <v>125</v>
      </c>
      <c r="J456" s="22" t="s">
        <v>144</v>
      </c>
      <c r="K456" s="23" t="s">
        <v>108</v>
      </c>
      <c r="L456" s="24" t="s">
        <v>91</v>
      </c>
      <c r="M456" s="2">
        <v>14.0</v>
      </c>
      <c r="N456" s="25">
        <v>31.0</v>
      </c>
      <c r="O456" s="25"/>
      <c r="P456" s="25"/>
    </row>
    <row r="457">
      <c r="A457" s="16">
        <v>455.0</v>
      </c>
      <c r="B457" s="17" t="s">
        <v>1087</v>
      </c>
      <c r="C457" s="18">
        <v>28.0</v>
      </c>
      <c r="D457" s="19" t="s">
        <v>1998</v>
      </c>
      <c r="E457" s="20" t="s">
        <v>443</v>
      </c>
      <c r="F457" s="17" t="s">
        <v>1193</v>
      </c>
      <c r="G457" s="17" t="s">
        <v>1974</v>
      </c>
      <c r="H457" s="17" t="s">
        <v>1965</v>
      </c>
      <c r="I457" s="17" t="s">
        <v>125</v>
      </c>
      <c r="J457" s="22" t="s">
        <v>144</v>
      </c>
      <c r="K457" s="23" t="s">
        <v>108</v>
      </c>
      <c r="L457" s="24" t="s">
        <v>91</v>
      </c>
      <c r="M457" s="2">
        <v>14.0</v>
      </c>
      <c r="N457" s="25">
        <v>31.0</v>
      </c>
      <c r="O457" s="25"/>
      <c r="P457" s="25"/>
    </row>
    <row r="458">
      <c r="A458" s="16">
        <v>456.0</v>
      </c>
      <c r="B458" s="17" t="s">
        <v>1087</v>
      </c>
      <c r="C458" s="18">
        <v>29.0</v>
      </c>
      <c r="D458" s="19" t="s">
        <v>1998</v>
      </c>
      <c r="E458" s="20" t="s">
        <v>443</v>
      </c>
      <c r="F458" s="17" t="s">
        <v>436</v>
      </c>
      <c r="G458" s="17" t="s">
        <v>2045</v>
      </c>
      <c r="H458" s="17" t="s">
        <v>2046</v>
      </c>
      <c r="I458" s="17" t="s">
        <v>125</v>
      </c>
      <c r="J458" s="22" t="s">
        <v>144</v>
      </c>
      <c r="K458" s="23" t="s">
        <v>108</v>
      </c>
      <c r="L458" s="24" t="s">
        <v>91</v>
      </c>
      <c r="M458" s="2">
        <v>14.0</v>
      </c>
      <c r="N458" s="25">
        <v>31.0</v>
      </c>
      <c r="O458" s="25"/>
      <c r="P458" s="25"/>
    </row>
    <row r="459">
      <c r="A459" s="16">
        <v>457.0</v>
      </c>
      <c r="B459" s="17" t="s">
        <v>1087</v>
      </c>
      <c r="C459" s="18">
        <v>30.0</v>
      </c>
      <c r="D459" s="19" t="s">
        <v>1998</v>
      </c>
      <c r="E459" s="20" t="s">
        <v>443</v>
      </c>
      <c r="F459" s="17" t="s">
        <v>515</v>
      </c>
      <c r="G459" s="17" t="s">
        <v>2047</v>
      </c>
      <c r="H459" s="17" t="s">
        <v>2048</v>
      </c>
      <c r="I459" s="17" t="s">
        <v>125</v>
      </c>
      <c r="J459" s="22" t="s">
        <v>144</v>
      </c>
      <c r="K459" s="23" t="s">
        <v>108</v>
      </c>
      <c r="L459" s="24" t="s">
        <v>91</v>
      </c>
      <c r="M459" s="2">
        <v>14.0</v>
      </c>
      <c r="N459" s="25">
        <v>31.0</v>
      </c>
      <c r="O459" s="25"/>
      <c r="P459" s="25"/>
    </row>
    <row r="460">
      <c r="A460" s="16">
        <v>458.0</v>
      </c>
      <c r="B460" s="17" t="s">
        <v>1241</v>
      </c>
      <c r="C460" s="18">
        <v>1.0</v>
      </c>
      <c r="D460" s="19" t="s">
        <v>2049</v>
      </c>
      <c r="E460" s="20" t="s">
        <v>91</v>
      </c>
      <c r="F460" s="17" t="s">
        <v>458</v>
      </c>
      <c r="G460" s="17" t="s">
        <v>2050</v>
      </c>
      <c r="H460" s="17" t="s">
        <v>2051</v>
      </c>
      <c r="I460" s="17" t="s">
        <v>98</v>
      </c>
      <c r="J460" s="22" t="s">
        <v>100</v>
      </c>
      <c r="K460" s="23" t="s">
        <v>108</v>
      </c>
      <c r="L460" s="24" t="s">
        <v>91</v>
      </c>
      <c r="M460" s="2">
        <v>15.0</v>
      </c>
      <c r="N460" s="25">
        <v>10.0</v>
      </c>
      <c r="O460" s="25"/>
      <c r="P460" s="25"/>
    </row>
    <row r="461">
      <c r="A461" s="16">
        <v>459.0</v>
      </c>
      <c r="B461" s="17" t="s">
        <v>1241</v>
      </c>
      <c r="C461" s="18">
        <v>2.0</v>
      </c>
      <c r="D461" s="19" t="s">
        <v>2049</v>
      </c>
      <c r="E461" s="20" t="s">
        <v>91</v>
      </c>
      <c r="F461" s="17" t="s">
        <v>87</v>
      </c>
      <c r="G461" s="17" t="s">
        <v>123</v>
      </c>
      <c r="H461" s="17" t="s">
        <v>2052</v>
      </c>
      <c r="I461" s="17" t="s">
        <v>125</v>
      </c>
      <c r="J461" s="22" t="s">
        <v>100</v>
      </c>
      <c r="K461" s="23" t="s">
        <v>108</v>
      </c>
      <c r="L461" s="24" t="s">
        <v>91</v>
      </c>
      <c r="M461" s="2">
        <v>15.0</v>
      </c>
      <c r="N461" s="25">
        <v>11.0</v>
      </c>
      <c r="O461" s="25"/>
      <c r="P461" s="25"/>
    </row>
    <row r="462">
      <c r="A462" s="16">
        <v>460.0</v>
      </c>
      <c r="B462" s="17" t="s">
        <v>1241</v>
      </c>
      <c r="C462" s="18">
        <v>3.0</v>
      </c>
      <c r="D462" s="19" t="s">
        <v>2049</v>
      </c>
      <c r="E462" s="20" t="s">
        <v>91</v>
      </c>
      <c r="F462" s="17" t="s">
        <v>462</v>
      </c>
      <c r="G462" s="17" t="s">
        <v>2053</v>
      </c>
      <c r="H462" s="17" t="s">
        <v>2054</v>
      </c>
      <c r="I462" s="17" t="s">
        <v>98</v>
      </c>
      <c r="J462" s="22" t="s">
        <v>135</v>
      </c>
      <c r="K462" s="23" t="s">
        <v>108</v>
      </c>
      <c r="L462" s="24" t="s">
        <v>91</v>
      </c>
      <c r="M462" s="2">
        <v>15.0</v>
      </c>
      <c r="N462" s="25">
        <v>20.0</v>
      </c>
      <c r="O462" s="25"/>
      <c r="P462" s="25"/>
    </row>
    <row r="463">
      <c r="A463" s="16">
        <v>461.0</v>
      </c>
      <c r="B463" s="17" t="s">
        <v>1241</v>
      </c>
      <c r="C463" s="18">
        <v>4.0</v>
      </c>
      <c r="D463" s="19" t="s">
        <v>2049</v>
      </c>
      <c r="E463" s="20" t="s">
        <v>91</v>
      </c>
      <c r="F463" s="17" t="s">
        <v>13</v>
      </c>
      <c r="G463" s="17" t="s">
        <v>2055</v>
      </c>
      <c r="H463" s="17" t="s">
        <v>2056</v>
      </c>
      <c r="I463" s="17" t="s">
        <v>98</v>
      </c>
      <c r="J463" s="22" t="s">
        <v>135</v>
      </c>
      <c r="K463" s="23" t="s">
        <v>108</v>
      </c>
      <c r="L463" s="24" t="s">
        <v>91</v>
      </c>
      <c r="M463" s="2">
        <v>15.0</v>
      </c>
      <c r="N463" s="25">
        <v>20.0</v>
      </c>
      <c r="O463" s="25"/>
      <c r="P463" s="25"/>
    </row>
    <row r="464">
      <c r="A464" s="16">
        <v>462.0</v>
      </c>
      <c r="B464" s="27" t="s">
        <v>1241</v>
      </c>
      <c r="C464" s="18">
        <v>5.0</v>
      </c>
      <c r="D464" s="19" t="s">
        <v>2049</v>
      </c>
      <c r="E464" s="20" t="s">
        <v>91</v>
      </c>
      <c r="F464" s="27" t="s">
        <v>1375</v>
      </c>
      <c r="G464" s="17" t="s">
        <v>2057</v>
      </c>
      <c r="H464" s="17" t="s">
        <v>2058</v>
      </c>
      <c r="I464" s="17" t="s">
        <v>98</v>
      </c>
      <c r="J464" s="22" t="s">
        <v>135</v>
      </c>
      <c r="K464" s="23" t="s">
        <v>108</v>
      </c>
      <c r="L464" s="24"/>
      <c r="M464" s="2">
        <v>15.0</v>
      </c>
      <c r="N464" s="25">
        <v>20.0</v>
      </c>
      <c r="O464" s="25"/>
      <c r="P464" s="25"/>
    </row>
    <row r="465">
      <c r="A465" s="16">
        <v>463.0</v>
      </c>
      <c r="B465" s="27" t="s">
        <v>1241</v>
      </c>
      <c r="C465" s="18">
        <v>6.0</v>
      </c>
      <c r="D465" s="19" t="s">
        <v>2049</v>
      </c>
      <c r="E465" s="20" t="s">
        <v>91</v>
      </c>
      <c r="F465" s="27" t="s">
        <v>1239</v>
      </c>
      <c r="G465" s="17" t="s">
        <v>2060</v>
      </c>
      <c r="H465" s="17" t="s">
        <v>2061</v>
      </c>
      <c r="I465" s="17" t="s">
        <v>98</v>
      </c>
      <c r="J465" s="22" t="s">
        <v>135</v>
      </c>
      <c r="K465" s="23" t="s">
        <v>108</v>
      </c>
      <c r="L465" s="24"/>
      <c r="M465" s="2">
        <v>15.0</v>
      </c>
      <c r="N465" s="25">
        <v>20.0</v>
      </c>
      <c r="O465" s="25"/>
      <c r="P465" s="25"/>
    </row>
    <row r="466">
      <c r="A466" s="16">
        <v>464.0</v>
      </c>
      <c r="B466" s="27" t="s">
        <v>1241</v>
      </c>
      <c r="C466" s="18">
        <v>7.0</v>
      </c>
      <c r="D466" s="19" t="s">
        <v>2049</v>
      </c>
      <c r="E466" s="20" t="s">
        <v>91</v>
      </c>
      <c r="F466" s="27" t="s">
        <v>496</v>
      </c>
      <c r="G466" s="17" t="s">
        <v>2062</v>
      </c>
      <c r="H466" s="17" t="s">
        <v>2063</v>
      </c>
      <c r="I466" s="17" t="s">
        <v>98</v>
      </c>
      <c r="J466" s="22" t="s">
        <v>135</v>
      </c>
      <c r="K466" s="23" t="s">
        <v>108</v>
      </c>
      <c r="L466" s="24"/>
      <c r="M466" s="2">
        <v>15.0</v>
      </c>
      <c r="N466" s="25">
        <v>20.0</v>
      </c>
      <c r="O466" s="25"/>
      <c r="P466" s="25"/>
    </row>
    <row r="467">
      <c r="A467" s="16">
        <v>465.0</v>
      </c>
      <c r="B467" s="27" t="s">
        <v>1241</v>
      </c>
      <c r="C467" s="18">
        <v>8.0</v>
      </c>
      <c r="D467" s="19" t="s">
        <v>2049</v>
      </c>
      <c r="E467" s="20" t="s">
        <v>91</v>
      </c>
      <c r="F467" s="27" t="s">
        <v>1020</v>
      </c>
      <c r="G467" s="17" t="s">
        <v>2064</v>
      </c>
      <c r="H467" s="17" t="s">
        <v>2065</v>
      </c>
      <c r="I467" s="17" t="s">
        <v>98</v>
      </c>
      <c r="J467" s="22" t="s">
        <v>135</v>
      </c>
      <c r="K467" s="23" t="s">
        <v>108</v>
      </c>
      <c r="L467" s="24"/>
      <c r="M467" s="2">
        <v>15.0</v>
      </c>
      <c r="N467" s="25">
        <v>20.0</v>
      </c>
      <c r="O467" s="25"/>
      <c r="P467" s="25"/>
    </row>
    <row r="468">
      <c r="A468" s="16">
        <v>466.0</v>
      </c>
      <c r="B468" s="17" t="s">
        <v>1241</v>
      </c>
      <c r="C468" s="18">
        <v>9.0</v>
      </c>
      <c r="D468" s="19" t="s">
        <v>1690</v>
      </c>
      <c r="E468" s="20" t="s">
        <v>91</v>
      </c>
      <c r="F468" s="17" t="s">
        <v>1056</v>
      </c>
      <c r="G468" s="17" t="s">
        <v>2066</v>
      </c>
      <c r="H468" s="17" t="s">
        <v>2067</v>
      </c>
      <c r="I468" s="17" t="s">
        <v>98</v>
      </c>
      <c r="J468" s="22" t="s">
        <v>135</v>
      </c>
      <c r="K468" s="23" t="s">
        <v>108</v>
      </c>
      <c r="L468" s="24" t="s">
        <v>91</v>
      </c>
      <c r="M468" s="2">
        <v>15.0</v>
      </c>
      <c r="N468" s="25">
        <v>20.0</v>
      </c>
      <c r="O468" s="25"/>
      <c r="P468" s="25"/>
    </row>
    <row r="469">
      <c r="A469" s="16">
        <v>467.0</v>
      </c>
      <c r="B469" s="17" t="s">
        <v>1241</v>
      </c>
      <c r="C469" s="18">
        <v>10.0</v>
      </c>
      <c r="D469" s="19" t="s">
        <v>1690</v>
      </c>
      <c r="E469" s="20" t="s">
        <v>91</v>
      </c>
      <c r="F469" s="17" t="s">
        <v>89</v>
      </c>
      <c r="G469" s="17" t="s">
        <v>2068</v>
      </c>
      <c r="H469" s="17" t="s">
        <v>2069</v>
      </c>
      <c r="I469" s="17" t="s">
        <v>98</v>
      </c>
      <c r="J469" s="22" t="s">
        <v>135</v>
      </c>
      <c r="K469" s="23" t="s">
        <v>108</v>
      </c>
      <c r="L469" s="24" t="s">
        <v>91</v>
      </c>
      <c r="M469" s="2">
        <v>15.0</v>
      </c>
      <c r="N469" s="25">
        <v>20.0</v>
      </c>
      <c r="O469" s="25"/>
      <c r="P469" s="25"/>
    </row>
    <row r="470">
      <c r="A470" s="16">
        <v>468.0</v>
      </c>
      <c r="B470" s="17" t="s">
        <v>1241</v>
      </c>
      <c r="C470" s="18">
        <v>11.0</v>
      </c>
      <c r="D470" s="19" t="s">
        <v>1690</v>
      </c>
      <c r="E470" s="20" t="s">
        <v>91</v>
      </c>
      <c r="F470" s="17" t="s">
        <v>648</v>
      </c>
      <c r="G470" s="17" t="s">
        <v>2071</v>
      </c>
      <c r="H470" s="17" t="s">
        <v>2073</v>
      </c>
      <c r="I470" s="17" t="s">
        <v>98</v>
      </c>
      <c r="J470" s="22" t="s">
        <v>135</v>
      </c>
      <c r="K470" s="23" t="s">
        <v>108</v>
      </c>
      <c r="L470" s="24" t="s">
        <v>91</v>
      </c>
      <c r="M470" s="2">
        <v>15.0</v>
      </c>
      <c r="N470" s="25">
        <v>20.0</v>
      </c>
      <c r="O470" s="25"/>
      <c r="P470" s="25"/>
    </row>
    <row r="471">
      <c r="A471" s="16">
        <v>469.0</v>
      </c>
      <c r="B471" s="27" t="s">
        <v>1241</v>
      </c>
      <c r="C471" s="18">
        <v>12.0</v>
      </c>
      <c r="D471" s="19" t="s">
        <v>1690</v>
      </c>
      <c r="E471" s="20" t="s">
        <v>91</v>
      </c>
      <c r="F471" s="27" t="s">
        <v>1270</v>
      </c>
      <c r="G471" s="17" t="s">
        <v>2075</v>
      </c>
      <c r="H471" s="17" t="s">
        <v>2076</v>
      </c>
      <c r="I471" s="17" t="s">
        <v>98</v>
      </c>
      <c r="J471" s="22" t="s">
        <v>135</v>
      </c>
      <c r="K471" s="23" t="s">
        <v>108</v>
      </c>
      <c r="L471" s="24"/>
      <c r="M471" s="2">
        <v>15.0</v>
      </c>
      <c r="N471" s="25">
        <v>20.0</v>
      </c>
      <c r="O471" s="25"/>
      <c r="P471" s="25"/>
    </row>
    <row r="472">
      <c r="A472" s="16">
        <v>470.0</v>
      </c>
      <c r="B472" s="17" t="s">
        <v>1241</v>
      </c>
      <c r="C472" s="18">
        <v>13.0</v>
      </c>
      <c r="D472" s="19" t="s">
        <v>1690</v>
      </c>
      <c r="E472" s="20" t="s">
        <v>91</v>
      </c>
      <c r="F472" s="17" t="s">
        <v>1194</v>
      </c>
      <c r="G472" s="17" t="s">
        <v>123</v>
      </c>
      <c r="H472" s="17" t="s">
        <v>2079</v>
      </c>
      <c r="I472" s="17" t="s">
        <v>125</v>
      </c>
      <c r="J472" s="22" t="s">
        <v>135</v>
      </c>
      <c r="K472" s="23" t="s">
        <v>108</v>
      </c>
      <c r="L472" s="24" t="s">
        <v>91</v>
      </c>
      <c r="M472" s="2">
        <v>15.0</v>
      </c>
      <c r="N472" s="25">
        <v>21.0</v>
      </c>
      <c r="O472" s="25"/>
      <c r="P472" s="25"/>
    </row>
    <row r="473">
      <c r="A473" s="16">
        <v>471.0</v>
      </c>
      <c r="B473" s="17" t="s">
        <v>1241</v>
      </c>
      <c r="C473" s="18">
        <v>14.0</v>
      </c>
      <c r="D473" s="19" t="s">
        <v>2049</v>
      </c>
      <c r="E473" s="20" t="s">
        <v>91</v>
      </c>
      <c r="F473" s="17" t="s">
        <v>72</v>
      </c>
      <c r="G473" s="17" t="s">
        <v>2080</v>
      </c>
      <c r="H473" s="17" t="s">
        <v>2081</v>
      </c>
      <c r="I473" s="17" t="s">
        <v>98</v>
      </c>
      <c r="J473" s="22" t="s">
        <v>144</v>
      </c>
      <c r="K473" s="23" t="s">
        <v>108</v>
      </c>
      <c r="L473" s="24" t="s">
        <v>91</v>
      </c>
      <c r="M473" s="2">
        <v>15.0</v>
      </c>
      <c r="N473" s="25">
        <v>30.0</v>
      </c>
      <c r="O473" s="25"/>
      <c r="P473" s="25"/>
    </row>
    <row r="474">
      <c r="A474" s="16">
        <v>472.0</v>
      </c>
      <c r="B474" s="17" t="s">
        <v>1241</v>
      </c>
      <c r="C474" s="18">
        <v>15.0</v>
      </c>
      <c r="D474" s="19" t="s">
        <v>1690</v>
      </c>
      <c r="E474" s="20" t="s">
        <v>91</v>
      </c>
      <c r="F474" s="17" t="s">
        <v>117</v>
      </c>
      <c r="G474" s="17" t="s">
        <v>123</v>
      </c>
      <c r="H474" s="17" t="s">
        <v>2082</v>
      </c>
      <c r="I474" s="17" t="s">
        <v>98</v>
      </c>
      <c r="J474" s="22" t="s">
        <v>144</v>
      </c>
      <c r="K474" s="23" t="s">
        <v>108</v>
      </c>
      <c r="L474" s="24" t="s">
        <v>91</v>
      </c>
      <c r="M474" s="2">
        <v>15.0</v>
      </c>
      <c r="N474" s="25">
        <v>30.0</v>
      </c>
      <c r="O474" s="25"/>
      <c r="P474" s="25"/>
    </row>
    <row r="475">
      <c r="A475" s="16">
        <v>473.0</v>
      </c>
      <c r="B475" s="17" t="s">
        <v>1241</v>
      </c>
      <c r="C475" s="18">
        <v>16.0</v>
      </c>
      <c r="D475" s="19" t="s">
        <v>1690</v>
      </c>
      <c r="E475" s="20" t="s">
        <v>91</v>
      </c>
      <c r="F475" s="17" t="s">
        <v>853</v>
      </c>
      <c r="G475" s="17" t="s">
        <v>2084</v>
      </c>
      <c r="H475" s="17" t="s">
        <v>2085</v>
      </c>
      <c r="I475" s="17" t="s">
        <v>98</v>
      </c>
      <c r="J475" s="22" t="s">
        <v>144</v>
      </c>
      <c r="K475" s="23" t="s">
        <v>108</v>
      </c>
      <c r="L475" s="24" t="s">
        <v>91</v>
      </c>
      <c r="M475" s="2">
        <v>15.0</v>
      </c>
      <c r="N475" s="25">
        <v>30.0</v>
      </c>
      <c r="O475" s="25"/>
      <c r="P475" s="25"/>
    </row>
    <row r="476">
      <c r="A476" s="16">
        <v>474.0</v>
      </c>
      <c r="B476" s="17" t="s">
        <v>1241</v>
      </c>
      <c r="C476" s="18">
        <v>17.0</v>
      </c>
      <c r="D476" s="19" t="s">
        <v>1690</v>
      </c>
      <c r="E476" s="20" t="s">
        <v>91</v>
      </c>
      <c r="F476" s="17" t="s">
        <v>150</v>
      </c>
      <c r="G476" s="17" t="s">
        <v>2087</v>
      </c>
      <c r="H476" s="17" t="s">
        <v>2088</v>
      </c>
      <c r="I476" s="17" t="s">
        <v>98</v>
      </c>
      <c r="J476" s="22" t="s">
        <v>144</v>
      </c>
      <c r="K476" s="23" t="s">
        <v>108</v>
      </c>
      <c r="L476" s="24" t="s">
        <v>91</v>
      </c>
      <c r="M476" s="2">
        <v>15.0</v>
      </c>
      <c r="N476" s="25">
        <v>30.0</v>
      </c>
      <c r="O476" s="25"/>
      <c r="P476" s="25"/>
    </row>
    <row r="477">
      <c r="A477" s="16">
        <v>475.0</v>
      </c>
      <c r="B477" s="17" t="s">
        <v>1241</v>
      </c>
      <c r="C477" s="18">
        <v>18.0</v>
      </c>
      <c r="D477" s="19" t="s">
        <v>1690</v>
      </c>
      <c r="E477" s="20" t="s">
        <v>91</v>
      </c>
      <c r="F477" s="17" t="s">
        <v>679</v>
      </c>
      <c r="G477" s="17" t="s">
        <v>2089</v>
      </c>
      <c r="H477" s="17" t="s">
        <v>2090</v>
      </c>
      <c r="I477" s="17" t="s">
        <v>98</v>
      </c>
      <c r="J477" s="22" t="s">
        <v>144</v>
      </c>
      <c r="K477" s="23" t="s">
        <v>108</v>
      </c>
      <c r="L477" s="24" t="s">
        <v>91</v>
      </c>
      <c r="M477" s="2">
        <v>15.0</v>
      </c>
      <c r="N477" s="25">
        <v>30.0</v>
      </c>
      <c r="O477" s="25"/>
      <c r="P477" s="25"/>
    </row>
    <row r="478">
      <c r="A478" s="16">
        <v>476.0</v>
      </c>
      <c r="B478" s="17" t="s">
        <v>1241</v>
      </c>
      <c r="C478" s="18">
        <v>19.0</v>
      </c>
      <c r="D478" s="19" t="s">
        <v>1690</v>
      </c>
      <c r="E478" s="20" t="s">
        <v>91</v>
      </c>
      <c r="F478" s="17" t="s">
        <v>1308</v>
      </c>
      <c r="G478" s="17" t="s">
        <v>2092</v>
      </c>
      <c r="H478" s="17" t="s">
        <v>2093</v>
      </c>
      <c r="I478" s="17" t="s">
        <v>98</v>
      </c>
      <c r="J478" s="22" t="s">
        <v>144</v>
      </c>
      <c r="K478" s="23" t="s">
        <v>108</v>
      </c>
      <c r="L478" s="24" t="s">
        <v>91</v>
      </c>
      <c r="M478" s="2">
        <v>15.0</v>
      </c>
      <c r="N478" s="25">
        <v>30.0</v>
      </c>
      <c r="O478" s="25"/>
      <c r="P478" s="25"/>
    </row>
    <row r="479">
      <c r="A479" s="16">
        <v>477.0</v>
      </c>
      <c r="B479" s="17" t="s">
        <v>1241</v>
      </c>
      <c r="C479" s="18">
        <v>20.0</v>
      </c>
      <c r="D479" s="19" t="s">
        <v>1690</v>
      </c>
      <c r="E479" s="20" t="s">
        <v>91</v>
      </c>
      <c r="F479" s="17" t="s">
        <v>1059</v>
      </c>
      <c r="G479" s="17" t="s">
        <v>123</v>
      </c>
      <c r="H479" s="17" t="s">
        <v>2094</v>
      </c>
      <c r="I479" s="17" t="s">
        <v>98</v>
      </c>
      <c r="J479" s="22" t="s">
        <v>144</v>
      </c>
      <c r="K479" s="23" t="s">
        <v>108</v>
      </c>
      <c r="L479" s="24" t="s">
        <v>91</v>
      </c>
      <c r="M479" s="2">
        <v>15.0</v>
      </c>
      <c r="N479" s="25">
        <v>30.0</v>
      </c>
      <c r="O479" s="25"/>
      <c r="P479" s="25"/>
    </row>
    <row r="480">
      <c r="A480" s="16">
        <v>478.0</v>
      </c>
      <c r="B480" s="17" t="s">
        <v>1241</v>
      </c>
      <c r="C480" s="18">
        <v>21.0</v>
      </c>
      <c r="D480" s="19" t="s">
        <v>1690</v>
      </c>
      <c r="E480" s="20" t="s">
        <v>91</v>
      </c>
      <c r="F480" s="17" t="s">
        <v>469</v>
      </c>
      <c r="G480" s="17" t="s">
        <v>2095</v>
      </c>
      <c r="H480" s="17" t="s">
        <v>2096</v>
      </c>
      <c r="I480" s="17" t="s">
        <v>98</v>
      </c>
      <c r="J480" s="22" t="s">
        <v>144</v>
      </c>
      <c r="K480" s="23" t="s">
        <v>108</v>
      </c>
      <c r="L480" s="24" t="s">
        <v>91</v>
      </c>
      <c r="M480" s="2">
        <v>15.0</v>
      </c>
      <c r="N480" s="25">
        <v>30.0</v>
      </c>
      <c r="O480" s="25"/>
      <c r="P480" s="25"/>
    </row>
    <row r="481">
      <c r="A481" s="16">
        <v>479.0</v>
      </c>
      <c r="B481" s="17" t="s">
        <v>1241</v>
      </c>
      <c r="C481" s="18">
        <v>22.0</v>
      </c>
      <c r="D481" s="19" t="s">
        <v>1690</v>
      </c>
      <c r="E481" s="20" t="s">
        <v>91</v>
      </c>
      <c r="F481" s="17" t="s">
        <v>1061</v>
      </c>
      <c r="G481" s="17" t="s">
        <v>2097</v>
      </c>
      <c r="H481" s="17" t="s">
        <v>2098</v>
      </c>
      <c r="I481" s="17" t="s">
        <v>98</v>
      </c>
      <c r="J481" s="22" t="s">
        <v>144</v>
      </c>
      <c r="K481" s="23" t="s">
        <v>108</v>
      </c>
      <c r="L481" s="24" t="s">
        <v>91</v>
      </c>
      <c r="M481" s="2">
        <v>15.0</v>
      </c>
      <c r="N481" s="25">
        <v>30.0</v>
      </c>
      <c r="O481" s="25"/>
      <c r="P481" s="25"/>
    </row>
    <row r="482">
      <c r="A482" s="16">
        <v>480.0</v>
      </c>
      <c r="B482" s="17" t="s">
        <v>1241</v>
      </c>
      <c r="C482" s="18">
        <v>23.0</v>
      </c>
      <c r="D482" s="19" t="s">
        <v>1690</v>
      </c>
      <c r="E482" s="20" t="s">
        <v>91</v>
      </c>
      <c r="F482" s="17" t="s">
        <v>960</v>
      </c>
      <c r="G482" s="17" t="s">
        <v>2099</v>
      </c>
      <c r="H482" s="17" t="s">
        <v>2100</v>
      </c>
      <c r="I482" s="17" t="s">
        <v>98</v>
      </c>
      <c r="J482" s="22" t="s">
        <v>144</v>
      </c>
      <c r="K482" s="23" t="s">
        <v>108</v>
      </c>
      <c r="L482" s="24" t="s">
        <v>91</v>
      </c>
      <c r="M482" s="2">
        <v>15.0</v>
      </c>
      <c r="N482" s="25">
        <v>30.0</v>
      </c>
      <c r="O482" s="25"/>
      <c r="P482" s="25"/>
    </row>
    <row r="483">
      <c r="A483" s="16">
        <v>481.0</v>
      </c>
      <c r="B483" s="17" t="s">
        <v>1241</v>
      </c>
      <c r="C483" s="18">
        <v>24.0</v>
      </c>
      <c r="D483" s="19" t="s">
        <v>2049</v>
      </c>
      <c r="E483" s="20" t="s">
        <v>91</v>
      </c>
      <c r="F483" s="17" t="s">
        <v>963</v>
      </c>
      <c r="G483" s="17" t="s">
        <v>2101</v>
      </c>
      <c r="H483" s="17" t="s">
        <v>2102</v>
      </c>
      <c r="I483" s="17" t="s">
        <v>125</v>
      </c>
      <c r="J483" s="22" t="s">
        <v>144</v>
      </c>
      <c r="K483" s="23" t="s">
        <v>108</v>
      </c>
      <c r="L483" s="24" t="s">
        <v>91</v>
      </c>
      <c r="M483" s="2">
        <v>15.0</v>
      </c>
      <c r="N483" s="25">
        <v>31.0</v>
      </c>
      <c r="O483" s="25"/>
      <c r="P483" s="25"/>
    </row>
    <row r="484">
      <c r="A484" s="16">
        <v>482.0</v>
      </c>
      <c r="B484" s="17" t="s">
        <v>1241</v>
      </c>
      <c r="C484" s="18">
        <v>25.0</v>
      </c>
      <c r="D484" s="19" t="s">
        <v>2049</v>
      </c>
      <c r="E484" s="20" t="s">
        <v>91</v>
      </c>
      <c r="F484" s="17" t="s">
        <v>1195</v>
      </c>
      <c r="G484" s="17" t="s">
        <v>2104</v>
      </c>
      <c r="H484" s="17" t="s">
        <v>2105</v>
      </c>
      <c r="I484" s="17" t="s">
        <v>125</v>
      </c>
      <c r="J484" s="22" t="s">
        <v>144</v>
      </c>
      <c r="K484" s="23" t="s">
        <v>108</v>
      </c>
      <c r="L484" s="24" t="s">
        <v>91</v>
      </c>
      <c r="M484" s="2">
        <v>15.0</v>
      </c>
      <c r="N484" s="25">
        <v>31.0</v>
      </c>
      <c r="O484" s="25"/>
      <c r="P484" s="25"/>
    </row>
    <row r="485">
      <c r="A485" s="16">
        <v>483.0</v>
      </c>
      <c r="B485" s="17" t="s">
        <v>1241</v>
      </c>
      <c r="C485" s="18">
        <v>26.0</v>
      </c>
      <c r="D485" s="19" t="s">
        <v>2049</v>
      </c>
      <c r="E485" s="20" t="s">
        <v>91</v>
      </c>
      <c r="F485" s="17" t="s">
        <v>855</v>
      </c>
      <c r="G485" s="17" t="s">
        <v>123</v>
      </c>
      <c r="H485" s="17" t="s">
        <v>2106</v>
      </c>
      <c r="I485" s="17" t="s">
        <v>125</v>
      </c>
      <c r="J485" s="22" t="s">
        <v>144</v>
      </c>
      <c r="K485" s="23" t="s">
        <v>108</v>
      </c>
      <c r="L485" s="24" t="s">
        <v>91</v>
      </c>
      <c r="M485" s="2">
        <v>15.0</v>
      </c>
      <c r="N485" s="25">
        <v>31.0</v>
      </c>
      <c r="O485" s="25"/>
      <c r="P485" s="25"/>
    </row>
    <row r="486">
      <c r="A486" s="16">
        <v>484.0</v>
      </c>
      <c r="B486" s="17" t="s">
        <v>1241</v>
      </c>
      <c r="C486" s="18">
        <v>27.0</v>
      </c>
      <c r="D486" s="19" t="s">
        <v>2049</v>
      </c>
      <c r="E486" s="20" t="s">
        <v>91</v>
      </c>
      <c r="F486" s="17" t="s">
        <v>1062</v>
      </c>
      <c r="G486" s="17" t="s">
        <v>2108</v>
      </c>
      <c r="H486" s="17" t="s">
        <v>2109</v>
      </c>
      <c r="I486" s="17" t="s">
        <v>125</v>
      </c>
      <c r="J486" s="22" t="s">
        <v>144</v>
      </c>
      <c r="K486" s="23" t="s">
        <v>108</v>
      </c>
      <c r="L486" s="24" t="s">
        <v>91</v>
      </c>
      <c r="M486" s="2">
        <v>15.0</v>
      </c>
      <c r="N486" s="25">
        <v>31.0</v>
      </c>
      <c r="O486" s="25"/>
      <c r="P486" s="25"/>
    </row>
    <row r="487">
      <c r="A487" s="16">
        <v>485.0</v>
      </c>
      <c r="B487" s="17" t="s">
        <v>1241</v>
      </c>
      <c r="C487" s="18">
        <v>28.0</v>
      </c>
      <c r="D487" s="19" t="s">
        <v>1690</v>
      </c>
      <c r="E487" s="20" t="s">
        <v>91</v>
      </c>
      <c r="F487" s="17" t="s">
        <v>682</v>
      </c>
      <c r="G487" s="17" t="s">
        <v>2110</v>
      </c>
      <c r="H487" s="17" t="s">
        <v>2111</v>
      </c>
      <c r="I487" s="17" t="s">
        <v>125</v>
      </c>
      <c r="J487" s="22" t="s">
        <v>144</v>
      </c>
      <c r="K487" s="23" t="s">
        <v>108</v>
      </c>
      <c r="L487" s="24" t="s">
        <v>91</v>
      </c>
      <c r="M487" s="2">
        <v>15.0</v>
      </c>
      <c r="N487" s="25">
        <v>31.0</v>
      </c>
      <c r="O487" s="25"/>
      <c r="P487" s="25"/>
    </row>
    <row r="488">
      <c r="A488" s="16">
        <v>486.0</v>
      </c>
      <c r="B488" s="17" t="s">
        <v>1241</v>
      </c>
      <c r="C488" s="18">
        <v>29.0</v>
      </c>
      <c r="D488" s="19" t="s">
        <v>1690</v>
      </c>
      <c r="E488" s="20" t="s">
        <v>91</v>
      </c>
      <c r="F488" s="17" t="s">
        <v>273</v>
      </c>
      <c r="G488" s="17" t="s">
        <v>2113</v>
      </c>
      <c r="H488" s="17" t="s">
        <v>2114</v>
      </c>
      <c r="I488" s="17" t="s">
        <v>125</v>
      </c>
      <c r="J488" s="22" t="s">
        <v>144</v>
      </c>
      <c r="K488" s="23" t="s">
        <v>108</v>
      </c>
      <c r="L488" s="24" t="s">
        <v>91</v>
      </c>
      <c r="M488" s="2">
        <v>15.0</v>
      </c>
      <c r="N488" s="25">
        <v>31.0</v>
      </c>
      <c r="O488" s="25"/>
      <c r="P488" s="25"/>
    </row>
    <row r="489">
      <c r="A489" s="16">
        <v>487.0</v>
      </c>
      <c r="B489" s="17" t="s">
        <v>1241</v>
      </c>
      <c r="C489" s="18">
        <v>30.0</v>
      </c>
      <c r="D489" s="19" t="s">
        <v>1690</v>
      </c>
      <c r="E489" s="20" t="s">
        <v>91</v>
      </c>
      <c r="F489" s="17" t="s">
        <v>1063</v>
      </c>
      <c r="G489" s="17" t="s">
        <v>2115</v>
      </c>
      <c r="H489" s="17" t="s">
        <v>2116</v>
      </c>
      <c r="I489" s="17" t="s">
        <v>125</v>
      </c>
      <c r="J489" s="22" t="s">
        <v>144</v>
      </c>
      <c r="K489" s="23" t="s">
        <v>108</v>
      </c>
      <c r="L489" s="24" t="s">
        <v>91</v>
      </c>
      <c r="M489" s="2">
        <v>15.0</v>
      </c>
      <c r="N489" s="25">
        <v>31.0</v>
      </c>
      <c r="O489" s="25"/>
      <c r="P489" s="25"/>
    </row>
    <row r="490">
      <c r="A490" s="16">
        <v>488.0</v>
      </c>
      <c r="B490" s="17" t="s">
        <v>1323</v>
      </c>
      <c r="C490" s="18">
        <v>1.0</v>
      </c>
      <c r="D490" s="19" t="s">
        <v>2117</v>
      </c>
      <c r="E490" s="20" t="s">
        <v>91</v>
      </c>
      <c r="F490" s="17" t="s">
        <v>1178</v>
      </c>
      <c r="G490" s="17" t="s">
        <v>2118</v>
      </c>
      <c r="H490" s="17" t="s">
        <v>2119</v>
      </c>
      <c r="I490" s="17" t="s">
        <v>125</v>
      </c>
      <c r="J490" s="22" t="s">
        <v>100</v>
      </c>
      <c r="K490" s="23" t="s">
        <v>108</v>
      </c>
      <c r="L490" s="24" t="s">
        <v>91</v>
      </c>
      <c r="M490" s="2">
        <v>16.0</v>
      </c>
      <c r="N490" s="25">
        <v>11.0</v>
      </c>
      <c r="O490" s="25"/>
      <c r="P490" s="25"/>
    </row>
    <row r="491">
      <c r="A491" s="16">
        <v>489.0</v>
      </c>
      <c r="B491" s="17" t="s">
        <v>1323</v>
      </c>
      <c r="C491" s="18">
        <v>2.0</v>
      </c>
      <c r="D491" s="19" t="s">
        <v>2121</v>
      </c>
      <c r="E491" s="20" t="s">
        <v>91</v>
      </c>
      <c r="F491" s="17" t="s">
        <v>455</v>
      </c>
      <c r="G491" s="17" t="s">
        <v>1975</v>
      </c>
      <c r="H491" s="17" t="s">
        <v>2123</v>
      </c>
      <c r="I491" s="17" t="s">
        <v>125</v>
      </c>
      <c r="J491" s="22" t="s">
        <v>100</v>
      </c>
      <c r="K491" s="23" t="s">
        <v>108</v>
      </c>
      <c r="L491" s="24" t="s">
        <v>91</v>
      </c>
      <c r="M491" s="2">
        <v>16.0</v>
      </c>
      <c r="N491" s="25">
        <v>11.0</v>
      </c>
      <c r="O491" s="25"/>
      <c r="P491" s="25"/>
    </row>
    <row r="492">
      <c r="A492" s="16">
        <v>490.0</v>
      </c>
      <c r="B492" s="17" t="s">
        <v>1323</v>
      </c>
      <c r="C492" s="18">
        <v>3.0</v>
      </c>
      <c r="D492" s="19" t="s">
        <v>2121</v>
      </c>
      <c r="E492" s="20" t="s">
        <v>91</v>
      </c>
      <c r="F492" s="17" t="s">
        <v>1309</v>
      </c>
      <c r="G492" s="17" t="s">
        <v>123</v>
      </c>
      <c r="H492" s="17" t="s">
        <v>2126</v>
      </c>
      <c r="I492" s="17" t="s">
        <v>125</v>
      </c>
      <c r="J492" s="22" t="s">
        <v>100</v>
      </c>
      <c r="K492" s="23" t="s">
        <v>108</v>
      </c>
      <c r="L492" s="24" t="s">
        <v>91</v>
      </c>
      <c r="M492" s="2">
        <v>16.0</v>
      </c>
      <c r="N492" s="25">
        <v>11.0</v>
      </c>
      <c r="O492" s="25"/>
      <c r="P492" s="25"/>
    </row>
    <row r="493">
      <c r="A493" s="16">
        <v>491.0</v>
      </c>
      <c r="B493" s="17" t="s">
        <v>1323</v>
      </c>
      <c r="C493" s="18">
        <v>4.0</v>
      </c>
      <c r="D493" s="19" t="s">
        <v>1718</v>
      </c>
      <c r="E493" s="20" t="s">
        <v>91</v>
      </c>
      <c r="F493" s="17" t="s">
        <v>965</v>
      </c>
      <c r="G493" s="17" t="s">
        <v>2127</v>
      </c>
      <c r="H493" s="17" t="s">
        <v>2128</v>
      </c>
      <c r="I493" s="17" t="s">
        <v>98</v>
      </c>
      <c r="J493" s="22" t="s">
        <v>135</v>
      </c>
      <c r="K493" s="23" t="s">
        <v>108</v>
      </c>
      <c r="L493" s="24" t="s">
        <v>91</v>
      </c>
      <c r="M493" s="2">
        <v>16.0</v>
      </c>
      <c r="N493" s="25">
        <v>20.0</v>
      </c>
      <c r="O493" s="25"/>
      <c r="P493" s="25"/>
    </row>
    <row r="494">
      <c r="A494" s="16">
        <v>492.0</v>
      </c>
      <c r="B494" s="17" t="s">
        <v>1323</v>
      </c>
      <c r="C494" s="18">
        <v>5.0</v>
      </c>
      <c r="D494" s="19" t="s">
        <v>1718</v>
      </c>
      <c r="E494" s="20" t="s">
        <v>91</v>
      </c>
      <c r="F494" s="17" t="s">
        <v>845</v>
      </c>
      <c r="G494" s="17" t="s">
        <v>2129</v>
      </c>
      <c r="H494" s="17" t="s">
        <v>2131</v>
      </c>
      <c r="I494" s="17" t="s">
        <v>125</v>
      </c>
      <c r="J494" s="22" t="s">
        <v>144</v>
      </c>
      <c r="K494" s="23" t="s">
        <v>108</v>
      </c>
      <c r="L494" s="24" t="s">
        <v>91</v>
      </c>
      <c r="M494" s="2">
        <v>16.0</v>
      </c>
      <c r="N494" s="25">
        <v>31.0</v>
      </c>
      <c r="O494" s="25"/>
      <c r="P494" s="25"/>
    </row>
    <row r="495">
      <c r="A495" s="16">
        <v>493.0</v>
      </c>
      <c r="B495" s="17" t="s">
        <v>1323</v>
      </c>
      <c r="C495" s="18">
        <v>6.0</v>
      </c>
      <c r="D495" s="19" t="s">
        <v>1718</v>
      </c>
      <c r="E495" s="20" t="s">
        <v>91</v>
      </c>
      <c r="F495" s="17" t="s">
        <v>1064</v>
      </c>
      <c r="G495" s="17" t="s">
        <v>2132</v>
      </c>
      <c r="H495" s="17" t="s">
        <v>2133</v>
      </c>
      <c r="I495" s="17" t="s">
        <v>125</v>
      </c>
      <c r="J495" s="22" t="s">
        <v>144</v>
      </c>
      <c r="K495" s="23" t="s">
        <v>108</v>
      </c>
      <c r="L495" s="24" t="s">
        <v>91</v>
      </c>
      <c r="M495" s="2">
        <v>16.0</v>
      </c>
      <c r="N495" s="25">
        <v>31.0</v>
      </c>
      <c r="O495" s="25"/>
      <c r="P495" s="25"/>
    </row>
    <row r="496">
      <c r="A496" s="16">
        <v>494.0</v>
      </c>
      <c r="B496" s="17" t="s">
        <v>1323</v>
      </c>
      <c r="C496" s="18">
        <v>7.0</v>
      </c>
      <c r="D496" s="19" t="s">
        <v>1718</v>
      </c>
      <c r="E496" s="20" t="s">
        <v>91</v>
      </c>
      <c r="F496" s="17" t="s">
        <v>829</v>
      </c>
      <c r="G496" s="17" t="s">
        <v>1409</v>
      </c>
      <c r="H496" s="17" t="s">
        <v>1633</v>
      </c>
      <c r="I496" s="17" t="s">
        <v>125</v>
      </c>
      <c r="J496" s="22" t="s">
        <v>144</v>
      </c>
      <c r="K496" s="23" t="s">
        <v>108</v>
      </c>
      <c r="L496" s="24" t="s">
        <v>91</v>
      </c>
      <c r="M496" s="2">
        <v>16.0</v>
      </c>
      <c r="N496" s="25">
        <v>31.0</v>
      </c>
      <c r="O496" s="25"/>
      <c r="P496" s="25"/>
    </row>
    <row r="497">
      <c r="A497" s="16">
        <v>495.0</v>
      </c>
      <c r="B497" s="17" t="s">
        <v>1323</v>
      </c>
      <c r="C497" s="18">
        <v>8.0</v>
      </c>
      <c r="D497" s="19" t="s">
        <v>1718</v>
      </c>
      <c r="E497" s="20" t="s">
        <v>91</v>
      </c>
      <c r="F497" s="17" t="s">
        <v>1197</v>
      </c>
      <c r="G497" s="17" t="s">
        <v>2135</v>
      </c>
      <c r="H497" s="17" t="s">
        <v>2136</v>
      </c>
      <c r="I497" s="17" t="s">
        <v>125</v>
      </c>
      <c r="J497" s="22" t="s">
        <v>144</v>
      </c>
      <c r="K497" s="23" t="s">
        <v>108</v>
      </c>
      <c r="L497" s="24" t="s">
        <v>91</v>
      </c>
      <c r="M497" s="2">
        <v>16.0</v>
      </c>
      <c r="N497" s="25">
        <v>31.0</v>
      </c>
      <c r="O497" s="25"/>
      <c r="P497" s="25"/>
    </row>
    <row r="498">
      <c r="A498" s="16">
        <v>496.0</v>
      </c>
      <c r="B498" s="17" t="s">
        <v>1323</v>
      </c>
      <c r="C498" s="18">
        <v>9.0</v>
      </c>
      <c r="D498" s="19" t="s">
        <v>1718</v>
      </c>
      <c r="E498" s="20" t="s">
        <v>91</v>
      </c>
      <c r="F498" s="17" t="s">
        <v>941</v>
      </c>
      <c r="G498" s="17" t="s">
        <v>2137</v>
      </c>
      <c r="H498" s="17" t="s">
        <v>2138</v>
      </c>
      <c r="I498" s="17" t="s">
        <v>125</v>
      </c>
      <c r="J498" s="22" t="s">
        <v>144</v>
      </c>
      <c r="K498" s="23" t="s">
        <v>108</v>
      </c>
      <c r="L498" s="24" t="s">
        <v>91</v>
      </c>
      <c r="M498" s="2">
        <v>16.0</v>
      </c>
      <c r="N498" s="25">
        <v>31.0</v>
      </c>
      <c r="O498" s="25"/>
      <c r="P498" s="25"/>
    </row>
    <row r="499">
      <c r="A499" s="16">
        <v>497.0</v>
      </c>
      <c r="B499" s="17" t="s">
        <v>1323</v>
      </c>
      <c r="C499" s="18">
        <v>10.0</v>
      </c>
      <c r="D499" s="19" t="s">
        <v>1718</v>
      </c>
      <c r="E499" s="20" t="s">
        <v>91</v>
      </c>
      <c r="F499" s="17" t="s">
        <v>1065</v>
      </c>
      <c r="G499" s="17" t="s">
        <v>2140</v>
      </c>
      <c r="H499" s="17" t="s">
        <v>2141</v>
      </c>
      <c r="I499" s="17" t="s">
        <v>125</v>
      </c>
      <c r="J499" s="22" t="s">
        <v>144</v>
      </c>
      <c r="K499" s="23" t="s">
        <v>108</v>
      </c>
      <c r="L499" s="24" t="s">
        <v>91</v>
      </c>
      <c r="M499" s="2">
        <v>16.0</v>
      </c>
      <c r="N499" s="25">
        <v>31.0</v>
      </c>
      <c r="O499" s="25"/>
      <c r="P499" s="25"/>
    </row>
    <row r="500">
      <c r="A500" s="16">
        <v>498.0</v>
      </c>
      <c r="B500" s="17" t="s">
        <v>1323</v>
      </c>
      <c r="C500" s="18">
        <v>11.0</v>
      </c>
      <c r="D500" s="19" t="s">
        <v>2117</v>
      </c>
      <c r="E500" s="20" t="s">
        <v>91</v>
      </c>
      <c r="F500" s="17" t="s">
        <v>942</v>
      </c>
      <c r="G500" s="17" t="s">
        <v>2142</v>
      </c>
      <c r="H500" s="17" t="s">
        <v>2143</v>
      </c>
      <c r="I500" s="17" t="s">
        <v>125</v>
      </c>
      <c r="J500" s="22" t="s">
        <v>144</v>
      </c>
      <c r="K500" s="23" t="s">
        <v>108</v>
      </c>
      <c r="L500" s="24" t="s">
        <v>91</v>
      </c>
      <c r="M500" s="2">
        <v>16.0</v>
      </c>
      <c r="N500" s="25">
        <v>31.0</v>
      </c>
      <c r="O500" s="25"/>
      <c r="P500" s="25"/>
    </row>
    <row r="501">
      <c r="A501" s="16">
        <v>499.0</v>
      </c>
      <c r="B501" s="17" t="s">
        <v>1323</v>
      </c>
      <c r="C501" s="18">
        <v>12.0</v>
      </c>
      <c r="D501" s="19" t="s">
        <v>2121</v>
      </c>
      <c r="E501" s="20" t="s">
        <v>91</v>
      </c>
      <c r="F501" s="17" t="s">
        <v>1198</v>
      </c>
      <c r="G501" s="17" t="s">
        <v>2145</v>
      </c>
      <c r="H501" s="17" t="s">
        <v>2146</v>
      </c>
      <c r="I501" s="17" t="s">
        <v>125</v>
      </c>
      <c r="J501" s="22" t="s">
        <v>144</v>
      </c>
      <c r="K501" s="23" t="s">
        <v>108</v>
      </c>
      <c r="L501" s="24" t="s">
        <v>91</v>
      </c>
      <c r="M501" s="2">
        <v>16.0</v>
      </c>
      <c r="N501" s="25">
        <v>31.0</v>
      </c>
      <c r="O501" s="25"/>
      <c r="P501" s="25"/>
    </row>
    <row r="502">
      <c r="A502" s="16">
        <v>500.0</v>
      </c>
      <c r="B502" s="17" t="s">
        <v>1323</v>
      </c>
      <c r="C502" s="18">
        <v>13.0</v>
      </c>
      <c r="D502" s="19" t="s">
        <v>2121</v>
      </c>
      <c r="E502" s="20" t="s">
        <v>91</v>
      </c>
      <c r="F502" s="17" t="s">
        <v>947</v>
      </c>
      <c r="G502" s="17" t="s">
        <v>2147</v>
      </c>
      <c r="H502" s="17" t="s">
        <v>2148</v>
      </c>
      <c r="I502" s="17" t="s">
        <v>125</v>
      </c>
      <c r="J502" s="22" t="s">
        <v>144</v>
      </c>
      <c r="K502" s="23" t="s">
        <v>108</v>
      </c>
      <c r="L502" s="24" t="s">
        <v>91</v>
      </c>
      <c r="M502" s="2">
        <v>16.0</v>
      </c>
      <c r="N502" s="25">
        <v>31.0</v>
      </c>
      <c r="O502" s="25"/>
      <c r="P502" s="25"/>
    </row>
    <row r="503">
      <c r="A503" s="16">
        <v>501.0</v>
      </c>
      <c r="B503" s="17" t="s">
        <v>1323</v>
      </c>
      <c r="C503" s="18">
        <v>14.0</v>
      </c>
      <c r="D503" s="19" t="s">
        <v>2121</v>
      </c>
      <c r="E503" s="20" t="s">
        <v>91</v>
      </c>
      <c r="F503" s="17" t="s">
        <v>849</v>
      </c>
      <c r="G503" s="17" t="s">
        <v>2150</v>
      </c>
      <c r="H503" s="17" t="s">
        <v>2151</v>
      </c>
      <c r="I503" s="17" t="s">
        <v>125</v>
      </c>
      <c r="J503" s="22" t="s">
        <v>144</v>
      </c>
      <c r="K503" s="23" t="s">
        <v>108</v>
      </c>
      <c r="L503" s="24" t="s">
        <v>91</v>
      </c>
      <c r="M503" s="2">
        <v>16.0</v>
      </c>
      <c r="N503" s="25">
        <v>31.0</v>
      </c>
      <c r="O503" s="25"/>
      <c r="P503" s="25"/>
    </row>
    <row r="504">
      <c r="A504" s="16">
        <v>502.0</v>
      </c>
      <c r="B504" s="17" t="s">
        <v>1323</v>
      </c>
      <c r="C504" s="18">
        <v>15.0</v>
      </c>
      <c r="D504" s="19" t="s">
        <v>2121</v>
      </c>
      <c r="E504" s="20" t="s">
        <v>91</v>
      </c>
      <c r="F504" s="17" t="s">
        <v>1199</v>
      </c>
      <c r="G504" s="17" t="s">
        <v>2152</v>
      </c>
      <c r="H504" s="17" t="s">
        <v>2153</v>
      </c>
      <c r="I504" s="17" t="s">
        <v>125</v>
      </c>
      <c r="J504" s="22" t="s">
        <v>144</v>
      </c>
      <c r="K504" s="23" t="s">
        <v>108</v>
      </c>
      <c r="L504" s="24" t="s">
        <v>91</v>
      </c>
      <c r="M504" s="2">
        <v>16.0</v>
      </c>
      <c r="N504" s="25">
        <v>31.0</v>
      </c>
      <c r="O504" s="25"/>
      <c r="P504" s="25"/>
    </row>
    <row r="505">
      <c r="A505" s="16">
        <v>503.0</v>
      </c>
      <c r="B505" s="17" t="s">
        <v>1323</v>
      </c>
      <c r="C505" s="18">
        <v>16.0</v>
      </c>
      <c r="D505" s="19" t="s">
        <v>2121</v>
      </c>
      <c r="E505" s="20" t="s">
        <v>91</v>
      </c>
      <c r="F505" s="17" t="s">
        <v>830</v>
      </c>
      <c r="G505" s="17" t="s">
        <v>123</v>
      </c>
      <c r="H505" s="17" t="s">
        <v>2154</v>
      </c>
      <c r="I505" s="17" t="s">
        <v>125</v>
      </c>
      <c r="J505" s="22" t="s">
        <v>144</v>
      </c>
      <c r="K505" s="23" t="s">
        <v>108</v>
      </c>
      <c r="L505" s="24" t="s">
        <v>91</v>
      </c>
      <c r="M505" s="2">
        <v>16.0</v>
      </c>
      <c r="N505" s="25">
        <v>31.0</v>
      </c>
      <c r="O505" s="25"/>
      <c r="P505" s="25"/>
    </row>
    <row r="506">
      <c r="A506" s="16">
        <v>504.0</v>
      </c>
      <c r="B506" s="17" t="s">
        <v>1323</v>
      </c>
      <c r="C506" s="18">
        <v>17.0</v>
      </c>
      <c r="D506" s="19" t="s">
        <v>2121</v>
      </c>
      <c r="E506" s="20" t="s">
        <v>91</v>
      </c>
      <c r="F506" s="17" t="s">
        <v>149</v>
      </c>
      <c r="G506" s="17" t="s">
        <v>2155</v>
      </c>
      <c r="H506" s="17" t="s">
        <v>2156</v>
      </c>
      <c r="I506" s="17" t="s">
        <v>125</v>
      </c>
      <c r="J506" s="22" t="s">
        <v>144</v>
      </c>
      <c r="K506" s="23" t="s">
        <v>108</v>
      </c>
      <c r="L506" s="24" t="s">
        <v>91</v>
      </c>
      <c r="M506" s="2">
        <v>16.0</v>
      </c>
      <c r="N506" s="25">
        <v>31.0</v>
      </c>
      <c r="O506" s="25"/>
      <c r="P506" s="25"/>
    </row>
    <row r="507">
      <c r="A507" s="16">
        <v>505.0</v>
      </c>
      <c r="B507" s="17" t="s">
        <v>1323</v>
      </c>
      <c r="C507" s="18">
        <v>18.0</v>
      </c>
      <c r="D507" s="19" t="s">
        <v>2121</v>
      </c>
      <c r="E507" s="20" t="s">
        <v>91</v>
      </c>
      <c r="F507" s="17" t="s">
        <v>1067</v>
      </c>
      <c r="G507" s="17" t="s">
        <v>123</v>
      </c>
      <c r="H507" s="17" t="s">
        <v>2157</v>
      </c>
      <c r="I507" s="17" t="s">
        <v>125</v>
      </c>
      <c r="J507" s="22" t="s">
        <v>144</v>
      </c>
      <c r="K507" s="23" t="s">
        <v>108</v>
      </c>
      <c r="L507" s="24" t="s">
        <v>91</v>
      </c>
      <c r="M507" s="2">
        <v>16.0</v>
      </c>
      <c r="N507" s="25">
        <v>31.0</v>
      </c>
      <c r="O507" s="25"/>
      <c r="P507" s="25"/>
    </row>
    <row r="508">
      <c r="A508" s="16">
        <v>506.0</v>
      </c>
      <c r="B508" s="17" t="s">
        <v>1323</v>
      </c>
      <c r="C508" s="18">
        <v>19.0</v>
      </c>
      <c r="D508" s="19" t="s">
        <v>2121</v>
      </c>
      <c r="E508" s="20" t="s">
        <v>91</v>
      </c>
      <c r="F508" s="17" t="s">
        <v>966</v>
      </c>
      <c r="G508" s="17" t="s">
        <v>2158</v>
      </c>
      <c r="H508" s="17" t="s">
        <v>2159</v>
      </c>
      <c r="I508" s="17" t="s">
        <v>125</v>
      </c>
      <c r="J508" s="22" t="s">
        <v>144</v>
      </c>
      <c r="K508" s="23" t="s">
        <v>108</v>
      </c>
      <c r="L508" s="24" t="s">
        <v>91</v>
      </c>
      <c r="M508" s="2">
        <v>16.0</v>
      </c>
      <c r="N508" s="25">
        <v>31.0</v>
      </c>
      <c r="O508" s="25"/>
      <c r="P508" s="25"/>
    </row>
    <row r="509">
      <c r="A509" s="16">
        <v>507.0</v>
      </c>
      <c r="B509" s="17" t="s">
        <v>1323</v>
      </c>
      <c r="C509" s="18">
        <v>20.0</v>
      </c>
      <c r="D509" s="19" t="s">
        <v>2121</v>
      </c>
      <c r="E509" s="20" t="s">
        <v>91</v>
      </c>
      <c r="F509" s="17" t="s">
        <v>967</v>
      </c>
      <c r="G509" s="17" t="s">
        <v>2162</v>
      </c>
      <c r="H509" s="17" t="s">
        <v>2163</v>
      </c>
      <c r="I509" s="17" t="s">
        <v>125</v>
      </c>
      <c r="J509" s="22" t="s">
        <v>144</v>
      </c>
      <c r="K509" s="23" t="s">
        <v>108</v>
      </c>
      <c r="L509" s="24" t="s">
        <v>91</v>
      </c>
      <c r="M509" s="2">
        <v>16.0</v>
      </c>
      <c r="N509" s="25">
        <v>31.0</v>
      </c>
      <c r="O509" s="25"/>
      <c r="P509" s="25"/>
    </row>
    <row r="510">
      <c r="A510" s="16">
        <v>508.0</v>
      </c>
      <c r="B510" s="17" t="s">
        <v>1323</v>
      </c>
      <c r="C510" s="18">
        <v>21.0</v>
      </c>
      <c r="D510" s="19" t="s">
        <v>2121</v>
      </c>
      <c r="E510" s="20" t="s">
        <v>91</v>
      </c>
      <c r="F510" s="17" t="s">
        <v>844</v>
      </c>
      <c r="G510" s="17" t="s">
        <v>2165</v>
      </c>
      <c r="H510" s="17" t="s">
        <v>2166</v>
      </c>
      <c r="I510" s="17" t="s">
        <v>125</v>
      </c>
      <c r="J510" s="22" t="s">
        <v>144</v>
      </c>
      <c r="K510" s="23" t="s">
        <v>108</v>
      </c>
      <c r="L510" s="24" t="s">
        <v>91</v>
      </c>
      <c r="M510" s="2">
        <v>16.0</v>
      </c>
      <c r="N510" s="25">
        <v>31.0</v>
      </c>
      <c r="O510" s="25"/>
      <c r="P510" s="25"/>
    </row>
    <row r="511">
      <c r="A511" s="16">
        <v>509.0</v>
      </c>
      <c r="B511" s="17" t="s">
        <v>1323</v>
      </c>
      <c r="C511" s="18">
        <v>22.0</v>
      </c>
      <c r="D511" s="19" t="s">
        <v>2121</v>
      </c>
      <c r="E511" s="20" t="s">
        <v>91</v>
      </c>
      <c r="F511" s="17" t="s">
        <v>1310</v>
      </c>
      <c r="G511" s="17" t="s">
        <v>2168</v>
      </c>
      <c r="H511" s="17" t="s">
        <v>2169</v>
      </c>
      <c r="I511" s="17" t="s">
        <v>125</v>
      </c>
      <c r="J511" s="22" t="s">
        <v>144</v>
      </c>
      <c r="K511" s="23" t="s">
        <v>108</v>
      </c>
      <c r="L511" s="24" t="s">
        <v>91</v>
      </c>
      <c r="M511" s="2">
        <v>16.0</v>
      </c>
      <c r="N511" s="25">
        <v>31.0</v>
      </c>
      <c r="O511" s="25"/>
      <c r="P511" s="25"/>
    </row>
    <row r="512">
      <c r="A512" s="16">
        <v>510.0</v>
      </c>
      <c r="B512" s="17" t="s">
        <v>1323</v>
      </c>
      <c r="C512" s="18">
        <v>23.0</v>
      </c>
      <c r="D512" s="19" t="s">
        <v>2121</v>
      </c>
      <c r="E512" s="20" t="s">
        <v>91</v>
      </c>
      <c r="F512" s="17" t="s">
        <v>959</v>
      </c>
      <c r="G512" s="17" t="s">
        <v>2008</v>
      </c>
      <c r="H512" s="17" t="s">
        <v>2170</v>
      </c>
      <c r="I512" s="17" t="s">
        <v>125</v>
      </c>
      <c r="J512" s="22" t="s">
        <v>144</v>
      </c>
      <c r="K512" s="23" t="s">
        <v>108</v>
      </c>
      <c r="L512" s="24" t="s">
        <v>91</v>
      </c>
      <c r="M512" s="2">
        <v>16.0</v>
      </c>
      <c r="N512" s="25">
        <v>31.0</v>
      </c>
      <c r="O512" s="25"/>
      <c r="P512" s="25"/>
    </row>
    <row r="513">
      <c r="A513" s="16">
        <v>511.0</v>
      </c>
      <c r="B513" s="17" t="s">
        <v>1323</v>
      </c>
      <c r="C513" s="18">
        <v>24.0</v>
      </c>
      <c r="D513" s="19" t="s">
        <v>2121</v>
      </c>
      <c r="E513" s="20" t="s">
        <v>91</v>
      </c>
      <c r="F513" s="17" t="s">
        <v>1069</v>
      </c>
      <c r="G513" s="17" t="s">
        <v>2172</v>
      </c>
      <c r="H513" s="17" t="s">
        <v>2173</v>
      </c>
      <c r="I513" s="17" t="s">
        <v>125</v>
      </c>
      <c r="J513" s="22" t="s">
        <v>144</v>
      </c>
      <c r="K513" s="23" t="s">
        <v>108</v>
      </c>
      <c r="L513" s="24" t="s">
        <v>91</v>
      </c>
      <c r="M513" s="2">
        <v>16.0</v>
      </c>
      <c r="N513" s="25">
        <v>31.0</v>
      </c>
      <c r="O513" s="25"/>
      <c r="P513" s="25"/>
    </row>
    <row r="514">
      <c r="A514" s="16">
        <v>512.0</v>
      </c>
      <c r="B514" s="17" t="s">
        <v>1323</v>
      </c>
      <c r="C514" s="18">
        <v>25.0</v>
      </c>
      <c r="D514" s="19" t="s">
        <v>2121</v>
      </c>
      <c r="E514" s="20" t="s">
        <v>91</v>
      </c>
      <c r="F514" s="17" t="s">
        <v>1070</v>
      </c>
      <c r="G514" s="17" t="s">
        <v>2174</v>
      </c>
      <c r="H514" s="17" t="s">
        <v>2175</v>
      </c>
      <c r="I514" s="17" t="s">
        <v>125</v>
      </c>
      <c r="J514" s="22" t="s">
        <v>144</v>
      </c>
      <c r="K514" s="23" t="s">
        <v>108</v>
      </c>
      <c r="L514" s="24" t="s">
        <v>91</v>
      </c>
      <c r="M514" s="2">
        <v>16.0</v>
      </c>
      <c r="N514" s="25">
        <v>31.0</v>
      </c>
      <c r="O514" s="25"/>
      <c r="P514" s="25"/>
    </row>
    <row r="515">
      <c r="A515" s="16">
        <v>513.0</v>
      </c>
      <c r="B515" s="17" t="s">
        <v>1323</v>
      </c>
      <c r="C515" s="18">
        <v>26.0</v>
      </c>
      <c r="D515" s="19" t="s">
        <v>2121</v>
      </c>
      <c r="E515" s="20" t="s">
        <v>91</v>
      </c>
      <c r="F515" s="17" t="s">
        <v>1071</v>
      </c>
      <c r="G515" s="17" t="s">
        <v>123</v>
      </c>
      <c r="H515" s="17" t="s">
        <v>2176</v>
      </c>
      <c r="I515" s="17" t="s">
        <v>125</v>
      </c>
      <c r="J515" s="22" t="s">
        <v>144</v>
      </c>
      <c r="K515" s="23" t="s">
        <v>108</v>
      </c>
      <c r="L515" s="24" t="s">
        <v>91</v>
      </c>
      <c r="M515" s="2">
        <v>16.0</v>
      </c>
      <c r="N515" s="25">
        <v>31.0</v>
      </c>
      <c r="O515" s="25"/>
      <c r="P515" s="25"/>
    </row>
    <row r="516">
      <c r="A516" s="16">
        <v>514.0</v>
      </c>
      <c r="B516" s="17" t="s">
        <v>1323</v>
      </c>
      <c r="C516" s="18">
        <v>27.0</v>
      </c>
      <c r="D516" s="19" t="s">
        <v>2121</v>
      </c>
      <c r="E516" s="20" t="s">
        <v>91</v>
      </c>
      <c r="F516" s="17" t="s">
        <v>810</v>
      </c>
      <c r="G516" s="17" t="s">
        <v>123</v>
      </c>
      <c r="H516" s="17" t="s">
        <v>2177</v>
      </c>
      <c r="I516" s="17" t="s">
        <v>125</v>
      </c>
      <c r="J516" s="22" t="s">
        <v>144</v>
      </c>
      <c r="K516" s="23" t="s">
        <v>108</v>
      </c>
      <c r="L516" s="24" t="s">
        <v>91</v>
      </c>
      <c r="M516" s="2">
        <v>16.0</v>
      </c>
      <c r="N516" s="25">
        <v>31.0</v>
      </c>
      <c r="O516" s="25"/>
      <c r="P516" s="25"/>
    </row>
    <row r="517">
      <c r="A517" s="16">
        <v>515.0</v>
      </c>
      <c r="B517" s="17" t="s">
        <v>1323</v>
      </c>
      <c r="C517" s="18">
        <v>28.0</v>
      </c>
      <c r="D517" s="19" t="s">
        <v>2121</v>
      </c>
      <c r="E517" s="20" t="s">
        <v>91</v>
      </c>
      <c r="F517" s="17" t="s">
        <v>1200</v>
      </c>
      <c r="G517" s="17" t="s">
        <v>2178</v>
      </c>
      <c r="H517" s="17" t="s">
        <v>2179</v>
      </c>
      <c r="I517" s="17" t="s">
        <v>125</v>
      </c>
      <c r="J517" s="22" t="s">
        <v>144</v>
      </c>
      <c r="K517" s="23" t="s">
        <v>108</v>
      </c>
      <c r="L517" s="24" t="s">
        <v>91</v>
      </c>
      <c r="M517" s="2">
        <v>16.0</v>
      </c>
      <c r="N517" s="25">
        <v>31.0</v>
      </c>
      <c r="O517" s="25"/>
      <c r="P517" s="25"/>
    </row>
    <row r="518">
      <c r="A518" s="16">
        <v>516.0</v>
      </c>
      <c r="B518" s="17" t="s">
        <v>1188</v>
      </c>
      <c r="C518" s="18">
        <v>1.0</v>
      </c>
      <c r="D518" s="19" t="s">
        <v>2181</v>
      </c>
      <c r="E518" s="20" t="s">
        <v>91</v>
      </c>
      <c r="F518" s="17" t="s">
        <v>968</v>
      </c>
      <c r="G518" s="17" t="s">
        <v>2182</v>
      </c>
      <c r="H518" s="17" t="s">
        <v>2183</v>
      </c>
      <c r="I518" s="17" t="s">
        <v>98</v>
      </c>
      <c r="J518" s="22" t="s">
        <v>100</v>
      </c>
      <c r="K518" s="23" t="s">
        <v>108</v>
      </c>
      <c r="L518" s="24" t="s">
        <v>91</v>
      </c>
      <c r="M518" s="2">
        <v>17.0</v>
      </c>
      <c r="N518" s="25">
        <v>10.0</v>
      </c>
      <c r="O518" s="25"/>
      <c r="P518" s="25"/>
    </row>
    <row r="519">
      <c r="A519" s="16">
        <v>517.0</v>
      </c>
      <c r="B519" s="17" t="s">
        <v>1188</v>
      </c>
      <c r="C519" s="18">
        <v>2.0</v>
      </c>
      <c r="D519" s="19" t="s">
        <v>1749</v>
      </c>
      <c r="E519" s="20" t="s">
        <v>91</v>
      </c>
      <c r="F519" s="17" t="s">
        <v>1059</v>
      </c>
      <c r="G519" s="17" t="s">
        <v>123</v>
      </c>
      <c r="H519" s="17" t="s">
        <v>2185</v>
      </c>
      <c r="I519" s="17" t="s">
        <v>125</v>
      </c>
      <c r="J519" s="22" t="s">
        <v>100</v>
      </c>
      <c r="K519" s="23" t="s">
        <v>108</v>
      </c>
      <c r="L519" s="24" t="s">
        <v>91</v>
      </c>
      <c r="M519" s="2">
        <v>17.0</v>
      </c>
      <c r="N519" s="25">
        <v>11.0</v>
      </c>
      <c r="O519" s="25"/>
      <c r="P519" s="25"/>
    </row>
    <row r="520">
      <c r="A520" s="16">
        <v>518.0</v>
      </c>
      <c r="B520" s="17" t="s">
        <v>1188</v>
      </c>
      <c r="C520" s="18">
        <v>3.0</v>
      </c>
      <c r="D520" s="19" t="s">
        <v>1749</v>
      </c>
      <c r="E520" s="20" t="s">
        <v>91</v>
      </c>
      <c r="F520" s="17" t="s">
        <v>858</v>
      </c>
      <c r="G520" s="17" t="s">
        <v>2186</v>
      </c>
      <c r="H520" s="17" t="s">
        <v>2187</v>
      </c>
      <c r="I520" s="17" t="s">
        <v>125</v>
      </c>
      <c r="J520" s="22" t="s">
        <v>135</v>
      </c>
      <c r="K520" s="23" t="s">
        <v>108</v>
      </c>
      <c r="L520" s="24" t="s">
        <v>91</v>
      </c>
      <c r="M520" s="2">
        <v>17.0</v>
      </c>
      <c r="N520" s="25">
        <v>21.0</v>
      </c>
      <c r="O520" s="25"/>
      <c r="P520" s="25"/>
    </row>
    <row r="521">
      <c r="A521" s="16">
        <v>519.0</v>
      </c>
      <c r="B521" s="17" t="s">
        <v>1188</v>
      </c>
      <c r="C521" s="18">
        <v>4.0</v>
      </c>
      <c r="D521" s="19" t="s">
        <v>1749</v>
      </c>
      <c r="E521" s="20" t="s">
        <v>91</v>
      </c>
      <c r="F521" s="17" t="s">
        <v>1202</v>
      </c>
      <c r="G521" s="17" t="s">
        <v>2190</v>
      </c>
      <c r="H521" s="17" t="s">
        <v>2191</v>
      </c>
      <c r="I521" s="17" t="s">
        <v>125</v>
      </c>
      <c r="J521" s="22" t="s">
        <v>135</v>
      </c>
      <c r="K521" s="23" t="s">
        <v>108</v>
      </c>
      <c r="L521" s="24" t="s">
        <v>91</v>
      </c>
      <c r="M521" s="2">
        <v>17.0</v>
      </c>
      <c r="N521" s="25">
        <v>21.0</v>
      </c>
      <c r="O521" s="25"/>
      <c r="P521" s="25"/>
    </row>
    <row r="522">
      <c r="A522" s="16">
        <v>520.0</v>
      </c>
      <c r="B522" s="17" t="s">
        <v>1188</v>
      </c>
      <c r="C522" s="18">
        <v>5.0</v>
      </c>
      <c r="D522" s="19" t="s">
        <v>1749</v>
      </c>
      <c r="E522" s="20" t="s">
        <v>91</v>
      </c>
      <c r="F522" s="17" t="s">
        <v>970</v>
      </c>
      <c r="G522" s="17" t="s">
        <v>2192</v>
      </c>
      <c r="H522" s="17" t="s">
        <v>2193</v>
      </c>
      <c r="I522" s="17" t="s">
        <v>125</v>
      </c>
      <c r="J522" s="22" t="s">
        <v>135</v>
      </c>
      <c r="K522" s="23" t="s">
        <v>108</v>
      </c>
      <c r="L522" s="24" t="s">
        <v>91</v>
      </c>
      <c r="M522" s="2">
        <v>17.0</v>
      </c>
      <c r="N522" s="25">
        <v>21.0</v>
      </c>
      <c r="O522" s="25"/>
      <c r="P522" s="25"/>
    </row>
    <row r="523">
      <c r="A523" s="16">
        <v>521.0</v>
      </c>
      <c r="B523" s="17" t="s">
        <v>1188</v>
      </c>
      <c r="C523" s="18">
        <v>6.0</v>
      </c>
      <c r="D523" s="19" t="s">
        <v>1749</v>
      </c>
      <c r="E523" s="20" t="s">
        <v>91</v>
      </c>
      <c r="F523" s="17" t="s">
        <v>859</v>
      </c>
      <c r="G523" s="17" t="s">
        <v>2194</v>
      </c>
      <c r="H523" s="17" t="s">
        <v>2195</v>
      </c>
      <c r="I523" s="17" t="s">
        <v>125</v>
      </c>
      <c r="J523" s="22" t="s">
        <v>144</v>
      </c>
      <c r="K523" s="23" t="s">
        <v>108</v>
      </c>
      <c r="L523" s="24" t="s">
        <v>91</v>
      </c>
      <c r="M523" s="2">
        <v>17.0</v>
      </c>
      <c r="N523" s="25">
        <v>31.0</v>
      </c>
      <c r="O523" s="25"/>
      <c r="P523" s="25"/>
    </row>
    <row r="524">
      <c r="A524" s="16">
        <v>522.0</v>
      </c>
      <c r="B524" s="17" t="s">
        <v>1188</v>
      </c>
      <c r="C524" s="18">
        <v>7.0</v>
      </c>
      <c r="D524" s="19" t="s">
        <v>1749</v>
      </c>
      <c r="E524" s="20" t="s">
        <v>91</v>
      </c>
      <c r="F524" s="17" t="s">
        <v>1065</v>
      </c>
      <c r="G524" s="17" t="s">
        <v>2196</v>
      </c>
      <c r="H524" s="17" t="s">
        <v>2197</v>
      </c>
      <c r="I524" s="17" t="s">
        <v>125</v>
      </c>
      <c r="J524" s="22" t="s">
        <v>144</v>
      </c>
      <c r="K524" s="23" t="s">
        <v>108</v>
      </c>
      <c r="L524" s="24" t="s">
        <v>91</v>
      </c>
      <c r="M524" s="2">
        <v>17.0</v>
      </c>
      <c r="N524" s="25">
        <v>31.0</v>
      </c>
      <c r="O524" s="25"/>
      <c r="P524" s="25"/>
    </row>
    <row r="525">
      <c r="A525" s="16">
        <v>523.0</v>
      </c>
      <c r="B525" s="17" t="s">
        <v>1188</v>
      </c>
      <c r="C525" s="18">
        <v>8.0</v>
      </c>
      <c r="D525" s="19" t="s">
        <v>1749</v>
      </c>
      <c r="E525" s="20" t="s">
        <v>91</v>
      </c>
      <c r="F525" s="17" t="s">
        <v>1187</v>
      </c>
      <c r="G525" s="17" t="s">
        <v>2199</v>
      </c>
      <c r="H525" s="17" t="s">
        <v>2200</v>
      </c>
      <c r="I525" s="17" t="s">
        <v>125</v>
      </c>
      <c r="J525" s="22" t="s">
        <v>144</v>
      </c>
      <c r="K525" s="23" t="s">
        <v>108</v>
      </c>
      <c r="L525" s="24" t="s">
        <v>91</v>
      </c>
      <c r="M525" s="2">
        <v>17.0</v>
      </c>
      <c r="N525" s="25">
        <v>31.0</v>
      </c>
      <c r="O525" s="25"/>
      <c r="P525" s="25"/>
    </row>
    <row r="526">
      <c r="A526" s="16">
        <v>524.0</v>
      </c>
      <c r="B526" s="17" t="s">
        <v>1188</v>
      </c>
      <c r="C526" s="18">
        <v>9.0</v>
      </c>
      <c r="D526" s="19" t="s">
        <v>1749</v>
      </c>
      <c r="E526" s="20" t="s">
        <v>91</v>
      </c>
      <c r="F526" s="17" t="s">
        <v>860</v>
      </c>
      <c r="G526" s="17" t="s">
        <v>2201</v>
      </c>
      <c r="H526" s="17" t="s">
        <v>2202</v>
      </c>
      <c r="I526" s="17" t="s">
        <v>125</v>
      </c>
      <c r="J526" s="22" t="s">
        <v>144</v>
      </c>
      <c r="K526" s="23" t="s">
        <v>108</v>
      </c>
      <c r="L526" s="24" t="s">
        <v>91</v>
      </c>
      <c r="M526" s="2">
        <v>17.0</v>
      </c>
      <c r="N526" s="25">
        <v>31.0</v>
      </c>
      <c r="O526" s="25"/>
      <c r="P526" s="25"/>
    </row>
    <row r="527">
      <c r="A527" s="16">
        <v>525.0</v>
      </c>
      <c r="B527" s="17" t="s">
        <v>1188</v>
      </c>
      <c r="C527" s="18">
        <v>10.0</v>
      </c>
      <c r="D527" s="19" t="s">
        <v>1749</v>
      </c>
      <c r="E527" s="20" t="s">
        <v>91</v>
      </c>
      <c r="F527" s="17" t="s">
        <v>1072</v>
      </c>
      <c r="G527" s="17" t="s">
        <v>2204</v>
      </c>
      <c r="H527" s="17" t="s">
        <v>2205</v>
      </c>
      <c r="I527" s="17" t="s">
        <v>125</v>
      </c>
      <c r="J527" s="22" t="s">
        <v>144</v>
      </c>
      <c r="K527" s="23" t="s">
        <v>108</v>
      </c>
      <c r="L527" s="24" t="s">
        <v>91</v>
      </c>
      <c r="M527" s="2">
        <v>17.0</v>
      </c>
      <c r="N527" s="25">
        <v>31.0</v>
      </c>
      <c r="O527" s="25"/>
      <c r="P527" s="25"/>
    </row>
    <row r="528">
      <c r="A528" s="16">
        <v>526.0</v>
      </c>
      <c r="B528" s="17" t="s">
        <v>1188</v>
      </c>
      <c r="C528" s="18">
        <v>11.0</v>
      </c>
      <c r="D528" s="19" t="s">
        <v>1749</v>
      </c>
      <c r="E528" s="20" t="s">
        <v>91</v>
      </c>
      <c r="F528" s="17" t="s">
        <v>626</v>
      </c>
      <c r="G528" s="17" t="s">
        <v>2206</v>
      </c>
      <c r="H528" s="17" t="s">
        <v>2207</v>
      </c>
      <c r="I528" s="17" t="s">
        <v>125</v>
      </c>
      <c r="J528" s="22" t="s">
        <v>144</v>
      </c>
      <c r="K528" s="23" t="s">
        <v>108</v>
      </c>
      <c r="L528" s="24" t="s">
        <v>91</v>
      </c>
      <c r="M528" s="2">
        <v>17.0</v>
      </c>
      <c r="N528" s="25">
        <v>31.0</v>
      </c>
      <c r="O528" s="25"/>
      <c r="P528" s="25"/>
    </row>
    <row r="529">
      <c r="A529" s="16">
        <v>527.0</v>
      </c>
      <c r="B529" s="17" t="s">
        <v>1188</v>
      </c>
      <c r="C529" s="18">
        <v>12.0</v>
      </c>
      <c r="D529" s="19" t="s">
        <v>1749</v>
      </c>
      <c r="E529" s="20" t="s">
        <v>91</v>
      </c>
      <c r="F529" s="17" t="s">
        <v>851</v>
      </c>
      <c r="G529" s="17" t="s">
        <v>123</v>
      </c>
      <c r="H529" s="17" t="s">
        <v>2208</v>
      </c>
      <c r="I529" s="17" t="s">
        <v>125</v>
      </c>
      <c r="J529" s="22" t="s">
        <v>144</v>
      </c>
      <c r="K529" s="23" t="s">
        <v>108</v>
      </c>
      <c r="L529" s="24" t="s">
        <v>91</v>
      </c>
      <c r="M529" s="2">
        <v>17.0</v>
      </c>
      <c r="N529" s="25">
        <v>31.0</v>
      </c>
      <c r="O529" s="25"/>
      <c r="P529" s="25"/>
    </row>
    <row r="530">
      <c r="A530" s="16">
        <v>528.0</v>
      </c>
      <c r="B530" s="17" t="s">
        <v>1188</v>
      </c>
      <c r="C530" s="18">
        <v>13.0</v>
      </c>
      <c r="D530" s="19" t="s">
        <v>1749</v>
      </c>
      <c r="E530" s="20" t="s">
        <v>91</v>
      </c>
      <c r="F530" s="17" t="s">
        <v>963</v>
      </c>
      <c r="G530" s="17" t="s">
        <v>2101</v>
      </c>
      <c r="H530" s="17" t="s">
        <v>2209</v>
      </c>
      <c r="I530" s="17" t="s">
        <v>125</v>
      </c>
      <c r="J530" s="22" t="s">
        <v>144</v>
      </c>
      <c r="K530" s="23" t="s">
        <v>108</v>
      </c>
      <c r="L530" s="24" t="s">
        <v>91</v>
      </c>
      <c r="M530" s="2">
        <v>17.0</v>
      </c>
      <c r="N530" s="25">
        <v>31.0</v>
      </c>
      <c r="O530" s="25"/>
      <c r="P530" s="25"/>
    </row>
    <row r="531">
      <c r="A531" s="16">
        <v>529.0</v>
      </c>
      <c r="B531" s="17" t="s">
        <v>1188</v>
      </c>
      <c r="C531" s="18">
        <v>14.0</v>
      </c>
      <c r="D531" s="19" t="s">
        <v>1749</v>
      </c>
      <c r="E531" s="20" t="s">
        <v>91</v>
      </c>
      <c r="F531" s="17" t="s">
        <v>1190</v>
      </c>
      <c r="G531" s="17" t="s">
        <v>123</v>
      </c>
      <c r="H531" s="17" t="s">
        <v>2210</v>
      </c>
      <c r="I531" s="17" t="s">
        <v>125</v>
      </c>
      <c r="J531" s="22" t="s">
        <v>144</v>
      </c>
      <c r="K531" s="23" t="s">
        <v>108</v>
      </c>
      <c r="L531" s="24" t="s">
        <v>91</v>
      </c>
      <c r="M531" s="2">
        <v>17.0</v>
      </c>
      <c r="N531" s="25">
        <v>31.0</v>
      </c>
      <c r="O531" s="25"/>
      <c r="P531" s="25"/>
    </row>
    <row r="532">
      <c r="A532" s="16">
        <v>530.0</v>
      </c>
      <c r="B532" s="17" t="s">
        <v>1188</v>
      </c>
      <c r="C532" s="18">
        <v>15.0</v>
      </c>
      <c r="D532" s="19" t="s">
        <v>1749</v>
      </c>
      <c r="E532" s="20" t="s">
        <v>91</v>
      </c>
      <c r="F532" s="17" t="s">
        <v>652</v>
      </c>
      <c r="G532" s="17" t="s">
        <v>2212</v>
      </c>
      <c r="H532" s="17" t="s">
        <v>2213</v>
      </c>
      <c r="I532" s="17" t="s">
        <v>125</v>
      </c>
      <c r="J532" s="22" t="s">
        <v>144</v>
      </c>
      <c r="K532" s="23" t="s">
        <v>108</v>
      </c>
      <c r="L532" s="24" t="s">
        <v>91</v>
      </c>
      <c r="M532" s="2">
        <v>17.0</v>
      </c>
      <c r="N532" s="25">
        <v>31.0</v>
      </c>
      <c r="O532" s="25"/>
      <c r="P532" s="25"/>
    </row>
    <row r="533">
      <c r="A533" s="16">
        <v>531.0</v>
      </c>
      <c r="B533" s="17" t="s">
        <v>1188</v>
      </c>
      <c r="C533" s="18">
        <v>16.0</v>
      </c>
      <c r="D533" s="19" t="s">
        <v>1749</v>
      </c>
      <c r="E533" s="20" t="s">
        <v>91</v>
      </c>
      <c r="F533" s="17" t="s">
        <v>383</v>
      </c>
      <c r="G533" s="17" t="s">
        <v>2214</v>
      </c>
      <c r="H533" s="17" t="s">
        <v>2215</v>
      </c>
      <c r="I533" s="17" t="s">
        <v>125</v>
      </c>
      <c r="J533" s="22" t="s">
        <v>144</v>
      </c>
      <c r="K533" s="23" t="s">
        <v>108</v>
      </c>
      <c r="L533" s="24" t="s">
        <v>91</v>
      </c>
      <c r="M533" s="2">
        <v>17.0</v>
      </c>
      <c r="N533" s="25">
        <v>31.0</v>
      </c>
      <c r="O533" s="25"/>
      <c r="P533" s="25"/>
    </row>
    <row r="534">
      <c r="A534" s="16">
        <v>532.0</v>
      </c>
      <c r="B534" s="17" t="s">
        <v>1188</v>
      </c>
      <c r="C534" s="18">
        <v>17.0</v>
      </c>
      <c r="D534" s="19" t="s">
        <v>1749</v>
      </c>
      <c r="E534" s="20" t="s">
        <v>91</v>
      </c>
      <c r="F534" s="17" t="s">
        <v>1073</v>
      </c>
      <c r="G534" s="17" t="s">
        <v>2217</v>
      </c>
      <c r="H534" s="17" t="s">
        <v>2218</v>
      </c>
      <c r="I534" s="17" t="s">
        <v>125</v>
      </c>
      <c r="J534" s="22" t="s">
        <v>144</v>
      </c>
      <c r="K534" s="23" t="s">
        <v>108</v>
      </c>
      <c r="L534" s="24" t="s">
        <v>91</v>
      </c>
      <c r="M534" s="2">
        <v>17.0</v>
      </c>
      <c r="N534" s="25">
        <v>31.0</v>
      </c>
      <c r="O534" s="25"/>
      <c r="P534" s="25"/>
    </row>
    <row r="535">
      <c r="A535" s="16">
        <v>533.0</v>
      </c>
      <c r="B535" s="17" t="s">
        <v>1188</v>
      </c>
      <c r="C535" s="18">
        <v>18.0</v>
      </c>
      <c r="D535" s="19" t="s">
        <v>1749</v>
      </c>
      <c r="E535" s="20" t="s">
        <v>91</v>
      </c>
      <c r="F535" s="17" t="s">
        <v>861</v>
      </c>
      <c r="G535" s="17" t="s">
        <v>2219</v>
      </c>
      <c r="H535" s="17" t="s">
        <v>2220</v>
      </c>
      <c r="I535" s="17" t="s">
        <v>125</v>
      </c>
      <c r="J535" s="22" t="s">
        <v>144</v>
      </c>
      <c r="K535" s="23" t="s">
        <v>108</v>
      </c>
      <c r="L535" s="24" t="s">
        <v>91</v>
      </c>
      <c r="M535" s="2">
        <v>17.0</v>
      </c>
      <c r="N535" s="25">
        <v>31.0</v>
      </c>
      <c r="O535" s="25"/>
      <c r="P535" s="25"/>
    </row>
    <row r="536">
      <c r="A536" s="16">
        <v>534.0</v>
      </c>
      <c r="B536" s="17" t="s">
        <v>1188</v>
      </c>
      <c r="C536" s="18">
        <v>19.0</v>
      </c>
      <c r="D536" s="19" t="s">
        <v>1749</v>
      </c>
      <c r="E536" s="20" t="s">
        <v>91</v>
      </c>
      <c r="F536" s="17" t="s">
        <v>655</v>
      </c>
      <c r="G536" s="17" t="s">
        <v>2222</v>
      </c>
      <c r="H536" s="17" t="s">
        <v>2223</v>
      </c>
      <c r="I536" s="17" t="s">
        <v>125</v>
      </c>
      <c r="J536" s="22" t="s">
        <v>144</v>
      </c>
      <c r="K536" s="23" t="s">
        <v>108</v>
      </c>
      <c r="L536" s="24" t="s">
        <v>91</v>
      </c>
      <c r="M536" s="2">
        <v>17.0</v>
      </c>
      <c r="N536" s="25">
        <v>31.0</v>
      </c>
      <c r="O536" s="25"/>
      <c r="P536" s="25"/>
    </row>
    <row r="537">
      <c r="A537" s="16">
        <v>535.0</v>
      </c>
      <c r="B537" s="17" t="s">
        <v>1188</v>
      </c>
      <c r="C537" s="18">
        <v>20.0</v>
      </c>
      <c r="D537" s="19" t="s">
        <v>1749</v>
      </c>
      <c r="E537" s="20" t="s">
        <v>91</v>
      </c>
      <c r="F537" s="17" t="s">
        <v>1</v>
      </c>
      <c r="G537" s="17" t="s">
        <v>2224</v>
      </c>
      <c r="H537" s="17" t="s">
        <v>2226</v>
      </c>
      <c r="I537" s="17" t="s">
        <v>125</v>
      </c>
      <c r="J537" s="22" t="s">
        <v>144</v>
      </c>
      <c r="K537" s="23" t="s">
        <v>108</v>
      </c>
      <c r="L537" s="24" t="s">
        <v>91</v>
      </c>
      <c r="M537" s="2">
        <v>17.0</v>
      </c>
      <c r="N537" s="25">
        <v>31.0</v>
      </c>
      <c r="O537" s="25"/>
      <c r="P537" s="25"/>
    </row>
    <row r="538">
      <c r="A538" s="16">
        <v>536.0</v>
      </c>
      <c r="B538" s="17" t="s">
        <v>1188</v>
      </c>
      <c r="C538" s="18">
        <v>21.0</v>
      </c>
      <c r="D538" s="19" t="s">
        <v>1749</v>
      </c>
      <c r="E538" s="20" t="s">
        <v>91</v>
      </c>
      <c r="F538" s="17" t="s">
        <v>1203</v>
      </c>
      <c r="G538" s="17" t="s">
        <v>2227</v>
      </c>
      <c r="H538" s="17" t="s">
        <v>2228</v>
      </c>
      <c r="I538" s="17" t="s">
        <v>125</v>
      </c>
      <c r="J538" s="22" t="s">
        <v>144</v>
      </c>
      <c r="K538" s="23" t="s">
        <v>108</v>
      </c>
      <c r="L538" s="24" t="s">
        <v>91</v>
      </c>
      <c r="M538" s="2">
        <v>17.0</v>
      </c>
      <c r="N538" s="25">
        <v>31.0</v>
      </c>
      <c r="O538" s="25"/>
      <c r="P538" s="25"/>
    </row>
    <row r="539">
      <c r="A539" s="16">
        <v>537.0</v>
      </c>
      <c r="B539" s="17" t="s">
        <v>1188</v>
      </c>
      <c r="C539" s="18">
        <v>22.0</v>
      </c>
      <c r="D539" s="19" t="s">
        <v>1749</v>
      </c>
      <c r="E539" s="20" t="s">
        <v>91</v>
      </c>
      <c r="F539" s="17" t="s">
        <v>1311</v>
      </c>
      <c r="G539" s="17" t="s">
        <v>2229</v>
      </c>
      <c r="H539" s="17" t="s">
        <v>2231</v>
      </c>
      <c r="I539" s="17" t="s">
        <v>125</v>
      </c>
      <c r="J539" s="22" t="s">
        <v>144</v>
      </c>
      <c r="K539" s="23" t="s">
        <v>108</v>
      </c>
      <c r="L539" s="24" t="s">
        <v>91</v>
      </c>
      <c r="M539" s="2">
        <v>17.0</v>
      </c>
      <c r="N539" s="25">
        <v>31.0</v>
      </c>
      <c r="O539" s="25"/>
      <c r="P539" s="25"/>
    </row>
    <row r="540">
      <c r="A540" s="16">
        <v>538.0</v>
      </c>
      <c r="B540" s="17" t="s">
        <v>1188</v>
      </c>
      <c r="C540" s="18">
        <v>23.0</v>
      </c>
      <c r="D540" s="19" t="s">
        <v>1749</v>
      </c>
      <c r="E540" s="20" t="s">
        <v>91</v>
      </c>
      <c r="F540" s="17" t="s">
        <v>1074</v>
      </c>
      <c r="G540" s="17" t="s">
        <v>2232</v>
      </c>
      <c r="H540" s="17" t="s">
        <v>2233</v>
      </c>
      <c r="I540" s="17" t="s">
        <v>125</v>
      </c>
      <c r="J540" s="22" t="s">
        <v>144</v>
      </c>
      <c r="K540" s="23" t="s">
        <v>108</v>
      </c>
      <c r="L540" s="24" t="s">
        <v>91</v>
      </c>
      <c r="M540" s="2">
        <v>17.0</v>
      </c>
      <c r="N540" s="25">
        <v>31.0</v>
      </c>
      <c r="O540" s="25"/>
      <c r="P540" s="25"/>
    </row>
    <row r="541">
      <c r="A541" s="16">
        <v>539.0</v>
      </c>
      <c r="B541" s="17" t="s">
        <v>1188</v>
      </c>
      <c r="C541" s="18">
        <v>24.0</v>
      </c>
      <c r="D541" s="19" t="s">
        <v>1749</v>
      </c>
      <c r="E541" s="20" t="s">
        <v>91</v>
      </c>
      <c r="F541" s="17" t="s">
        <v>257</v>
      </c>
      <c r="G541" s="17" t="s">
        <v>2234</v>
      </c>
      <c r="H541" s="17" t="s">
        <v>2235</v>
      </c>
      <c r="I541" s="17" t="s">
        <v>125</v>
      </c>
      <c r="J541" s="22" t="s">
        <v>144</v>
      </c>
      <c r="K541" s="23" t="s">
        <v>108</v>
      </c>
      <c r="L541" s="24" t="s">
        <v>91</v>
      </c>
      <c r="M541" s="2">
        <v>17.0</v>
      </c>
      <c r="N541" s="25">
        <v>31.0</v>
      </c>
      <c r="O541" s="25"/>
      <c r="P541" s="25"/>
    </row>
    <row r="542">
      <c r="A542" s="16">
        <v>540.0</v>
      </c>
      <c r="B542" s="17" t="s">
        <v>1188</v>
      </c>
      <c r="C542" s="18">
        <v>25.0</v>
      </c>
      <c r="D542" s="19" t="s">
        <v>1749</v>
      </c>
      <c r="E542" s="20" t="s">
        <v>91</v>
      </c>
      <c r="F542" s="17" t="s">
        <v>151</v>
      </c>
      <c r="G542" s="17" t="s">
        <v>2236</v>
      </c>
      <c r="H542" s="17" t="s">
        <v>2237</v>
      </c>
      <c r="I542" s="17" t="s">
        <v>125</v>
      </c>
      <c r="J542" s="22" t="s">
        <v>144</v>
      </c>
      <c r="K542" s="23" t="s">
        <v>108</v>
      </c>
      <c r="L542" s="24" t="s">
        <v>91</v>
      </c>
      <c r="M542" s="2">
        <v>17.0</v>
      </c>
      <c r="N542" s="25">
        <v>31.0</v>
      </c>
      <c r="O542" s="25"/>
      <c r="P542" s="25"/>
    </row>
    <row r="543">
      <c r="A543" s="16">
        <v>541.0</v>
      </c>
      <c r="B543" s="17" t="s">
        <v>1188</v>
      </c>
      <c r="C543" s="18">
        <v>26.0</v>
      </c>
      <c r="D543" s="19" t="s">
        <v>1749</v>
      </c>
      <c r="E543" s="20" t="s">
        <v>91</v>
      </c>
      <c r="F543" s="17" t="s">
        <v>1204</v>
      </c>
      <c r="G543" s="17" t="s">
        <v>2238</v>
      </c>
      <c r="H543" s="17" t="s">
        <v>2239</v>
      </c>
      <c r="I543" s="17" t="s">
        <v>125</v>
      </c>
      <c r="J543" s="22" t="s">
        <v>144</v>
      </c>
      <c r="K543" s="23" t="s">
        <v>108</v>
      </c>
      <c r="L543" s="24" t="s">
        <v>91</v>
      </c>
      <c r="M543" s="2">
        <v>17.0</v>
      </c>
      <c r="N543" s="25">
        <v>31.0</v>
      </c>
      <c r="O543" s="25"/>
      <c r="P543" s="25"/>
    </row>
    <row r="544">
      <c r="A544" s="16">
        <v>542.0</v>
      </c>
      <c r="B544" s="17" t="s">
        <v>1188</v>
      </c>
      <c r="C544" s="18">
        <v>27.0</v>
      </c>
      <c r="D544" s="19" t="s">
        <v>1749</v>
      </c>
      <c r="E544" s="20" t="s">
        <v>91</v>
      </c>
      <c r="F544" s="17" t="s">
        <v>967</v>
      </c>
      <c r="G544" s="17" t="s">
        <v>2162</v>
      </c>
      <c r="H544" s="17" t="s">
        <v>2240</v>
      </c>
      <c r="I544" s="17" t="s">
        <v>125</v>
      </c>
      <c r="J544" s="22" t="s">
        <v>144</v>
      </c>
      <c r="K544" s="23" t="s">
        <v>108</v>
      </c>
      <c r="L544" s="24" t="s">
        <v>91</v>
      </c>
      <c r="M544" s="2">
        <v>17.0</v>
      </c>
      <c r="N544" s="25">
        <v>31.0</v>
      </c>
      <c r="O544" s="25"/>
      <c r="P544" s="25"/>
    </row>
    <row r="545">
      <c r="A545" s="16">
        <v>543.0</v>
      </c>
      <c r="B545" s="27" t="s">
        <v>1188</v>
      </c>
      <c r="C545" s="18">
        <v>28.0</v>
      </c>
      <c r="D545" s="19" t="s">
        <v>1749</v>
      </c>
      <c r="E545" s="20" t="s">
        <v>91</v>
      </c>
      <c r="F545" s="27" t="s">
        <v>1418</v>
      </c>
      <c r="G545" s="17" t="s">
        <v>2243</v>
      </c>
      <c r="H545" s="17" t="s">
        <v>2244</v>
      </c>
      <c r="I545" s="17" t="s">
        <v>125</v>
      </c>
      <c r="J545" s="22" t="s">
        <v>144</v>
      </c>
      <c r="K545" s="23" t="s">
        <v>108</v>
      </c>
      <c r="L545" s="24"/>
      <c r="M545" s="2">
        <v>17.0</v>
      </c>
      <c r="N545" s="25">
        <v>31.0</v>
      </c>
      <c r="O545" s="25"/>
      <c r="P545" s="25"/>
    </row>
    <row r="546">
      <c r="A546" s="16">
        <v>544.0</v>
      </c>
      <c r="B546" s="17" t="s">
        <v>1190</v>
      </c>
      <c r="C546" s="18">
        <v>1.0</v>
      </c>
      <c r="D546" s="19" t="s">
        <v>2245</v>
      </c>
      <c r="E546" s="20" t="s">
        <v>91</v>
      </c>
      <c r="F546" s="17" t="s">
        <v>1074</v>
      </c>
      <c r="G546" s="17" t="s">
        <v>2232</v>
      </c>
      <c r="H546" s="17" t="s">
        <v>2233</v>
      </c>
      <c r="I546" s="17" t="s">
        <v>125</v>
      </c>
      <c r="J546" s="22" t="s">
        <v>100</v>
      </c>
      <c r="K546" s="23" t="s">
        <v>108</v>
      </c>
      <c r="L546" s="24" t="s">
        <v>91</v>
      </c>
      <c r="M546" s="2">
        <v>18.0</v>
      </c>
      <c r="N546" s="25">
        <v>11.0</v>
      </c>
      <c r="O546" s="25"/>
      <c r="P546" s="25"/>
    </row>
    <row r="547">
      <c r="A547" s="16">
        <v>545.0</v>
      </c>
      <c r="B547" s="17" t="s">
        <v>1190</v>
      </c>
      <c r="C547" s="18">
        <v>2.0</v>
      </c>
      <c r="D547" s="19" t="s">
        <v>1774</v>
      </c>
      <c r="E547" s="20" t="s">
        <v>91</v>
      </c>
      <c r="F547" s="17" t="s">
        <v>1077</v>
      </c>
      <c r="G547" s="17" t="s">
        <v>123</v>
      </c>
      <c r="H547" s="17" t="s">
        <v>2247</v>
      </c>
      <c r="I547" s="17" t="s">
        <v>125</v>
      </c>
      <c r="J547" s="22" t="s">
        <v>135</v>
      </c>
      <c r="K547" s="23" t="s">
        <v>108</v>
      </c>
      <c r="L547" s="24" t="s">
        <v>91</v>
      </c>
      <c r="M547" s="2">
        <v>18.0</v>
      </c>
      <c r="N547" s="25">
        <v>21.0</v>
      </c>
      <c r="O547" s="25"/>
      <c r="P547" s="25"/>
    </row>
    <row r="548">
      <c r="A548" s="16">
        <v>546.0</v>
      </c>
      <c r="B548" s="17" t="s">
        <v>1190</v>
      </c>
      <c r="C548" s="18">
        <v>3.0</v>
      </c>
      <c r="D548" s="19" t="s">
        <v>1774</v>
      </c>
      <c r="E548" s="20" t="s">
        <v>91</v>
      </c>
      <c r="F548" s="17" t="s">
        <v>1078</v>
      </c>
      <c r="G548" s="17" t="s">
        <v>2248</v>
      </c>
      <c r="H548" s="17" t="s">
        <v>2249</v>
      </c>
      <c r="I548" s="17" t="s">
        <v>125</v>
      </c>
      <c r="J548" s="22" t="s">
        <v>135</v>
      </c>
      <c r="K548" s="23" t="s">
        <v>108</v>
      </c>
      <c r="L548" s="24" t="s">
        <v>91</v>
      </c>
      <c r="M548" s="2">
        <v>18.0</v>
      </c>
      <c r="N548" s="25">
        <v>21.0</v>
      </c>
      <c r="O548" s="25"/>
      <c r="P548" s="25"/>
    </row>
    <row r="549">
      <c r="A549" s="16">
        <v>547.0</v>
      </c>
      <c r="B549" s="17" t="s">
        <v>1190</v>
      </c>
      <c r="C549" s="18">
        <v>4.0</v>
      </c>
      <c r="D549" s="19" t="s">
        <v>2245</v>
      </c>
      <c r="E549" s="20" t="s">
        <v>91</v>
      </c>
      <c r="F549" s="17" t="s">
        <v>1072</v>
      </c>
      <c r="G549" s="17" t="s">
        <v>2250</v>
      </c>
      <c r="H549" s="17" t="s">
        <v>2009</v>
      </c>
      <c r="I549" s="17" t="s">
        <v>125</v>
      </c>
      <c r="J549" s="22" t="s">
        <v>144</v>
      </c>
      <c r="K549" s="23" t="s">
        <v>108</v>
      </c>
      <c r="L549" s="24" t="s">
        <v>91</v>
      </c>
      <c r="M549" s="2">
        <v>18.0</v>
      </c>
      <c r="N549" s="25">
        <v>31.0</v>
      </c>
      <c r="O549" s="25"/>
      <c r="P549" s="25"/>
    </row>
    <row r="550">
      <c r="A550" s="16">
        <v>548.0</v>
      </c>
      <c r="B550" s="17" t="s">
        <v>1190</v>
      </c>
      <c r="C550" s="18">
        <v>5.0</v>
      </c>
      <c r="D550" s="19" t="s">
        <v>2245</v>
      </c>
      <c r="E550" s="20" t="s">
        <v>91</v>
      </c>
      <c r="F550" s="17" t="s">
        <v>957</v>
      </c>
      <c r="G550" s="17" t="s">
        <v>1984</v>
      </c>
      <c r="H550" s="17" t="s">
        <v>2251</v>
      </c>
      <c r="I550" s="17" t="s">
        <v>125</v>
      </c>
      <c r="J550" s="22" t="s">
        <v>144</v>
      </c>
      <c r="K550" s="23" t="s">
        <v>108</v>
      </c>
      <c r="L550" s="24" t="s">
        <v>91</v>
      </c>
      <c r="M550" s="2">
        <v>18.0</v>
      </c>
      <c r="N550" s="25">
        <v>31.0</v>
      </c>
      <c r="O550" s="25"/>
      <c r="P550" s="25"/>
    </row>
    <row r="551">
      <c r="A551" s="16">
        <v>549.0</v>
      </c>
      <c r="B551" s="17" t="s">
        <v>1190</v>
      </c>
      <c r="C551" s="18">
        <v>6.0</v>
      </c>
      <c r="D551" s="19" t="s">
        <v>2245</v>
      </c>
      <c r="E551" s="20" t="s">
        <v>91</v>
      </c>
      <c r="F551" s="17" t="s">
        <v>1207</v>
      </c>
      <c r="G551" s="17" t="s">
        <v>2252</v>
      </c>
      <c r="H551" s="17" t="s">
        <v>2253</v>
      </c>
      <c r="I551" s="17" t="s">
        <v>125</v>
      </c>
      <c r="J551" s="22" t="s">
        <v>144</v>
      </c>
      <c r="K551" s="23" t="s">
        <v>108</v>
      </c>
      <c r="L551" s="24" t="s">
        <v>91</v>
      </c>
      <c r="M551" s="2">
        <v>18.0</v>
      </c>
      <c r="N551" s="25">
        <v>31.0</v>
      </c>
      <c r="O551" s="25"/>
      <c r="P551" s="25"/>
    </row>
    <row r="552">
      <c r="A552" s="16">
        <v>550.0</v>
      </c>
      <c r="B552" s="17" t="s">
        <v>1190</v>
      </c>
      <c r="C552" s="18">
        <v>7.0</v>
      </c>
      <c r="D552" s="19" t="s">
        <v>2245</v>
      </c>
      <c r="E552" s="20" t="s">
        <v>91</v>
      </c>
      <c r="F552" s="17" t="s">
        <v>959</v>
      </c>
      <c r="G552" s="17" t="s">
        <v>2008</v>
      </c>
      <c r="H552" s="17" t="s">
        <v>2009</v>
      </c>
      <c r="I552" s="17" t="s">
        <v>125</v>
      </c>
      <c r="J552" s="22" t="s">
        <v>144</v>
      </c>
      <c r="K552" s="23" t="s">
        <v>108</v>
      </c>
      <c r="L552" s="24" t="s">
        <v>91</v>
      </c>
      <c r="M552" s="2">
        <v>18.0</v>
      </c>
      <c r="N552" s="25">
        <v>31.0</v>
      </c>
      <c r="O552" s="25"/>
      <c r="P552" s="25"/>
    </row>
    <row r="553">
      <c r="A553" s="16">
        <v>551.0</v>
      </c>
      <c r="B553" s="17" t="s">
        <v>1190</v>
      </c>
      <c r="C553" s="18">
        <v>8.0</v>
      </c>
      <c r="D553" s="19" t="s">
        <v>2245</v>
      </c>
      <c r="E553" s="20" t="s">
        <v>91</v>
      </c>
      <c r="F553" s="17" t="s">
        <v>1314</v>
      </c>
      <c r="G553" s="17" t="s">
        <v>123</v>
      </c>
      <c r="H553" s="17" t="s">
        <v>2255</v>
      </c>
      <c r="I553" s="17" t="s">
        <v>125</v>
      </c>
      <c r="J553" s="22" t="s">
        <v>144</v>
      </c>
      <c r="K553" s="23" t="s">
        <v>108</v>
      </c>
      <c r="L553" s="24" t="s">
        <v>91</v>
      </c>
      <c r="M553" s="2">
        <v>18.0</v>
      </c>
      <c r="N553" s="25">
        <v>31.0</v>
      </c>
      <c r="O553" s="25"/>
      <c r="P553" s="25"/>
    </row>
    <row r="554">
      <c r="A554" s="16">
        <v>552.0</v>
      </c>
      <c r="B554" s="17" t="s">
        <v>1190</v>
      </c>
      <c r="C554" s="18">
        <v>9.0</v>
      </c>
      <c r="D554" s="19" t="s">
        <v>2245</v>
      </c>
      <c r="E554" s="20" t="s">
        <v>91</v>
      </c>
      <c r="F554" s="17" t="s">
        <v>626</v>
      </c>
      <c r="G554" s="17" t="s">
        <v>2206</v>
      </c>
      <c r="H554" s="17" t="s">
        <v>2207</v>
      </c>
      <c r="I554" s="17" t="s">
        <v>125</v>
      </c>
      <c r="J554" s="22" t="s">
        <v>144</v>
      </c>
      <c r="K554" s="23" t="s">
        <v>108</v>
      </c>
      <c r="L554" s="24" t="s">
        <v>91</v>
      </c>
      <c r="M554" s="2">
        <v>18.0</v>
      </c>
      <c r="N554" s="25">
        <v>31.0</v>
      </c>
      <c r="O554" s="25"/>
      <c r="P554" s="25"/>
    </row>
    <row r="555">
      <c r="A555" s="16">
        <v>553.0</v>
      </c>
      <c r="B555" s="17" t="s">
        <v>1190</v>
      </c>
      <c r="C555" s="18">
        <v>10.0</v>
      </c>
      <c r="D555" s="19" t="s">
        <v>2245</v>
      </c>
      <c r="E555" s="20" t="s">
        <v>91</v>
      </c>
      <c r="F555" s="17" t="s">
        <v>1</v>
      </c>
      <c r="G555" s="17" t="s">
        <v>2224</v>
      </c>
      <c r="H555" s="17" t="s">
        <v>2226</v>
      </c>
      <c r="I555" s="17" t="s">
        <v>125</v>
      </c>
      <c r="J555" s="22" t="s">
        <v>144</v>
      </c>
      <c r="K555" s="23" t="s">
        <v>108</v>
      </c>
      <c r="L555" s="24" t="s">
        <v>91</v>
      </c>
      <c r="M555" s="2">
        <v>18.0</v>
      </c>
      <c r="N555" s="25">
        <v>31.0</v>
      </c>
      <c r="O555" s="25"/>
      <c r="P555" s="25"/>
    </row>
    <row r="556">
      <c r="A556" s="16">
        <v>554.0</v>
      </c>
      <c r="B556" s="17" t="s">
        <v>1190</v>
      </c>
      <c r="C556" s="18">
        <v>11.0</v>
      </c>
      <c r="D556" s="19" t="s">
        <v>2245</v>
      </c>
      <c r="E556" s="20" t="s">
        <v>91</v>
      </c>
      <c r="F556" s="17" t="s">
        <v>944</v>
      </c>
      <c r="G556" s="17" t="s">
        <v>2256</v>
      </c>
      <c r="H556" s="17" t="s">
        <v>2257</v>
      </c>
      <c r="I556" s="17" t="s">
        <v>125</v>
      </c>
      <c r="J556" s="22" t="s">
        <v>144</v>
      </c>
      <c r="K556" s="23" t="s">
        <v>108</v>
      </c>
      <c r="L556" s="24" t="s">
        <v>91</v>
      </c>
      <c r="M556" s="2">
        <v>18.0</v>
      </c>
      <c r="N556" s="25">
        <v>31.0</v>
      </c>
      <c r="O556" s="25"/>
      <c r="P556" s="25"/>
    </row>
    <row r="557">
      <c r="A557" s="16">
        <v>555.0</v>
      </c>
      <c r="B557" s="17" t="s">
        <v>1190</v>
      </c>
      <c r="C557" s="18">
        <v>12.0</v>
      </c>
      <c r="D557" s="19" t="s">
        <v>2245</v>
      </c>
      <c r="E557" s="20" t="s">
        <v>91</v>
      </c>
      <c r="F557" s="17" t="s">
        <v>1059</v>
      </c>
      <c r="G557" s="17" t="s">
        <v>123</v>
      </c>
      <c r="H557" s="17" t="s">
        <v>2185</v>
      </c>
      <c r="I557" s="17" t="s">
        <v>125</v>
      </c>
      <c r="J557" s="22" t="s">
        <v>144</v>
      </c>
      <c r="K557" s="23" t="s">
        <v>108</v>
      </c>
      <c r="L557" s="24" t="s">
        <v>91</v>
      </c>
      <c r="M557" s="2">
        <v>18.0</v>
      </c>
      <c r="N557" s="25">
        <v>31.0</v>
      </c>
      <c r="O557" s="25"/>
      <c r="P557" s="25"/>
    </row>
    <row r="558">
      <c r="A558" s="16">
        <v>556.0</v>
      </c>
      <c r="B558" s="17" t="s">
        <v>1190</v>
      </c>
      <c r="C558" s="18">
        <v>13.0</v>
      </c>
      <c r="D558" s="19" t="s">
        <v>2245</v>
      </c>
      <c r="E558" s="20" t="s">
        <v>91</v>
      </c>
      <c r="F558" s="17" t="s">
        <v>453</v>
      </c>
      <c r="G558" s="17" t="s">
        <v>2258</v>
      </c>
      <c r="H558" s="17" t="s">
        <v>2259</v>
      </c>
      <c r="I558" s="17" t="s">
        <v>125</v>
      </c>
      <c r="J558" s="22" t="s">
        <v>144</v>
      </c>
      <c r="K558" s="23" t="s">
        <v>108</v>
      </c>
      <c r="L558" s="24" t="s">
        <v>91</v>
      </c>
      <c r="M558" s="2">
        <v>18.0</v>
      </c>
      <c r="N558" s="25">
        <v>31.0</v>
      </c>
      <c r="O558" s="25"/>
      <c r="P558" s="25"/>
    </row>
    <row r="559">
      <c r="A559" s="16">
        <v>557.0</v>
      </c>
      <c r="B559" s="17" t="s">
        <v>1190</v>
      </c>
      <c r="C559" s="18">
        <v>14.0</v>
      </c>
      <c r="D559" s="19" t="s">
        <v>2245</v>
      </c>
      <c r="E559" s="20" t="s">
        <v>91</v>
      </c>
      <c r="F559" s="17" t="s">
        <v>1204</v>
      </c>
      <c r="G559" s="17" t="s">
        <v>2260</v>
      </c>
      <c r="H559" s="17" t="s">
        <v>2261</v>
      </c>
      <c r="I559" s="17" t="s">
        <v>125</v>
      </c>
      <c r="J559" s="22" t="s">
        <v>144</v>
      </c>
      <c r="K559" s="23" t="s">
        <v>108</v>
      </c>
      <c r="L559" s="24" t="s">
        <v>91</v>
      </c>
      <c r="M559" s="2">
        <v>18.0</v>
      </c>
      <c r="N559" s="25">
        <v>31.0</v>
      </c>
      <c r="O559" s="25"/>
      <c r="P559" s="25"/>
    </row>
    <row r="560">
      <c r="A560" s="16">
        <v>558.0</v>
      </c>
      <c r="B560" s="17" t="s">
        <v>1190</v>
      </c>
      <c r="C560" s="18">
        <v>15.0</v>
      </c>
      <c r="D560" s="19" t="s">
        <v>2245</v>
      </c>
      <c r="E560" s="20" t="s">
        <v>91</v>
      </c>
      <c r="F560" s="17" t="s">
        <v>851</v>
      </c>
      <c r="G560" s="17" t="s">
        <v>2262</v>
      </c>
      <c r="H560" s="17" t="s">
        <v>2263</v>
      </c>
      <c r="I560" s="17" t="s">
        <v>125</v>
      </c>
      <c r="J560" s="22" t="s">
        <v>144</v>
      </c>
      <c r="K560" s="23" t="s">
        <v>108</v>
      </c>
      <c r="L560" s="24" t="s">
        <v>91</v>
      </c>
      <c r="M560" s="2">
        <v>18.0</v>
      </c>
      <c r="N560" s="25">
        <v>31.0</v>
      </c>
      <c r="O560" s="25"/>
      <c r="P560" s="25"/>
    </row>
    <row r="561">
      <c r="A561" s="16">
        <v>559.0</v>
      </c>
      <c r="B561" s="17" t="s">
        <v>1190</v>
      </c>
      <c r="C561" s="18">
        <v>16.0</v>
      </c>
      <c r="D561" s="19" t="s">
        <v>2245</v>
      </c>
      <c r="E561" s="20" t="s">
        <v>91</v>
      </c>
      <c r="F561" s="17" t="s">
        <v>436</v>
      </c>
      <c r="G561" s="17" t="s">
        <v>2265</v>
      </c>
      <c r="H561" s="17" t="s">
        <v>2266</v>
      </c>
      <c r="I561" s="17" t="s">
        <v>125</v>
      </c>
      <c r="J561" s="22" t="s">
        <v>144</v>
      </c>
      <c r="K561" s="23" t="s">
        <v>108</v>
      </c>
      <c r="L561" s="24" t="s">
        <v>91</v>
      </c>
      <c r="M561" s="2">
        <v>18.0</v>
      </c>
      <c r="N561" s="25">
        <v>31.0</v>
      </c>
      <c r="O561" s="25"/>
      <c r="P561" s="25"/>
    </row>
    <row r="562">
      <c r="A562" s="16">
        <v>560.0</v>
      </c>
      <c r="B562" s="17" t="s">
        <v>1190</v>
      </c>
      <c r="C562" s="18">
        <v>17.0</v>
      </c>
      <c r="D562" s="19" t="s">
        <v>2245</v>
      </c>
      <c r="E562" s="20" t="s">
        <v>91</v>
      </c>
      <c r="F562" s="17" t="s">
        <v>455</v>
      </c>
      <c r="G562" s="17" t="s">
        <v>2267</v>
      </c>
      <c r="H562" s="17" t="s">
        <v>2268</v>
      </c>
      <c r="I562" s="17" t="s">
        <v>125</v>
      </c>
      <c r="J562" s="22" t="s">
        <v>144</v>
      </c>
      <c r="K562" s="23" t="s">
        <v>108</v>
      </c>
      <c r="L562" s="24" t="s">
        <v>91</v>
      </c>
      <c r="M562" s="2">
        <v>18.0</v>
      </c>
      <c r="N562" s="25">
        <v>31.0</v>
      </c>
      <c r="O562" s="25"/>
      <c r="P562" s="25"/>
    </row>
    <row r="563">
      <c r="A563" s="16">
        <v>561.0</v>
      </c>
      <c r="B563" s="17" t="s">
        <v>1190</v>
      </c>
      <c r="C563" s="18">
        <v>18.0</v>
      </c>
      <c r="D563" s="19" t="s">
        <v>2245</v>
      </c>
      <c r="E563" s="20" t="s">
        <v>91</v>
      </c>
      <c r="F563" s="17" t="s">
        <v>1052</v>
      </c>
      <c r="G563" s="17" t="s">
        <v>1974</v>
      </c>
      <c r="H563" s="17" t="s">
        <v>1965</v>
      </c>
      <c r="I563" s="17" t="s">
        <v>125</v>
      </c>
      <c r="J563" s="22" t="s">
        <v>144</v>
      </c>
      <c r="K563" s="23" t="s">
        <v>108</v>
      </c>
      <c r="L563" s="24" t="s">
        <v>91</v>
      </c>
      <c r="M563" s="2">
        <v>18.0</v>
      </c>
      <c r="N563" s="25">
        <v>31.0</v>
      </c>
      <c r="O563" s="25"/>
      <c r="P563" s="25"/>
    </row>
    <row r="564">
      <c r="A564" s="16">
        <v>562.0</v>
      </c>
      <c r="B564" s="17" t="s">
        <v>1190</v>
      </c>
      <c r="C564" s="18">
        <v>19.0</v>
      </c>
      <c r="D564" s="19" t="s">
        <v>2245</v>
      </c>
      <c r="E564" s="20" t="s">
        <v>91</v>
      </c>
      <c r="F564" s="17" t="s">
        <v>967</v>
      </c>
      <c r="G564" s="17" t="s">
        <v>2270</v>
      </c>
      <c r="H564" s="17" t="s">
        <v>2271</v>
      </c>
      <c r="I564" s="17" t="s">
        <v>125</v>
      </c>
      <c r="J564" s="22" t="s">
        <v>144</v>
      </c>
      <c r="K564" s="23" t="s">
        <v>108</v>
      </c>
      <c r="L564" s="24" t="s">
        <v>91</v>
      </c>
      <c r="M564" s="2">
        <v>18.0</v>
      </c>
      <c r="N564" s="25">
        <v>31.0</v>
      </c>
      <c r="O564" s="25"/>
      <c r="P564" s="25"/>
    </row>
    <row r="565">
      <c r="A565" s="16">
        <v>563.0</v>
      </c>
      <c r="B565" s="17" t="s">
        <v>1190</v>
      </c>
      <c r="C565" s="18">
        <v>20.0</v>
      </c>
      <c r="D565" s="19" t="s">
        <v>2245</v>
      </c>
      <c r="E565" s="20" t="s">
        <v>91</v>
      </c>
      <c r="F565" s="17" t="s">
        <v>956</v>
      </c>
      <c r="G565" s="17" t="s">
        <v>2272</v>
      </c>
      <c r="H565" s="17" t="s">
        <v>2274</v>
      </c>
      <c r="I565" s="17" t="s">
        <v>125</v>
      </c>
      <c r="J565" s="22" t="s">
        <v>144</v>
      </c>
      <c r="K565" s="23" t="s">
        <v>108</v>
      </c>
      <c r="L565" s="24" t="s">
        <v>91</v>
      </c>
      <c r="M565" s="2">
        <v>18.0</v>
      </c>
      <c r="N565" s="25">
        <v>31.0</v>
      </c>
      <c r="O565" s="25"/>
      <c r="P565" s="25"/>
    </row>
    <row r="566">
      <c r="A566" s="16">
        <v>564.0</v>
      </c>
      <c r="B566" s="17" t="s">
        <v>1190</v>
      </c>
      <c r="C566" s="18">
        <v>21.0</v>
      </c>
      <c r="D566" s="19" t="s">
        <v>2245</v>
      </c>
      <c r="E566" s="20" t="s">
        <v>91</v>
      </c>
      <c r="F566" s="17" t="s">
        <v>1070</v>
      </c>
      <c r="G566" s="17" t="s">
        <v>2275</v>
      </c>
      <c r="H566" s="17" t="s">
        <v>2276</v>
      </c>
      <c r="I566" s="17" t="s">
        <v>125</v>
      </c>
      <c r="J566" s="22" t="s">
        <v>144</v>
      </c>
      <c r="K566" s="23" t="s">
        <v>108</v>
      </c>
      <c r="L566" s="24" t="s">
        <v>91</v>
      </c>
      <c r="M566" s="2">
        <v>18.0</v>
      </c>
      <c r="N566" s="25">
        <v>31.0</v>
      </c>
      <c r="O566" s="25"/>
      <c r="P566" s="25"/>
    </row>
    <row r="567">
      <c r="A567" s="16">
        <v>565.0</v>
      </c>
      <c r="B567" s="17" t="s">
        <v>1190</v>
      </c>
      <c r="C567" s="18">
        <v>22.0</v>
      </c>
      <c r="D567" s="19" t="s">
        <v>2245</v>
      </c>
      <c r="E567" s="20" t="s">
        <v>91</v>
      </c>
      <c r="F567" s="17" t="s">
        <v>1315</v>
      </c>
      <c r="G567" s="17" t="s">
        <v>2278</v>
      </c>
      <c r="H567" s="17" t="s">
        <v>2279</v>
      </c>
      <c r="I567" s="17" t="s">
        <v>125</v>
      </c>
      <c r="J567" s="22" t="s">
        <v>144</v>
      </c>
      <c r="K567" s="23" t="s">
        <v>108</v>
      </c>
      <c r="L567" s="24" t="s">
        <v>91</v>
      </c>
      <c r="M567" s="2">
        <v>18.0</v>
      </c>
      <c r="N567" s="25">
        <v>31.0</v>
      </c>
      <c r="O567" s="25"/>
      <c r="P567" s="25"/>
    </row>
    <row r="568">
      <c r="A568" s="16">
        <v>566.0</v>
      </c>
      <c r="B568" s="17" t="s">
        <v>1190</v>
      </c>
      <c r="C568" s="18">
        <v>23.0</v>
      </c>
      <c r="D568" s="19" t="s">
        <v>2245</v>
      </c>
      <c r="E568" s="20" t="s">
        <v>91</v>
      </c>
      <c r="F568" s="17" t="s">
        <v>655</v>
      </c>
      <c r="G568" s="17" t="s">
        <v>2222</v>
      </c>
      <c r="H568" s="17" t="s">
        <v>2223</v>
      </c>
      <c r="I568" s="17" t="s">
        <v>125</v>
      </c>
      <c r="J568" s="22" t="s">
        <v>144</v>
      </c>
      <c r="K568" s="23" t="s">
        <v>108</v>
      </c>
      <c r="L568" s="24" t="s">
        <v>91</v>
      </c>
      <c r="M568" s="2">
        <v>18.0</v>
      </c>
      <c r="N568" s="25">
        <v>31.0</v>
      </c>
      <c r="O568" s="25"/>
      <c r="P568" s="25"/>
    </row>
    <row r="569">
      <c r="A569" s="16">
        <v>567.0</v>
      </c>
      <c r="B569" s="17" t="s">
        <v>1190</v>
      </c>
      <c r="C569" s="18">
        <v>24.0</v>
      </c>
      <c r="D569" s="19" t="s">
        <v>2245</v>
      </c>
      <c r="E569" s="20" t="s">
        <v>91</v>
      </c>
      <c r="F569" s="17" t="s">
        <v>1061</v>
      </c>
      <c r="G569" s="17" t="s">
        <v>2281</v>
      </c>
      <c r="H569" s="17" t="s">
        <v>2282</v>
      </c>
      <c r="I569" s="17" t="s">
        <v>125</v>
      </c>
      <c r="J569" s="22" t="s">
        <v>144</v>
      </c>
      <c r="K569" s="23" t="s">
        <v>108</v>
      </c>
      <c r="L569" s="24" t="s">
        <v>91</v>
      </c>
      <c r="M569" s="2">
        <v>18.0</v>
      </c>
      <c r="N569" s="25">
        <v>31.0</v>
      </c>
      <c r="O569" s="25"/>
      <c r="P569" s="25"/>
    </row>
    <row r="570">
      <c r="A570" s="16">
        <v>568.0</v>
      </c>
      <c r="B570" s="17" t="s">
        <v>1190</v>
      </c>
      <c r="C570" s="18">
        <v>25.0</v>
      </c>
      <c r="D570" s="19" t="s">
        <v>2245</v>
      </c>
      <c r="E570" s="20" t="s">
        <v>91</v>
      </c>
      <c r="F570" s="17" t="s">
        <v>266</v>
      </c>
      <c r="G570" s="17" t="s">
        <v>2283</v>
      </c>
      <c r="H570" s="17" t="s">
        <v>2284</v>
      </c>
      <c r="I570" s="17" t="s">
        <v>125</v>
      </c>
      <c r="J570" s="22" t="s">
        <v>144</v>
      </c>
      <c r="K570" s="23" t="s">
        <v>108</v>
      </c>
      <c r="L570" s="24" t="s">
        <v>91</v>
      </c>
      <c r="M570" s="2">
        <v>18.0</v>
      </c>
      <c r="N570" s="25">
        <v>31.0</v>
      </c>
      <c r="O570" s="25"/>
      <c r="P570" s="25"/>
    </row>
    <row r="571">
      <c r="A571" s="16">
        <v>569.0</v>
      </c>
      <c r="B571" s="17" t="s">
        <v>1190</v>
      </c>
      <c r="C571" s="18">
        <v>26.0</v>
      </c>
      <c r="D571" s="19" t="s">
        <v>2245</v>
      </c>
      <c r="E571" s="20" t="s">
        <v>91</v>
      </c>
      <c r="F571" s="17" t="s">
        <v>965</v>
      </c>
      <c r="G571" s="17" t="s">
        <v>2127</v>
      </c>
      <c r="H571" s="17" t="s">
        <v>2285</v>
      </c>
      <c r="I571" s="17" t="s">
        <v>125</v>
      </c>
      <c r="J571" s="22" t="s">
        <v>144</v>
      </c>
      <c r="K571" s="23" t="s">
        <v>108</v>
      </c>
      <c r="L571" s="24" t="s">
        <v>91</v>
      </c>
      <c r="M571" s="2">
        <v>18.0</v>
      </c>
      <c r="N571" s="25">
        <v>31.0</v>
      </c>
      <c r="O571" s="25"/>
      <c r="P571" s="25"/>
    </row>
    <row r="572">
      <c r="A572" s="16">
        <v>570.0</v>
      </c>
      <c r="B572" s="17" t="s">
        <v>1190</v>
      </c>
      <c r="C572" s="18">
        <v>27.0</v>
      </c>
      <c r="D572" s="19" t="s">
        <v>2245</v>
      </c>
      <c r="E572" s="20" t="s">
        <v>91</v>
      </c>
      <c r="F572" s="17" t="s">
        <v>1316</v>
      </c>
      <c r="G572" s="17" t="s">
        <v>2286</v>
      </c>
      <c r="H572" s="17" t="s">
        <v>2287</v>
      </c>
      <c r="I572" s="17" t="s">
        <v>125</v>
      </c>
      <c r="J572" s="22" t="s">
        <v>144</v>
      </c>
      <c r="K572" s="23" t="s">
        <v>108</v>
      </c>
      <c r="L572" s="24" t="s">
        <v>91</v>
      </c>
      <c r="M572" s="2">
        <v>18.0</v>
      </c>
      <c r="N572" s="25">
        <v>31.0</v>
      </c>
      <c r="O572" s="25"/>
      <c r="P572" s="25"/>
    </row>
    <row r="573">
      <c r="A573" s="16">
        <v>571.0</v>
      </c>
      <c r="B573" s="27" t="s">
        <v>1190</v>
      </c>
      <c r="C573" s="18">
        <v>28.0</v>
      </c>
      <c r="D573" s="19" t="s">
        <v>2245</v>
      </c>
      <c r="E573" s="20" t="s">
        <v>91</v>
      </c>
      <c r="F573" s="27" t="s">
        <v>1041</v>
      </c>
      <c r="G573" s="17" t="s">
        <v>1814</v>
      </c>
      <c r="H573" s="17" t="s">
        <v>2290</v>
      </c>
      <c r="I573" s="17" t="s">
        <v>125</v>
      </c>
      <c r="J573" s="22" t="s">
        <v>144</v>
      </c>
      <c r="K573" s="23" t="s">
        <v>108</v>
      </c>
      <c r="L573" s="24"/>
      <c r="M573" s="2">
        <v>18.0</v>
      </c>
      <c r="N573" s="25">
        <v>31.0</v>
      </c>
      <c r="O573" s="25"/>
      <c r="P573" s="25"/>
    </row>
    <row r="574">
      <c r="A574" s="16">
        <v>572.0</v>
      </c>
      <c r="B574" s="17" t="s">
        <v>1190</v>
      </c>
      <c r="C574" s="18">
        <v>29.0</v>
      </c>
      <c r="D574" s="19" t="s">
        <v>1774</v>
      </c>
      <c r="E574" s="20" t="s">
        <v>91</v>
      </c>
      <c r="F574" s="17" t="s">
        <v>968</v>
      </c>
      <c r="G574" s="17" t="s">
        <v>2182</v>
      </c>
      <c r="H574" s="17" t="s">
        <v>2292</v>
      </c>
      <c r="I574" s="17" t="s">
        <v>125</v>
      </c>
      <c r="J574" s="22" t="s">
        <v>144</v>
      </c>
      <c r="K574" s="23" t="s">
        <v>108</v>
      </c>
      <c r="L574" s="24" t="s">
        <v>91</v>
      </c>
      <c r="M574" s="2">
        <v>18.0</v>
      </c>
      <c r="N574" s="25">
        <v>31.0</v>
      </c>
      <c r="O574" s="25"/>
      <c r="P574" s="25"/>
    </row>
    <row r="575">
      <c r="A575" s="16">
        <v>573.0</v>
      </c>
      <c r="B575" s="17" t="s">
        <v>1190</v>
      </c>
      <c r="C575" s="18">
        <v>30.0</v>
      </c>
      <c r="D575" s="19" t="s">
        <v>1774</v>
      </c>
      <c r="E575" s="20" t="s">
        <v>91</v>
      </c>
      <c r="F575" s="17" t="s">
        <v>1188</v>
      </c>
      <c r="G575" s="17" t="s">
        <v>2293</v>
      </c>
      <c r="H575" s="17" t="s">
        <v>2294</v>
      </c>
      <c r="I575" s="17" t="s">
        <v>125</v>
      </c>
      <c r="J575" s="22" t="s">
        <v>144</v>
      </c>
      <c r="K575" s="23" t="s">
        <v>108</v>
      </c>
      <c r="L575" s="24" t="s">
        <v>91</v>
      </c>
      <c r="M575" s="2">
        <v>18.0</v>
      </c>
      <c r="N575" s="25">
        <v>31.0</v>
      </c>
      <c r="O575" s="25"/>
      <c r="P575" s="25"/>
    </row>
    <row r="576">
      <c r="A576" s="16">
        <v>574.0</v>
      </c>
      <c r="B576" s="17" t="s">
        <v>86</v>
      </c>
      <c r="C576" s="18">
        <v>1.0</v>
      </c>
      <c r="D576" s="19" t="s">
        <v>2296</v>
      </c>
      <c r="E576" s="20" t="s">
        <v>91</v>
      </c>
      <c r="F576" s="17" t="s">
        <v>849</v>
      </c>
      <c r="G576" s="17" t="s">
        <v>2150</v>
      </c>
      <c r="H576" s="17" t="s">
        <v>2297</v>
      </c>
      <c r="I576" s="17" t="s">
        <v>98</v>
      </c>
      <c r="J576" s="22" t="s">
        <v>100</v>
      </c>
      <c r="K576" s="23" t="s">
        <v>108</v>
      </c>
      <c r="L576" s="24" t="s">
        <v>91</v>
      </c>
      <c r="M576" s="2">
        <v>19.0</v>
      </c>
      <c r="N576" s="25">
        <v>10.0</v>
      </c>
      <c r="O576" s="25"/>
      <c r="P576" s="25"/>
    </row>
    <row r="577">
      <c r="A577" s="16">
        <v>575.0</v>
      </c>
      <c r="B577" s="17" t="s">
        <v>86</v>
      </c>
      <c r="C577" s="18">
        <v>2.0</v>
      </c>
      <c r="D577" s="19" t="s">
        <v>2296</v>
      </c>
      <c r="E577" s="20" t="s">
        <v>91</v>
      </c>
      <c r="F577" s="17" t="s">
        <v>941</v>
      </c>
      <c r="G577" s="17" t="s">
        <v>2298</v>
      </c>
      <c r="H577" s="17" t="s">
        <v>2299</v>
      </c>
      <c r="I577" s="17" t="s">
        <v>98</v>
      </c>
      <c r="J577" s="22" t="s">
        <v>100</v>
      </c>
      <c r="K577" s="23" t="s">
        <v>108</v>
      </c>
      <c r="L577" s="24" t="s">
        <v>91</v>
      </c>
      <c r="M577" s="2">
        <v>19.0</v>
      </c>
      <c r="N577" s="25">
        <v>10.0</v>
      </c>
      <c r="O577" s="25"/>
      <c r="P577" s="25"/>
    </row>
    <row r="578">
      <c r="A578" s="16">
        <v>576.0</v>
      </c>
      <c r="B578" s="17" t="s">
        <v>86</v>
      </c>
      <c r="C578" s="18">
        <v>3.0</v>
      </c>
      <c r="D578" s="19" t="s">
        <v>1799</v>
      </c>
      <c r="E578" s="20" t="s">
        <v>91</v>
      </c>
      <c r="F578" s="17" t="s">
        <v>685</v>
      </c>
      <c r="G578" s="17" t="s">
        <v>2301</v>
      </c>
      <c r="H578" s="17" t="s">
        <v>2302</v>
      </c>
      <c r="I578" s="17" t="s">
        <v>98</v>
      </c>
      <c r="J578" s="22" t="s">
        <v>135</v>
      </c>
      <c r="K578" s="23" t="s">
        <v>108</v>
      </c>
      <c r="L578" s="24" t="s">
        <v>91</v>
      </c>
      <c r="M578" s="2">
        <v>19.0</v>
      </c>
      <c r="N578" s="25">
        <v>20.0</v>
      </c>
      <c r="O578" s="25"/>
      <c r="P578" s="25"/>
    </row>
    <row r="579">
      <c r="A579" s="16">
        <v>577.0</v>
      </c>
      <c r="B579" s="17" t="s">
        <v>86</v>
      </c>
      <c r="C579" s="18">
        <v>4.0</v>
      </c>
      <c r="D579" s="19" t="s">
        <v>1799</v>
      </c>
      <c r="E579" s="20" t="s">
        <v>91</v>
      </c>
      <c r="F579" s="17" t="s">
        <v>447</v>
      </c>
      <c r="G579" s="17" t="s">
        <v>1766</v>
      </c>
      <c r="H579" s="17" t="s">
        <v>1767</v>
      </c>
      <c r="I579" s="17" t="s">
        <v>98</v>
      </c>
      <c r="J579" s="22" t="s">
        <v>135</v>
      </c>
      <c r="K579" s="23" t="s">
        <v>108</v>
      </c>
      <c r="L579" s="24" t="s">
        <v>91</v>
      </c>
      <c r="M579" s="2">
        <v>19.0</v>
      </c>
      <c r="N579" s="25">
        <v>20.0</v>
      </c>
      <c r="O579" s="25"/>
      <c r="P579" s="25"/>
    </row>
    <row r="580">
      <c r="A580" s="16">
        <v>578.0</v>
      </c>
      <c r="B580" s="17" t="s">
        <v>86</v>
      </c>
      <c r="C580" s="18">
        <v>5.0</v>
      </c>
      <c r="D580" s="19" t="s">
        <v>2296</v>
      </c>
      <c r="E580" s="20" t="s">
        <v>91</v>
      </c>
      <c r="F580" s="17" t="s">
        <v>496</v>
      </c>
      <c r="G580" s="17" t="s">
        <v>2303</v>
      </c>
      <c r="H580" s="17" t="s">
        <v>2304</v>
      </c>
      <c r="I580" s="17" t="s">
        <v>98</v>
      </c>
      <c r="J580" s="22" t="s">
        <v>135</v>
      </c>
      <c r="K580" s="23" t="s">
        <v>108</v>
      </c>
      <c r="L580" s="24" t="s">
        <v>91</v>
      </c>
      <c r="M580" s="2">
        <v>19.0</v>
      </c>
      <c r="N580" s="25">
        <v>20.0</v>
      </c>
      <c r="O580" s="25"/>
      <c r="P580" s="25"/>
    </row>
    <row r="581">
      <c r="A581" s="16">
        <v>579.0</v>
      </c>
      <c r="B581" s="17" t="s">
        <v>86</v>
      </c>
      <c r="C581" s="18">
        <v>6.0</v>
      </c>
      <c r="D581" s="19" t="s">
        <v>2296</v>
      </c>
      <c r="E581" s="20" t="s">
        <v>91</v>
      </c>
      <c r="F581" s="17" t="s">
        <v>429</v>
      </c>
      <c r="G581" s="17" t="s">
        <v>1519</v>
      </c>
      <c r="H581" s="17" t="s">
        <v>2305</v>
      </c>
      <c r="I581" s="17" t="s">
        <v>98</v>
      </c>
      <c r="J581" s="22" t="s">
        <v>135</v>
      </c>
      <c r="K581" s="23" t="s">
        <v>108</v>
      </c>
      <c r="L581" s="24" t="s">
        <v>91</v>
      </c>
      <c r="M581" s="2">
        <v>19.0</v>
      </c>
      <c r="N581" s="25">
        <v>20.0</v>
      </c>
      <c r="O581" s="25"/>
      <c r="P581" s="25"/>
    </row>
    <row r="582">
      <c r="A582" s="16">
        <v>580.0</v>
      </c>
      <c r="B582" s="17" t="s">
        <v>86</v>
      </c>
      <c r="C582" s="18">
        <v>7.0</v>
      </c>
      <c r="D582" s="19" t="s">
        <v>2296</v>
      </c>
      <c r="E582" s="20" t="s">
        <v>91</v>
      </c>
      <c r="F582" s="17" t="s">
        <v>862</v>
      </c>
      <c r="G582" s="17" t="s">
        <v>2306</v>
      </c>
      <c r="H582" s="17" t="s">
        <v>2307</v>
      </c>
      <c r="I582" s="17" t="s">
        <v>98</v>
      </c>
      <c r="J582" s="22" t="s">
        <v>135</v>
      </c>
      <c r="K582" s="23" t="s">
        <v>108</v>
      </c>
      <c r="L582" s="24" t="s">
        <v>91</v>
      </c>
      <c r="M582" s="2">
        <v>19.0</v>
      </c>
      <c r="N582" s="25">
        <v>20.0</v>
      </c>
      <c r="O582" s="25"/>
      <c r="P582" s="25"/>
    </row>
    <row r="583">
      <c r="A583" s="16">
        <v>581.0</v>
      </c>
      <c r="B583" s="17" t="s">
        <v>86</v>
      </c>
      <c r="C583" s="18">
        <v>8.0</v>
      </c>
      <c r="D583" s="19" t="s">
        <v>2296</v>
      </c>
      <c r="E583" s="20" t="s">
        <v>91</v>
      </c>
      <c r="F583" s="17" t="s">
        <v>13</v>
      </c>
      <c r="G583" s="17" t="s">
        <v>2055</v>
      </c>
      <c r="H583" s="17" t="s">
        <v>2308</v>
      </c>
      <c r="I583" s="17" t="s">
        <v>98</v>
      </c>
      <c r="J583" s="22" t="s">
        <v>135</v>
      </c>
      <c r="K583" s="23" t="s">
        <v>108</v>
      </c>
      <c r="L583" s="24" t="s">
        <v>91</v>
      </c>
      <c r="M583" s="2">
        <v>19.0</v>
      </c>
      <c r="N583" s="25">
        <v>20.0</v>
      </c>
      <c r="O583" s="25"/>
      <c r="P583" s="25"/>
    </row>
    <row r="584">
      <c r="A584" s="16">
        <v>582.0</v>
      </c>
      <c r="B584" s="17" t="s">
        <v>86</v>
      </c>
      <c r="C584" s="18">
        <v>9.0</v>
      </c>
      <c r="D584" s="19" t="s">
        <v>2296</v>
      </c>
      <c r="E584" s="20" t="s">
        <v>91</v>
      </c>
      <c r="F584" s="17" t="s">
        <v>967</v>
      </c>
      <c r="G584" s="17" t="s">
        <v>2270</v>
      </c>
      <c r="H584" s="17" t="s">
        <v>2309</v>
      </c>
      <c r="I584" s="17" t="s">
        <v>125</v>
      </c>
      <c r="J584" s="22" t="s">
        <v>135</v>
      </c>
      <c r="K584" s="23" t="s">
        <v>108</v>
      </c>
      <c r="L584" s="24" t="s">
        <v>91</v>
      </c>
      <c r="M584" s="2">
        <v>19.0</v>
      </c>
      <c r="N584" s="25">
        <v>21.0</v>
      </c>
      <c r="O584" s="25"/>
      <c r="P584" s="25"/>
    </row>
    <row r="585">
      <c r="A585" s="16">
        <v>583.0</v>
      </c>
      <c r="B585" s="17" t="s">
        <v>86</v>
      </c>
      <c r="C585" s="18">
        <v>10.0</v>
      </c>
      <c r="D585" s="19" t="s">
        <v>2296</v>
      </c>
      <c r="E585" s="20" t="s">
        <v>91</v>
      </c>
      <c r="F585" s="17" t="s">
        <v>139</v>
      </c>
      <c r="G585" s="17" t="s">
        <v>2311</v>
      </c>
      <c r="H585" s="17" t="s">
        <v>2312</v>
      </c>
      <c r="I585" s="17" t="s">
        <v>98</v>
      </c>
      <c r="J585" s="22" t="s">
        <v>144</v>
      </c>
      <c r="K585" s="23" t="s">
        <v>108</v>
      </c>
      <c r="L585" s="24" t="s">
        <v>91</v>
      </c>
      <c r="M585" s="2">
        <v>19.0</v>
      </c>
      <c r="N585" s="25">
        <v>30.0</v>
      </c>
      <c r="O585" s="25"/>
      <c r="P585" s="25"/>
    </row>
    <row r="586">
      <c r="A586" s="16">
        <v>584.0</v>
      </c>
      <c r="B586" s="17" t="s">
        <v>86</v>
      </c>
      <c r="C586" s="18">
        <v>11.0</v>
      </c>
      <c r="D586" s="19" t="s">
        <v>1799</v>
      </c>
      <c r="E586" s="20" t="s">
        <v>91</v>
      </c>
      <c r="F586" s="17" t="s">
        <v>1164</v>
      </c>
      <c r="G586" s="17" t="s">
        <v>2313</v>
      </c>
      <c r="H586" s="17" t="s">
        <v>2314</v>
      </c>
      <c r="I586" s="17" t="s">
        <v>125</v>
      </c>
      <c r="J586" s="22" t="s">
        <v>144</v>
      </c>
      <c r="K586" s="23" t="s">
        <v>108</v>
      </c>
      <c r="L586" s="24" t="s">
        <v>91</v>
      </c>
      <c r="M586" s="2">
        <v>19.0</v>
      </c>
      <c r="N586" s="25">
        <v>31.0</v>
      </c>
      <c r="O586" s="25"/>
      <c r="P586" s="25"/>
    </row>
    <row r="587">
      <c r="A587" s="16">
        <v>585.0</v>
      </c>
      <c r="B587" s="17" t="s">
        <v>86</v>
      </c>
      <c r="C587" s="18">
        <v>12.0</v>
      </c>
      <c r="D587" s="19" t="s">
        <v>1799</v>
      </c>
      <c r="E587" s="20" t="s">
        <v>91</v>
      </c>
      <c r="F587" s="17" t="s">
        <v>1162</v>
      </c>
      <c r="G587" s="17" t="s">
        <v>2315</v>
      </c>
      <c r="H587" s="17" t="s">
        <v>2314</v>
      </c>
      <c r="I587" s="17" t="s">
        <v>125</v>
      </c>
      <c r="J587" s="22" t="s">
        <v>144</v>
      </c>
      <c r="K587" s="23" t="s">
        <v>108</v>
      </c>
      <c r="L587" s="24" t="s">
        <v>91</v>
      </c>
      <c r="M587" s="2">
        <v>19.0</v>
      </c>
      <c r="N587" s="25">
        <v>31.0</v>
      </c>
      <c r="O587" s="25"/>
      <c r="P587" s="25"/>
    </row>
    <row r="588">
      <c r="A588" s="16">
        <v>586.0</v>
      </c>
      <c r="B588" s="17" t="s">
        <v>86</v>
      </c>
      <c r="C588" s="18">
        <v>13.0</v>
      </c>
      <c r="D588" s="19" t="s">
        <v>1799</v>
      </c>
      <c r="E588" s="20" t="s">
        <v>91</v>
      </c>
      <c r="F588" s="17" t="s">
        <v>1079</v>
      </c>
      <c r="G588" s="17" t="s">
        <v>2317</v>
      </c>
      <c r="H588" s="17" t="s">
        <v>2318</v>
      </c>
      <c r="I588" s="17" t="s">
        <v>125</v>
      </c>
      <c r="J588" s="22" t="s">
        <v>144</v>
      </c>
      <c r="K588" s="23" t="s">
        <v>108</v>
      </c>
      <c r="L588" s="24" t="s">
        <v>91</v>
      </c>
      <c r="M588" s="2">
        <v>19.0</v>
      </c>
      <c r="N588" s="25">
        <v>31.0</v>
      </c>
      <c r="O588" s="25"/>
      <c r="P588" s="25"/>
    </row>
    <row r="589">
      <c r="A589" s="16">
        <v>587.0</v>
      </c>
      <c r="B589" s="17" t="s">
        <v>86</v>
      </c>
      <c r="C589" s="18">
        <v>14.0</v>
      </c>
      <c r="D589" s="19" t="s">
        <v>1799</v>
      </c>
      <c r="E589" s="20" t="s">
        <v>91</v>
      </c>
      <c r="F589" s="17" t="s">
        <v>972</v>
      </c>
      <c r="G589" s="17" t="s">
        <v>2319</v>
      </c>
      <c r="H589" s="17" t="s">
        <v>2320</v>
      </c>
      <c r="I589" s="17" t="s">
        <v>125</v>
      </c>
      <c r="J589" s="22" t="s">
        <v>144</v>
      </c>
      <c r="K589" s="23" t="s">
        <v>108</v>
      </c>
      <c r="L589" s="24" t="s">
        <v>91</v>
      </c>
      <c r="M589" s="2">
        <v>19.0</v>
      </c>
      <c r="N589" s="25">
        <v>31.0</v>
      </c>
      <c r="O589" s="25"/>
      <c r="P589" s="25"/>
    </row>
    <row r="590">
      <c r="A590" s="16">
        <v>588.0</v>
      </c>
      <c r="B590" s="17" t="s">
        <v>86</v>
      </c>
      <c r="C590" s="18">
        <v>15.0</v>
      </c>
      <c r="D590" s="19" t="s">
        <v>1799</v>
      </c>
      <c r="E590" s="20" t="s">
        <v>91</v>
      </c>
      <c r="F590" s="17" t="s">
        <v>475</v>
      </c>
      <c r="G590" s="17" t="s">
        <v>2322</v>
      </c>
      <c r="H590" s="17" t="s">
        <v>2323</v>
      </c>
      <c r="I590" s="17" t="s">
        <v>125</v>
      </c>
      <c r="J590" s="22" t="s">
        <v>144</v>
      </c>
      <c r="K590" s="23" t="s">
        <v>108</v>
      </c>
      <c r="L590" s="24" t="s">
        <v>91</v>
      </c>
      <c r="M590" s="2">
        <v>19.0</v>
      </c>
      <c r="N590" s="25">
        <v>31.0</v>
      </c>
      <c r="O590" s="25"/>
      <c r="P590" s="25"/>
    </row>
    <row r="591">
      <c r="A591" s="16">
        <v>589.0</v>
      </c>
      <c r="B591" s="17" t="s">
        <v>86</v>
      </c>
      <c r="C591" s="18">
        <v>16.0</v>
      </c>
      <c r="D591" s="19" t="s">
        <v>1799</v>
      </c>
      <c r="E591" s="20" t="s">
        <v>91</v>
      </c>
      <c r="F591" s="17" t="s">
        <v>973</v>
      </c>
      <c r="G591" s="17" t="s">
        <v>2324</v>
      </c>
      <c r="H591" s="17" t="s">
        <v>2325</v>
      </c>
      <c r="I591" s="17" t="s">
        <v>125</v>
      </c>
      <c r="J591" s="22" t="s">
        <v>144</v>
      </c>
      <c r="K591" s="23" t="s">
        <v>108</v>
      </c>
      <c r="L591" s="24" t="s">
        <v>91</v>
      </c>
      <c r="M591" s="2">
        <v>19.0</v>
      </c>
      <c r="N591" s="25">
        <v>31.0</v>
      </c>
      <c r="O591" s="25"/>
      <c r="P591" s="25"/>
    </row>
    <row r="592">
      <c r="A592" s="16">
        <v>590.0</v>
      </c>
      <c r="B592" s="17" t="s">
        <v>86</v>
      </c>
      <c r="C592" s="18">
        <v>17.0</v>
      </c>
      <c r="D592" s="19" t="s">
        <v>1799</v>
      </c>
      <c r="E592" s="20" t="s">
        <v>91</v>
      </c>
      <c r="F592" s="17" t="s">
        <v>850</v>
      </c>
      <c r="G592" s="17" t="s">
        <v>123</v>
      </c>
      <c r="H592" s="17" t="s">
        <v>1981</v>
      </c>
      <c r="I592" s="17" t="s">
        <v>125</v>
      </c>
      <c r="J592" s="22" t="s">
        <v>144</v>
      </c>
      <c r="K592" s="23" t="s">
        <v>108</v>
      </c>
      <c r="L592" s="24" t="s">
        <v>91</v>
      </c>
      <c r="M592" s="2">
        <v>19.0</v>
      </c>
      <c r="N592" s="25">
        <v>31.0</v>
      </c>
      <c r="O592" s="25"/>
      <c r="P592" s="25"/>
    </row>
    <row r="593">
      <c r="A593" s="16">
        <v>591.0</v>
      </c>
      <c r="B593" s="17" t="s">
        <v>86</v>
      </c>
      <c r="C593" s="18">
        <v>18.0</v>
      </c>
      <c r="D593" s="19" t="s">
        <v>1799</v>
      </c>
      <c r="E593" s="20" t="s">
        <v>91</v>
      </c>
      <c r="F593" s="17" t="s">
        <v>1028</v>
      </c>
      <c r="G593" s="17" t="s">
        <v>1738</v>
      </c>
      <c r="H593" s="17" t="s">
        <v>2326</v>
      </c>
      <c r="I593" s="17" t="s">
        <v>125</v>
      </c>
      <c r="J593" s="22" t="s">
        <v>144</v>
      </c>
      <c r="K593" s="23" t="s">
        <v>108</v>
      </c>
      <c r="L593" s="24" t="s">
        <v>91</v>
      </c>
      <c r="M593" s="2">
        <v>19.0</v>
      </c>
      <c r="N593" s="25">
        <v>31.0</v>
      </c>
      <c r="O593" s="25"/>
      <c r="P593" s="25"/>
    </row>
    <row r="594">
      <c r="A594" s="16">
        <v>592.0</v>
      </c>
      <c r="B594" s="27" t="s">
        <v>86</v>
      </c>
      <c r="C594" s="18">
        <v>19.0</v>
      </c>
      <c r="D594" s="19" t="s">
        <v>1799</v>
      </c>
      <c r="E594" s="20" t="s">
        <v>91</v>
      </c>
      <c r="F594" s="27" t="s">
        <v>1346</v>
      </c>
      <c r="G594" s="17" t="s">
        <v>2329</v>
      </c>
      <c r="H594" s="17" t="s">
        <v>2330</v>
      </c>
      <c r="I594" s="17" t="s">
        <v>125</v>
      </c>
      <c r="J594" s="22" t="s">
        <v>144</v>
      </c>
      <c r="K594" s="23" t="s">
        <v>108</v>
      </c>
      <c r="L594" s="24"/>
      <c r="M594" s="2">
        <v>19.0</v>
      </c>
      <c r="N594" s="25">
        <v>31.0</v>
      </c>
      <c r="O594" s="25"/>
      <c r="P594" s="25"/>
    </row>
    <row r="595">
      <c r="A595" s="16">
        <v>593.0</v>
      </c>
      <c r="B595" s="27" t="s">
        <v>86</v>
      </c>
      <c r="C595" s="18">
        <v>20.0</v>
      </c>
      <c r="D595" s="19" t="s">
        <v>1799</v>
      </c>
      <c r="E595" s="20" t="s">
        <v>91</v>
      </c>
      <c r="F595" s="27" t="s">
        <v>1031</v>
      </c>
      <c r="G595" s="17" t="s">
        <v>2332</v>
      </c>
      <c r="H595" s="17" t="s">
        <v>2333</v>
      </c>
      <c r="I595" s="17" t="s">
        <v>125</v>
      </c>
      <c r="J595" s="22" t="s">
        <v>144</v>
      </c>
      <c r="K595" s="23" t="s">
        <v>108</v>
      </c>
      <c r="L595" s="24"/>
      <c r="M595" s="2">
        <v>19.0</v>
      </c>
      <c r="N595" s="25">
        <v>31.0</v>
      </c>
      <c r="O595" s="25"/>
      <c r="P595" s="25"/>
    </row>
    <row r="596">
      <c r="A596" s="16">
        <v>594.0</v>
      </c>
      <c r="B596" s="17" t="s">
        <v>86</v>
      </c>
      <c r="C596" s="18">
        <v>21.0</v>
      </c>
      <c r="D596" s="19" t="s">
        <v>2296</v>
      </c>
      <c r="E596" s="20" t="s">
        <v>91</v>
      </c>
      <c r="F596" s="17" t="s">
        <v>860</v>
      </c>
      <c r="G596" s="17" t="s">
        <v>2334</v>
      </c>
      <c r="H596" s="17" t="s">
        <v>2335</v>
      </c>
      <c r="I596" s="17" t="s">
        <v>125</v>
      </c>
      <c r="J596" s="22" t="s">
        <v>144</v>
      </c>
      <c r="K596" s="23" t="s">
        <v>108</v>
      </c>
      <c r="L596" s="24" t="s">
        <v>91</v>
      </c>
      <c r="M596" s="2">
        <v>19.0</v>
      </c>
      <c r="N596" s="25">
        <v>31.0</v>
      </c>
      <c r="O596" s="25"/>
      <c r="P596" s="25"/>
    </row>
    <row r="597">
      <c r="A597" s="16">
        <v>595.0</v>
      </c>
      <c r="B597" s="17" t="s">
        <v>86</v>
      </c>
      <c r="C597" s="18">
        <v>22.0</v>
      </c>
      <c r="D597" s="19" t="s">
        <v>2296</v>
      </c>
      <c r="E597" s="20" t="s">
        <v>91</v>
      </c>
      <c r="F597" s="17" t="s">
        <v>1080</v>
      </c>
      <c r="G597" s="17" t="s">
        <v>2336</v>
      </c>
      <c r="H597" s="17" t="s">
        <v>2337</v>
      </c>
      <c r="I597" s="17" t="s">
        <v>125</v>
      </c>
      <c r="J597" s="22" t="s">
        <v>144</v>
      </c>
      <c r="K597" s="23" t="s">
        <v>108</v>
      </c>
      <c r="L597" s="24" t="s">
        <v>91</v>
      </c>
      <c r="M597" s="2">
        <v>19.0</v>
      </c>
      <c r="N597" s="25">
        <v>31.0</v>
      </c>
      <c r="O597" s="25"/>
      <c r="P597" s="25"/>
    </row>
    <row r="598">
      <c r="A598" s="16">
        <v>596.0</v>
      </c>
      <c r="B598" s="17" t="s">
        <v>86</v>
      </c>
      <c r="C598" s="18">
        <v>23.0</v>
      </c>
      <c r="D598" s="19" t="s">
        <v>2296</v>
      </c>
      <c r="E598" s="20" t="s">
        <v>91</v>
      </c>
      <c r="F598" s="17" t="s">
        <v>858</v>
      </c>
      <c r="G598" s="17" t="s">
        <v>2334</v>
      </c>
      <c r="H598" s="17" t="s">
        <v>2335</v>
      </c>
      <c r="I598" s="17" t="s">
        <v>125</v>
      </c>
      <c r="J598" s="22" t="s">
        <v>144</v>
      </c>
      <c r="K598" s="23" t="s">
        <v>108</v>
      </c>
      <c r="L598" s="24" t="s">
        <v>91</v>
      </c>
      <c r="M598" s="2">
        <v>19.0</v>
      </c>
      <c r="N598" s="25">
        <v>31.0</v>
      </c>
      <c r="O598" s="25"/>
      <c r="P598" s="25"/>
    </row>
    <row r="599">
      <c r="A599" s="16">
        <v>597.0</v>
      </c>
      <c r="B599" s="17" t="s">
        <v>86</v>
      </c>
      <c r="C599" s="18">
        <v>24.0</v>
      </c>
      <c r="D599" s="19" t="s">
        <v>2296</v>
      </c>
      <c r="E599" s="20" t="s">
        <v>91</v>
      </c>
      <c r="F599" s="17" t="s">
        <v>1081</v>
      </c>
      <c r="G599" s="17" t="s">
        <v>2338</v>
      </c>
      <c r="H599" s="17" t="s">
        <v>2339</v>
      </c>
      <c r="I599" s="17" t="s">
        <v>125</v>
      </c>
      <c r="J599" s="22" t="s">
        <v>144</v>
      </c>
      <c r="K599" s="23" t="s">
        <v>108</v>
      </c>
      <c r="L599" s="24" t="s">
        <v>91</v>
      </c>
      <c r="M599" s="2">
        <v>19.0</v>
      </c>
      <c r="N599" s="25">
        <v>31.0</v>
      </c>
      <c r="O599" s="25"/>
      <c r="P599" s="25"/>
    </row>
    <row r="600">
      <c r="A600" s="16">
        <v>598.0</v>
      </c>
      <c r="B600" s="17" t="s">
        <v>86</v>
      </c>
      <c r="C600" s="18">
        <v>25.0</v>
      </c>
      <c r="D600" s="19" t="s">
        <v>2296</v>
      </c>
      <c r="E600" s="20" t="s">
        <v>91</v>
      </c>
      <c r="F600" s="17" t="s">
        <v>1084</v>
      </c>
      <c r="G600" s="17" t="s">
        <v>2340</v>
      </c>
      <c r="H600" s="17" t="s">
        <v>2341</v>
      </c>
      <c r="I600" s="17" t="s">
        <v>125</v>
      </c>
      <c r="J600" s="22" t="s">
        <v>144</v>
      </c>
      <c r="K600" s="23" t="s">
        <v>108</v>
      </c>
      <c r="L600" s="24" t="s">
        <v>91</v>
      </c>
      <c r="M600" s="2">
        <v>19.0</v>
      </c>
      <c r="N600" s="25">
        <v>31.0</v>
      </c>
      <c r="O600" s="25"/>
      <c r="P600" s="25"/>
    </row>
    <row r="601">
      <c r="A601" s="16">
        <v>599.0</v>
      </c>
      <c r="B601" s="17" t="s">
        <v>86</v>
      </c>
      <c r="C601" s="18">
        <v>26.0</v>
      </c>
      <c r="D601" s="19" t="s">
        <v>2296</v>
      </c>
      <c r="E601" s="20" t="s">
        <v>91</v>
      </c>
      <c r="F601" s="17" t="s">
        <v>970</v>
      </c>
      <c r="G601" s="17" t="s">
        <v>2192</v>
      </c>
      <c r="H601" s="17" t="s">
        <v>2193</v>
      </c>
      <c r="I601" s="17" t="s">
        <v>125</v>
      </c>
      <c r="J601" s="22" t="s">
        <v>144</v>
      </c>
      <c r="K601" s="23" t="s">
        <v>108</v>
      </c>
      <c r="L601" s="24" t="s">
        <v>91</v>
      </c>
      <c r="M601" s="2">
        <v>19.0</v>
      </c>
      <c r="N601" s="25">
        <v>31.0</v>
      </c>
      <c r="O601" s="25"/>
      <c r="P601" s="25"/>
    </row>
    <row r="602">
      <c r="A602" s="16">
        <v>600.0</v>
      </c>
      <c r="B602" s="17" t="s">
        <v>86</v>
      </c>
      <c r="C602" s="18">
        <v>27.0</v>
      </c>
      <c r="D602" s="19" t="s">
        <v>2296</v>
      </c>
      <c r="E602" s="20" t="s">
        <v>91</v>
      </c>
      <c r="F602" s="17" t="s">
        <v>1208</v>
      </c>
      <c r="G602" s="17" t="s">
        <v>2342</v>
      </c>
      <c r="H602" s="17" t="s">
        <v>2343</v>
      </c>
      <c r="I602" s="17" t="s">
        <v>125</v>
      </c>
      <c r="J602" s="22" t="s">
        <v>144</v>
      </c>
      <c r="K602" s="23" t="s">
        <v>108</v>
      </c>
      <c r="L602" s="24" t="s">
        <v>91</v>
      </c>
      <c r="M602" s="2">
        <v>19.0</v>
      </c>
      <c r="N602" s="25">
        <v>31.0</v>
      </c>
      <c r="O602" s="25"/>
      <c r="P602" s="25"/>
    </row>
    <row r="603">
      <c r="A603" s="16">
        <v>601.0</v>
      </c>
      <c r="B603" s="17" t="s">
        <v>86</v>
      </c>
      <c r="C603" s="18">
        <v>28.0</v>
      </c>
      <c r="D603" s="19" t="s">
        <v>2296</v>
      </c>
      <c r="E603" s="20" t="s">
        <v>91</v>
      </c>
      <c r="F603" s="17" t="s">
        <v>1317</v>
      </c>
      <c r="G603" s="17" t="s">
        <v>2334</v>
      </c>
      <c r="H603" s="17" t="s">
        <v>2335</v>
      </c>
      <c r="I603" s="17" t="s">
        <v>125</v>
      </c>
      <c r="J603" s="22" t="s">
        <v>144</v>
      </c>
      <c r="K603" s="23" t="s">
        <v>108</v>
      </c>
      <c r="L603" s="24" t="s">
        <v>91</v>
      </c>
      <c r="M603" s="2">
        <v>19.0</v>
      </c>
      <c r="N603" s="25">
        <v>31.0</v>
      </c>
      <c r="O603" s="25"/>
      <c r="P603" s="25"/>
    </row>
    <row r="604">
      <c r="A604" s="16">
        <v>602.0</v>
      </c>
      <c r="B604" s="17" t="s">
        <v>86</v>
      </c>
      <c r="C604" s="18">
        <v>29.0</v>
      </c>
      <c r="D604" s="19" t="s">
        <v>2296</v>
      </c>
      <c r="E604" s="20" t="s">
        <v>91</v>
      </c>
      <c r="F604" s="17" t="s">
        <v>1202</v>
      </c>
      <c r="G604" s="17" t="s">
        <v>2344</v>
      </c>
      <c r="H604" s="17" t="s">
        <v>2345</v>
      </c>
      <c r="I604" s="17" t="s">
        <v>125</v>
      </c>
      <c r="J604" s="22" t="s">
        <v>144</v>
      </c>
      <c r="K604" s="23" t="s">
        <v>108</v>
      </c>
      <c r="L604" s="24" t="s">
        <v>91</v>
      </c>
      <c r="M604" s="2">
        <v>19.0</v>
      </c>
      <c r="N604" s="25">
        <v>31.0</v>
      </c>
      <c r="O604" s="25"/>
      <c r="P604" s="25"/>
    </row>
    <row r="605">
      <c r="A605" s="16">
        <v>603.0</v>
      </c>
      <c r="B605" s="17" t="s">
        <v>86</v>
      </c>
      <c r="C605" s="18">
        <v>30.0</v>
      </c>
      <c r="D605" s="19" t="s">
        <v>2296</v>
      </c>
      <c r="E605" s="20" t="s">
        <v>91</v>
      </c>
      <c r="F605" s="17" t="s">
        <v>974</v>
      </c>
      <c r="G605" s="17" t="s">
        <v>123</v>
      </c>
      <c r="H605" s="17" t="s">
        <v>2347</v>
      </c>
      <c r="I605" s="17" t="s">
        <v>125</v>
      </c>
      <c r="J605" s="22" t="s">
        <v>144</v>
      </c>
      <c r="K605" s="23" t="s">
        <v>108</v>
      </c>
      <c r="L605" s="24" t="s">
        <v>91</v>
      </c>
      <c r="M605" s="2">
        <v>19.0</v>
      </c>
      <c r="N605" s="25">
        <v>31.0</v>
      </c>
      <c r="O605" s="25"/>
      <c r="P605" s="25"/>
    </row>
    <row r="606">
      <c r="A606" s="16">
        <v>604.0</v>
      </c>
      <c r="B606" s="17" t="s">
        <v>1347</v>
      </c>
      <c r="C606" s="18">
        <v>1.0</v>
      </c>
      <c r="D606" s="19" t="s">
        <v>2348</v>
      </c>
      <c r="E606" s="20" t="s">
        <v>91</v>
      </c>
      <c r="F606" s="17" t="s">
        <v>1045</v>
      </c>
      <c r="G606" s="17" t="s">
        <v>2349</v>
      </c>
      <c r="H606" s="17" t="s">
        <v>2350</v>
      </c>
      <c r="I606" s="17" t="s">
        <v>98</v>
      </c>
      <c r="J606" s="22" t="s">
        <v>100</v>
      </c>
      <c r="K606" s="23" t="s">
        <v>108</v>
      </c>
      <c r="L606" s="24" t="s">
        <v>91</v>
      </c>
      <c r="M606" s="2">
        <v>20.0</v>
      </c>
      <c r="N606" s="25">
        <v>10.0</v>
      </c>
      <c r="O606" s="25"/>
      <c r="P606" s="25"/>
    </row>
    <row r="607">
      <c r="A607" s="16">
        <v>605.0</v>
      </c>
      <c r="B607" s="17" t="s">
        <v>1347</v>
      </c>
      <c r="C607" s="18">
        <v>2.0</v>
      </c>
      <c r="D607" s="19" t="s">
        <v>2348</v>
      </c>
      <c r="E607" s="20" t="s">
        <v>91</v>
      </c>
      <c r="F607" s="17" t="s">
        <v>1025</v>
      </c>
      <c r="G607" s="17" t="s">
        <v>1570</v>
      </c>
      <c r="H607" s="17" t="s">
        <v>2352</v>
      </c>
      <c r="I607" s="17" t="s">
        <v>98</v>
      </c>
      <c r="J607" s="22" t="s">
        <v>135</v>
      </c>
      <c r="K607" s="23" t="s">
        <v>108</v>
      </c>
      <c r="L607" s="24" t="s">
        <v>91</v>
      </c>
      <c r="M607" s="2">
        <v>20.0</v>
      </c>
      <c r="N607" s="25">
        <v>20.0</v>
      </c>
      <c r="O607" s="25"/>
      <c r="P607" s="25"/>
    </row>
    <row r="608">
      <c r="A608" s="16">
        <v>606.0</v>
      </c>
      <c r="B608" s="17" t="s">
        <v>1347</v>
      </c>
      <c r="C608" s="18">
        <v>3.0</v>
      </c>
      <c r="D608" s="19" t="s">
        <v>2348</v>
      </c>
      <c r="E608" s="20" t="s">
        <v>91</v>
      </c>
      <c r="F608" s="17" t="s">
        <v>863</v>
      </c>
      <c r="G608" s="17" t="s">
        <v>2353</v>
      </c>
      <c r="H608" s="17" t="s">
        <v>2354</v>
      </c>
      <c r="I608" s="17" t="s">
        <v>98</v>
      </c>
      <c r="J608" s="22" t="s">
        <v>135</v>
      </c>
      <c r="K608" s="23" t="s">
        <v>108</v>
      </c>
      <c r="L608" s="24" t="s">
        <v>91</v>
      </c>
      <c r="M608" s="2">
        <v>20.0</v>
      </c>
      <c r="N608" s="25">
        <v>20.0</v>
      </c>
      <c r="O608" s="25"/>
      <c r="P608" s="25"/>
    </row>
    <row r="609">
      <c r="A609" s="16">
        <v>607.0</v>
      </c>
      <c r="B609" s="17" t="s">
        <v>1347</v>
      </c>
      <c r="C609" s="18">
        <v>4.0</v>
      </c>
      <c r="D609" s="19" t="s">
        <v>2348</v>
      </c>
      <c r="E609" s="20" t="s">
        <v>91</v>
      </c>
      <c r="F609" s="17" t="s">
        <v>280</v>
      </c>
      <c r="G609" s="17" t="s">
        <v>2356</v>
      </c>
      <c r="H609" s="17" t="s">
        <v>2357</v>
      </c>
      <c r="I609" s="17" t="s">
        <v>98</v>
      </c>
      <c r="J609" s="22" t="s">
        <v>135</v>
      </c>
      <c r="K609" s="23" t="s">
        <v>108</v>
      </c>
      <c r="L609" s="24" t="s">
        <v>91</v>
      </c>
      <c r="M609" s="2">
        <v>20.0</v>
      </c>
      <c r="N609" s="25">
        <v>20.0</v>
      </c>
      <c r="O609" s="25"/>
      <c r="P609" s="25"/>
    </row>
    <row r="610">
      <c r="A610" s="16">
        <v>608.0</v>
      </c>
      <c r="B610" s="17" t="s">
        <v>1347</v>
      </c>
      <c r="C610" s="18">
        <v>5.0</v>
      </c>
      <c r="D610" s="19" t="s">
        <v>2348</v>
      </c>
      <c r="E610" s="20" t="s">
        <v>91</v>
      </c>
      <c r="F610" s="17" t="s">
        <v>691</v>
      </c>
      <c r="G610" s="17" t="s">
        <v>2358</v>
      </c>
      <c r="H610" s="17" t="s">
        <v>2359</v>
      </c>
      <c r="I610" s="17" t="s">
        <v>98</v>
      </c>
      <c r="J610" s="22" t="s">
        <v>135</v>
      </c>
      <c r="K610" s="23" t="s">
        <v>108</v>
      </c>
      <c r="L610" s="24" t="s">
        <v>91</v>
      </c>
      <c r="M610" s="2">
        <v>20.0</v>
      </c>
      <c r="N610" s="25">
        <v>20.0</v>
      </c>
      <c r="O610" s="25"/>
      <c r="P610" s="25"/>
    </row>
    <row r="611">
      <c r="A611" s="16">
        <v>609.0</v>
      </c>
      <c r="B611" s="17" t="s">
        <v>1347</v>
      </c>
      <c r="C611" s="18">
        <v>6.0</v>
      </c>
      <c r="D611" s="19" t="s">
        <v>2348</v>
      </c>
      <c r="E611" s="20" t="s">
        <v>91</v>
      </c>
      <c r="F611" s="17" t="s">
        <v>458</v>
      </c>
      <c r="G611" s="17" t="s">
        <v>2360</v>
      </c>
      <c r="H611" s="17" t="s">
        <v>2361</v>
      </c>
      <c r="I611" s="17" t="s">
        <v>98</v>
      </c>
      <c r="J611" s="22" t="s">
        <v>135</v>
      </c>
      <c r="K611" s="23" t="s">
        <v>108</v>
      </c>
      <c r="L611" s="24" t="s">
        <v>91</v>
      </c>
      <c r="M611" s="2">
        <v>20.0</v>
      </c>
      <c r="N611" s="25">
        <v>20.0</v>
      </c>
      <c r="O611" s="25"/>
      <c r="P611" s="25"/>
    </row>
    <row r="612">
      <c r="A612" s="16">
        <v>610.0</v>
      </c>
      <c r="B612" s="17" t="s">
        <v>1347</v>
      </c>
      <c r="C612" s="18">
        <v>7.0</v>
      </c>
      <c r="D612" s="19" t="s">
        <v>2348</v>
      </c>
      <c r="E612" s="20" t="s">
        <v>91</v>
      </c>
      <c r="F612" s="17" t="s">
        <v>695</v>
      </c>
      <c r="G612" s="17" t="s">
        <v>123</v>
      </c>
      <c r="H612" s="17" t="s">
        <v>2362</v>
      </c>
      <c r="I612" s="17" t="s">
        <v>125</v>
      </c>
      <c r="J612" s="22" t="s">
        <v>135</v>
      </c>
      <c r="K612" s="23" t="s">
        <v>108</v>
      </c>
      <c r="L612" s="24" t="s">
        <v>91</v>
      </c>
      <c r="M612" s="2">
        <v>20.0</v>
      </c>
      <c r="N612" s="25">
        <v>21.0</v>
      </c>
      <c r="O612" s="25"/>
      <c r="P612" s="25"/>
    </row>
    <row r="613">
      <c r="A613" s="16">
        <v>611.0</v>
      </c>
      <c r="B613" s="17" t="s">
        <v>1347</v>
      </c>
      <c r="C613" s="18">
        <v>8.0</v>
      </c>
      <c r="D613" s="19" t="s">
        <v>2348</v>
      </c>
      <c r="E613" s="20" t="s">
        <v>91</v>
      </c>
      <c r="F613" s="17" t="s">
        <v>404</v>
      </c>
      <c r="G613" s="17" t="s">
        <v>2363</v>
      </c>
      <c r="H613" s="17" t="s">
        <v>2364</v>
      </c>
      <c r="I613" s="17" t="s">
        <v>125</v>
      </c>
      <c r="J613" s="22" t="s">
        <v>135</v>
      </c>
      <c r="K613" s="23" t="s">
        <v>108</v>
      </c>
      <c r="L613" s="24" t="s">
        <v>91</v>
      </c>
      <c r="M613" s="2">
        <v>20.0</v>
      </c>
      <c r="N613" s="25">
        <v>21.0</v>
      </c>
      <c r="O613" s="25"/>
      <c r="P613" s="25"/>
    </row>
    <row r="614">
      <c r="A614" s="16">
        <v>612.0</v>
      </c>
      <c r="B614" s="17" t="s">
        <v>1347</v>
      </c>
      <c r="C614" s="18">
        <v>9.0</v>
      </c>
      <c r="D614" s="19" t="s">
        <v>2348</v>
      </c>
      <c r="E614" s="20" t="s">
        <v>91</v>
      </c>
      <c r="F614" s="17" t="s">
        <v>940</v>
      </c>
      <c r="G614" s="17" t="s">
        <v>2365</v>
      </c>
      <c r="H614" s="17" t="s">
        <v>2366</v>
      </c>
      <c r="I614" s="17" t="s">
        <v>125</v>
      </c>
      <c r="J614" s="22" t="s">
        <v>135</v>
      </c>
      <c r="K614" s="23" t="s">
        <v>108</v>
      </c>
      <c r="L614" s="24" t="s">
        <v>91</v>
      </c>
      <c r="M614" s="2">
        <v>20.0</v>
      </c>
      <c r="N614" s="25">
        <v>21.0</v>
      </c>
      <c r="O614" s="25"/>
      <c r="P614" s="25"/>
    </row>
    <row r="615">
      <c r="A615" s="16">
        <v>613.0</v>
      </c>
      <c r="B615" s="17" t="s">
        <v>1347</v>
      </c>
      <c r="C615" s="18">
        <v>10.0</v>
      </c>
      <c r="D615" s="19" t="s">
        <v>1829</v>
      </c>
      <c r="E615" s="20" t="s">
        <v>91</v>
      </c>
      <c r="F615" s="17" t="s">
        <v>977</v>
      </c>
      <c r="G615" s="17" t="s">
        <v>2367</v>
      </c>
      <c r="H615" s="17" t="s">
        <v>2368</v>
      </c>
      <c r="I615" s="17" t="s">
        <v>125</v>
      </c>
      <c r="J615" s="22" t="s">
        <v>144</v>
      </c>
      <c r="K615" s="23" t="s">
        <v>108</v>
      </c>
      <c r="L615" s="24" t="s">
        <v>91</v>
      </c>
      <c r="M615" s="2">
        <v>20.0</v>
      </c>
      <c r="N615" s="25">
        <v>31.0</v>
      </c>
      <c r="O615" s="25"/>
      <c r="P615" s="25"/>
    </row>
    <row r="616">
      <c r="A616" s="16">
        <v>614.0</v>
      </c>
      <c r="B616" s="17" t="s">
        <v>1347</v>
      </c>
      <c r="C616" s="18">
        <v>11.0</v>
      </c>
      <c r="D616" s="19" t="s">
        <v>1829</v>
      </c>
      <c r="E616" s="20" t="s">
        <v>91</v>
      </c>
      <c r="F616" s="17" t="s">
        <v>1074</v>
      </c>
      <c r="G616" s="17" t="s">
        <v>2369</v>
      </c>
      <c r="H616" s="17" t="s">
        <v>2370</v>
      </c>
      <c r="I616" s="17" t="s">
        <v>125</v>
      </c>
      <c r="J616" s="22" t="s">
        <v>144</v>
      </c>
      <c r="K616" s="23" t="s">
        <v>108</v>
      </c>
      <c r="L616" s="24" t="s">
        <v>91</v>
      </c>
      <c r="M616" s="2">
        <v>20.0</v>
      </c>
      <c r="N616" s="25">
        <v>31.0</v>
      </c>
      <c r="O616" s="25"/>
      <c r="P616" s="25"/>
    </row>
    <row r="617">
      <c r="A617" s="16">
        <v>615.0</v>
      </c>
      <c r="B617" s="17" t="s">
        <v>1347</v>
      </c>
      <c r="C617" s="18">
        <v>12.0</v>
      </c>
      <c r="D617" s="19" t="s">
        <v>2348</v>
      </c>
      <c r="E617" s="20" t="s">
        <v>91</v>
      </c>
      <c r="F617" s="17" t="s">
        <v>1318</v>
      </c>
      <c r="G617" s="17" t="s">
        <v>2371</v>
      </c>
      <c r="H617" s="17" t="s">
        <v>2372</v>
      </c>
      <c r="I617" s="17" t="s">
        <v>125</v>
      </c>
      <c r="J617" s="22" t="s">
        <v>144</v>
      </c>
      <c r="K617" s="23" t="s">
        <v>108</v>
      </c>
      <c r="L617" s="24" t="s">
        <v>91</v>
      </c>
      <c r="M617" s="2">
        <v>20.0</v>
      </c>
      <c r="N617" s="25">
        <v>31.0</v>
      </c>
      <c r="O617" s="25"/>
      <c r="P617" s="25"/>
    </row>
    <row r="618">
      <c r="A618" s="16">
        <v>616.0</v>
      </c>
      <c r="B618" s="17" t="s">
        <v>1347</v>
      </c>
      <c r="C618" s="18">
        <v>13.0</v>
      </c>
      <c r="D618" s="19" t="s">
        <v>2348</v>
      </c>
      <c r="E618" s="20" t="s">
        <v>91</v>
      </c>
      <c r="F618" s="17" t="s">
        <v>979</v>
      </c>
      <c r="G618" s="17" t="s">
        <v>2373</v>
      </c>
      <c r="H618" s="17" t="s">
        <v>2374</v>
      </c>
      <c r="I618" s="17" t="s">
        <v>125</v>
      </c>
      <c r="J618" s="22" t="s">
        <v>144</v>
      </c>
      <c r="K618" s="23" t="s">
        <v>108</v>
      </c>
      <c r="L618" s="24" t="s">
        <v>91</v>
      </c>
      <c r="M618" s="2">
        <v>20.0</v>
      </c>
      <c r="N618" s="25">
        <v>31.0</v>
      </c>
      <c r="O618" s="25"/>
      <c r="P618" s="25"/>
    </row>
    <row r="619">
      <c r="A619" s="16">
        <v>617.0</v>
      </c>
      <c r="B619" s="17" t="s">
        <v>1347</v>
      </c>
      <c r="C619" s="18">
        <v>14.0</v>
      </c>
      <c r="D619" s="19" t="s">
        <v>2348</v>
      </c>
      <c r="E619" s="20" t="s">
        <v>91</v>
      </c>
      <c r="F619" s="17" t="s">
        <v>865</v>
      </c>
      <c r="G619" s="17" t="s">
        <v>2375</v>
      </c>
      <c r="H619" s="17" t="s">
        <v>2376</v>
      </c>
      <c r="I619" s="17" t="s">
        <v>125</v>
      </c>
      <c r="J619" s="22" t="s">
        <v>144</v>
      </c>
      <c r="K619" s="23" t="s">
        <v>108</v>
      </c>
      <c r="L619" s="24" t="s">
        <v>91</v>
      </c>
      <c r="M619" s="2">
        <v>20.0</v>
      </c>
      <c r="N619" s="25">
        <v>31.0</v>
      </c>
      <c r="O619" s="25"/>
      <c r="P619" s="25"/>
    </row>
    <row r="620">
      <c r="A620" s="16">
        <v>618.0</v>
      </c>
      <c r="B620" s="17" t="s">
        <v>1347</v>
      </c>
      <c r="C620" s="18">
        <v>15.0</v>
      </c>
      <c r="D620" s="19" t="s">
        <v>2348</v>
      </c>
      <c r="E620" s="20" t="s">
        <v>91</v>
      </c>
      <c r="F620" s="17" t="s">
        <v>1085</v>
      </c>
      <c r="G620" s="17" t="s">
        <v>1867</v>
      </c>
      <c r="H620" s="17" t="s">
        <v>2377</v>
      </c>
      <c r="I620" s="17" t="s">
        <v>125</v>
      </c>
      <c r="J620" s="22" t="s">
        <v>144</v>
      </c>
      <c r="K620" s="23" t="s">
        <v>108</v>
      </c>
      <c r="L620" s="24" t="s">
        <v>91</v>
      </c>
      <c r="M620" s="2">
        <v>20.0</v>
      </c>
      <c r="N620" s="25">
        <v>31.0</v>
      </c>
      <c r="O620" s="25"/>
      <c r="P620" s="25"/>
    </row>
    <row r="621">
      <c r="A621" s="16">
        <v>619.0</v>
      </c>
      <c r="B621" s="17" t="s">
        <v>1347</v>
      </c>
      <c r="C621" s="18">
        <v>16.0</v>
      </c>
      <c r="D621" s="19" t="s">
        <v>2348</v>
      </c>
      <c r="E621" s="20" t="s">
        <v>91</v>
      </c>
      <c r="F621" s="17" t="s">
        <v>672</v>
      </c>
      <c r="G621" s="17" t="s">
        <v>2378</v>
      </c>
      <c r="H621" s="17" t="s">
        <v>2379</v>
      </c>
      <c r="I621" s="17" t="s">
        <v>125</v>
      </c>
      <c r="J621" s="22" t="s">
        <v>144</v>
      </c>
      <c r="K621" s="23" t="s">
        <v>108</v>
      </c>
      <c r="L621" s="24" t="s">
        <v>91</v>
      </c>
      <c r="M621" s="2">
        <v>20.0</v>
      </c>
      <c r="N621" s="25">
        <v>31.0</v>
      </c>
      <c r="O621" s="25"/>
      <c r="P621" s="25"/>
    </row>
    <row r="622">
      <c r="A622" s="16">
        <v>620.0</v>
      </c>
      <c r="B622" s="17" t="s">
        <v>1347</v>
      </c>
      <c r="C622" s="18">
        <v>17.0</v>
      </c>
      <c r="D622" s="19" t="s">
        <v>2348</v>
      </c>
      <c r="E622" s="20" t="s">
        <v>91</v>
      </c>
      <c r="F622" s="17" t="s">
        <v>453</v>
      </c>
      <c r="G622" s="17" t="s">
        <v>1948</v>
      </c>
      <c r="H622" s="17" t="s">
        <v>2380</v>
      </c>
      <c r="I622" s="17" t="s">
        <v>125</v>
      </c>
      <c r="J622" s="22" t="s">
        <v>144</v>
      </c>
      <c r="K622" s="23" t="s">
        <v>108</v>
      </c>
      <c r="L622" s="24" t="s">
        <v>91</v>
      </c>
      <c r="M622" s="2">
        <v>20.0</v>
      </c>
      <c r="N622" s="25">
        <v>31.0</v>
      </c>
      <c r="O622" s="25"/>
      <c r="P622" s="25"/>
    </row>
    <row r="623">
      <c r="A623" s="16">
        <v>621.0</v>
      </c>
      <c r="B623" s="17" t="s">
        <v>1347</v>
      </c>
      <c r="C623" s="18">
        <v>18.0</v>
      </c>
      <c r="D623" s="19" t="s">
        <v>2348</v>
      </c>
      <c r="E623" s="20" t="s">
        <v>91</v>
      </c>
      <c r="F623" s="17" t="s">
        <v>867</v>
      </c>
      <c r="G623" s="17" t="s">
        <v>2382</v>
      </c>
      <c r="H623" s="17" t="s">
        <v>2383</v>
      </c>
      <c r="I623" s="17" t="s">
        <v>125</v>
      </c>
      <c r="J623" s="22" t="s">
        <v>144</v>
      </c>
      <c r="K623" s="23" t="s">
        <v>108</v>
      </c>
      <c r="L623" s="24" t="s">
        <v>91</v>
      </c>
      <c r="M623" s="2">
        <v>20.0</v>
      </c>
      <c r="N623" s="25">
        <v>31.0</v>
      </c>
      <c r="O623" s="25"/>
      <c r="P623" s="25"/>
    </row>
    <row r="624">
      <c r="A624" s="16">
        <v>622.0</v>
      </c>
      <c r="B624" s="17" t="s">
        <v>1347</v>
      </c>
      <c r="C624" s="18">
        <v>19.0</v>
      </c>
      <c r="D624" s="19" t="s">
        <v>2348</v>
      </c>
      <c r="E624" s="20" t="s">
        <v>91</v>
      </c>
      <c r="F624" s="17" t="s">
        <v>1320</v>
      </c>
      <c r="G624" s="17" t="s">
        <v>1872</v>
      </c>
      <c r="H624" s="17" t="s">
        <v>2384</v>
      </c>
      <c r="I624" s="17" t="s">
        <v>125</v>
      </c>
      <c r="J624" s="22" t="s">
        <v>144</v>
      </c>
      <c r="K624" s="23" t="s">
        <v>108</v>
      </c>
      <c r="L624" s="24" t="s">
        <v>91</v>
      </c>
      <c r="M624" s="2">
        <v>20.0</v>
      </c>
      <c r="N624" s="25">
        <v>31.0</v>
      </c>
      <c r="O624" s="25"/>
      <c r="P624" s="25"/>
    </row>
    <row r="625">
      <c r="A625" s="16">
        <v>623.0</v>
      </c>
      <c r="B625" s="17" t="s">
        <v>1347</v>
      </c>
      <c r="C625" s="18">
        <v>20.0</v>
      </c>
      <c r="D625" s="19" t="s">
        <v>2348</v>
      </c>
      <c r="E625" s="20" t="s">
        <v>91</v>
      </c>
      <c r="F625" s="17" t="s">
        <v>868</v>
      </c>
      <c r="G625" s="17" t="s">
        <v>123</v>
      </c>
      <c r="H625" s="17" t="s">
        <v>2385</v>
      </c>
      <c r="I625" s="17" t="s">
        <v>125</v>
      </c>
      <c r="J625" s="22" t="s">
        <v>144</v>
      </c>
      <c r="K625" s="23" t="s">
        <v>108</v>
      </c>
      <c r="L625" s="24" t="s">
        <v>91</v>
      </c>
      <c r="M625" s="2">
        <v>20.0</v>
      </c>
      <c r="N625" s="25">
        <v>31.0</v>
      </c>
      <c r="O625" s="25"/>
      <c r="P625" s="25"/>
    </row>
    <row r="626">
      <c r="A626" s="16">
        <v>624.0</v>
      </c>
      <c r="B626" s="17" t="s">
        <v>1347</v>
      </c>
      <c r="C626" s="18">
        <v>21.0</v>
      </c>
      <c r="D626" s="19" t="s">
        <v>2348</v>
      </c>
      <c r="E626" s="20" t="s">
        <v>91</v>
      </c>
      <c r="F626" s="17" t="s">
        <v>1086</v>
      </c>
      <c r="G626" s="17" t="s">
        <v>2386</v>
      </c>
      <c r="H626" s="17" t="s">
        <v>2387</v>
      </c>
      <c r="I626" s="17" t="s">
        <v>125</v>
      </c>
      <c r="J626" s="22" t="s">
        <v>144</v>
      </c>
      <c r="K626" s="23" t="s">
        <v>108</v>
      </c>
      <c r="L626" s="24" t="s">
        <v>91</v>
      </c>
      <c r="M626" s="2">
        <v>20.0</v>
      </c>
      <c r="N626" s="25">
        <v>31.0</v>
      </c>
      <c r="O626" s="25"/>
      <c r="P626" s="25"/>
    </row>
    <row r="627">
      <c r="A627" s="16">
        <v>625.0</v>
      </c>
      <c r="B627" s="17" t="s">
        <v>1347</v>
      </c>
      <c r="C627" s="18">
        <v>22.0</v>
      </c>
      <c r="D627" s="19" t="s">
        <v>2348</v>
      </c>
      <c r="E627" s="20" t="s">
        <v>91</v>
      </c>
      <c r="F627" s="17" t="s">
        <v>980</v>
      </c>
      <c r="G627" s="17" t="s">
        <v>2388</v>
      </c>
      <c r="H627" s="17" t="s">
        <v>2389</v>
      </c>
      <c r="I627" s="17" t="s">
        <v>125</v>
      </c>
      <c r="J627" s="22" t="s">
        <v>144</v>
      </c>
      <c r="K627" s="23" t="s">
        <v>108</v>
      </c>
      <c r="L627" s="24" t="s">
        <v>91</v>
      </c>
      <c r="M627" s="2">
        <v>20.0</v>
      </c>
      <c r="N627" s="25">
        <v>31.0</v>
      </c>
      <c r="O627" s="25"/>
      <c r="P627" s="25"/>
    </row>
    <row r="628">
      <c r="A628" s="16">
        <v>626.0</v>
      </c>
      <c r="B628" s="17" t="s">
        <v>1347</v>
      </c>
      <c r="C628" s="18">
        <v>23.0</v>
      </c>
      <c r="D628" s="19" t="s">
        <v>2348</v>
      </c>
      <c r="E628" s="20" t="s">
        <v>91</v>
      </c>
      <c r="F628" s="17" t="s">
        <v>1322</v>
      </c>
      <c r="G628" s="17" t="s">
        <v>2390</v>
      </c>
      <c r="H628" s="17" t="s">
        <v>2391</v>
      </c>
      <c r="I628" s="17" t="s">
        <v>125</v>
      </c>
      <c r="J628" s="22" t="s">
        <v>144</v>
      </c>
      <c r="K628" s="23" t="s">
        <v>108</v>
      </c>
      <c r="L628" s="24" t="s">
        <v>91</v>
      </c>
      <c r="M628" s="2">
        <v>20.0</v>
      </c>
      <c r="N628" s="25">
        <v>31.0</v>
      </c>
      <c r="O628" s="25"/>
      <c r="P628" s="25"/>
    </row>
    <row r="629">
      <c r="A629" s="16">
        <v>627.0</v>
      </c>
      <c r="B629" s="17" t="s">
        <v>1347</v>
      </c>
      <c r="C629" s="18">
        <v>24.0</v>
      </c>
      <c r="D629" s="19" t="s">
        <v>2348</v>
      </c>
      <c r="E629" s="20" t="s">
        <v>91</v>
      </c>
      <c r="F629" s="17" t="s">
        <v>1169</v>
      </c>
      <c r="G629" s="17" t="s">
        <v>2392</v>
      </c>
      <c r="H629" s="17" t="s">
        <v>2393</v>
      </c>
      <c r="I629" s="17" t="s">
        <v>125</v>
      </c>
      <c r="J629" s="22" t="s">
        <v>144</v>
      </c>
      <c r="K629" s="23" t="s">
        <v>108</v>
      </c>
      <c r="L629" s="24" t="s">
        <v>91</v>
      </c>
      <c r="M629" s="2">
        <v>20.0</v>
      </c>
      <c r="N629" s="25">
        <v>31.0</v>
      </c>
      <c r="O629" s="25"/>
      <c r="P629" s="25"/>
    </row>
    <row r="630">
      <c r="A630" s="16">
        <v>628.0</v>
      </c>
      <c r="B630" s="17" t="s">
        <v>1347</v>
      </c>
      <c r="C630" s="18">
        <v>25.0</v>
      </c>
      <c r="D630" s="19" t="s">
        <v>2348</v>
      </c>
      <c r="E630" s="20" t="s">
        <v>91</v>
      </c>
      <c r="F630" s="17" t="s">
        <v>869</v>
      </c>
      <c r="G630" s="17" t="s">
        <v>2394</v>
      </c>
      <c r="H630" s="17" t="s">
        <v>2395</v>
      </c>
      <c r="I630" s="17" t="s">
        <v>125</v>
      </c>
      <c r="J630" s="22" t="s">
        <v>144</v>
      </c>
      <c r="K630" s="23" t="s">
        <v>108</v>
      </c>
      <c r="L630" s="24" t="s">
        <v>91</v>
      </c>
      <c r="M630" s="2">
        <v>20.0</v>
      </c>
      <c r="N630" s="25">
        <v>31.0</v>
      </c>
      <c r="O630" s="25"/>
      <c r="P630" s="25"/>
    </row>
    <row r="631">
      <c r="A631" s="16">
        <v>629.0</v>
      </c>
      <c r="B631" s="17" t="s">
        <v>1347</v>
      </c>
      <c r="C631" s="18">
        <v>26.0</v>
      </c>
      <c r="D631" s="19" t="s">
        <v>2348</v>
      </c>
      <c r="E631" s="20" t="s">
        <v>91</v>
      </c>
      <c r="F631" s="17" t="s">
        <v>952</v>
      </c>
      <c r="G631" s="17" t="s">
        <v>2396</v>
      </c>
      <c r="H631" s="17" t="s">
        <v>2397</v>
      </c>
      <c r="I631" s="17" t="s">
        <v>125</v>
      </c>
      <c r="J631" s="22" t="s">
        <v>144</v>
      </c>
      <c r="K631" s="23" t="s">
        <v>108</v>
      </c>
      <c r="L631" s="24" t="s">
        <v>91</v>
      </c>
      <c r="M631" s="2">
        <v>20.0</v>
      </c>
      <c r="N631" s="25">
        <v>31.0</v>
      </c>
      <c r="O631" s="25"/>
      <c r="P631" s="25"/>
    </row>
    <row r="632">
      <c r="A632" s="16">
        <v>630.0</v>
      </c>
      <c r="B632" s="17" t="s">
        <v>1347</v>
      </c>
      <c r="C632" s="18">
        <v>27.0</v>
      </c>
      <c r="D632" s="19" t="s">
        <v>2348</v>
      </c>
      <c r="E632" s="20" t="s">
        <v>91</v>
      </c>
      <c r="F632" s="17" t="s">
        <v>660</v>
      </c>
      <c r="G632" s="17" t="s">
        <v>2398</v>
      </c>
      <c r="H632" s="17" t="s">
        <v>2399</v>
      </c>
      <c r="I632" s="17" t="s">
        <v>125</v>
      </c>
      <c r="J632" s="22" t="s">
        <v>144</v>
      </c>
      <c r="K632" s="23" t="s">
        <v>108</v>
      </c>
      <c r="L632" s="24" t="s">
        <v>91</v>
      </c>
      <c r="M632" s="2">
        <v>20.0</v>
      </c>
      <c r="N632" s="25">
        <v>31.0</v>
      </c>
      <c r="O632" s="25"/>
      <c r="P632" s="25"/>
    </row>
    <row r="633">
      <c r="A633" s="16">
        <v>631.0</v>
      </c>
      <c r="B633" s="17" t="s">
        <v>1347</v>
      </c>
      <c r="C633" s="18">
        <v>28.0</v>
      </c>
      <c r="D633" s="19" t="s">
        <v>2348</v>
      </c>
      <c r="E633" s="20" t="s">
        <v>91</v>
      </c>
      <c r="F633" s="17" t="s">
        <v>283</v>
      </c>
      <c r="G633" s="17" t="s">
        <v>2401</v>
      </c>
      <c r="H633" s="17" t="s">
        <v>2402</v>
      </c>
      <c r="I633" s="17" t="s">
        <v>125</v>
      </c>
      <c r="J633" s="22" t="s">
        <v>144</v>
      </c>
      <c r="K633" s="23" t="s">
        <v>108</v>
      </c>
      <c r="L633" s="24" t="s">
        <v>91</v>
      </c>
      <c r="M633" s="2">
        <v>20.0</v>
      </c>
      <c r="N633" s="25">
        <v>31.0</v>
      </c>
      <c r="O633" s="25"/>
      <c r="P633" s="25"/>
    </row>
    <row r="634">
      <c r="A634" s="16">
        <v>632.0</v>
      </c>
      <c r="B634" s="17" t="s">
        <v>1347</v>
      </c>
      <c r="C634" s="18">
        <v>29.0</v>
      </c>
      <c r="D634" s="19" t="s">
        <v>2348</v>
      </c>
      <c r="E634" s="20" t="s">
        <v>91</v>
      </c>
      <c r="F634" s="17" t="s">
        <v>870</v>
      </c>
      <c r="G634" s="17" t="s">
        <v>2403</v>
      </c>
      <c r="H634" s="17" t="s">
        <v>2404</v>
      </c>
      <c r="I634" s="17" t="s">
        <v>125</v>
      </c>
      <c r="J634" s="22" t="s">
        <v>144</v>
      </c>
      <c r="K634" s="23" t="s">
        <v>108</v>
      </c>
      <c r="L634" s="24" t="s">
        <v>91</v>
      </c>
      <c r="M634" s="2">
        <v>20.0</v>
      </c>
      <c r="N634" s="25">
        <v>31.0</v>
      </c>
      <c r="O634" s="25"/>
      <c r="P634" s="25"/>
    </row>
    <row r="635">
      <c r="A635" s="16">
        <v>633.0</v>
      </c>
      <c r="B635" s="27" t="s">
        <v>1347</v>
      </c>
      <c r="C635" s="18">
        <v>30.0</v>
      </c>
      <c r="D635" s="19" t="s">
        <v>2348</v>
      </c>
      <c r="E635" s="20" t="s">
        <v>91</v>
      </c>
      <c r="F635" s="27" t="s">
        <v>1063</v>
      </c>
      <c r="G635" s="17" t="s">
        <v>2405</v>
      </c>
      <c r="H635" s="17" t="s">
        <v>2406</v>
      </c>
      <c r="I635" s="17" t="s">
        <v>125</v>
      </c>
      <c r="J635" s="22" t="s">
        <v>144</v>
      </c>
      <c r="K635" s="23" t="s">
        <v>108</v>
      </c>
      <c r="L635" s="24"/>
      <c r="M635" s="2">
        <v>20.0</v>
      </c>
      <c r="N635" s="25">
        <v>31.0</v>
      </c>
      <c r="O635" s="25"/>
      <c r="P635" s="25"/>
    </row>
    <row r="636">
      <c r="A636" s="16">
        <v>634.0</v>
      </c>
      <c r="B636" s="17" t="s">
        <v>1304</v>
      </c>
      <c r="C636" s="18">
        <v>1.0</v>
      </c>
      <c r="D636" s="19" t="s">
        <v>1858</v>
      </c>
      <c r="E636" s="20" t="s">
        <v>91</v>
      </c>
      <c r="F636" s="17" t="s">
        <v>956</v>
      </c>
      <c r="G636" s="17" t="s">
        <v>123</v>
      </c>
      <c r="H636" s="17" t="s">
        <v>2407</v>
      </c>
      <c r="I636" s="17" t="s">
        <v>98</v>
      </c>
      <c r="J636" s="22" t="s">
        <v>100</v>
      </c>
      <c r="K636" s="23" t="s">
        <v>108</v>
      </c>
      <c r="L636" s="24" t="s">
        <v>91</v>
      </c>
      <c r="M636" s="2">
        <v>21.0</v>
      </c>
      <c r="N636" s="25">
        <v>10.0</v>
      </c>
      <c r="O636" s="25"/>
      <c r="P636" s="25"/>
    </row>
    <row r="637">
      <c r="A637" s="16">
        <v>635.0</v>
      </c>
      <c r="B637" s="17" t="s">
        <v>1304</v>
      </c>
      <c r="C637" s="18">
        <v>2.0</v>
      </c>
      <c r="D637" s="19" t="s">
        <v>2408</v>
      </c>
      <c r="E637" s="20" t="s">
        <v>91</v>
      </c>
      <c r="F637" s="17" t="s">
        <v>1193</v>
      </c>
      <c r="G637" s="17" t="s">
        <v>1974</v>
      </c>
      <c r="H637" s="17" t="s">
        <v>2409</v>
      </c>
      <c r="I637" s="17" t="s">
        <v>125</v>
      </c>
      <c r="J637" s="22" t="s">
        <v>100</v>
      </c>
      <c r="K637" s="23" t="s">
        <v>108</v>
      </c>
      <c r="L637" s="24" t="s">
        <v>91</v>
      </c>
      <c r="M637" s="2">
        <v>21.0</v>
      </c>
      <c r="N637" s="25">
        <v>11.0</v>
      </c>
      <c r="O637" s="25"/>
      <c r="P637" s="25"/>
    </row>
    <row r="638">
      <c r="A638" s="16">
        <v>636.0</v>
      </c>
      <c r="B638" s="17" t="s">
        <v>1304</v>
      </c>
      <c r="C638" s="18">
        <v>3.0</v>
      </c>
      <c r="D638" s="19" t="s">
        <v>2408</v>
      </c>
      <c r="E638" s="20" t="s">
        <v>91</v>
      </c>
      <c r="F638" s="17" t="s">
        <v>1184</v>
      </c>
      <c r="G638" s="17" t="s">
        <v>1972</v>
      </c>
      <c r="H638" s="17" t="s">
        <v>2410</v>
      </c>
      <c r="I638" s="17" t="s">
        <v>125</v>
      </c>
      <c r="J638" s="22" t="s">
        <v>100</v>
      </c>
      <c r="K638" s="23" t="s">
        <v>108</v>
      </c>
      <c r="L638" s="24" t="s">
        <v>91</v>
      </c>
      <c r="M638" s="2">
        <v>21.0</v>
      </c>
      <c r="N638" s="25">
        <v>11.0</v>
      </c>
      <c r="O638" s="25"/>
      <c r="P638" s="25"/>
    </row>
    <row r="639">
      <c r="A639" s="16">
        <v>637.0</v>
      </c>
      <c r="B639" s="17" t="s">
        <v>1304</v>
      </c>
      <c r="C639" s="18">
        <v>4.0</v>
      </c>
      <c r="D639" s="19" t="s">
        <v>2408</v>
      </c>
      <c r="E639" s="20" t="s">
        <v>91</v>
      </c>
      <c r="F639" s="17" t="s">
        <v>851</v>
      </c>
      <c r="G639" s="17" t="s">
        <v>2411</v>
      </c>
      <c r="H639" s="17" t="s">
        <v>2412</v>
      </c>
      <c r="I639" s="17" t="s">
        <v>125</v>
      </c>
      <c r="J639" s="22" t="s">
        <v>100</v>
      </c>
      <c r="K639" s="23" t="s">
        <v>108</v>
      </c>
      <c r="L639" s="24" t="s">
        <v>91</v>
      </c>
      <c r="M639" s="2">
        <v>21.0</v>
      </c>
      <c r="N639" s="25">
        <v>11.0</v>
      </c>
      <c r="O639" s="25"/>
      <c r="P639" s="25"/>
    </row>
    <row r="640">
      <c r="A640" s="16">
        <v>638.0</v>
      </c>
      <c r="B640" s="17" t="s">
        <v>1304</v>
      </c>
      <c r="C640" s="18">
        <v>5.0</v>
      </c>
      <c r="D640" s="19" t="s">
        <v>2408</v>
      </c>
      <c r="E640" s="20" t="s">
        <v>91</v>
      </c>
      <c r="F640" s="17" t="s">
        <v>1325</v>
      </c>
      <c r="G640" s="17" t="s">
        <v>123</v>
      </c>
      <c r="H640" s="17" t="s">
        <v>2413</v>
      </c>
      <c r="I640" s="17" t="s">
        <v>125</v>
      </c>
      <c r="J640" s="22" t="s">
        <v>135</v>
      </c>
      <c r="K640" s="23" t="s">
        <v>108</v>
      </c>
      <c r="L640" s="24" t="s">
        <v>91</v>
      </c>
      <c r="M640" s="2">
        <v>21.0</v>
      </c>
      <c r="N640" s="25">
        <v>21.0</v>
      </c>
      <c r="O640" s="25"/>
      <c r="P640" s="25"/>
    </row>
    <row r="641">
      <c r="A641" s="16">
        <v>639.0</v>
      </c>
      <c r="B641" s="17" t="s">
        <v>1304</v>
      </c>
      <c r="C641" s="18">
        <v>6.0</v>
      </c>
      <c r="D641" s="19" t="s">
        <v>1858</v>
      </c>
      <c r="E641" s="20" t="s">
        <v>91</v>
      </c>
      <c r="F641" s="17" t="s">
        <v>1052</v>
      </c>
      <c r="G641" s="17" t="s">
        <v>123</v>
      </c>
      <c r="H641" s="17" t="s">
        <v>2414</v>
      </c>
      <c r="I641" s="17" t="s">
        <v>125</v>
      </c>
      <c r="J641" s="22" t="s">
        <v>144</v>
      </c>
      <c r="K641" s="23" t="s">
        <v>108</v>
      </c>
      <c r="L641" s="24" t="s">
        <v>91</v>
      </c>
      <c r="M641" s="2">
        <v>21.0</v>
      </c>
      <c r="N641" s="25">
        <v>31.0</v>
      </c>
      <c r="O641" s="25"/>
      <c r="P641" s="25"/>
    </row>
    <row r="642">
      <c r="A642" s="16">
        <v>640.0</v>
      </c>
      <c r="B642" s="17" t="s">
        <v>1304</v>
      </c>
      <c r="C642" s="18">
        <v>7.0</v>
      </c>
      <c r="D642" s="19" t="s">
        <v>1858</v>
      </c>
      <c r="E642" s="20" t="s">
        <v>91</v>
      </c>
      <c r="F642" s="17" t="s">
        <v>1179</v>
      </c>
      <c r="G642" s="17" t="s">
        <v>2415</v>
      </c>
      <c r="H642" s="17" t="s">
        <v>2416</v>
      </c>
      <c r="I642" s="17" t="s">
        <v>125</v>
      </c>
      <c r="J642" s="22" t="s">
        <v>144</v>
      </c>
      <c r="K642" s="23" t="s">
        <v>108</v>
      </c>
      <c r="L642" s="24" t="s">
        <v>91</v>
      </c>
      <c r="M642" s="2">
        <v>21.0</v>
      </c>
      <c r="N642" s="25">
        <v>31.0</v>
      </c>
      <c r="O642" s="25"/>
      <c r="P642" s="25"/>
    </row>
    <row r="643">
      <c r="A643" s="16">
        <v>641.0</v>
      </c>
      <c r="B643" s="17" t="s">
        <v>1304</v>
      </c>
      <c r="C643" s="18">
        <v>8.0</v>
      </c>
      <c r="D643" s="19" t="s">
        <v>1858</v>
      </c>
      <c r="E643" s="20" t="s">
        <v>91</v>
      </c>
      <c r="F643" s="17" t="s">
        <v>1180</v>
      </c>
      <c r="G643" s="17" t="s">
        <v>2418</v>
      </c>
      <c r="H643" s="17" t="s">
        <v>2419</v>
      </c>
      <c r="I643" s="17" t="s">
        <v>125</v>
      </c>
      <c r="J643" s="22" t="s">
        <v>144</v>
      </c>
      <c r="K643" s="23" t="s">
        <v>108</v>
      </c>
      <c r="L643" s="24" t="s">
        <v>91</v>
      </c>
      <c r="M643" s="2">
        <v>21.0</v>
      </c>
      <c r="N643" s="25">
        <v>31.0</v>
      </c>
      <c r="O643" s="25"/>
      <c r="P643" s="25"/>
    </row>
    <row r="644">
      <c r="A644" s="16">
        <v>642.0</v>
      </c>
      <c r="B644" s="17" t="s">
        <v>1304</v>
      </c>
      <c r="C644" s="18">
        <v>9.0</v>
      </c>
      <c r="D644" s="19" t="s">
        <v>1858</v>
      </c>
      <c r="E644" s="20" t="s">
        <v>91</v>
      </c>
      <c r="F644" s="17" t="s">
        <v>1185</v>
      </c>
      <c r="G644" s="17" t="s">
        <v>2420</v>
      </c>
      <c r="H644" s="17" t="s">
        <v>2421</v>
      </c>
      <c r="I644" s="17" t="s">
        <v>125</v>
      </c>
      <c r="J644" s="22" t="s">
        <v>144</v>
      </c>
      <c r="K644" s="23" t="s">
        <v>108</v>
      </c>
      <c r="L644" s="24" t="s">
        <v>91</v>
      </c>
      <c r="M644" s="2">
        <v>21.0</v>
      </c>
      <c r="N644" s="25">
        <v>31.0</v>
      </c>
      <c r="O644" s="25"/>
      <c r="P644" s="25"/>
    </row>
    <row r="645">
      <c r="A645" s="16">
        <v>643.0</v>
      </c>
      <c r="B645" s="17" t="s">
        <v>1304</v>
      </c>
      <c r="C645" s="18">
        <v>10.0</v>
      </c>
      <c r="D645" s="19" t="s">
        <v>1858</v>
      </c>
      <c r="E645" s="20" t="s">
        <v>91</v>
      </c>
      <c r="F645" s="17" t="s">
        <v>1183</v>
      </c>
      <c r="G645" s="17" t="s">
        <v>2422</v>
      </c>
      <c r="H645" s="17" t="s">
        <v>2423</v>
      </c>
      <c r="I645" s="17" t="s">
        <v>125</v>
      </c>
      <c r="J645" s="22" t="s">
        <v>144</v>
      </c>
      <c r="K645" s="23" t="s">
        <v>108</v>
      </c>
      <c r="L645" s="24" t="s">
        <v>91</v>
      </c>
      <c r="M645" s="2">
        <v>21.0</v>
      </c>
      <c r="N645" s="25">
        <v>31.0</v>
      </c>
      <c r="O645" s="25"/>
      <c r="P645" s="25"/>
    </row>
    <row r="646">
      <c r="A646" s="16">
        <v>644.0</v>
      </c>
      <c r="B646" s="27" t="s">
        <v>1304</v>
      </c>
      <c r="C646" s="18">
        <v>11.0</v>
      </c>
      <c r="D646" s="19" t="s">
        <v>1858</v>
      </c>
      <c r="E646" s="20" t="s">
        <v>91</v>
      </c>
      <c r="F646" s="27" t="s">
        <v>1358</v>
      </c>
      <c r="G646" s="17" t="s">
        <v>2424</v>
      </c>
      <c r="H646" s="17" t="s">
        <v>2425</v>
      </c>
      <c r="I646" s="17" t="s">
        <v>125</v>
      </c>
      <c r="J646" s="22" t="s">
        <v>144</v>
      </c>
      <c r="K646" s="23" t="s">
        <v>108</v>
      </c>
      <c r="L646" s="24"/>
      <c r="M646" s="2">
        <v>21.0</v>
      </c>
      <c r="N646" s="25">
        <v>31.0</v>
      </c>
      <c r="O646" s="25"/>
      <c r="P646" s="25"/>
    </row>
    <row r="647">
      <c r="A647" s="16">
        <v>645.0</v>
      </c>
      <c r="B647" s="17" t="s">
        <v>1304</v>
      </c>
      <c r="C647" s="18">
        <v>12.0</v>
      </c>
      <c r="D647" s="19" t="s">
        <v>2408</v>
      </c>
      <c r="E647" s="20" t="s">
        <v>91</v>
      </c>
      <c r="F647" s="17" t="s">
        <v>1048</v>
      </c>
      <c r="G647" s="17" t="s">
        <v>2426</v>
      </c>
      <c r="H647" s="17" t="s">
        <v>2427</v>
      </c>
      <c r="I647" s="17" t="s">
        <v>125</v>
      </c>
      <c r="J647" s="22" t="s">
        <v>144</v>
      </c>
      <c r="K647" s="23" t="s">
        <v>108</v>
      </c>
      <c r="L647" s="24" t="s">
        <v>91</v>
      </c>
      <c r="M647" s="2">
        <v>21.0</v>
      </c>
      <c r="N647" s="25">
        <v>31.0</v>
      </c>
      <c r="O647" s="25"/>
      <c r="P647" s="25"/>
    </row>
    <row r="648">
      <c r="A648" s="16">
        <v>646.0</v>
      </c>
      <c r="B648" s="17" t="s">
        <v>1304</v>
      </c>
      <c r="C648" s="18">
        <v>13.0</v>
      </c>
      <c r="D648" s="19" t="s">
        <v>2408</v>
      </c>
      <c r="E648" s="20" t="s">
        <v>91</v>
      </c>
      <c r="F648" s="17" t="s">
        <v>1209</v>
      </c>
      <c r="G648" s="17" t="s">
        <v>2428</v>
      </c>
      <c r="H648" s="17" t="s">
        <v>2429</v>
      </c>
      <c r="I648" s="17" t="s">
        <v>125</v>
      </c>
      <c r="J648" s="22" t="s">
        <v>144</v>
      </c>
      <c r="K648" s="23" t="s">
        <v>108</v>
      </c>
      <c r="L648" s="24" t="s">
        <v>91</v>
      </c>
      <c r="M648" s="2">
        <v>21.0</v>
      </c>
      <c r="N648" s="25">
        <v>31.0</v>
      </c>
      <c r="O648" s="25"/>
      <c r="P648" s="25"/>
    </row>
    <row r="649">
      <c r="A649" s="16">
        <v>647.0</v>
      </c>
      <c r="B649" s="17" t="s">
        <v>1304</v>
      </c>
      <c r="C649" s="18">
        <v>14.0</v>
      </c>
      <c r="D649" s="19" t="s">
        <v>2408</v>
      </c>
      <c r="E649" s="20" t="s">
        <v>91</v>
      </c>
      <c r="F649" s="17" t="s">
        <v>1073</v>
      </c>
      <c r="G649" s="17" t="s">
        <v>2217</v>
      </c>
      <c r="H649" s="17" t="s">
        <v>2430</v>
      </c>
      <c r="I649" s="17" t="s">
        <v>125</v>
      </c>
      <c r="J649" s="22" t="s">
        <v>144</v>
      </c>
      <c r="K649" s="23" t="s">
        <v>108</v>
      </c>
      <c r="L649" s="24" t="s">
        <v>91</v>
      </c>
      <c r="M649" s="2">
        <v>21.0</v>
      </c>
      <c r="N649" s="25">
        <v>31.0</v>
      </c>
      <c r="O649" s="25"/>
      <c r="P649" s="25"/>
    </row>
    <row r="650">
      <c r="A650" s="16">
        <v>648.0</v>
      </c>
      <c r="B650" s="17" t="s">
        <v>1304</v>
      </c>
      <c r="C650" s="18">
        <v>15.0</v>
      </c>
      <c r="D650" s="19" t="s">
        <v>2408</v>
      </c>
      <c r="E650" s="20" t="s">
        <v>91</v>
      </c>
      <c r="F650" s="17" t="s">
        <v>455</v>
      </c>
      <c r="G650" s="17" t="s">
        <v>2267</v>
      </c>
      <c r="H650" s="17" t="s">
        <v>2268</v>
      </c>
      <c r="I650" s="17" t="s">
        <v>125</v>
      </c>
      <c r="J650" s="22" t="s">
        <v>144</v>
      </c>
      <c r="K650" s="23" t="s">
        <v>108</v>
      </c>
      <c r="L650" s="24" t="s">
        <v>91</v>
      </c>
      <c r="M650" s="2">
        <v>21.0</v>
      </c>
      <c r="N650" s="25">
        <v>31.0</v>
      </c>
      <c r="O650" s="25"/>
      <c r="P650" s="25"/>
    </row>
    <row r="651">
      <c r="A651" s="16">
        <v>649.0</v>
      </c>
      <c r="B651" s="17" t="s">
        <v>1304</v>
      </c>
      <c r="C651" s="18">
        <v>16.0</v>
      </c>
      <c r="D651" s="19" t="s">
        <v>2408</v>
      </c>
      <c r="E651" s="20" t="s">
        <v>91</v>
      </c>
      <c r="F651" s="17" t="s">
        <v>1070</v>
      </c>
      <c r="G651" s="17" t="s">
        <v>2275</v>
      </c>
      <c r="H651" s="17" t="s">
        <v>2276</v>
      </c>
      <c r="I651" s="17" t="s">
        <v>125</v>
      </c>
      <c r="J651" s="22" t="s">
        <v>144</v>
      </c>
      <c r="K651" s="23" t="s">
        <v>108</v>
      </c>
      <c r="L651" s="24" t="s">
        <v>91</v>
      </c>
      <c r="M651" s="2">
        <v>21.0</v>
      </c>
      <c r="N651" s="25">
        <v>31.0</v>
      </c>
      <c r="O651" s="25"/>
      <c r="P651" s="25"/>
    </row>
    <row r="652">
      <c r="A652" s="16">
        <v>650.0</v>
      </c>
      <c r="B652" s="17" t="s">
        <v>1304</v>
      </c>
      <c r="C652" s="18">
        <v>17.0</v>
      </c>
      <c r="D652" s="19" t="s">
        <v>2408</v>
      </c>
      <c r="E652" s="20" t="s">
        <v>91</v>
      </c>
      <c r="F652" s="17" t="s">
        <v>1056</v>
      </c>
      <c r="G652" s="17" t="s">
        <v>2431</v>
      </c>
      <c r="H652" s="17" t="s">
        <v>2432</v>
      </c>
      <c r="I652" s="17" t="s">
        <v>125</v>
      </c>
      <c r="J652" s="22" t="s">
        <v>144</v>
      </c>
      <c r="K652" s="23" t="s">
        <v>108</v>
      </c>
      <c r="L652" s="24" t="s">
        <v>91</v>
      </c>
      <c r="M652" s="2">
        <v>21.0</v>
      </c>
      <c r="N652" s="25">
        <v>31.0</v>
      </c>
      <c r="O652" s="25"/>
      <c r="P652" s="25"/>
    </row>
    <row r="653">
      <c r="A653" s="16">
        <v>651.0</v>
      </c>
      <c r="B653" s="17" t="s">
        <v>1304</v>
      </c>
      <c r="C653" s="18">
        <v>18.0</v>
      </c>
      <c r="D653" s="19" t="s">
        <v>2408</v>
      </c>
      <c r="E653" s="20" t="s">
        <v>91</v>
      </c>
      <c r="F653" s="17" t="s">
        <v>826</v>
      </c>
      <c r="G653" s="17" t="s">
        <v>1474</v>
      </c>
      <c r="H653" s="17" t="s">
        <v>2031</v>
      </c>
      <c r="I653" s="17" t="s">
        <v>125</v>
      </c>
      <c r="J653" s="22" t="s">
        <v>144</v>
      </c>
      <c r="K653" s="23" t="s">
        <v>108</v>
      </c>
      <c r="L653" s="24" t="s">
        <v>91</v>
      </c>
      <c r="M653" s="2">
        <v>21.0</v>
      </c>
      <c r="N653" s="25">
        <v>31.0</v>
      </c>
      <c r="O653" s="25"/>
      <c r="P653" s="25"/>
    </row>
    <row r="654">
      <c r="A654" s="16">
        <v>652.0</v>
      </c>
      <c r="B654" s="17" t="s">
        <v>1304</v>
      </c>
      <c r="C654" s="18">
        <v>19.0</v>
      </c>
      <c r="D654" s="19" t="s">
        <v>2408</v>
      </c>
      <c r="E654" s="20" t="s">
        <v>91</v>
      </c>
      <c r="F654" s="17" t="s">
        <v>938</v>
      </c>
      <c r="G654" s="17" t="s">
        <v>2434</v>
      </c>
      <c r="H654" s="17" t="s">
        <v>2435</v>
      </c>
      <c r="I654" s="17" t="s">
        <v>125</v>
      </c>
      <c r="J654" s="22" t="s">
        <v>144</v>
      </c>
      <c r="K654" s="23" t="s">
        <v>108</v>
      </c>
      <c r="L654" s="24" t="s">
        <v>91</v>
      </c>
      <c r="M654" s="2">
        <v>21.0</v>
      </c>
      <c r="N654" s="25">
        <v>31.0</v>
      </c>
      <c r="O654" s="25"/>
      <c r="P654" s="25"/>
    </row>
    <row r="655">
      <c r="A655" s="16">
        <v>653.0</v>
      </c>
      <c r="B655" s="17" t="s">
        <v>1304</v>
      </c>
      <c r="C655" s="18">
        <v>20.0</v>
      </c>
      <c r="D655" s="19" t="s">
        <v>2408</v>
      </c>
      <c r="E655" s="20" t="s">
        <v>91</v>
      </c>
      <c r="F655" s="17" t="s">
        <v>439</v>
      </c>
      <c r="G655" s="17" t="s">
        <v>2436</v>
      </c>
      <c r="H655" s="17" t="s">
        <v>2437</v>
      </c>
      <c r="I655" s="17" t="s">
        <v>125</v>
      </c>
      <c r="J655" s="22" t="s">
        <v>144</v>
      </c>
      <c r="K655" s="23" t="s">
        <v>108</v>
      </c>
      <c r="L655" s="24" t="s">
        <v>91</v>
      </c>
      <c r="M655" s="2">
        <v>21.0</v>
      </c>
      <c r="N655" s="25">
        <v>31.0</v>
      </c>
      <c r="O655" s="25"/>
      <c r="P655" s="25"/>
    </row>
    <row r="656">
      <c r="A656" s="16">
        <v>654.0</v>
      </c>
      <c r="B656" s="17" t="s">
        <v>1304</v>
      </c>
      <c r="C656" s="18">
        <v>21.0</v>
      </c>
      <c r="D656" s="19" t="s">
        <v>2408</v>
      </c>
      <c r="E656" s="20" t="s">
        <v>91</v>
      </c>
      <c r="F656" s="17" t="s">
        <v>934</v>
      </c>
      <c r="G656" s="17" t="s">
        <v>1470</v>
      </c>
      <c r="H656" s="17" t="s">
        <v>2438</v>
      </c>
      <c r="I656" s="17" t="s">
        <v>125</v>
      </c>
      <c r="J656" s="22" t="s">
        <v>144</v>
      </c>
      <c r="K656" s="23" t="s">
        <v>108</v>
      </c>
      <c r="L656" s="24" t="s">
        <v>91</v>
      </c>
      <c r="M656" s="2">
        <v>21.0</v>
      </c>
      <c r="N656" s="25">
        <v>31.0</v>
      </c>
      <c r="O656" s="25"/>
      <c r="P656" s="25"/>
    </row>
    <row r="657">
      <c r="A657" s="16">
        <v>655.0</v>
      </c>
      <c r="B657" s="17" t="s">
        <v>1304</v>
      </c>
      <c r="C657" s="18">
        <v>22.0</v>
      </c>
      <c r="D657" s="19" t="s">
        <v>2408</v>
      </c>
      <c r="E657" s="20" t="s">
        <v>91</v>
      </c>
      <c r="F657" s="17" t="s">
        <v>843</v>
      </c>
      <c r="G657" s="17" t="s">
        <v>2040</v>
      </c>
      <c r="H657" s="17" t="s">
        <v>2437</v>
      </c>
      <c r="I657" s="17" t="s">
        <v>125</v>
      </c>
      <c r="J657" s="22" t="s">
        <v>144</v>
      </c>
      <c r="K657" s="23" t="s">
        <v>108</v>
      </c>
      <c r="L657" s="24" t="s">
        <v>91</v>
      </c>
      <c r="M657" s="2">
        <v>21.0</v>
      </c>
      <c r="N657" s="25">
        <v>31.0</v>
      </c>
      <c r="O657" s="25"/>
      <c r="P657" s="25"/>
    </row>
    <row r="658">
      <c r="A658" s="16">
        <v>656.0</v>
      </c>
      <c r="B658" s="17" t="s">
        <v>1304</v>
      </c>
      <c r="C658" s="18">
        <v>23.0</v>
      </c>
      <c r="D658" s="19" t="s">
        <v>2408</v>
      </c>
      <c r="E658" s="20" t="s">
        <v>91</v>
      </c>
      <c r="F658" s="17" t="s">
        <v>1210</v>
      </c>
      <c r="G658" s="17" t="s">
        <v>2439</v>
      </c>
      <c r="H658" s="17" t="s">
        <v>2440</v>
      </c>
      <c r="I658" s="17" t="s">
        <v>125</v>
      </c>
      <c r="J658" s="22" t="s">
        <v>144</v>
      </c>
      <c r="K658" s="23" t="s">
        <v>108</v>
      </c>
      <c r="L658" s="24" t="s">
        <v>91</v>
      </c>
      <c r="M658" s="2">
        <v>21.0</v>
      </c>
      <c r="N658" s="25">
        <v>31.0</v>
      </c>
      <c r="O658" s="25"/>
      <c r="P658" s="25"/>
    </row>
    <row r="659">
      <c r="A659" s="16">
        <v>657.0</v>
      </c>
      <c r="B659" s="17" t="s">
        <v>1304</v>
      </c>
      <c r="C659" s="18">
        <v>24.0</v>
      </c>
      <c r="D659" s="19" t="s">
        <v>2408</v>
      </c>
      <c r="E659" s="20" t="s">
        <v>91</v>
      </c>
      <c r="F659" s="17" t="s">
        <v>1127</v>
      </c>
      <c r="G659" s="17" t="s">
        <v>2441</v>
      </c>
      <c r="H659" s="17" t="s">
        <v>2442</v>
      </c>
      <c r="I659" s="17" t="s">
        <v>125</v>
      </c>
      <c r="J659" s="22" t="s">
        <v>144</v>
      </c>
      <c r="K659" s="23" t="s">
        <v>108</v>
      </c>
      <c r="L659" s="24" t="s">
        <v>91</v>
      </c>
      <c r="M659" s="2">
        <v>21.0</v>
      </c>
      <c r="N659" s="25">
        <v>31.0</v>
      </c>
      <c r="O659" s="25"/>
      <c r="P659" s="25"/>
    </row>
    <row r="660">
      <c r="A660" s="16">
        <v>658.0</v>
      </c>
      <c r="B660" s="17" t="s">
        <v>1304</v>
      </c>
      <c r="C660" s="18">
        <v>25.0</v>
      </c>
      <c r="D660" s="19" t="s">
        <v>2408</v>
      </c>
      <c r="E660" s="20" t="s">
        <v>91</v>
      </c>
      <c r="F660" s="17" t="s">
        <v>626</v>
      </c>
      <c r="G660" s="17" t="s">
        <v>2443</v>
      </c>
      <c r="H660" s="17" t="s">
        <v>2444</v>
      </c>
      <c r="I660" s="17" t="s">
        <v>125</v>
      </c>
      <c r="J660" s="22" t="s">
        <v>144</v>
      </c>
      <c r="K660" s="23" t="s">
        <v>108</v>
      </c>
      <c r="L660" s="24" t="s">
        <v>91</v>
      </c>
      <c r="M660" s="2">
        <v>21.0</v>
      </c>
      <c r="N660" s="25">
        <v>31.0</v>
      </c>
      <c r="O660" s="25"/>
      <c r="P660" s="25"/>
    </row>
    <row r="661">
      <c r="A661" s="16">
        <v>659.0</v>
      </c>
      <c r="B661" s="17" t="s">
        <v>1304</v>
      </c>
      <c r="C661" s="18">
        <v>26.0</v>
      </c>
      <c r="D661" s="19" t="s">
        <v>2408</v>
      </c>
      <c r="E661" s="20" t="s">
        <v>91</v>
      </c>
      <c r="F661" s="17" t="s">
        <v>1</v>
      </c>
      <c r="G661" s="17" t="s">
        <v>2445</v>
      </c>
      <c r="H661" s="17" t="s">
        <v>2446</v>
      </c>
      <c r="I661" s="17" t="s">
        <v>125</v>
      </c>
      <c r="J661" s="22" t="s">
        <v>144</v>
      </c>
      <c r="K661" s="23" t="s">
        <v>108</v>
      </c>
      <c r="L661" s="24" t="s">
        <v>91</v>
      </c>
      <c r="M661" s="2">
        <v>21.0</v>
      </c>
      <c r="N661" s="25">
        <v>31.0</v>
      </c>
      <c r="O661" s="25"/>
      <c r="P661" s="25"/>
    </row>
    <row r="662">
      <c r="A662" s="16">
        <v>660.0</v>
      </c>
      <c r="B662" s="17" t="s">
        <v>1304</v>
      </c>
      <c r="C662" s="18">
        <v>27.0</v>
      </c>
      <c r="D662" s="19" t="s">
        <v>2408</v>
      </c>
      <c r="E662" s="20" t="s">
        <v>91</v>
      </c>
      <c r="F662" s="17" t="s">
        <v>127</v>
      </c>
      <c r="G662" s="17" t="s">
        <v>1660</v>
      </c>
      <c r="H662" s="17" t="s">
        <v>1661</v>
      </c>
      <c r="I662" s="17" t="s">
        <v>125</v>
      </c>
      <c r="J662" s="22" t="s">
        <v>144</v>
      </c>
      <c r="K662" s="23" t="s">
        <v>108</v>
      </c>
      <c r="L662" s="24" t="s">
        <v>91</v>
      </c>
      <c r="M662" s="2">
        <v>21.0</v>
      </c>
      <c r="N662" s="25">
        <v>31.0</v>
      </c>
      <c r="O662" s="25"/>
      <c r="P662" s="25"/>
    </row>
    <row r="663">
      <c r="A663" s="16">
        <v>661.0</v>
      </c>
      <c r="B663" s="17" t="s">
        <v>1304</v>
      </c>
      <c r="C663" s="18">
        <v>28.0</v>
      </c>
      <c r="D663" s="19" t="s">
        <v>2408</v>
      </c>
      <c r="E663" s="20" t="s">
        <v>91</v>
      </c>
      <c r="F663" s="17" t="s">
        <v>216</v>
      </c>
      <c r="G663" s="17" t="s">
        <v>2447</v>
      </c>
      <c r="H663" s="17" t="s">
        <v>2448</v>
      </c>
      <c r="I663" s="17" t="s">
        <v>125</v>
      </c>
      <c r="J663" s="22" t="s">
        <v>144</v>
      </c>
      <c r="K663" s="23" t="s">
        <v>108</v>
      </c>
      <c r="L663" s="24" t="s">
        <v>91</v>
      </c>
      <c r="M663" s="2">
        <v>21.0</v>
      </c>
      <c r="N663" s="25">
        <v>31.0</v>
      </c>
      <c r="O663" s="25"/>
      <c r="P663" s="25"/>
    </row>
    <row r="664">
      <c r="A664" s="16">
        <v>662.0</v>
      </c>
      <c r="B664" s="17" t="s">
        <v>1304</v>
      </c>
      <c r="C664" s="18">
        <v>29.0</v>
      </c>
      <c r="D664" s="19" t="s">
        <v>2408</v>
      </c>
      <c r="E664" s="20" t="s">
        <v>91</v>
      </c>
      <c r="F664" s="17" t="s">
        <v>966</v>
      </c>
      <c r="G664" s="17" t="s">
        <v>2449</v>
      </c>
      <c r="H664" s="17" t="s">
        <v>2450</v>
      </c>
      <c r="I664" s="17" t="s">
        <v>125</v>
      </c>
      <c r="J664" s="22" t="s">
        <v>144</v>
      </c>
      <c r="K664" s="23" t="s">
        <v>108</v>
      </c>
      <c r="L664" s="24" t="s">
        <v>91</v>
      </c>
      <c r="M664" s="2">
        <v>21.0</v>
      </c>
      <c r="N664" s="25">
        <v>31.0</v>
      </c>
      <c r="O664" s="25"/>
      <c r="P664" s="25"/>
    </row>
    <row r="665">
      <c r="A665" s="16">
        <v>663.0</v>
      </c>
      <c r="B665" s="17" t="s">
        <v>1304</v>
      </c>
      <c r="C665" s="18">
        <v>30.0</v>
      </c>
      <c r="D665" s="19" t="s">
        <v>2408</v>
      </c>
      <c r="E665" s="20" t="s">
        <v>91</v>
      </c>
      <c r="F665" s="17" t="s">
        <v>80</v>
      </c>
      <c r="G665" s="17" t="s">
        <v>2452</v>
      </c>
      <c r="H665" s="17" t="s">
        <v>2453</v>
      </c>
      <c r="I665" s="17" t="s">
        <v>125</v>
      </c>
      <c r="J665" s="22" t="s">
        <v>144</v>
      </c>
      <c r="K665" s="23" t="s">
        <v>108</v>
      </c>
      <c r="L665" s="24" t="s">
        <v>91</v>
      </c>
      <c r="M665" s="2">
        <v>21.0</v>
      </c>
      <c r="N665" s="25">
        <v>31.0</v>
      </c>
      <c r="O665" s="25"/>
      <c r="P665" s="25"/>
    </row>
    <row r="666">
      <c r="A666" s="16">
        <v>664.0</v>
      </c>
      <c r="B666" s="17" t="s">
        <v>403</v>
      </c>
      <c r="C666" s="18">
        <v>1.0</v>
      </c>
      <c r="D666" s="19" t="s">
        <v>2454</v>
      </c>
      <c r="E666" s="20" t="s">
        <v>91</v>
      </c>
      <c r="F666" s="17" t="s">
        <v>225</v>
      </c>
      <c r="G666" s="17" t="s">
        <v>2455</v>
      </c>
      <c r="H666" s="17" t="s">
        <v>2456</v>
      </c>
      <c r="I666" s="17" t="s">
        <v>98</v>
      </c>
      <c r="J666" s="22" t="s">
        <v>100</v>
      </c>
      <c r="K666" s="23" t="s">
        <v>108</v>
      </c>
      <c r="L666" s="24" t="s">
        <v>91</v>
      </c>
      <c r="M666" s="2">
        <v>22.0</v>
      </c>
      <c r="N666" s="25">
        <v>10.0</v>
      </c>
      <c r="O666" s="25"/>
      <c r="P666" s="25"/>
    </row>
    <row r="667">
      <c r="A667" s="16">
        <v>665.0</v>
      </c>
      <c r="B667" s="17" t="s">
        <v>403</v>
      </c>
      <c r="C667" s="18">
        <v>2.0</v>
      </c>
      <c r="D667" s="19" t="s">
        <v>1869</v>
      </c>
      <c r="E667" s="20" t="s">
        <v>91</v>
      </c>
      <c r="F667" s="17" t="s">
        <v>397</v>
      </c>
      <c r="G667" s="17" t="s">
        <v>2457</v>
      </c>
      <c r="H667" s="17" t="s">
        <v>2458</v>
      </c>
      <c r="I667" s="17" t="s">
        <v>125</v>
      </c>
      <c r="J667" s="22" t="s">
        <v>100</v>
      </c>
      <c r="K667" s="23" t="s">
        <v>108</v>
      </c>
      <c r="L667" s="24" t="s">
        <v>1010</v>
      </c>
      <c r="M667" s="2">
        <v>22.0</v>
      </c>
      <c r="N667" s="25">
        <v>16.0</v>
      </c>
      <c r="O667" s="25"/>
      <c r="P667" s="25"/>
    </row>
    <row r="668">
      <c r="A668" s="16">
        <v>666.0</v>
      </c>
      <c r="B668" s="17" t="s">
        <v>403</v>
      </c>
      <c r="C668" s="18">
        <v>3.0</v>
      </c>
      <c r="D668" s="19" t="s">
        <v>2459</v>
      </c>
      <c r="E668" s="20" t="s">
        <v>91</v>
      </c>
      <c r="F668" s="17" t="s">
        <v>617</v>
      </c>
      <c r="G668" s="17" t="s">
        <v>2460</v>
      </c>
      <c r="H668" s="17" t="s">
        <v>2461</v>
      </c>
      <c r="I668" s="17" t="s">
        <v>125</v>
      </c>
      <c r="J668" s="22" t="s">
        <v>135</v>
      </c>
      <c r="K668" s="23" t="s">
        <v>108</v>
      </c>
      <c r="L668" s="24" t="s">
        <v>91</v>
      </c>
      <c r="M668" s="2">
        <v>22.0</v>
      </c>
      <c r="N668" s="25">
        <v>21.0</v>
      </c>
      <c r="O668" s="25"/>
      <c r="P668" s="25"/>
    </row>
    <row r="669">
      <c r="A669" s="16">
        <v>667.0</v>
      </c>
      <c r="B669" s="17" t="s">
        <v>403</v>
      </c>
      <c r="C669" s="18">
        <v>4.0</v>
      </c>
      <c r="D669" s="19" t="s">
        <v>1869</v>
      </c>
      <c r="E669" s="20" t="s">
        <v>91</v>
      </c>
      <c r="F669" s="17" t="s">
        <v>401</v>
      </c>
      <c r="G669" s="17" t="s">
        <v>2462</v>
      </c>
      <c r="H669" s="17" t="s">
        <v>2463</v>
      </c>
      <c r="I669" s="17" t="s">
        <v>125</v>
      </c>
      <c r="J669" s="22" t="s">
        <v>135</v>
      </c>
      <c r="K669" s="23" t="s">
        <v>108</v>
      </c>
      <c r="L669" s="24" t="s">
        <v>1010</v>
      </c>
      <c r="M669" s="2">
        <v>22.0</v>
      </c>
      <c r="N669" s="25">
        <v>26.0</v>
      </c>
      <c r="O669" s="25"/>
      <c r="P669" s="25"/>
    </row>
    <row r="670">
      <c r="A670" s="16">
        <v>668.0</v>
      </c>
      <c r="B670" s="17" t="s">
        <v>403</v>
      </c>
      <c r="C670" s="18">
        <v>5.0</v>
      </c>
      <c r="D670" s="19" t="s">
        <v>1869</v>
      </c>
      <c r="E670" s="20" t="s">
        <v>91</v>
      </c>
      <c r="F670" s="17" t="s">
        <v>634</v>
      </c>
      <c r="G670" s="17" t="s">
        <v>2466</v>
      </c>
      <c r="H670" s="17" t="s">
        <v>2463</v>
      </c>
      <c r="I670" s="17" t="s">
        <v>125</v>
      </c>
      <c r="J670" s="22" t="s">
        <v>135</v>
      </c>
      <c r="K670" s="23" t="s">
        <v>108</v>
      </c>
      <c r="L670" s="24" t="s">
        <v>1010</v>
      </c>
      <c r="M670" s="2">
        <v>22.0</v>
      </c>
      <c r="N670" s="25">
        <v>26.0</v>
      </c>
      <c r="O670" s="25"/>
      <c r="P670" s="25"/>
    </row>
    <row r="671">
      <c r="A671" s="16">
        <v>669.0</v>
      </c>
      <c r="B671" s="17" t="s">
        <v>403</v>
      </c>
      <c r="C671" s="18">
        <v>6.0</v>
      </c>
      <c r="D671" s="19" t="s">
        <v>1869</v>
      </c>
      <c r="E671" s="20" t="s">
        <v>91</v>
      </c>
      <c r="F671" s="17" t="s">
        <v>672</v>
      </c>
      <c r="G671" s="17" t="s">
        <v>2474</v>
      </c>
      <c r="H671" s="17" t="s">
        <v>2475</v>
      </c>
      <c r="I671" s="17" t="s">
        <v>125</v>
      </c>
      <c r="J671" s="22" t="s">
        <v>144</v>
      </c>
      <c r="K671" s="23" t="s">
        <v>108</v>
      </c>
      <c r="L671" s="24" t="s">
        <v>91</v>
      </c>
      <c r="M671" s="2">
        <v>22.0</v>
      </c>
      <c r="N671" s="25">
        <v>31.0</v>
      </c>
      <c r="O671" s="25"/>
      <c r="P671" s="25"/>
    </row>
    <row r="672">
      <c r="A672" s="16">
        <v>670.0</v>
      </c>
      <c r="B672" s="17" t="s">
        <v>403</v>
      </c>
      <c r="C672" s="18">
        <v>7.0</v>
      </c>
      <c r="D672" s="19" t="s">
        <v>1869</v>
      </c>
      <c r="E672" s="20" t="s">
        <v>91</v>
      </c>
      <c r="F672" s="17" t="s">
        <v>140</v>
      </c>
      <c r="G672" s="17" t="s">
        <v>2476</v>
      </c>
      <c r="H672" s="17" t="s">
        <v>2477</v>
      </c>
      <c r="I672" s="17" t="s">
        <v>125</v>
      </c>
      <c r="J672" s="22" t="s">
        <v>144</v>
      </c>
      <c r="K672" s="23" t="s">
        <v>108</v>
      </c>
      <c r="L672" s="24" t="s">
        <v>91</v>
      </c>
      <c r="M672" s="2">
        <v>22.0</v>
      </c>
      <c r="N672" s="25">
        <v>31.0</v>
      </c>
      <c r="O672" s="25"/>
      <c r="P672" s="25"/>
    </row>
    <row r="673">
      <c r="A673" s="16">
        <v>671.0</v>
      </c>
      <c r="B673" s="17" t="s">
        <v>403</v>
      </c>
      <c r="C673" s="18">
        <v>8.0</v>
      </c>
      <c r="D673" s="19" t="s">
        <v>2459</v>
      </c>
      <c r="E673" s="20" t="s">
        <v>91</v>
      </c>
      <c r="F673" s="17" t="s">
        <v>126</v>
      </c>
      <c r="G673" s="17" t="s">
        <v>123</v>
      </c>
      <c r="H673" s="17" t="s">
        <v>1584</v>
      </c>
      <c r="I673" s="17" t="s">
        <v>125</v>
      </c>
      <c r="J673" s="22" t="s">
        <v>144</v>
      </c>
      <c r="K673" s="23" t="s">
        <v>108</v>
      </c>
      <c r="L673" s="24" t="s">
        <v>91</v>
      </c>
      <c r="M673" s="2">
        <v>22.0</v>
      </c>
      <c r="N673" s="25">
        <v>31.0</v>
      </c>
      <c r="O673" s="25"/>
      <c r="P673" s="25"/>
    </row>
    <row r="674">
      <c r="A674" s="16">
        <v>672.0</v>
      </c>
      <c r="B674" s="17" t="s">
        <v>403</v>
      </c>
      <c r="C674" s="18">
        <v>9.0</v>
      </c>
      <c r="D674" s="19" t="s">
        <v>2454</v>
      </c>
      <c r="E674" s="20" t="s">
        <v>91</v>
      </c>
      <c r="F674" s="17" t="s">
        <v>392</v>
      </c>
      <c r="G674" s="17" t="s">
        <v>2478</v>
      </c>
      <c r="H674" s="17" t="s">
        <v>2479</v>
      </c>
      <c r="I674" s="17" t="s">
        <v>125</v>
      </c>
      <c r="J674" s="22" t="s">
        <v>144</v>
      </c>
      <c r="K674" s="23" t="s">
        <v>108</v>
      </c>
      <c r="L674" s="24" t="s">
        <v>91</v>
      </c>
      <c r="M674" s="2">
        <v>22.0</v>
      </c>
      <c r="N674" s="25">
        <v>31.0</v>
      </c>
      <c r="O674" s="25"/>
      <c r="P674" s="25"/>
    </row>
    <row r="675">
      <c r="A675" s="16">
        <v>673.0</v>
      </c>
      <c r="B675" s="17" t="s">
        <v>403</v>
      </c>
      <c r="C675" s="18">
        <v>10.0</v>
      </c>
      <c r="D675" s="19" t="s">
        <v>2454</v>
      </c>
      <c r="E675" s="20" t="s">
        <v>91</v>
      </c>
      <c r="F675" s="17" t="s">
        <v>610</v>
      </c>
      <c r="G675" s="17" t="s">
        <v>2481</v>
      </c>
      <c r="H675" s="17" t="s">
        <v>2482</v>
      </c>
      <c r="I675" s="17" t="s">
        <v>125</v>
      </c>
      <c r="J675" s="22" t="s">
        <v>144</v>
      </c>
      <c r="K675" s="23" t="s">
        <v>108</v>
      </c>
      <c r="L675" s="24" t="s">
        <v>91</v>
      </c>
      <c r="M675" s="2">
        <v>22.0</v>
      </c>
      <c r="N675" s="25">
        <v>31.0</v>
      </c>
      <c r="O675" s="25"/>
      <c r="P675" s="25"/>
    </row>
    <row r="676">
      <c r="A676" s="16">
        <v>674.0</v>
      </c>
      <c r="B676" s="17" t="s">
        <v>403</v>
      </c>
      <c r="C676" s="18">
        <v>11.0</v>
      </c>
      <c r="D676" s="19" t="s">
        <v>2454</v>
      </c>
      <c r="E676" s="20" t="s">
        <v>91</v>
      </c>
      <c r="F676" s="17" t="s">
        <v>551</v>
      </c>
      <c r="G676" s="17" t="s">
        <v>1049</v>
      </c>
      <c r="H676" s="17" t="s">
        <v>2483</v>
      </c>
      <c r="I676" s="17" t="s">
        <v>125</v>
      </c>
      <c r="J676" s="22" t="s">
        <v>144</v>
      </c>
      <c r="K676" s="23" t="s">
        <v>108</v>
      </c>
      <c r="L676" s="24" t="s">
        <v>91</v>
      </c>
      <c r="M676" s="2">
        <v>22.0</v>
      </c>
      <c r="N676" s="25">
        <v>31.0</v>
      </c>
      <c r="O676" s="25"/>
      <c r="P676" s="25"/>
    </row>
    <row r="677">
      <c r="A677" s="16">
        <v>675.0</v>
      </c>
      <c r="B677" s="17" t="s">
        <v>403</v>
      </c>
      <c r="C677" s="18">
        <v>12.0</v>
      </c>
      <c r="D677" s="19" t="s">
        <v>2454</v>
      </c>
      <c r="E677" s="20" t="s">
        <v>91</v>
      </c>
      <c r="F677" s="17" t="s">
        <v>198</v>
      </c>
      <c r="G677" s="17" t="s">
        <v>2485</v>
      </c>
      <c r="H677" s="17" t="s">
        <v>2487</v>
      </c>
      <c r="I677" s="17" t="s">
        <v>125</v>
      </c>
      <c r="J677" s="22" t="s">
        <v>144</v>
      </c>
      <c r="K677" s="23" t="s">
        <v>108</v>
      </c>
      <c r="L677" s="24" t="s">
        <v>91</v>
      </c>
      <c r="M677" s="2">
        <v>22.0</v>
      </c>
      <c r="N677" s="25">
        <v>31.0</v>
      </c>
      <c r="O677" s="25"/>
      <c r="P677" s="25"/>
    </row>
    <row r="678">
      <c r="A678" s="16">
        <v>676.0</v>
      </c>
      <c r="B678" s="17" t="s">
        <v>403</v>
      </c>
      <c r="C678" s="18">
        <v>13.0</v>
      </c>
      <c r="D678" s="19" t="s">
        <v>2454</v>
      </c>
      <c r="E678" s="20" t="s">
        <v>91</v>
      </c>
      <c r="F678" s="17" t="s">
        <v>31</v>
      </c>
      <c r="G678" s="17" t="s">
        <v>2490</v>
      </c>
      <c r="H678" s="17" t="s">
        <v>2491</v>
      </c>
      <c r="I678" s="17" t="s">
        <v>125</v>
      </c>
      <c r="J678" s="22" t="s">
        <v>144</v>
      </c>
      <c r="K678" s="23" t="s">
        <v>108</v>
      </c>
      <c r="L678" s="24" t="s">
        <v>91</v>
      </c>
      <c r="M678" s="2">
        <v>22.0</v>
      </c>
      <c r="N678" s="25">
        <v>31.0</v>
      </c>
      <c r="O678" s="25"/>
      <c r="P678" s="25"/>
    </row>
    <row r="679">
      <c r="A679" s="16">
        <v>677.0</v>
      </c>
      <c r="B679" s="17" t="s">
        <v>403</v>
      </c>
      <c r="C679" s="18">
        <v>14.0</v>
      </c>
      <c r="D679" s="19" t="s">
        <v>2454</v>
      </c>
      <c r="E679" s="20" t="s">
        <v>91</v>
      </c>
      <c r="F679" s="17" t="s">
        <v>613</v>
      </c>
      <c r="G679" s="17" t="s">
        <v>123</v>
      </c>
      <c r="H679" s="17" t="s">
        <v>1567</v>
      </c>
      <c r="I679" s="17" t="s">
        <v>125</v>
      </c>
      <c r="J679" s="22" t="s">
        <v>144</v>
      </c>
      <c r="K679" s="23" t="s">
        <v>108</v>
      </c>
      <c r="L679" s="24" t="s">
        <v>91</v>
      </c>
      <c r="M679" s="2">
        <v>22.0</v>
      </c>
      <c r="N679" s="25">
        <v>31.0</v>
      </c>
      <c r="O679" s="25"/>
      <c r="P679" s="25"/>
    </row>
    <row r="680">
      <c r="A680" s="16">
        <v>678.0</v>
      </c>
      <c r="B680" s="17" t="s">
        <v>403</v>
      </c>
      <c r="C680" s="18">
        <v>15.0</v>
      </c>
      <c r="D680" s="19" t="s">
        <v>2454</v>
      </c>
      <c r="E680" s="20" t="s">
        <v>91</v>
      </c>
      <c r="F680" s="17" t="s">
        <v>935</v>
      </c>
      <c r="G680" s="17" t="s">
        <v>1533</v>
      </c>
      <c r="H680" s="17" t="s">
        <v>2493</v>
      </c>
      <c r="I680" s="17" t="s">
        <v>125</v>
      </c>
      <c r="J680" s="22" t="s">
        <v>144</v>
      </c>
      <c r="K680" s="23" t="s">
        <v>108</v>
      </c>
      <c r="L680" s="24" t="s">
        <v>91</v>
      </c>
      <c r="M680" s="2">
        <v>22.0</v>
      </c>
      <c r="N680" s="25">
        <v>31.0</v>
      </c>
      <c r="O680" s="25"/>
      <c r="P680" s="25"/>
    </row>
    <row r="681">
      <c r="A681" s="16">
        <v>679.0</v>
      </c>
      <c r="B681" s="17" t="s">
        <v>403</v>
      </c>
      <c r="C681" s="18">
        <v>16.0</v>
      </c>
      <c r="D681" s="19" t="s">
        <v>1869</v>
      </c>
      <c r="E681" s="20" t="s">
        <v>91</v>
      </c>
      <c r="F681" s="17" t="s">
        <v>417</v>
      </c>
      <c r="G681" s="17" t="s">
        <v>2494</v>
      </c>
      <c r="H681" s="17" t="s">
        <v>2495</v>
      </c>
      <c r="I681" s="17" t="s">
        <v>125</v>
      </c>
      <c r="J681" s="22" t="s">
        <v>144</v>
      </c>
      <c r="K681" s="23" t="s">
        <v>108</v>
      </c>
      <c r="L681" s="24" t="s">
        <v>939</v>
      </c>
      <c r="M681" s="2">
        <v>22.0</v>
      </c>
      <c r="N681" s="25">
        <v>36.0</v>
      </c>
      <c r="O681" s="25"/>
      <c r="P681" s="25"/>
    </row>
    <row r="682">
      <c r="A682" s="16">
        <v>680.0</v>
      </c>
      <c r="B682" s="17" t="s">
        <v>403</v>
      </c>
      <c r="C682" s="18">
        <v>17.0</v>
      </c>
      <c r="D682" s="19" t="s">
        <v>2454</v>
      </c>
      <c r="E682" s="20" t="s">
        <v>91</v>
      </c>
      <c r="F682" s="17" t="s">
        <v>408</v>
      </c>
      <c r="G682" s="17" t="s">
        <v>123</v>
      </c>
      <c r="H682" s="17" t="s">
        <v>1221</v>
      </c>
      <c r="I682" s="17" t="s">
        <v>125</v>
      </c>
      <c r="J682" s="22" t="s">
        <v>144</v>
      </c>
      <c r="K682" s="23" t="s">
        <v>108</v>
      </c>
      <c r="L682" s="24" t="s">
        <v>939</v>
      </c>
      <c r="M682" s="2">
        <v>22.0</v>
      </c>
      <c r="N682" s="25">
        <v>36.0</v>
      </c>
      <c r="O682" s="25"/>
      <c r="P682" s="25"/>
    </row>
    <row r="683">
      <c r="A683" s="16">
        <v>681.0</v>
      </c>
      <c r="B683" s="17" t="s">
        <v>1359</v>
      </c>
      <c r="C683" s="18">
        <v>1.0</v>
      </c>
      <c r="D683" s="19" t="s">
        <v>1885</v>
      </c>
      <c r="E683" s="20" t="s">
        <v>91</v>
      </c>
      <c r="F683" s="17" t="s">
        <v>1053</v>
      </c>
      <c r="G683" s="17" t="s">
        <v>1982</v>
      </c>
      <c r="H683" s="17" t="s">
        <v>1983</v>
      </c>
      <c r="I683" s="17" t="s">
        <v>125</v>
      </c>
      <c r="J683" s="22" t="s">
        <v>100</v>
      </c>
      <c r="K683" s="23" t="s">
        <v>108</v>
      </c>
      <c r="L683" s="24" t="s">
        <v>91</v>
      </c>
      <c r="M683" s="2">
        <v>23.0</v>
      </c>
      <c r="N683" s="25">
        <v>11.0</v>
      </c>
      <c r="O683" s="25"/>
      <c r="P683" s="25"/>
    </row>
    <row r="684">
      <c r="A684" s="16">
        <v>682.0</v>
      </c>
      <c r="B684" s="17" t="s">
        <v>1359</v>
      </c>
      <c r="C684" s="18">
        <v>2.0</v>
      </c>
      <c r="D684" s="19" t="s">
        <v>1885</v>
      </c>
      <c r="E684" s="20" t="s">
        <v>91</v>
      </c>
      <c r="F684" s="17" t="s">
        <v>1207</v>
      </c>
      <c r="G684" s="17" t="s">
        <v>2498</v>
      </c>
      <c r="H684" s="17" t="s">
        <v>2499</v>
      </c>
      <c r="I684" s="17" t="s">
        <v>125</v>
      </c>
      <c r="J684" s="22" t="s">
        <v>100</v>
      </c>
      <c r="K684" s="23" t="s">
        <v>108</v>
      </c>
      <c r="L684" s="24" t="s">
        <v>91</v>
      </c>
      <c r="M684" s="2">
        <v>23.0</v>
      </c>
      <c r="N684" s="25">
        <v>11.0</v>
      </c>
      <c r="O684" s="25"/>
      <c r="P684" s="25"/>
    </row>
    <row r="685">
      <c r="A685" s="16">
        <v>683.0</v>
      </c>
      <c r="B685" s="17" t="s">
        <v>1359</v>
      </c>
      <c r="C685" s="18">
        <v>3.0</v>
      </c>
      <c r="D685" s="19" t="s">
        <v>2500</v>
      </c>
      <c r="E685" s="20" t="s">
        <v>91</v>
      </c>
      <c r="F685" s="17" t="s">
        <v>515</v>
      </c>
      <c r="G685" s="17" t="s">
        <v>2501</v>
      </c>
      <c r="H685" s="17" t="s">
        <v>2502</v>
      </c>
      <c r="I685" s="17" t="s">
        <v>98</v>
      </c>
      <c r="J685" s="22" t="s">
        <v>135</v>
      </c>
      <c r="K685" s="23" t="s">
        <v>108</v>
      </c>
      <c r="L685" s="24" t="s">
        <v>91</v>
      </c>
      <c r="M685" s="2">
        <v>23.0</v>
      </c>
      <c r="N685" s="25">
        <v>20.0</v>
      </c>
      <c r="O685" s="25"/>
      <c r="P685" s="25"/>
    </row>
    <row r="686">
      <c r="A686" s="16">
        <v>684.0</v>
      </c>
      <c r="B686" s="17" t="s">
        <v>1359</v>
      </c>
      <c r="C686" s="18">
        <v>4.0</v>
      </c>
      <c r="D686" s="19" t="s">
        <v>2500</v>
      </c>
      <c r="E686" s="20" t="s">
        <v>91</v>
      </c>
      <c r="F686" s="17" t="s">
        <v>1211</v>
      </c>
      <c r="G686" s="17" t="s">
        <v>2503</v>
      </c>
      <c r="H686" s="17" t="s">
        <v>2504</v>
      </c>
      <c r="I686" s="17" t="s">
        <v>98</v>
      </c>
      <c r="J686" s="22" t="s">
        <v>135</v>
      </c>
      <c r="K686" s="23" t="s">
        <v>108</v>
      </c>
      <c r="L686" s="24" t="s">
        <v>91</v>
      </c>
      <c r="M686" s="2">
        <v>23.0</v>
      </c>
      <c r="N686" s="25">
        <v>20.0</v>
      </c>
      <c r="O686" s="25"/>
      <c r="P686" s="25"/>
    </row>
    <row r="687">
      <c r="A687" s="16">
        <v>685.0</v>
      </c>
      <c r="B687" s="17" t="s">
        <v>1359</v>
      </c>
      <c r="C687" s="18">
        <v>5.0</v>
      </c>
      <c r="D687" s="19" t="s">
        <v>2500</v>
      </c>
      <c r="E687" s="20" t="s">
        <v>91</v>
      </c>
      <c r="F687" s="17" t="s">
        <v>1087</v>
      </c>
      <c r="G687" s="17" t="s">
        <v>2506</v>
      </c>
      <c r="H687" s="17" t="s">
        <v>2507</v>
      </c>
      <c r="I687" s="17" t="s">
        <v>98</v>
      </c>
      <c r="J687" s="22" t="s">
        <v>135</v>
      </c>
      <c r="K687" s="23" t="s">
        <v>108</v>
      </c>
      <c r="L687" s="24" t="s">
        <v>91</v>
      </c>
      <c r="M687" s="2">
        <v>23.0</v>
      </c>
      <c r="N687" s="25">
        <v>20.0</v>
      </c>
      <c r="O687" s="25"/>
      <c r="P687" s="25"/>
    </row>
    <row r="688">
      <c r="A688" s="16">
        <v>686.0</v>
      </c>
      <c r="B688" s="17" t="s">
        <v>1359</v>
      </c>
      <c r="C688" s="18">
        <v>6.0</v>
      </c>
      <c r="D688" s="19" t="s">
        <v>2500</v>
      </c>
      <c r="E688" s="20" t="s">
        <v>91</v>
      </c>
      <c r="F688" s="17" t="s">
        <v>1213</v>
      </c>
      <c r="G688" s="17" t="s">
        <v>2509</v>
      </c>
      <c r="H688" s="17" t="s">
        <v>2510</v>
      </c>
      <c r="I688" s="17" t="s">
        <v>98</v>
      </c>
      <c r="J688" s="22" t="s">
        <v>135</v>
      </c>
      <c r="K688" s="23" t="s">
        <v>108</v>
      </c>
      <c r="L688" s="24" t="s">
        <v>91</v>
      </c>
      <c r="M688" s="2">
        <v>23.0</v>
      </c>
      <c r="N688" s="25">
        <v>20.0</v>
      </c>
      <c r="O688" s="25"/>
      <c r="P688" s="25"/>
    </row>
    <row r="689">
      <c r="A689" s="16">
        <v>687.0</v>
      </c>
      <c r="B689" s="17" t="s">
        <v>1359</v>
      </c>
      <c r="C689" s="18">
        <v>7.0</v>
      </c>
      <c r="D689" s="19" t="s">
        <v>2500</v>
      </c>
      <c r="E689" s="20" t="s">
        <v>91</v>
      </c>
      <c r="F689" s="17" t="s">
        <v>981</v>
      </c>
      <c r="G689" s="17" t="s">
        <v>2511</v>
      </c>
      <c r="H689" s="17" t="s">
        <v>2512</v>
      </c>
      <c r="I689" s="17" t="s">
        <v>98</v>
      </c>
      <c r="J689" s="22" t="s">
        <v>135</v>
      </c>
      <c r="K689" s="23" t="s">
        <v>108</v>
      </c>
      <c r="L689" s="24" t="s">
        <v>91</v>
      </c>
      <c r="M689" s="2">
        <v>23.0</v>
      </c>
      <c r="N689" s="25">
        <v>20.0</v>
      </c>
      <c r="O689" s="25"/>
      <c r="P689" s="25"/>
    </row>
    <row r="690">
      <c r="A690" s="16">
        <v>688.0</v>
      </c>
      <c r="B690" s="27" t="s">
        <v>1359</v>
      </c>
      <c r="C690" s="18">
        <v>8.0</v>
      </c>
      <c r="D690" s="19" t="s">
        <v>2500</v>
      </c>
      <c r="E690" s="20" t="s">
        <v>91</v>
      </c>
      <c r="F690" s="27" t="s">
        <v>1077</v>
      </c>
      <c r="G690" s="17" t="s">
        <v>2515</v>
      </c>
      <c r="H690" s="17" t="s">
        <v>2516</v>
      </c>
      <c r="I690" s="17" t="s">
        <v>98</v>
      </c>
      <c r="J690" s="22" t="s">
        <v>135</v>
      </c>
      <c r="K690" s="23" t="s">
        <v>108</v>
      </c>
      <c r="L690" s="24"/>
      <c r="M690" s="2">
        <v>23.0</v>
      </c>
      <c r="N690" s="25">
        <v>20.0</v>
      </c>
      <c r="O690" s="25"/>
      <c r="P690" s="25"/>
    </row>
    <row r="691">
      <c r="A691" s="16">
        <v>689.0</v>
      </c>
      <c r="B691" s="27" t="s">
        <v>1359</v>
      </c>
      <c r="C691" s="18">
        <v>9.0</v>
      </c>
      <c r="D691" s="19" t="s">
        <v>2500</v>
      </c>
      <c r="E691" s="20" t="s">
        <v>91</v>
      </c>
      <c r="F691" s="27" t="s">
        <v>1347</v>
      </c>
      <c r="G691" s="17" t="s">
        <v>2518</v>
      </c>
      <c r="H691" s="17" t="s">
        <v>2519</v>
      </c>
      <c r="I691" s="17" t="s">
        <v>98</v>
      </c>
      <c r="J691" s="22" t="s">
        <v>135</v>
      </c>
      <c r="K691" s="23" t="s">
        <v>108</v>
      </c>
      <c r="L691" s="24"/>
      <c r="M691" s="2">
        <v>23.0</v>
      </c>
      <c r="N691" s="25">
        <v>20.0</v>
      </c>
      <c r="O691" s="25"/>
      <c r="P691" s="25"/>
    </row>
    <row r="692">
      <c r="A692" s="16">
        <v>690.0</v>
      </c>
      <c r="B692" s="17" t="s">
        <v>1359</v>
      </c>
      <c r="C692" s="18">
        <v>10.0</v>
      </c>
      <c r="D692" s="19" t="s">
        <v>1885</v>
      </c>
      <c r="E692" s="20" t="s">
        <v>91</v>
      </c>
      <c r="F692" s="17" t="s">
        <v>1041</v>
      </c>
      <c r="G692" s="17" t="s">
        <v>2521</v>
      </c>
      <c r="H692" s="17" t="s">
        <v>2522</v>
      </c>
      <c r="I692" s="17" t="s">
        <v>98</v>
      </c>
      <c r="J692" s="22" t="s">
        <v>135</v>
      </c>
      <c r="K692" s="23" t="s">
        <v>108</v>
      </c>
      <c r="L692" s="24" t="s">
        <v>91</v>
      </c>
      <c r="M692" s="2">
        <v>23.0</v>
      </c>
      <c r="N692" s="25">
        <v>20.0</v>
      </c>
      <c r="O692" s="25"/>
      <c r="P692" s="25"/>
    </row>
    <row r="693">
      <c r="A693" s="16">
        <v>691.0</v>
      </c>
      <c r="B693" s="27" t="s">
        <v>1359</v>
      </c>
      <c r="C693" s="18">
        <v>11.0</v>
      </c>
      <c r="D693" s="19" t="s">
        <v>1885</v>
      </c>
      <c r="E693" s="20" t="s">
        <v>91</v>
      </c>
      <c r="F693" s="27" t="s">
        <v>1327</v>
      </c>
      <c r="G693" s="17" t="s">
        <v>2523</v>
      </c>
      <c r="H693" s="17" t="s">
        <v>2524</v>
      </c>
      <c r="I693" s="17" t="s">
        <v>98</v>
      </c>
      <c r="J693" s="22" t="s">
        <v>135</v>
      </c>
      <c r="K693" s="23" t="s">
        <v>108</v>
      </c>
      <c r="L693" s="24"/>
      <c r="M693" s="2">
        <v>23.0</v>
      </c>
      <c r="N693" s="25">
        <v>20.0</v>
      </c>
      <c r="O693" s="25"/>
      <c r="P693" s="25"/>
    </row>
    <row r="694">
      <c r="A694" s="16">
        <v>692.0</v>
      </c>
      <c r="B694" s="17" t="s">
        <v>1359</v>
      </c>
      <c r="C694" s="18">
        <v>12.0</v>
      </c>
      <c r="D694" s="19" t="s">
        <v>1885</v>
      </c>
      <c r="E694" s="20" t="s">
        <v>91</v>
      </c>
      <c r="F694" s="17" t="s">
        <v>652</v>
      </c>
      <c r="G694" s="17" t="s">
        <v>1768</v>
      </c>
      <c r="H694" s="17" t="s">
        <v>2525</v>
      </c>
      <c r="I694" s="17" t="s">
        <v>125</v>
      </c>
      <c r="J694" s="22" t="s">
        <v>135</v>
      </c>
      <c r="K694" s="23" t="s">
        <v>108</v>
      </c>
      <c r="L694" s="24" t="s">
        <v>91</v>
      </c>
      <c r="M694" s="2">
        <v>23.0</v>
      </c>
      <c r="N694" s="25">
        <v>21.0</v>
      </c>
      <c r="O694" s="25"/>
      <c r="P694" s="25"/>
    </row>
    <row r="695">
      <c r="A695" s="16">
        <v>693.0</v>
      </c>
      <c r="B695" s="17" t="s">
        <v>1359</v>
      </c>
      <c r="C695" s="18">
        <v>13.0</v>
      </c>
      <c r="D695" s="19" t="s">
        <v>2500</v>
      </c>
      <c r="E695" s="20" t="s">
        <v>91</v>
      </c>
      <c r="F695" s="17" t="s">
        <v>842</v>
      </c>
      <c r="G695" s="17" t="s">
        <v>2526</v>
      </c>
      <c r="H695" s="17" t="s">
        <v>2527</v>
      </c>
      <c r="I695" s="17" t="s">
        <v>98</v>
      </c>
      <c r="J695" s="22" t="s">
        <v>144</v>
      </c>
      <c r="K695" s="23" t="s">
        <v>108</v>
      </c>
      <c r="L695" s="24" t="s">
        <v>91</v>
      </c>
      <c r="M695" s="2">
        <v>23.0</v>
      </c>
      <c r="N695" s="25">
        <v>30.0</v>
      </c>
      <c r="O695" s="25"/>
      <c r="P695" s="25"/>
    </row>
    <row r="696">
      <c r="A696" s="16">
        <v>694.0</v>
      </c>
      <c r="B696" s="17" t="s">
        <v>1359</v>
      </c>
      <c r="C696" s="18">
        <v>14.0</v>
      </c>
      <c r="D696" s="19" t="s">
        <v>2500</v>
      </c>
      <c r="E696" s="20" t="s">
        <v>91</v>
      </c>
      <c r="F696" s="17" t="s">
        <v>1051</v>
      </c>
      <c r="G696" s="17" t="s">
        <v>2528</v>
      </c>
      <c r="H696" s="17" t="s">
        <v>2530</v>
      </c>
      <c r="I696" s="17" t="s">
        <v>98</v>
      </c>
      <c r="J696" s="22" t="s">
        <v>144</v>
      </c>
      <c r="K696" s="23" t="s">
        <v>108</v>
      </c>
      <c r="L696" s="24" t="s">
        <v>91</v>
      </c>
      <c r="M696" s="2">
        <v>23.0</v>
      </c>
      <c r="N696" s="25">
        <v>30.0</v>
      </c>
      <c r="O696" s="25"/>
      <c r="P696" s="25"/>
    </row>
    <row r="697">
      <c r="A697" s="16">
        <v>695.0</v>
      </c>
      <c r="B697" s="17" t="s">
        <v>1359</v>
      </c>
      <c r="C697" s="18">
        <v>15.0</v>
      </c>
      <c r="D697" s="19" t="s">
        <v>2500</v>
      </c>
      <c r="E697" s="20" t="s">
        <v>91</v>
      </c>
      <c r="F697" s="17" t="s">
        <v>1054</v>
      </c>
      <c r="G697" s="17" t="s">
        <v>2533</v>
      </c>
      <c r="H697" s="17" t="s">
        <v>2534</v>
      </c>
      <c r="I697" s="17" t="s">
        <v>98</v>
      </c>
      <c r="J697" s="22" t="s">
        <v>144</v>
      </c>
      <c r="K697" s="23" t="s">
        <v>108</v>
      </c>
      <c r="L697" s="24" t="s">
        <v>91</v>
      </c>
      <c r="M697" s="2">
        <v>23.0</v>
      </c>
      <c r="N697" s="25">
        <v>30.0</v>
      </c>
      <c r="O697" s="25"/>
      <c r="P697" s="25"/>
    </row>
    <row r="698">
      <c r="A698" s="16">
        <v>696.0</v>
      </c>
      <c r="B698" s="17" t="s">
        <v>1359</v>
      </c>
      <c r="C698" s="18">
        <v>16.0</v>
      </c>
      <c r="D698" s="19" t="s">
        <v>2500</v>
      </c>
      <c r="E698" s="20" t="s">
        <v>91</v>
      </c>
      <c r="F698" s="17" t="s">
        <v>266</v>
      </c>
      <c r="G698" s="17" t="s">
        <v>2536</v>
      </c>
      <c r="H698" s="17" t="s">
        <v>2504</v>
      </c>
      <c r="I698" s="17" t="s">
        <v>98</v>
      </c>
      <c r="J698" s="22" t="s">
        <v>144</v>
      </c>
      <c r="K698" s="23" t="s">
        <v>108</v>
      </c>
      <c r="L698" s="24" t="s">
        <v>91</v>
      </c>
      <c r="M698" s="2">
        <v>23.0</v>
      </c>
      <c r="N698" s="25">
        <v>30.0</v>
      </c>
      <c r="O698" s="25"/>
      <c r="P698" s="25"/>
    </row>
    <row r="699">
      <c r="A699" s="16">
        <v>697.0</v>
      </c>
      <c r="B699" s="17" t="s">
        <v>1359</v>
      </c>
      <c r="C699" s="18">
        <v>17.0</v>
      </c>
      <c r="D699" s="19" t="s">
        <v>2500</v>
      </c>
      <c r="E699" s="20" t="s">
        <v>91</v>
      </c>
      <c r="F699" s="17" t="s">
        <v>462</v>
      </c>
      <c r="G699" s="17" t="s">
        <v>2537</v>
      </c>
      <c r="H699" s="17" t="s">
        <v>2538</v>
      </c>
      <c r="I699" s="17" t="s">
        <v>98</v>
      </c>
      <c r="J699" s="22" t="s">
        <v>144</v>
      </c>
      <c r="K699" s="23" t="s">
        <v>108</v>
      </c>
      <c r="L699" s="24" t="s">
        <v>91</v>
      </c>
      <c r="M699" s="2">
        <v>23.0</v>
      </c>
      <c r="N699" s="25">
        <v>30.0</v>
      </c>
      <c r="O699" s="25"/>
      <c r="P699" s="25"/>
    </row>
    <row r="700">
      <c r="A700" s="16">
        <v>698.0</v>
      </c>
      <c r="B700" s="17" t="s">
        <v>1359</v>
      </c>
      <c r="C700" s="18">
        <v>18.0</v>
      </c>
      <c r="D700" s="19" t="s">
        <v>2500</v>
      </c>
      <c r="E700" s="20" t="s">
        <v>91</v>
      </c>
      <c r="F700" s="17" t="s">
        <v>973</v>
      </c>
      <c r="G700" s="17" t="s">
        <v>2539</v>
      </c>
      <c r="H700" s="17" t="s">
        <v>2540</v>
      </c>
      <c r="I700" s="17" t="s">
        <v>98</v>
      </c>
      <c r="J700" s="22" t="s">
        <v>144</v>
      </c>
      <c r="K700" s="23" t="s">
        <v>108</v>
      </c>
      <c r="L700" s="24" t="s">
        <v>91</v>
      </c>
      <c r="M700" s="2">
        <v>23.0</v>
      </c>
      <c r="N700" s="25">
        <v>30.0</v>
      </c>
      <c r="O700" s="25"/>
      <c r="P700" s="25"/>
    </row>
    <row r="701">
      <c r="A701" s="16">
        <v>699.0</v>
      </c>
      <c r="B701" s="17" t="s">
        <v>1359</v>
      </c>
      <c r="C701" s="18">
        <v>19.0</v>
      </c>
      <c r="D701" s="19" t="s">
        <v>2500</v>
      </c>
      <c r="E701" s="20" t="s">
        <v>91</v>
      </c>
      <c r="F701" s="17" t="s">
        <v>1214</v>
      </c>
      <c r="G701" s="17" t="s">
        <v>2543</v>
      </c>
      <c r="H701" s="17" t="s">
        <v>2544</v>
      </c>
      <c r="I701" s="17" t="s">
        <v>125</v>
      </c>
      <c r="J701" s="22" t="s">
        <v>144</v>
      </c>
      <c r="K701" s="23" t="s">
        <v>108</v>
      </c>
      <c r="L701" s="24" t="s">
        <v>91</v>
      </c>
      <c r="M701" s="2">
        <v>23.0</v>
      </c>
      <c r="N701" s="25">
        <v>31.0</v>
      </c>
      <c r="O701" s="25"/>
      <c r="P701" s="25"/>
    </row>
    <row r="702">
      <c r="A702" s="16">
        <v>700.0</v>
      </c>
      <c r="B702" s="17" t="s">
        <v>1359</v>
      </c>
      <c r="C702" s="18">
        <v>20.0</v>
      </c>
      <c r="D702" s="19" t="s">
        <v>2500</v>
      </c>
      <c r="E702" s="20" t="s">
        <v>91</v>
      </c>
      <c r="F702" s="17" t="s">
        <v>1088</v>
      </c>
      <c r="G702" s="17" t="s">
        <v>2546</v>
      </c>
      <c r="H702" s="17" t="s">
        <v>2547</v>
      </c>
      <c r="I702" s="17" t="s">
        <v>125</v>
      </c>
      <c r="J702" s="22" t="s">
        <v>144</v>
      </c>
      <c r="K702" s="23" t="s">
        <v>108</v>
      </c>
      <c r="L702" s="24" t="s">
        <v>91</v>
      </c>
      <c r="M702" s="2">
        <v>23.0</v>
      </c>
      <c r="N702" s="25">
        <v>31.0</v>
      </c>
      <c r="O702" s="25"/>
      <c r="P702" s="25"/>
    </row>
    <row r="703">
      <c r="A703" s="16">
        <v>701.0</v>
      </c>
      <c r="B703" s="17" t="s">
        <v>1359</v>
      </c>
      <c r="C703" s="18">
        <v>21.0</v>
      </c>
      <c r="D703" s="19" t="s">
        <v>2500</v>
      </c>
      <c r="E703" s="20" t="s">
        <v>91</v>
      </c>
      <c r="F703" s="17" t="s">
        <v>1072</v>
      </c>
      <c r="G703" s="17" t="s">
        <v>2548</v>
      </c>
      <c r="H703" s="17" t="s">
        <v>2549</v>
      </c>
      <c r="I703" s="17" t="s">
        <v>125</v>
      </c>
      <c r="J703" s="22" t="s">
        <v>144</v>
      </c>
      <c r="K703" s="23" t="s">
        <v>108</v>
      </c>
      <c r="L703" s="24" t="s">
        <v>91</v>
      </c>
      <c r="M703" s="2">
        <v>23.0</v>
      </c>
      <c r="N703" s="25">
        <v>31.0</v>
      </c>
      <c r="O703" s="25"/>
      <c r="P703" s="25"/>
    </row>
    <row r="704">
      <c r="A704" s="16">
        <v>702.0</v>
      </c>
      <c r="B704" s="17" t="s">
        <v>1359</v>
      </c>
      <c r="C704" s="18">
        <v>22.0</v>
      </c>
      <c r="D704" s="19" t="s">
        <v>2500</v>
      </c>
      <c r="E704" s="20" t="s">
        <v>91</v>
      </c>
      <c r="F704" s="17" t="s">
        <v>1090</v>
      </c>
      <c r="G704" s="17" t="s">
        <v>2550</v>
      </c>
      <c r="H704" s="17" t="s">
        <v>2551</v>
      </c>
      <c r="I704" s="17" t="s">
        <v>125</v>
      </c>
      <c r="J704" s="22" t="s">
        <v>144</v>
      </c>
      <c r="K704" s="23" t="s">
        <v>108</v>
      </c>
      <c r="L704" s="24" t="s">
        <v>91</v>
      </c>
      <c r="M704" s="2">
        <v>23.0</v>
      </c>
      <c r="N704" s="25">
        <v>31.0</v>
      </c>
      <c r="O704" s="25"/>
      <c r="P704" s="25"/>
    </row>
    <row r="705">
      <c r="A705" s="16">
        <v>703.0</v>
      </c>
      <c r="B705" s="17" t="s">
        <v>1359</v>
      </c>
      <c r="C705" s="18">
        <v>23.0</v>
      </c>
      <c r="D705" s="19" t="s">
        <v>2500</v>
      </c>
      <c r="E705" s="20" t="s">
        <v>91</v>
      </c>
      <c r="F705" s="17" t="s">
        <v>1326</v>
      </c>
      <c r="G705" s="17" t="s">
        <v>2552</v>
      </c>
      <c r="H705" s="17" t="s">
        <v>2553</v>
      </c>
      <c r="I705" s="17" t="s">
        <v>125</v>
      </c>
      <c r="J705" s="22" t="s">
        <v>144</v>
      </c>
      <c r="K705" s="23" t="s">
        <v>108</v>
      </c>
      <c r="L705" s="24" t="s">
        <v>91</v>
      </c>
      <c r="M705" s="2">
        <v>23.0</v>
      </c>
      <c r="N705" s="25">
        <v>31.0</v>
      </c>
      <c r="O705" s="25"/>
      <c r="P705" s="25"/>
    </row>
    <row r="706">
      <c r="A706" s="16">
        <v>704.0</v>
      </c>
      <c r="B706" s="17" t="s">
        <v>1359</v>
      </c>
      <c r="C706" s="18">
        <v>24.0</v>
      </c>
      <c r="D706" s="19" t="s">
        <v>2500</v>
      </c>
      <c r="E706" s="20" t="s">
        <v>91</v>
      </c>
      <c r="F706" s="17" t="s">
        <v>1163</v>
      </c>
      <c r="G706" s="17" t="s">
        <v>2555</v>
      </c>
      <c r="H706" s="17" t="s">
        <v>2556</v>
      </c>
      <c r="I706" s="17" t="s">
        <v>125</v>
      </c>
      <c r="J706" s="22" t="s">
        <v>144</v>
      </c>
      <c r="K706" s="23" t="s">
        <v>108</v>
      </c>
      <c r="L706" s="24" t="s">
        <v>91</v>
      </c>
      <c r="M706" s="2">
        <v>23.0</v>
      </c>
      <c r="N706" s="25">
        <v>31.0</v>
      </c>
      <c r="O706" s="25"/>
      <c r="P706" s="25"/>
    </row>
    <row r="707">
      <c r="A707" s="16">
        <v>705.0</v>
      </c>
      <c r="B707" s="17" t="s">
        <v>1359</v>
      </c>
      <c r="C707" s="18">
        <v>25.0</v>
      </c>
      <c r="D707" s="19" t="s">
        <v>2500</v>
      </c>
      <c r="E707" s="20" t="s">
        <v>91</v>
      </c>
      <c r="F707" s="17" t="s">
        <v>1215</v>
      </c>
      <c r="G707" s="17" t="s">
        <v>123</v>
      </c>
      <c r="H707" s="17" t="s">
        <v>2557</v>
      </c>
      <c r="I707" s="17" t="s">
        <v>125</v>
      </c>
      <c r="J707" s="22" t="s">
        <v>144</v>
      </c>
      <c r="K707" s="23" t="s">
        <v>108</v>
      </c>
      <c r="L707" s="24" t="s">
        <v>91</v>
      </c>
      <c r="M707" s="2">
        <v>23.0</v>
      </c>
      <c r="N707" s="25">
        <v>31.0</v>
      </c>
      <c r="O707" s="25"/>
      <c r="P707" s="25"/>
    </row>
    <row r="708">
      <c r="A708" s="16">
        <v>706.0</v>
      </c>
      <c r="B708" s="17" t="s">
        <v>1359</v>
      </c>
      <c r="C708" s="18">
        <v>26.0</v>
      </c>
      <c r="D708" s="19" t="s">
        <v>1885</v>
      </c>
      <c r="E708" s="20" t="s">
        <v>91</v>
      </c>
      <c r="F708" s="17" t="s">
        <v>858</v>
      </c>
      <c r="G708" s="17" t="s">
        <v>2186</v>
      </c>
      <c r="H708" s="17" t="s">
        <v>2187</v>
      </c>
      <c r="I708" s="17" t="s">
        <v>125</v>
      </c>
      <c r="J708" s="22" t="s">
        <v>144</v>
      </c>
      <c r="K708" s="23" t="s">
        <v>108</v>
      </c>
      <c r="L708" s="24" t="s">
        <v>91</v>
      </c>
      <c r="M708" s="2">
        <v>23.0</v>
      </c>
      <c r="N708" s="25">
        <v>31.0</v>
      </c>
      <c r="O708" s="25"/>
      <c r="P708" s="25"/>
    </row>
    <row r="709">
      <c r="A709" s="16">
        <v>707.0</v>
      </c>
      <c r="B709" s="17" t="s">
        <v>1359</v>
      </c>
      <c r="C709" s="18">
        <v>27.0</v>
      </c>
      <c r="D709" s="19" t="s">
        <v>1885</v>
      </c>
      <c r="E709" s="20" t="s">
        <v>91</v>
      </c>
      <c r="F709" s="17" t="s">
        <v>965</v>
      </c>
      <c r="G709" s="17" t="s">
        <v>2558</v>
      </c>
      <c r="H709" s="17" t="s">
        <v>2559</v>
      </c>
      <c r="I709" s="17" t="s">
        <v>125</v>
      </c>
      <c r="J709" s="22" t="s">
        <v>144</v>
      </c>
      <c r="K709" s="23" t="s">
        <v>108</v>
      </c>
      <c r="L709" s="24" t="s">
        <v>91</v>
      </c>
      <c r="M709" s="2">
        <v>23.0</v>
      </c>
      <c r="N709" s="25">
        <v>31.0</v>
      </c>
      <c r="O709" s="25"/>
      <c r="P709" s="25"/>
    </row>
    <row r="710">
      <c r="A710" s="16">
        <v>708.0</v>
      </c>
      <c r="B710" s="17" t="s">
        <v>1359</v>
      </c>
      <c r="C710" s="18">
        <v>28.0</v>
      </c>
      <c r="D710" s="19" t="s">
        <v>1885</v>
      </c>
      <c r="E710" s="20" t="s">
        <v>91</v>
      </c>
      <c r="F710" s="17" t="s">
        <v>153</v>
      </c>
      <c r="G710" s="17" t="s">
        <v>2561</v>
      </c>
      <c r="H710" s="17" t="s">
        <v>2562</v>
      </c>
      <c r="I710" s="17" t="s">
        <v>125</v>
      </c>
      <c r="J710" s="22" t="s">
        <v>144</v>
      </c>
      <c r="K710" s="23" t="s">
        <v>108</v>
      </c>
      <c r="L710" s="24" t="s">
        <v>91</v>
      </c>
      <c r="M710" s="2">
        <v>23.0</v>
      </c>
      <c r="N710" s="25">
        <v>31.0</v>
      </c>
      <c r="O710" s="25"/>
      <c r="P710" s="25"/>
    </row>
    <row r="711">
      <c r="A711" s="16">
        <v>709.0</v>
      </c>
      <c r="B711" s="17" t="s">
        <v>1359</v>
      </c>
      <c r="C711" s="18">
        <v>29.0</v>
      </c>
      <c r="D711" s="19" t="s">
        <v>1885</v>
      </c>
      <c r="E711" s="20" t="s">
        <v>91</v>
      </c>
      <c r="F711" s="17" t="s">
        <v>941</v>
      </c>
      <c r="G711" s="17" t="s">
        <v>2563</v>
      </c>
      <c r="H711" s="17" t="s">
        <v>2564</v>
      </c>
      <c r="I711" s="17" t="s">
        <v>125</v>
      </c>
      <c r="J711" s="22" t="s">
        <v>144</v>
      </c>
      <c r="K711" s="23" t="s">
        <v>108</v>
      </c>
      <c r="L711" s="24" t="s">
        <v>91</v>
      </c>
      <c r="M711" s="2">
        <v>23.0</v>
      </c>
      <c r="N711" s="25">
        <v>31.0</v>
      </c>
      <c r="O711" s="25"/>
      <c r="P711" s="25"/>
    </row>
    <row r="712">
      <c r="A712" s="16">
        <v>710.0</v>
      </c>
      <c r="B712" s="17" t="s">
        <v>1359</v>
      </c>
      <c r="C712" s="18">
        <v>30.0</v>
      </c>
      <c r="D712" s="19" t="s">
        <v>1885</v>
      </c>
      <c r="E712" s="20" t="s">
        <v>91</v>
      </c>
      <c r="F712" s="17" t="s">
        <v>966</v>
      </c>
      <c r="G712" s="17" t="s">
        <v>2565</v>
      </c>
      <c r="H712" s="17" t="s">
        <v>1983</v>
      </c>
      <c r="I712" s="17" t="s">
        <v>125</v>
      </c>
      <c r="J712" s="22" t="s">
        <v>144</v>
      </c>
      <c r="K712" s="23" t="s">
        <v>108</v>
      </c>
      <c r="L712" s="24" t="s">
        <v>91</v>
      </c>
      <c r="M712" s="2">
        <v>23.0</v>
      </c>
      <c r="N712" s="25">
        <v>31.0</v>
      </c>
      <c r="O712" s="25"/>
      <c r="P712" s="25"/>
    </row>
    <row r="713">
      <c r="A713" s="16">
        <v>711.0</v>
      </c>
      <c r="B713" s="17" t="s">
        <v>551</v>
      </c>
      <c r="C713" s="18">
        <v>1.0</v>
      </c>
      <c r="D713" s="19" t="s">
        <v>1876</v>
      </c>
      <c r="E713" s="20" t="s">
        <v>91</v>
      </c>
      <c r="F713" s="17" t="s">
        <v>404</v>
      </c>
      <c r="G713" s="17" t="s">
        <v>1883</v>
      </c>
      <c r="H713" s="17" t="s">
        <v>1884</v>
      </c>
      <c r="I713" s="17" t="s">
        <v>98</v>
      </c>
      <c r="J713" s="22" t="s">
        <v>100</v>
      </c>
      <c r="K713" s="23" t="s">
        <v>108</v>
      </c>
      <c r="L713" s="24" t="s">
        <v>1010</v>
      </c>
      <c r="M713" s="2">
        <v>24.0</v>
      </c>
      <c r="N713" s="25">
        <v>15.0</v>
      </c>
      <c r="O713" s="25"/>
      <c r="P713" s="25"/>
    </row>
    <row r="714">
      <c r="A714" s="16">
        <v>712.0</v>
      </c>
      <c r="B714" s="17" t="s">
        <v>551</v>
      </c>
      <c r="C714" s="18">
        <v>2.0</v>
      </c>
      <c r="D714" s="19" t="s">
        <v>1876</v>
      </c>
      <c r="E714" s="20" t="s">
        <v>91</v>
      </c>
      <c r="F714" s="17" t="s">
        <v>19</v>
      </c>
      <c r="G714" s="17" t="s">
        <v>1512</v>
      </c>
      <c r="H714" s="17" t="s">
        <v>1886</v>
      </c>
      <c r="I714" s="17" t="s">
        <v>98</v>
      </c>
      <c r="J714" s="22" t="s">
        <v>135</v>
      </c>
      <c r="K714" s="23" t="s">
        <v>108</v>
      </c>
      <c r="L714" s="24" t="s">
        <v>91</v>
      </c>
      <c r="M714" s="2">
        <v>24.0</v>
      </c>
      <c r="N714" s="25">
        <v>20.0</v>
      </c>
      <c r="O714" s="25"/>
      <c r="P714" s="25"/>
    </row>
    <row r="715">
      <c r="A715" s="16">
        <v>713.0</v>
      </c>
      <c r="B715" s="17" t="s">
        <v>551</v>
      </c>
      <c r="C715" s="18">
        <v>3.0</v>
      </c>
      <c r="D715" s="19" t="s">
        <v>1876</v>
      </c>
      <c r="E715" s="20" t="s">
        <v>91</v>
      </c>
      <c r="F715" s="17" t="s">
        <v>222</v>
      </c>
      <c r="G715" s="17" t="s">
        <v>1101</v>
      </c>
      <c r="H715" s="17" t="s">
        <v>1514</v>
      </c>
      <c r="I715" s="17" t="s">
        <v>98</v>
      </c>
      <c r="J715" s="22" t="s">
        <v>135</v>
      </c>
      <c r="K715" s="23" t="s">
        <v>108</v>
      </c>
      <c r="L715" s="24" t="s">
        <v>91</v>
      </c>
      <c r="M715" s="2">
        <v>24.0</v>
      </c>
      <c r="N715" s="25">
        <v>20.0</v>
      </c>
      <c r="O715" s="25"/>
      <c r="P715" s="25"/>
    </row>
    <row r="716">
      <c r="A716" s="16">
        <v>714.0</v>
      </c>
      <c r="B716" s="17" t="s">
        <v>551</v>
      </c>
      <c r="C716" s="18">
        <v>4.0</v>
      </c>
      <c r="D716" s="19" t="s">
        <v>1876</v>
      </c>
      <c r="E716" s="20" t="s">
        <v>91</v>
      </c>
      <c r="F716" s="17" t="s">
        <v>84</v>
      </c>
      <c r="G716" s="17" t="s">
        <v>1523</v>
      </c>
      <c r="H716" s="17" t="s">
        <v>1887</v>
      </c>
      <c r="I716" s="17" t="s">
        <v>98</v>
      </c>
      <c r="J716" s="22" t="s">
        <v>135</v>
      </c>
      <c r="K716" s="23" t="s">
        <v>108</v>
      </c>
      <c r="L716" s="24" t="s">
        <v>91</v>
      </c>
      <c r="M716" s="2">
        <v>24.0</v>
      </c>
      <c r="N716" s="25">
        <v>20.0</v>
      </c>
      <c r="O716" s="25"/>
      <c r="P716" s="25"/>
    </row>
    <row r="717">
      <c r="A717" s="16">
        <v>715.0</v>
      </c>
      <c r="B717" s="17" t="s">
        <v>551</v>
      </c>
      <c r="C717" s="18">
        <v>5.0</v>
      </c>
      <c r="D717" s="19" t="s">
        <v>1876</v>
      </c>
      <c r="E717" s="20" t="s">
        <v>91</v>
      </c>
      <c r="F717" s="17" t="s">
        <v>414</v>
      </c>
      <c r="G717" s="17" t="s">
        <v>1451</v>
      </c>
      <c r="H717" s="17" t="s">
        <v>1453</v>
      </c>
      <c r="I717" s="17" t="s">
        <v>98</v>
      </c>
      <c r="J717" s="22" t="s">
        <v>135</v>
      </c>
      <c r="K717" s="23" t="s">
        <v>108</v>
      </c>
      <c r="L717" s="24" t="s">
        <v>91</v>
      </c>
      <c r="M717" s="2">
        <v>24.0</v>
      </c>
      <c r="N717" s="25">
        <v>20.0</v>
      </c>
      <c r="O717" s="25"/>
      <c r="P717" s="25"/>
    </row>
    <row r="718">
      <c r="A718" s="16">
        <v>716.0</v>
      </c>
      <c r="B718" s="27" t="s">
        <v>551</v>
      </c>
      <c r="C718" s="18">
        <v>6.0</v>
      </c>
      <c r="D718" s="19" t="s">
        <v>1876</v>
      </c>
      <c r="E718" s="20" t="s">
        <v>91</v>
      </c>
      <c r="F718" s="27" t="s">
        <v>1302</v>
      </c>
      <c r="G718" s="17" t="s">
        <v>2569</v>
      </c>
      <c r="H718" s="17" t="s">
        <v>1889</v>
      </c>
      <c r="I718" s="17" t="s">
        <v>98</v>
      </c>
      <c r="J718" s="22" t="s">
        <v>135</v>
      </c>
      <c r="K718" s="23" t="s">
        <v>108</v>
      </c>
      <c r="L718" s="24"/>
      <c r="M718" s="2">
        <v>24.0</v>
      </c>
      <c r="N718" s="25">
        <v>20.0</v>
      </c>
      <c r="O718" s="25"/>
      <c r="P718" s="25"/>
    </row>
    <row r="719">
      <c r="A719" s="16">
        <v>717.0</v>
      </c>
      <c r="B719" s="27" t="s">
        <v>551</v>
      </c>
      <c r="C719" s="18">
        <v>7.0</v>
      </c>
      <c r="D719" s="19" t="s">
        <v>1876</v>
      </c>
      <c r="E719" s="20" t="s">
        <v>91</v>
      </c>
      <c r="F719" s="27" t="s">
        <v>1128</v>
      </c>
      <c r="G719" s="17" t="s">
        <v>1899</v>
      </c>
      <c r="H719" s="17" t="s">
        <v>1900</v>
      </c>
      <c r="I719" s="17" t="s">
        <v>98</v>
      </c>
      <c r="J719" s="22" t="s">
        <v>135</v>
      </c>
      <c r="K719" s="23" t="s">
        <v>108</v>
      </c>
      <c r="L719" s="24"/>
      <c r="M719" s="2">
        <v>24.0</v>
      </c>
      <c r="N719" s="25">
        <v>20.0</v>
      </c>
      <c r="O719" s="25"/>
      <c r="P719" s="25"/>
    </row>
    <row r="720">
      <c r="A720" s="16">
        <v>718.0</v>
      </c>
      <c r="B720" s="27" t="s">
        <v>551</v>
      </c>
      <c r="C720" s="18">
        <v>8.0</v>
      </c>
      <c r="D720" s="19" t="s">
        <v>1876</v>
      </c>
      <c r="E720" s="20" t="s">
        <v>91</v>
      </c>
      <c r="F720" s="27" t="s">
        <v>606</v>
      </c>
      <c r="G720" s="17" t="s">
        <v>1897</v>
      </c>
      <c r="H720" s="17" t="s">
        <v>1898</v>
      </c>
      <c r="I720" s="17" t="s">
        <v>98</v>
      </c>
      <c r="J720" s="22" t="s">
        <v>135</v>
      </c>
      <c r="K720" s="23" t="s">
        <v>108</v>
      </c>
      <c r="L720" s="24"/>
      <c r="M720" s="2">
        <v>24.0</v>
      </c>
      <c r="N720" s="25">
        <v>20.0</v>
      </c>
      <c r="O720" s="25"/>
      <c r="P720" s="25"/>
    </row>
    <row r="721">
      <c r="A721" s="16">
        <v>719.0</v>
      </c>
      <c r="B721" s="27" t="s">
        <v>551</v>
      </c>
      <c r="C721" s="18">
        <v>9.0</v>
      </c>
      <c r="D721" s="19" t="s">
        <v>1876</v>
      </c>
      <c r="E721" s="20" t="s">
        <v>91</v>
      </c>
      <c r="F721" s="27" t="s">
        <v>1175</v>
      </c>
      <c r="G721" s="17" t="s">
        <v>1893</v>
      </c>
      <c r="H721" s="17" t="s">
        <v>2575</v>
      </c>
      <c r="I721" s="17" t="s">
        <v>98</v>
      </c>
      <c r="J721" s="22" t="s">
        <v>135</v>
      </c>
      <c r="K721" s="23" t="s">
        <v>108</v>
      </c>
      <c r="L721" s="24"/>
      <c r="M721" s="2">
        <v>24.0</v>
      </c>
      <c r="N721" s="25">
        <v>20.0</v>
      </c>
      <c r="O721" s="25"/>
      <c r="P721" s="25"/>
    </row>
    <row r="722">
      <c r="A722" s="16">
        <v>720.0</v>
      </c>
      <c r="B722" s="17" t="s">
        <v>551</v>
      </c>
      <c r="C722" s="18">
        <v>10.0</v>
      </c>
      <c r="D722" s="19" t="s">
        <v>2576</v>
      </c>
      <c r="E722" s="20" t="s">
        <v>91</v>
      </c>
      <c r="F722" s="17" t="s">
        <v>225</v>
      </c>
      <c r="G722" s="17" t="s">
        <v>2455</v>
      </c>
      <c r="H722" s="17" t="s">
        <v>2456</v>
      </c>
      <c r="I722" s="17" t="s">
        <v>98</v>
      </c>
      <c r="J722" s="22" t="s">
        <v>135</v>
      </c>
      <c r="K722" s="23" t="s">
        <v>108</v>
      </c>
      <c r="L722" s="24" t="s">
        <v>91</v>
      </c>
      <c r="M722" s="2">
        <v>24.0</v>
      </c>
      <c r="N722" s="25">
        <v>20.0</v>
      </c>
      <c r="O722" s="25"/>
      <c r="P722" s="25"/>
    </row>
    <row r="723">
      <c r="A723" s="16">
        <v>721.0</v>
      </c>
      <c r="B723" s="17" t="s">
        <v>551</v>
      </c>
      <c r="C723" s="18">
        <v>11.0</v>
      </c>
      <c r="D723" s="19" t="s">
        <v>2576</v>
      </c>
      <c r="E723" s="20" t="s">
        <v>91</v>
      </c>
      <c r="F723" s="17" t="s">
        <v>82</v>
      </c>
      <c r="G723" s="17" t="s">
        <v>2577</v>
      </c>
      <c r="H723" s="17" t="s">
        <v>2578</v>
      </c>
      <c r="I723" s="17" t="s">
        <v>98</v>
      </c>
      <c r="J723" s="22" t="s">
        <v>135</v>
      </c>
      <c r="K723" s="23" t="s">
        <v>108</v>
      </c>
      <c r="L723" s="24" t="s">
        <v>91</v>
      </c>
      <c r="M723" s="2">
        <v>24.0</v>
      </c>
      <c r="N723" s="25">
        <v>20.0</v>
      </c>
      <c r="O723" s="25"/>
      <c r="P723" s="25"/>
    </row>
    <row r="724">
      <c r="A724" s="16">
        <v>722.0</v>
      </c>
      <c r="B724" s="17" t="s">
        <v>551</v>
      </c>
      <c r="C724" s="18">
        <v>12.0</v>
      </c>
      <c r="D724" s="19" t="s">
        <v>2576</v>
      </c>
      <c r="E724" s="20" t="s">
        <v>91</v>
      </c>
      <c r="F724" s="17" t="s">
        <v>388</v>
      </c>
      <c r="G724" s="17" t="s">
        <v>1457</v>
      </c>
      <c r="H724" s="17" t="s">
        <v>2579</v>
      </c>
      <c r="I724" s="17" t="s">
        <v>98</v>
      </c>
      <c r="J724" s="22" t="s">
        <v>135</v>
      </c>
      <c r="K724" s="23" t="s">
        <v>108</v>
      </c>
      <c r="L724" s="24" t="s">
        <v>91</v>
      </c>
      <c r="M724" s="2">
        <v>24.0</v>
      </c>
      <c r="N724" s="25">
        <v>20.0</v>
      </c>
      <c r="O724" s="25"/>
      <c r="P724" s="25"/>
    </row>
    <row r="725">
      <c r="A725" s="16">
        <v>723.0</v>
      </c>
      <c r="B725" s="17" t="s">
        <v>551</v>
      </c>
      <c r="C725" s="18">
        <v>13.0</v>
      </c>
      <c r="D725" s="19" t="s">
        <v>1876</v>
      </c>
      <c r="E725" s="20" t="s">
        <v>91</v>
      </c>
      <c r="F725" s="17" t="s">
        <v>1045</v>
      </c>
      <c r="G725" s="17" t="s">
        <v>123</v>
      </c>
      <c r="H725" s="17" t="s">
        <v>1902</v>
      </c>
      <c r="I725" s="17" t="s">
        <v>125</v>
      </c>
      <c r="J725" s="22" t="s">
        <v>135</v>
      </c>
      <c r="K725" s="23" t="s">
        <v>108</v>
      </c>
      <c r="L725" s="24" t="s">
        <v>91</v>
      </c>
      <c r="M725" s="2">
        <v>24.0</v>
      </c>
      <c r="N725" s="25">
        <v>21.0</v>
      </c>
      <c r="O725" s="25"/>
      <c r="P725" s="25"/>
    </row>
    <row r="726">
      <c r="A726" s="16">
        <v>724.0</v>
      </c>
      <c r="B726" s="17" t="s">
        <v>551</v>
      </c>
      <c r="C726" s="18">
        <v>14.0</v>
      </c>
      <c r="D726" s="19" t="s">
        <v>1876</v>
      </c>
      <c r="E726" s="20" t="s">
        <v>91</v>
      </c>
      <c r="F726" s="17" t="s">
        <v>122</v>
      </c>
      <c r="G726" s="17" t="s">
        <v>123</v>
      </c>
      <c r="H726" s="17" t="s">
        <v>2581</v>
      </c>
      <c r="I726" s="17" t="s">
        <v>98</v>
      </c>
      <c r="J726" s="22" t="s">
        <v>144</v>
      </c>
      <c r="K726" s="23" t="s">
        <v>108</v>
      </c>
      <c r="L726" s="24" t="s">
        <v>91</v>
      </c>
      <c r="M726" s="2">
        <v>24.0</v>
      </c>
      <c r="N726" s="25">
        <v>30.0</v>
      </c>
      <c r="O726" s="25"/>
      <c r="P726" s="25"/>
    </row>
    <row r="727">
      <c r="A727" s="16">
        <v>725.0</v>
      </c>
      <c r="B727" s="17" t="s">
        <v>551</v>
      </c>
      <c r="C727" s="18">
        <v>15.0</v>
      </c>
      <c r="D727" s="19" t="s">
        <v>1876</v>
      </c>
      <c r="E727" s="20" t="s">
        <v>91</v>
      </c>
      <c r="F727" s="17" t="s">
        <v>27</v>
      </c>
      <c r="G727" s="17" t="s">
        <v>1910</v>
      </c>
      <c r="H727" s="17" t="s">
        <v>1896</v>
      </c>
      <c r="I727" s="17" t="s">
        <v>98</v>
      </c>
      <c r="J727" s="22" t="s">
        <v>144</v>
      </c>
      <c r="K727" s="23" t="s">
        <v>108</v>
      </c>
      <c r="L727" s="24" t="s">
        <v>91</v>
      </c>
      <c r="M727" s="2">
        <v>24.0</v>
      </c>
      <c r="N727" s="25">
        <v>30.0</v>
      </c>
      <c r="O727" s="25"/>
      <c r="P727" s="25"/>
    </row>
    <row r="728">
      <c r="A728" s="16">
        <v>726.0</v>
      </c>
      <c r="B728" s="17" t="s">
        <v>551</v>
      </c>
      <c r="C728" s="18">
        <v>16.0</v>
      </c>
      <c r="D728" s="19" t="s">
        <v>1876</v>
      </c>
      <c r="E728" s="20" t="s">
        <v>91</v>
      </c>
      <c r="F728" s="17" t="s">
        <v>3</v>
      </c>
      <c r="G728" s="17" t="s">
        <v>1541</v>
      </c>
      <c r="H728" s="17" t="s">
        <v>1911</v>
      </c>
      <c r="I728" s="17" t="s">
        <v>98</v>
      </c>
      <c r="J728" s="22" t="s">
        <v>144</v>
      </c>
      <c r="K728" s="23" t="s">
        <v>108</v>
      </c>
      <c r="L728" s="24" t="s">
        <v>91</v>
      </c>
      <c r="M728" s="2">
        <v>24.0</v>
      </c>
      <c r="N728" s="25">
        <v>30.0</v>
      </c>
      <c r="O728" s="25"/>
      <c r="P728" s="25"/>
    </row>
    <row r="729">
      <c r="A729" s="16">
        <v>727.0</v>
      </c>
      <c r="B729" s="17" t="s">
        <v>551</v>
      </c>
      <c r="C729" s="18">
        <v>17.0</v>
      </c>
      <c r="D729" s="19" t="s">
        <v>2576</v>
      </c>
      <c r="E729" s="20" t="s">
        <v>91</v>
      </c>
      <c r="F729" s="17" t="s">
        <v>392</v>
      </c>
      <c r="G729" s="17" t="s">
        <v>2583</v>
      </c>
      <c r="H729" s="17" t="s">
        <v>2578</v>
      </c>
      <c r="I729" s="17" t="s">
        <v>98</v>
      </c>
      <c r="J729" s="22" t="s">
        <v>144</v>
      </c>
      <c r="K729" s="23" t="s">
        <v>108</v>
      </c>
      <c r="L729" s="24" t="s">
        <v>91</v>
      </c>
      <c r="M729" s="2">
        <v>24.0</v>
      </c>
      <c r="N729" s="25">
        <v>30.0</v>
      </c>
      <c r="O729" s="25"/>
      <c r="P729" s="25"/>
    </row>
    <row r="730">
      <c r="A730" s="16">
        <v>728.0</v>
      </c>
      <c r="B730" s="17" t="s">
        <v>551</v>
      </c>
      <c r="C730" s="18">
        <v>18.0</v>
      </c>
      <c r="D730" s="19" t="s">
        <v>2576</v>
      </c>
      <c r="E730" s="20" t="s">
        <v>91</v>
      </c>
      <c r="F730" s="17" t="s">
        <v>35</v>
      </c>
      <c r="G730" s="17" t="s">
        <v>123</v>
      </c>
      <c r="H730" s="17" t="s">
        <v>2584</v>
      </c>
      <c r="I730" s="17" t="s">
        <v>98</v>
      </c>
      <c r="J730" s="22" t="s">
        <v>144</v>
      </c>
      <c r="K730" s="23" t="s">
        <v>108</v>
      </c>
      <c r="L730" s="24" t="s">
        <v>91</v>
      </c>
      <c r="M730" s="2">
        <v>24.0</v>
      </c>
      <c r="N730" s="25">
        <v>30.0</v>
      </c>
      <c r="O730" s="25"/>
      <c r="P730" s="25"/>
    </row>
    <row r="731">
      <c r="A731" s="16">
        <v>729.0</v>
      </c>
      <c r="B731" s="17" t="s">
        <v>551</v>
      </c>
      <c r="C731" s="18">
        <v>19.0</v>
      </c>
      <c r="D731" s="19" t="s">
        <v>2576</v>
      </c>
      <c r="E731" s="20" t="s">
        <v>91</v>
      </c>
      <c r="F731" s="17" t="s">
        <v>1176</v>
      </c>
      <c r="G731" s="17" t="s">
        <v>2585</v>
      </c>
      <c r="H731" s="17" t="s">
        <v>2586</v>
      </c>
      <c r="I731" s="17" t="s">
        <v>98</v>
      </c>
      <c r="J731" s="22" t="s">
        <v>144</v>
      </c>
      <c r="K731" s="23" t="s">
        <v>108</v>
      </c>
      <c r="L731" s="24" t="s">
        <v>91</v>
      </c>
      <c r="M731" s="2">
        <v>24.0</v>
      </c>
      <c r="N731" s="25">
        <v>30.0</v>
      </c>
      <c r="O731" s="25"/>
      <c r="P731" s="25"/>
    </row>
    <row r="732">
      <c r="A732" s="16">
        <v>730.0</v>
      </c>
      <c r="B732" s="17" t="s">
        <v>551</v>
      </c>
      <c r="C732" s="18">
        <v>20.0</v>
      </c>
      <c r="D732" s="19" t="s">
        <v>2576</v>
      </c>
      <c r="E732" s="20" t="s">
        <v>91</v>
      </c>
      <c r="F732" s="17" t="s">
        <v>130</v>
      </c>
      <c r="G732" s="17" t="s">
        <v>1368</v>
      </c>
      <c r="H732" s="17" t="s">
        <v>2587</v>
      </c>
      <c r="I732" s="17" t="s">
        <v>98</v>
      </c>
      <c r="J732" s="22" t="s">
        <v>144</v>
      </c>
      <c r="K732" s="23" t="s">
        <v>108</v>
      </c>
      <c r="L732" s="24" t="s">
        <v>91</v>
      </c>
      <c r="M732" s="2">
        <v>24.0</v>
      </c>
      <c r="N732" s="25">
        <v>30.0</v>
      </c>
      <c r="O732" s="25"/>
      <c r="P732" s="25"/>
    </row>
    <row r="733">
      <c r="A733" s="16">
        <v>731.0</v>
      </c>
      <c r="B733" s="17" t="s">
        <v>551</v>
      </c>
      <c r="C733" s="18">
        <v>21.0</v>
      </c>
      <c r="D733" s="19" t="s">
        <v>2589</v>
      </c>
      <c r="E733" s="20" t="s">
        <v>91</v>
      </c>
      <c r="F733" s="17" t="s">
        <v>1046</v>
      </c>
      <c r="G733" s="17" t="s">
        <v>1916</v>
      </c>
      <c r="H733" s="17" t="s">
        <v>1917</v>
      </c>
      <c r="I733" s="17" t="s">
        <v>125</v>
      </c>
      <c r="J733" s="22" t="s">
        <v>144</v>
      </c>
      <c r="K733" s="23" t="s">
        <v>108</v>
      </c>
      <c r="L733" s="24" t="s">
        <v>91</v>
      </c>
      <c r="M733" s="2">
        <v>24.0</v>
      </c>
      <c r="N733" s="25">
        <v>31.0</v>
      </c>
      <c r="O733" s="25"/>
      <c r="P733" s="25"/>
    </row>
    <row r="734">
      <c r="A734" s="16">
        <v>732.0</v>
      </c>
      <c r="B734" s="17" t="s">
        <v>551</v>
      </c>
      <c r="C734" s="18">
        <v>22.0</v>
      </c>
      <c r="D734" s="19" t="s">
        <v>1876</v>
      </c>
      <c r="E734" s="20" t="s">
        <v>91</v>
      </c>
      <c r="F734" s="17" t="s">
        <v>675</v>
      </c>
      <c r="G734" s="17" t="s">
        <v>1919</v>
      </c>
      <c r="H734" s="17" t="s">
        <v>1920</v>
      </c>
      <c r="I734" s="17" t="s">
        <v>125</v>
      </c>
      <c r="J734" s="22" t="s">
        <v>144</v>
      </c>
      <c r="K734" s="23" t="s">
        <v>108</v>
      </c>
      <c r="L734" s="24" t="s">
        <v>91</v>
      </c>
      <c r="M734" s="2">
        <v>24.0</v>
      </c>
      <c r="N734" s="25">
        <v>31.0</v>
      </c>
      <c r="O734" s="25"/>
      <c r="P734" s="25"/>
    </row>
    <row r="735">
      <c r="A735" s="16">
        <v>733.0</v>
      </c>
      <c r="B735" s="17" t="s">
        <v>551</v>
      </c>
      <c r="C735" s="18">
        <v>23.0</v>
      </c>
      <c r="D735" s="19" t="s">
        <v>1876</v>
      </c>
      <c r="E735" s="20" t="s">
        <v>91</v>
      </c>
      <c r="F735" s="17" t="s">
        <v>236</v>
      </c>
      <c r="G735" s="17" t="s">
        <v>1924</v>
      </c>
      <c r="H735" s="17" t="s">
        <v>1925</v>
      </c>
      <c r="I735" s="17" t="s">
        <v>125</v>
      </c>
      <c r="J735" s="22" t="s">
        <v>144</v>
      </c>
      <c r="K735" s="23" t="s">
        <v>108</v>
      </c>
      <c r="L735" s="24" t="s">
        <v>91</v>
      </c>
      <c r="M735" s="2">
        <v>24.0</v>
      </c>
      <c r="N735" s="25">
        <v>31.0</v>
      </c>
      <c r="O735" s="25"/>
      <c r="P735" s="25"/>
    </row>
    <row r="736">
      <c r="A736" s="16">
        <v>734.0</v>
      </c>
      <c r="B736" s="27" t="s">
        <v>551</v>
      </c>
      <c r="C736" s="18">
        <v>24.0</v>
      </c>
      <c r="D736" s="19" t="s">
        <v>1876</v>
      </c>
      <c r="E736" s="20" t="s">
        <v>91</v>
      </c>
      <c r="F736" s="27" t="s">
        <v>931</v>
      </c>
      <c r="G736" s="17" t="s">
        <v>1939</v>
      </c>
      <c r="H736" s="17" t="s">
        <v>1940</v>
      </c>
      <c r="I736" s="17" t="s">
        <v>125</v>
      </c>
      <c r="J736" s="22" t="s">
        <v>144</v>
      </c>
      <c r="K736" s="23" t="s">
        <v>108</v>
      </c>
      <c r="L736" s="24"/>
      <c r="M736" s="2">
        <v>24.0</v>
      </c>
      <c r="N736" s="25">
        <v>31.0</v>
      </c>
      <c r="O736" s="25"/>
      <c r="P736" s="25"/>
    </row>
    <row r="737">
      <c r="A737" s="16">
        <v>735.0</v>
      </c>
      <c r="B737" s="17" t="s">
        <v>551</v>
      </c>
      <c r="C737" s="18">
        <v>25.0</v>
      </c>
      <c r="D737" s="19" t="s">
        <v>2576</v>
      </c>
      <c r="E737" s="20" t="s">
        <v>91</v>
      </c>
      <c r="F737" s="17" t="s">
        <v>78</v>
      </c>
      <c r="G737" s="17" t="s">
        <v>2592</v>
      </c>
      <c r="H737" s="17" t="s">
        <v>2593</v>
      </c>
      <c r="I737" s="17" t="s">
        <v>125</v>
      </c>
      <c r="J737" s="22" t="s">
        <v>144</v>
      </c>
      <c r="K737" s="23" t="s">
        <v>108</v>
      </c>
      <c r="L737" s="24" t="s">
        <v>91</v>
      </c>
      <c r="M737" s="2">
        <v>24.0</v>
      </c>
      <c r="N737" s="25">
        <v>31.0</v>
      </c>
      <c r="O737" s="25"/>
      <c r="P737" s="25"/>
    </row>
    <row r="738">
      <c r="A738" s="16">
        <v>736.0</v>
      </c>
      <c r="B738" s="17" t="s">
        <v>551</v>
      </c>
      <c r="C738" s="18">
        <v>26.0</v>
      </c>
      <c r="D738" s="19" t="s">
        <v>2576</v>
      </c>
      <c r="E738" s="20" t="s">
        <v>91</v>
      </c>
      <c r="F738" s="17" t="s">
        <v>232</v>
      </c>
      <c r="G738" s="17" t="s">
        <v>1553</v>
      </c>
      <c r="H738" s="17" t="s">
        <v>1554</v>
      </c>
      <c r="I738" s="17" t="s">
        <v>125</v>
      </c>
      <c r="J738" s="22" t="s">
        <v>144</v>
      </c>
      <c r="K738" s="23" t="s">
        <v>108</v>
      </c>
      <c r="L738" s="24" t="s">
        <v>91</v>
      </c>
      <c r="M738" s="2">
        <v>24.0</v>
      </c>
      <c r="N738" s="25">
        <v>31.0</v>
      </c>
      <c r="O738" s="25"/>
      <c r="P738" s="25"/>
    </row>
    <row r="739">
      <c r="A739" s="16">
        <v>737.0</v>
      </c>
      <c r="B739" s="17" t="s">
        <v>551</v>
      </c>
      <c r="C739" s="18">
        <v>27.0</v>
      </c>
      <c r="D739" s="19" t="s">
        <v>1876</v>
      </c>
      <c r="E739" s="20" t="s">
        <v>91</v>
      </c>
      <c r="F739" s="17" t="s">
        <v>401</v>
      </c>
      <c r="G739" s="17" t="s">
        <v>123</v>
      </c>
      <c r="H739" s="17" t="s">
        <v>1882</v>
      </c>
      <c r="I739" s="17" t="s">
        <v>98</v>
      </c>
      <c r="J739" s="22" t="s">
        <v>144</v>
      </c>
      <c r="K739" s="23" t="s">
        <v>108</v>
      </c>
      <c r="L739" s="24" t="s">
        <v>939</v>
      </c>
      <c r="M739" s="2">
        <v>24.0</v>
      </c>
      <c r="N739" s="25">
        <v>35.0</v>
      </c>
      <c r="O739" s="25"/>
      <c r="P739" s="25"/>
    </row>
    <row r="740">
      <c r="A740" s="16">
        <v>738.0</v>
      </c>
      <c r="B740" s="17" t="s">
        <v>551</v>
      </c>
      <c r="C740" s="18">
        <v>28.0</v>
      </c>
      <c r="D740" s="19" t="s">
        <v>1876</v>
      </c>
      <c r="E740" s="20" t="s">
        <v>91</v>
      </c>
      <c r="F740" s="17" t="s">
        <v>417</v>
      </c>
      <c r="G740" s="17" t="s">
        <v>123</v>
      </c>
      <c r="H740" s="17" t="s">
        <v>2595</v>
      </c>
      <c r="I740" s="17" t="s">
        <v>98</v>
      </c>
      <c r="J740" s="22" t="s">
        <v>144</v>
      </c>
      <c r="K740" s="23" t="s">
        <v>108</v>
      </c>
      <c r="L740" s="24" t="s">
        <v>939</v>
      </c>
      <c r="M740" s="2">
        <v>24.0</v>
      </c>
      <c r="N740" s="25">
        <v>35.0</v>
      </c>
      <c r="O740" s="25"/>
      <c r="P740" s="25"/>
    </row>
    <row r="741">
      <c r="A741" s="16">
        <v>739.0</v>
      </c>
      <c r="B741" s="17" t="s">
        <v>551</v>
      </c>
      <c r="C741" s="18">
        <v>29.0</v>
      </c>
      <c r="D741" s="19" t="s">
        <v>2576</v>
      </c>
      <c r="E741" s="20" t="s">
        <v>91</v>
      </c>
      <c r="F741" s="17" t="s">
        <v>634</v>
      </c>
      <c r="G741" s="17" t="s">
        <v>123</v>
      </c>
      <c r="H741" s="17" t="s">
        <v>2596</v>
      </c>
      <c r="I741" s="17" t="s">
        <v>98</v>
      </c>
      <c r="J741" s="22" t="s">
        <v>144</v>
      </c>
      <c r="K741" s="23" t="s">
        <v>108</v>
      </c>
      <c r="L741" s="24" t="s">
        <v>939</v>
      </c>
      <c r="M741" s="2">
        <v>24.0</v>
      </c>
      <c r="N741" s="25">
        <v>35.0</v>
      </c>
      <c r="O741" s="25"/>
      <c r="P741" s="25"/>
    </row>
    <row r="742">
      <c r="A742" s="16">
        <v>740.0</v>
      </c>
      <c r="B742" s="17" t="s">
        <v>551</v>
      </c>
      <c r="C742" s="18">
        <v>30.0</v>
      </c>
      <c r="D742" s="19" t="s">
        <v>1876</v>
      </c>
      <c r="E742" s="20" t="s">
        <v>91</v>
      </c>
      <c r="F742" s="17" t="s">
        <v>397</v>
      </c>
      <c r="G742" s="17" t="s">
        <v>123</v>
      </c>
      <c r="H742" s="17" t="s">
        <v>1590</v>
      </c>
      <c r="I742" s="17" t="s">
        <v>125</v>
      </c>
      <c r="J742" s="22" t="s">
        <v>144</v>
      </c>
      <c r="K742" s="23" t="s">
        <v>108</v>
      </c>
      <c r="L742" s="24" t="s">
        <v>939</v>
      </c>
      <c r="M742" s="2">
        <v>24.0</v>
      </c>
      <c r="N742" s="25">
        <v>36.0</v>
      </c>
      <c r="O742" s="25"/>
      <c r="P742" s="25"/>
    </row>
    <row r="743">
      <c r="A743" s="16">
        <v>741.0</v>
      </c>
      <c r="B743" s="17" t="s">
        <v>1079</v>
      </c>
      <c r="C743" s="18">
        <v>1.0</v>
      </c>
      <c r="D743" s="19" t="s">
        <v>2599</v>
      </c>
      <c r="E743" s="20" t="s">
        <v>91</v>
      </c>
      <c r="F743" s="17" t="s">
        <v>1084</v>
      </c>
      <c r="G743" s="17" t="s">
        <v>2601</v>
      </c>
      <c r="H743" s="17" t="s">
        <v>2602</v>
      </c>
      <c r="I743" s="17" t="s">
        <v>98</v>
      </c>
      <c r="J743" s="22" t="s">
        <v>100</v>
      </c>
      <c r="K743" s="23" t="s">
        <v>108</v>
      </c>
      <c r="L743" s="24" t="s">
        <v>91</v>
      </c>
      <c r="M743" s="2">
        <v>25.0</v>
      </c>
      <c r="N743" s="25">
        <v>10.0</v>
      </c>
      <c r="O743" s="25"/>
      <c r="P743" s="25"/>
    </row>
    <row r="744">
      <c r="A744" s="16">
        <v>742.0</v>
      </c>
      <c r="B744" s="17" t="s">
        <v>1079</v>
      </c>
      <c r="C744" s="18">
        <v>2.0</v>
      </c>
      <c r="D744" s="19" t="s">
        <v>1906</v>
      </c>
      <c r="E744" s="20" t="s">
        <v>91</v>
      </c>
      <c r="F744" s="17" t="s">
        <v>82</v>
      </c>
      <c r="G744" s="17" t="s">
        <v>123</v>
      </c>
      <c r="H744" s="17" t="s">
        <v>2603</v>
      </c>
      <c r="I744" s="17" t="s">
        <v>98</v>
      </c>
      <c r="J744" s="22" t="s">
        <v>135</v>
      </c>
      <c r="K744" s="23" t="s">
        <v>108</v>
      </c>
      <c r="L744" s="24" t="s">
        <v>91</v>
      </c>
      <c r="M744" s="2">
        <v>25.0</v>
      </c>
      <c r="N744" s="25">
        <v>20.0</v>
      </c>
      <c r="O744" s="25"/>
      <c r="P744" s="25"/>
    </row>
    <row r="745">
      <c r="A745" s="16">
        <v>743.0</v>
      </c>
      <c r="B745" s="17" t="s">
        <v>1079</v>
      </c>
      <c r="C745" s="18">
        <v>3.0</v>
      </c>
      <c r="D745" s="19" t="s">
        <v>1906</v>
      </c>
      <c r="E745" s="20" t="s">
        <v>91</v>
      </c>
      <c r="F745" s="17" t="s">
        <v>87</v>
      </c>
      <c r="G745" s="17" t="s">
        <v>2605</v>
      </c>
      <c r="H745" s="17" t="s">
        <v>2606</v>
      </c>
      <c r="I745" s="17" t="s">
        <v>98</v>
      </c>
      <c r="J745" s="22" t="s">
        <v>135</v>
      </c>
      <c r="K745" s="23" t="s">
        <v>108</v>
      </c>
      <c r="L745" s="24" t="s">
        <v>91</v>
      </c>
      <c r="M745" s="2">
        <v>25.0</v>
      </c>
      <c r="N745" s="25">
        <v>20.0</v>
      </c>
      <c r="O745" s="25"/>
      <c r="P745" s="25"/>
    </row>
    <row r="746">
      <c r="A746" s="16">
        <v>744.0</v>
      </c>
      <c r="B746" s="17" t="s">
        <v>1079</v>
      </c>
      <c r="C746" s="18">
        <v>4.0</v>
      </c>
      <c r="D746" s="19" t="s">
        <v>2599</v>
      </c>
      <c r="E746" s="20" t="s">
        <v>91</v>
      </c>
      <c r="F746" s="17" t="s">
        <v>1091</v>
      </c>
      <c r="G746" s="17" t="s">
        <v>2607</v>
      </c>
      <c r="H746" s="17" t="s">
        <v>2608</v>
      </c>
      <c r="I746" s="17" t="s">
        <v>98</v>
      </c>
      <c r="J746" s="22" t="s">
        <v>135</v>
      </c>
      <c r="K746" s="23" t="s">
        <v>108</v>
      </c>
      <c r="L746" s="24" t="s">
        <v>91</v>
      </c>
      <c r="M746" s="2">
        <v>25.0</v>
      </c>
      <c r="N746" s="25">
        <v>20.0</v>
      </c>
      <c r="O746" s="25"/>
      <c r="P746" s="25"/>
    </row>
    <row r="747">
      <c r="A747" s="16">
        <v>745.0</v>
      </c>
      <c r="B747" s="17" t="s">
        <v>1079</v>
      </c>
      <c r="C747" s="18">
        <v>5.0</v>
      </c>
      <c r="D747" s="19" t="s">
        <v>2599</v>
      </c>
      <c r="E747" s="20" t="s">
        <v>91</v>
      </c>
      <c r="F747" s="17" t="s">
        <v>869</v>
      </c>
      <c r="G747" s="17" t="s">
        <v>2609</v>
      </c>
      <c r="H747" s="17" t="s">
        <v>2610</v>
      </c>
      <c r="I747" s="17" t="s">
        <v>98</v>
      </c>
      <c r="J747" s="22" t="s">
        <v>135</v>
      </c>
      <c r="K747" s="23" t="s">
        <v>108</v>
      </c>
      <c r="L747" s="24" t="s">
        <v>91</v>
      </c>
      <c r="M747" s="2">
        <v>25.0</v>
      </c>
      <c r="N747" s="25">
        <v>20.0</v>
      </c>
      <c r="O747" s="25"/>
      <c r="P747" s="25"/>
    </row>
    <row r="748">
      <c r="A748" s="16">
        <v>746.0</v>
      </c>
      <c r="B748" s="17" t="s">
        <v>1079</v>
      </c>
      <c r="C748" s="18">
        <v>6.0</v>
      </c>
      <c r="D748" s="19" t="s">
        <v>2599</v>
      </c>
      <c r="E748" s="20" t="s">
        <v>91</v>
      </c>
      <c r="F748" s="17" t="s">
        <v>973</v>
      </c>
      <c r="G748" s="17" t="s">
        <v>2324</v>
      </c>
      <c r="H748" s="17" t="s">
        <v>2612</v>
      </c>
      <c r="I748" s="17" t="s">
        <v>98</v>
      </c>
      <c r="J748" s="22" t="s">
        <v>135</v>
      </c>
      <c r="K748" s="23" t="s">
        <v>108</v>
      </c>
      <c r="L748" s="24" t="s">
        <v>91</v>
      </c>
      <c r="M748" s="2">
        <v>25.0</v>
      </c>
      <c r="N748" s="25">
        <v>20.0</v>
      </c>
      <c r="O748" s="25"/>
      <c r="P748" s="25"/>
    </row>
    <row r="749">
      <c r="A749" s="16">
        <v>747.0</v>
      </c>
      <c r="B749" s="17" t="s">
        <v>1079</v>
      </c>
      <c r="C749" s="18">
        <v>7.0</v>
      </c>
      <c r="D749" s="19" t="s">
        <v>2599</v>
      </c>
      <c r="E749" s="20" t="s">
        <v>91</v>
      </c>
      <c r="F749" s="17" t="s">
        <v>453</v>
      </c>
      <c r="G749" s="17" t="s">
        <v>2613</v>
      </c>
      <c r="H749" s="17" t="s">
        <v>2614</v>
      </c>
      <c r="I749" s="17" t="s">
        <v>98</v>
      </c>
      <c r="J749" s="22" t="s">
        <v>135</v>
      </c>
      <c r="K749" s="23" t="s">
        <v>108</v>
      </c>
      <c r="L749" s="24" t="s">
        <v>91</v>
      </c>
      <c r="M749" s="2">
        <v>25.0</v>
      </c>
      <c r="N749" s="25">
        <v>20.0</v>
      </c>
      <c r="O749" s="25"/>
      <c r="P749" s="25"/>
    </row>
    <row r="750">
      <c r="A750" s="16">
        <v>748.0</v>
      </c>
      <c r="B750" s="27" t="s">
        <v>1079</v>
      </c>
      <c r="C750" s="18">
        <v>8.0</v>
      </c>
      <c r="D750" s="19" t="s">
        <v>2599</v>
      </c>
      <c r="E750" s="20" t="s">
        <v>91</v>
      </c>
      <c r="F750" s="27" t="s">
        <v>1346</v>
      </c>
      <c r="G750" s="17" t="s">
        <v>2617</v>
      </c>
      <c r="H750" s="17" t="s">
        <v>2618</v>
      </c>
      <c r="I750" s="17" t="s">
        <v>98</v>
      </c>
      <c r="J750" s="22" t="s">
        <v>135</v>
      </c>
      <c r="K750" s="23" t="s">
        <v>108</v>
      </c>
      <c r="L750" s="24"/>
      <c r="M750" s="2">
        <v>25.0</v>
      </c>
      <c r="N750" s="25">
        <v>20.0</v>
      </c>
      <c r="O750" s="25"/>
      <c r="P750" s="25"/>
    </row>
    <row r="751">
      <c r="A751" s="16">
        <v>749.0</v>
      </c>
      <c r="B751" s="27" t="s">
        <v>1079</v>
      </c>
      <c r="C751" s="18">
        <v>9.0</v>
      </c>
      <c r="D751" s="19" t="s">
        <v>2599</v>
      </c>
      <c r="E751" s="20" t="s">
        <v>91</v>
      </c>
      <c r="F751" s="27" t="s">
        <v>1203</v>
      </c>
      <c r="G751" s="17" t="s">
        <v>2620</v>
      </c>
      <c r="H751" s="17" t="s">
        <v>2621</v>
      </c>
      <c r="I751" s="17" t="s">
        <v>98</v>
      </c>
      <c r="J751" s="22" t="s">
        <v>135</v>
      </c>
      <c r="K751" s="23" t="s">
        <v>108</v>
      </c>
      <c r="L751" s="24"/>
      <c r="M751" s="2">
        <v>25.0</v>
      </c>
      <c r="N751" s="25">
        <v>20.0</v>
      </c>
      <c r="O751" s="25"/>
      <c r="P751" s="25"/>
    </row>
    <row r="752">
      <c r="A752" s="16">
        <v>750.0</v>
      </c>
      <c r="B752" s="17" t="s">
        <v>1079</v>
      </c>
      <c r="C752" s="18">
        <v>10.0</v>
      </c>
      <c r="D752" s="19" t="s">
        <v>2622</v>
      </c>
      <c r="E752" s="20" t="s">
        <v>91</v>
      </c>
      <c r="F752" s="17" t="s">
        <v>1216</v>
      </c>
      <c r="G752" s="17" t="s">
        <v>2623</v>
      </c>
      <c r="H752" s="17" t="s">
        <v>2624</v>
      </c>
      <c r="I752" s="17" t="s">
        <v>125</v>
      </c>
      <c r="J752" s="22" t="s">
        <v>144</v>
      </c>
      <c r="K752" s="23" t="s">
        <v>108</v>
      </c>
      <c r="L752" s="24" t="s">
        <v>91</v>
      </c>
      <c r="M752" s="2">
        <v>25.0</v>
      </c>
      <c r="N752" s="25">
        <v>31.0</v>
      </c>
      <c r="O752" s="25"/>
      <c r="P752" s="25"/>
    </row>
    <row r="753">
      <c r="A753" s="16">
        <v>751.0</v>
      </c>
      <c r="B753" s="17" t="s">
        <v>1079</v>
      </c>
      <c r="C753" s="18">
        <v>11.0</v>
      </c>
      <c r="D753" s="19" t="s">
        <v>2622</v>
      </c>
      <c r="E753" s="20" t="s">
        <v>91</v>
      </c>
      <c r="F753" s="17" t="s">
        <v>1214</v>
      </c>
      <c r="G753" s="17" t="s">
        <v>2626</v>
      </c>
      <c r="H753" s="17" t="s">
        <v>2627</v>
      </c>
      <c r="I753" s="17" t="s">
        <v>125</v>
      </c>
      <c r="J753" s="22" t="s">
        <v>144</v>
      </c>
      <c r="K753" s="23" t="s">
        <v>108</v>
      </c>
      <c r="L753" s="24" t="s">
        <v>91</v>
      </c>
      <c r="M753" s="2">
        <v>25.0</v>
      </c>
      <c r="N753" s="25">
        <v>31.0</v>
      </c>
      <c r="O753" s="25"/>
      <c r="P753" s="25"/>
    </row>
    <row r="754">
      <c r="A754" s="16">
        <v>752.0</v>
      </c>
      <c r="B754" s="17" t="s">
        <v>1079</v>
      </c>
      <c r="C754" s="18">
        <v>12.0</v>
      </c>
      <c r="D754" s="19" t="s">
        <v>2622</v>
      </c>
      <c r="E754" s="20" t="s">
        <v>91</v>
      </c>
      <c r="F754" s="17" t="s">
        <v>699</v>
      </c>
      <c r="G754" s="17" t="s">
        <v>2628</v>
      </c>
      <c r="H754" s="17" t="s">
        <v>2629</v>
      </c>
      <c r="I754" s="17" t="s">
        <v>125</v>
      </c>
      <c r="J754" s="22" t="s">
        <v>144</v>
      </c>
      <c r="K754" s="23" t="s">
        <v>108</v>
      </c>
      <c r="L754" s="24" t="s">
        <v>91</v>
      </c>
      <c r="M754" s="2">
        <v>25.0</v>
      </c>
      <c r="N754" s="25">
        <v>31.0</v>
      </c>
      <c r="O754" s="25"/>
      <c r="P754" s="25"/>
    </row>
    <row r="755">
      <c r="A755" s="16">
        <v>753.0</v>
      </c>
      <c r="B755" s="17" t="s">
        <v>1079</v>
      </c>
      <c r="C755" s="18">
        <v>13.0</v>
      </c>
      <c r="D755" s="19" t="s">
        <v>2622</v>
      </c>
      <c r="E755" s="20" t="s">
        <v>91</v>
      </c>
      <c r="F755" s="17" t="s">
        <v>1064</v>
      </c>
      <c r="G755" s="17" t="s">
        <v>2630</v>
      </c>
      <c r="H755" s="17" t="s">
        <v>2631</v>
      </c>
      <c r="I755" s="17" t="s">
        <v>125</v>
      </c>
      <c r="J755" s="22" t="s">
        <v>144</v>
      </c>
      <c r="K755" s="23" t="s">
        <v>108</v>
      </c>
      <c r="L755" s="24" t="s">
        <v>91</v>
      </c>
      <c r="M755" s="2">
        <v>25.0</v>
      </c>
      <c r="N755" s="25">
        <v>31.0</v>
      </c>
      <c r="O755" s="25"/>
      <c r="P755" s="25"/>
    </row>
    <row r="756">
      <c r="A756" s="16">
        <v>754.0</v>
      </c>
      <c r="B756" s="17" t="s">
        <v>1079</v>
      </c>
      <c r="C756" s="18">
        <v>14.0</v>
      </c>
      <c r="D756" s="19" t="s">
        <v>2622</v>
      </c>
      <c r="E756" s="20" t="s">
        <v>91</v>
      </c>
      <c r="F756" s="17" t="s">
        <v>1327</v>
      </c>
      <c r="G756" s="17" t="s">
        <v>2632</v>
      </c>
      <c r="H756" s="17" t="s">
        <v>2633</v>
      </c>
      <c r="I756" s="17" t="s">
        <v>125</v>
      </c>
      <c r="J756" s="22" t="s">
        <v>144</v>
      </c>
      <c r="K756" s="23" t="s">
        <v>108</v>
      </c>
      <c r="L756" s="24" t="s">
        <v>91</v>
      </c>
      <c r="M756" s="2">
        <v>25.0</v>
      </c>
      <c r="N756" s="25">
        <v>31.0</v>
      </c>
      <c r="O756" s="25"/>
      <c r="P756" s="25"/>
    </row>
    <row r="757">
      <c r="A757" s="16">
        <v>755.0</v>
      </c>
      <c r="B757" s="17" t="s">
        <v>1079</v>
      </c>
      <c r="C757" s="18">
        <v>15.0</v>
      </c>
      <c r="D757" s="19" t="s">
        <v>2622</v>
      </c>
      <c r="E757" s="20" t="s">
        <v>91</v>
      </c>
      <c r="F757" s="17" t="s">
        <v>1092</v>
      </c>
      <c r="G757" s="17" t="s">
        <v>2634</v>
      </c>
      <c r="H757" s="17" t="s">
        <v>2635</v>
      </c>
      <c r="I757" s="17" t="s">
        <v>125</v>
      </c>
      <c r="J757" s="22" t="s">
        <v>144</v>
      </c>
      <c r="K757" s="23" t="s">
        <v>108</v>
      </c>
      <c r="L757" s="24" t="s">
        <v>91</v>
      </c>
      <c r="M757" s="2">
        <v>25.0</v>
      </c>
      <c r="N757" s="25">
        <v>31.0</v>
      </c>
      <c r="O757" s="25"/>
      <c r="P757" s="25"/>
    </row>
    <row r="758">
      <c r="A758" s="16">
        <v>756.0</v>
      </c>
      <c r="B758" s="17" t="s">
        <v>1079</v>
      </c>
      <c r="C758" s="18">
        <v>16.0</v>
      </c>
      <c r="D758" s="19" t="s">
        <v>2622</v>
      </c>
      <c r="E758" s="20" t="s">
        <v>91</v>
      </c>
      <c r="F758" s="17" t="s">
        <v>702</v>
      </c>
      <c r="G758" s="17" t="s">
        <v>2637</v>
      </c>
      <c r="H758" s="17" t="s">
        <v>2638</v>
      </c>
      <c r="I758" s="17" t="s">
        <v>125</v>
      </c>
      <c r="J758" s="22" t="s">
        <v>144</v>
      </c>
      <c r="K758" s="23" t="s">
        <v>108</v>
      </c>
      <c r="L758" s="24" t="s">
        <v>91</v>
      </c>
      <c r="M758" s="2">
        <v>25.0</v>
      </c>
      <c r="N758" s="25">
        <v>31.0</v>
      </c>
      <c r="O758" s="25"/>
      <c r="P758" s="25"/>
    </row>
    <row r="759">
      <c r="A759" s="16">
        <v>757.0</v>
      </c>
      <c r="B759" s="17" t="s">
        <v>1079</v>
      </c>
      <c r="C759" s="18">
        <v>17.0</v>
      </c>
      <c r="D759" s="19" t="s">
        <v>2622</v>
      </c>
      <c r="E759" s="20" t="s">
        <v>91</v>
      </c>
      <c r="F759" s="17" t="s">
        <v>1217</v>
      </c>
      <c r="G759" s="17" t="s">
        <v>2640</v>
      </c>
      <c r="H759" s="17" t="s">
        <v>2641</v>
      </c>
      <c r="I759" s="17" t="s">
        <v>125</v>
      </c>
      <c r="J759" s="22" t="s">
        <v>144</v>
      </c>
      <c r="K759" s="23" t="s">
        <v>108</v>
      </c>
      <c r="L759" s="24" t="s">
        <v>91</v>
      </c>
      <c r="M759" s="2">
        <v>25.0</v>
      </c>
      <c r="N759" s="25">
        <v>31.0</v>
      </c>
      <c r="O759" s="25"/>
      <c r="P759" s="25"/>
    </row>
    <row r="760">
      <c r="A760" s="16">
        <v>758.0</v>
      </c>
      <c r="B760" s="17" t="s">
        <v>1079</v>
      </c>
      <c r="C760" s="18">
        <v>18.0</v>
      </c>
      <c r="D760" s="19" t="s">
        <v>2622</v>
      </c>
      <c r="E760" s="20" t="s">
        <v>91</v>
      </c>
      <c r="F760" s="17" t="s">
        <v>1199</v>
      </c>
      <c r="G760" s="17" t="s">
        <v>2152</v>
      </c>
      <c r="H760" s="17" t="s">
        <v>2642</v>
      </c>
      <c r="I760" s="17" t="s">
        <v>125</v>
      </c>
      <c r="J760" s="22" t="s">
        <v>144</v>
      </c>
      <c r="K760" s="23" t="s">
        <v>108</v>
      </c>
      <c r="L760" s="24" t="s">
        <v>91</v>
      </c>
      <c r="M760" s="2">
        <v>25.0</v>
      </c>
      <c r="N760" s="25">
        <v>31.0</v>
      </c>
      <c r="O760" s="25"/>
      <c r="P760" s="25"/>
    </row>
    <row r="761">
      <c r="A761" s="16">
        <v>759.0</v>
      </c>
      <c r="B761" s="17" t="s">
        <v>1079</v>
      </c>
      <c r="C761" s="18">
        <v>19.0</v>
      </c>
      <c r="D761" s="19" t="s">
        <v>1906</v>
      </c>
      <c r="E761" s="20" t="s">
        <v>91</v>
      </c>
      <c r="F761" s="17" t="s">
        <v>1093</v>
      </c>
      <c r="G761" s="17" t="s">
        <v>2643</v>
      </c>
      <c r="H761" s="17" t="s">
        <v>2644</v>
      </c>
      <c r="I761" s="17" t="s">
        <v>125</v>
      </c>
      <c r="J761" s="22" t="s">
        <v>144</v>
      </c>
      <c r="K761" s="23" t="s">
        <v>108</v>
      </c>
      <c r="L761" s="24" t="s">
        <v>91</v>
      </c>
      <c r="M761" s="2">
        <v>25.0</v>
      </c>
      <c r="N761" s="25">
        <v>31.0</v>
      </c>
      <c r="O761" s="25"/>
      <c r="P761" s="25"/>
    </row>
    <row r="762">
      <c r="A762" s="16">
        <v>760.0</v>
      </c>
      <c r="B762" s="17" t="s">
        <v>1079</v>
      </c>
      <c r="C762" s="18">
        <v>20.0</v>
      </c>
      <c r="D762" s="19" t="s">
        <v>1906</v>
      </c>
      <c r="E762" s="20" t="s">
        <v>91</v>
      </c>
      <c r="F762" s="17" t="s">
        <v>1094</v>
      </c>
      <c r="G762" s="17" t="s">
        <v>2646</v>
      </c>
      <c r="H762" s="17" t="s">
        <v>2647</v>
      </c>
      <c r="I762" s="17" t="s">
        <v>125</v>
      </c>
      <c r="J762" s="22" t="s">
        <v>144</v>
      </c>
      <c r="K762" s="23" t="s">
        <v>108</v>
      </c>
      <c r="L762" s="24" t="s">
        <v>91</v>
      </c>
      <c r="M762" s="2">
        <v>25.0</v>
      </c>
      <c r="N762" s="25">
        <v>31.0</v>
      </c>
      <c r="O762" s="25"/>
      <c r="P762" s="25"/>
    </row>
    <row r="763">
      <c r="A763" s="16">
        <v>761.0</v>
      </c>
      <c r="B763" s="17" t="s">
        <v>1079</v>
      </c>
      <c r="C763" s="18">
        <v>21.0</v>
      </c>
      <c r="D763" s="19" t="s">
        <v>1906</v>
      </c>
      <c r="E763" s="20" t="s">
        <v>91</v>
      </c>
      <c r="F763" s="17" t="s">
        <v>1097</v>
      </c>
      <c r="G763" s="17" t="s">
        <v>2648</v>
      </c>
      <c r="H763" s="17" t="s">
        <v>2649</v>
      </c>
      <c r="I763" s="17" t="s">
        <v>125</v>
      </c>
      <c r="J763" s="22" t="s">
        <v>144</v>
      </c>
      <c r="K763" s="23" t="s">
        <v>108</v>
      </c>
      <c r="L763" s="24" t="s">
        <v>91</v>
      </c>
      <c r="M763" s="2">
        <v>25.0</v>
      </c>
      <c r="N763" s="25">
        <v>31.0</v>
      </c>
      <c r="O763" s="25"/>
      <c r="P763" s="25"/>
    </row>
    <row r="764">
      <c r="A764" s="16">
        <v>762.0</v>
      </c>
      <c r="B764" s="17" t="s">
        <v>1079</v>
      </c>
      <c r="C764" s="18">
        <v>22.0</v>
      </c>
      <c r="D764" s="19" t="s">
        <v>1906</v>
      </c>
      <c r="E764" s="20" t="s">
        <v>91</v>
      </c>
      <c r="F764" s="17" t="s">
        <v>1098</v>
      </c>
      <c r="G764" s="17" t="s">
        <v>2651</v>
      </c>
      <c r="H764" s="17" t="s">
        <v>2652</v>
      </c>
      <c r="I764" s="17" t="s">
        <v>125</v>
      </c>
      <c r="J764" s="22" t="s">
        <v>144</v>
      </c>
      <c r="K764" s="23" t="s">
        <v>108</v>
      </c>
      <c r="L764" s="24" t="s">
        <v>91</v>
      </c>
      <c r="M764" s="2">
        <v>25.0</v>
      </c>
      <c r="N764" s="25">
        <v>31.0</v>
      </c>
      <c r="O764" s="25"/>
      <c r="P764" s="25"/>
    </row>
    <row r="765">
      <c r="A765" s="16">
        <v>763.0</v>
      </c>
      <c r="B765" s="17" t="s">
        <v>1079</v>
      </c>
      <c r="C765" s="18">
        <v>23.0</v>
      </c>
      <c r="D765" s="19" t="s">
        <v>1906</v>
      </c>
      <c r="E765" s="20" t="s">
        <v>91</v>
      </c>
      <c r="F765" s="17" t="s">
        <v>1218</v>
      </c>
      <c r="G765" s="17" t="s">
        <v>2653</v>
      </c>
      <c r="H765" s="17" t="s">
        <v>2654</v>
      </c>
      <c r="I765" s="17" t="s">
        <v>125</v>
      </c>
      <c r="J765" s="22" t="s">
        <v>144</v>
      </c>
      <c r="K765" s="23" t="s">
        <v>108</v>
      </c>
      <c r="L765" s="24" t="s">
        <v>91</v>
      </c>
      <c r="M765" s="2">
        <v>25.0</v>
      </c>
      <c r="N765" s="25">
        <v>31.0</v>
      </c>
      <c r="O765" s="25"/>
      <c r="P765" s="25"/>
    </row>
    <row r="766">
      <c r="A766" s="16">
        <v>764.0</v>
      </c>
      <c r="B766" s="17" t="s">
        <v>1079</v>
      </c>
      <c r="C766" s="18">
        <v>24.0</v>
      </c>
      <c r="D766" s="19" t="s">
        <v>2599</v>
      </c>
      <c r="E766" s="20" t="s">
        <v>91</v>
      </c>
      <c r="F766" s="17" t="s">
        <v>981</v>
      </c>
      <c r="G766" s="17" t="s">
        <v>2655</v>
      </c>
      <c r="H766" s="17" t="s">
        <v>2656</v>
      </c>
      <c r="I766" s="17" t="s">
        <v>125</v>
      </c>
      <c r="J766" s="22" t="s">
        <v>144</v>
      </c>
      <c r="K766" s="23" t="s">
        <v>108</v>
      </c>
      <c r="L766" s="24" t="s">
        <v>91</v>
      </c>
      <c r="M766" s="2">
        <v>25.0</v>
      </c>
      <c r="N766" s="25">
        <v>31.0</v>
      </c>
      <c r="O766" s="25"/>
      <c r="P766" s="25"/>
    </row>
    <row r="767">
      <c r="A767" s="16">
        <v>765.0</v>
      </c>
      <c r="B767" s="17" t="s">
        <v>1079</v>
      </c>
      <c r="C767" s="18">
        <v>25.0</v>
      </c>
      <c r="D767" s="19" t="s">
        <v>2599</v>
      </c>
      <c r="E767" s="20" t="s">
        <v>91</v>
      </c>
      <c r="F767" s="17" t="s">
        <v>982</v>
      </c>
      <c r="G767" s="17" t="s">
        <v>2658</v>
      </c>
      <c r="H767" s="17" t="s">
        <v>2659</v>
      </c>
      <c r="I767" s="17" t="s">
        <v>125</v>
      </c>
      <c r="J767" s="22" t="s">
        <v>144</v>
      </c>
      <c r="K767" s="23" t="s">
        <v>108</v>
      </c>
      <c r="L767" s="24" t="s">
        <v>91</v>
      </c>
      <c r="M767" s="2">
        <v>25.0</v>
      </c>
      <c r="N767" s="25">
        <v>31.0</v>
      </c>
      <c r="O767" s="25"/>
      <c r="P767" s="25"/>
    </row>
    <row r="768">
      <c r="A768" s="16">
        <v>766.0</v>
      </c>
      <c r="B768" s="17" t="s">
        <v>1079</v>
      </c>
      <c r="C768" s="18">
        <v>26.0</v>
      </c>
      <c r="D768" s="19" t="s">
        <v>2599</v>
      </c>
      <c r="E768" s="20" t="s">
        <v>91</v>
      </c>
      <c r="F768" s="17" t="s">
        <v>985</v>
      </c>
      <c r="G768" s="17" t="s">
        <v>2660</v>
      </c>
      <c r="H768" s="17" t="s">
        <v>2661</v>
      </c>
      <c r="I768" s="17" t="s">
        <v>125</v>
      </c>
      <c r="J768" s="22" t="s">
        <v>144</v>
      </c>
      <c r="K768" s="23" t="s">
        <v>108</v>
      </c>
      <c r="L768" s="24" t="s">
        <v>91</v>
      </c>
      <c r="M768" s="2">
        <v>25.0</v>
      </c>
      <c r="N768" s="25">
        <v>31.0</v>
      </c>
      <c r="O768" s="25"/>
      <c r="P768" s="25"/>
    </row>
    <row r="769">
      <c r="A769" s="16">
        <v>767.0</v>
      </c>
      <c r="B769" s="17" t="s">
        <v>1079</v>
      </c>
      <c r="C769" s="18">
        <v>27.0</v>
      </c>
      <c r="D769" s="19" t="s">
        <v>2599</v>
      </c>
      <c r="E769" s="20" t="s">
        <v>91</v>
      </c>
      <c r="F769" s="17" t="s">
        <v>481</v>
      </c>
      <c r="G769" s="17" t="s">
        <v>2662</v>
      </c>
      <c r="H769" s="17" t="s">
        <v>2663</v>
      </c>
      <c r="I769" s="17" t="s">
        <v>125</v>
      </c>
      <c r="J769" s="22" t="s">
        <v>144</v>
      </c>
      <c r="K769" s="23" t="s">
        <v>108</v>
      </c>
      <c r="L769" s="24" t="s">
        <v>91</v>
      </c>
      <c r="M769" s="2">
        <v>25.0</v>
      </c>
      <c r="N769" s="25">
        <v>31.0</v>
      </c>
      <c r="O769" s="25"/>
      <c r="P769" s="25"/>
    </row>
    <row r="770">
      <c r="A770" s="16">
        <v>768.0</v>
      </c>
      <c r="B770" s="17" t="s">
        <v>1079</v>
      </c>
      <c r="C770" s="18">
        <v>28.0</v>
      </c>
      <c r="D770" s="19" t="s">
        <v>2599</v>
      </c>
      <c r="E770" s="20" t="s">
        <v>91</v>
      </c>
      <c r="F770" s="17" t="s">
        <v>849</v>
      </c>
      <c r="G770" s="17" t="s">
        <v>123</v>
      </c>
      <c r="H770" s="17" t="s">
        <v>1959</v>
      </c>
      <c r="I770" s="17" t="s">
        <v>125</v>
      </c>
      <c r="J770" s="22" t="s">
        <v>144</v>
      </c>
      <c r="K770" s="23" t="s">
        <v>108</v>
      </c>
      <c r="L770" s="24" t="s">
        <v>91</v>
      </c>
      <c r="M770" s="2">
        <v>25.0</v>
      </c>
      <c r="N770" s="25">
        <v>31.0</v>
      </c>
      <c r="O770" s="25"/>
      <c r="P770" s="25"/>
    </row>
    <row r="771">
      <c r="A771" s="16">
        <v>769.0</v>
      </c>
      <c r="B771" s="17" t="s">
        <v>1079</v>
      </c>
      <c r="C771" s="18">
        <v>29.0</v>
      </c>
      <c r="D771" s="19" t="s">
        <v>2599</v>
      </c>
      <c r="E771" s="20" t="s">
        <v>91</v>
      </c>
      <c r="F771" s="17" t="s">
        <v>860</v>
      </c>
      <c r="G771" s="17" t="s">
        <v>2665</v>
      </c>
      <c r="H771" s="17" t="s">
        <v>2666</v>
      </c>
      <c r="I771" s="17" t="s">
        <v>125</v>
      </c>
      <c r="J771" s="22" t="s">
        <v>144</v>
      </c>
      <c r="K771" s="23" t="s">
        <v>108</v>
      </c>
      <c r="L771" s="24" t="s">
        <v>91</v>
      </c>
      <c r="M771" s="2">
        <v>25.0</v>
      </c>
      <c r="N771" s="25">
        <v>31.0</v>
      </c>
      <c r="O771" s="25"/>
      <c r="P771" s="25"/>
    </row>
    <row r="772">
      <c r="A772" s="16">
        <v>770.0</v>
      </c>
      <c r="B772" s="17" t="s">
        <v>1079</v>
      </c>
      <c r="C772" s="18">
        <v>30.0</v>
      </c>
      <c r="D772" s="19" t="s">
        <v>2599</v>
      </c>
      <c r="E772" s="20" t="s">
        <v>91</v>
      </c>
      <c r="F772" s="17" t="s">
        <v>152</v>
      </c>
      <c r="G772" s="17" t="s">
        <v>2667</v>
      </c>
      <c r="H772" s="17" t="s">
        <v>2668</v>
      </c>
      <c r="I772" s="17" t="s">
        <v>125</v>
      </c>
      <c r="J772" s="22" t="s">
        <v>144</v>
      </c>
      <c r="K772" s="23" t="s">
        <v>108</v>
      </c>
      <c r="L772" s="24" t="s">
        <v>91</v>
      </c>
      <c r="M772" s="2">
        <v>25.0</v>
      </c>
      <c r="N772" s="25">
        <v>31.0</v>
      </c>
      <c r="O772" s="25"/>
      <c r="P772" s="25"/>
    </row>
    <row r="773">
      <c r="A773" s="16">
        <v>771.0</v>
      </c>
      <c r="B773" s="17" t="s">
        <v>1314</v>
      </c>
      <c r="C773" s="18">
        <v>1.0</v>
      </c>
      <c r="D773" s="19" t="s">
        <v>2669</v>
      </c>
      <c r="E773" s="20" t="s">
        <v>91</v>
      </c>
      <c r="F773" s="17" t="s">
        <v>1328</v>
      </c>
      <c r="G773" s="17" t="s">
        <v>2670</v>
      </c>
      <c r="H773" s="17" t="s">
        <v>2671</v>
      </c>
      <c r="I773" s="17" t="s">
        <v>125</v>
      </c>
      <c r="J773" s="22" t="s">
        <v>100</v>
      </c>
      <c r="K773" s="23" t="s">
        <v>108</v>
      </c>
      <c r="L773" s="24" t="s">
        <v>91</v>
      </c>
      <c r="M773" s="2">
        <v>26.0</v>
      </c>
      <c r="N773" s="25">
        <v>11.0</v>
      </c>
      <c r="O773" s="25"/>
      <c r="P773" s="25"/>
    </row>
    <row r="774">
      <c r="A774" s="16">
        <v>772.0</v>
      </c>
      <c r="B774" s="17" t="s">
        <v>1314</v>
      </c>
      <c r="C774" s="18">
        <v>2.0</v>
      </c>
      <c r="D774" s="19" t="s">
        <v>2672</v>
      </c>
      <c r="E774" s="20" t="s">
        <v>91</v>
      </c>
      <c r="F774" s="17" t="s">
        <v>959</v>
      </c>
      <c r="G774" s="17" t="s">
        <v>2008</v>
      </c>
      <c r="H774" s="17" t="s">
        <v>2170</v>
      </c>
      <c r="I774" s="17" t="s">
        <v>125</v>
      </c>
      <c r="J774" s="22" t="s">
        <v>100</v>
      </c>
      <c r="K774" s="23" t="s">
        <v>108</v>
      </c>
      <c r="L774" s="24" t="s">
        <v>91</v>
      </c>
      <c r="M774" s="2">
        <v>26.0</v>
      </c>
      <c r="N774" s="25">
        <v>11.0</v>
      </c>
      <c r="O774" s="25"/>
      <c r="P774" s="25"/>
    </row>
    <row r="775">
      <c r="A775" s="16">
        <v>773.0</v>
      </c>
      <c r="B775" s="17" t="s">
        <v>1314</v>
      </c>
      <c r="C775" s="18">
        <v>3.0</v>
      </c>
      <c r="D775" s="19" t="s">
        <v>2672</v>
      </c>
      <c r="E775" s="20" t="s">
        <v>91</v>
      </c>
      <c r="F775" s="17" t="s">
        <v>1041</v>
      </c>
      <c r="G775" s="17" t="s">
        <v>2674</v>
      </c>
      <c r="H775" s="17" t="s">
        <v>2675</v>
      </c>
      <c r="I775" s="17" t="s">
        <v>125</v>
      </c>
      <c r="J775" s="22" t="s">
        <v>100</v>
      </c>
      <c r="K775" s="23" t="s">
        <v>108</v>
      </c>
      <c r="L775" s="24" t="s">
        <v>91</v>
      </c>
      <c r="M775" s="2">
        <v>26.0</v>
      </c>
      <c r="N775" s="25">
        <v>11.0</v>
      </c>
      <c r="O775" s="25"/>
      <c r="P775" s="25"/>
    </row>
    <row r="776">
      <c r="A776" s="16">
        <v>774.0</v>
      </c>
      <c r="B776" s="17" t="s">
        <v>1314</v>
      </c>
      <c r="C776" s="18">
        <v>4.0</v>
      </c>
      <c r="D776" s="19" t="s">
        <v>2672</v>
      </c>
      <c r="E776" s="20" t="s">
        <v>91</v>
      </c>
      <c r="F776" s="17" t="s">
        <v>1077</v>
      </c>
      <c r="G776" s="17" t="s">
        <v>2676</v>
      </c>
      <c r="H776" s="17" t="s">
        <v>2677</v>
      </c>
      <c r="I776" s="17" t="s">
        <v>125</v>
      </c>
      <c r="J776" s="22" t="s">
        <v>135</v>
      </c>
      <c r="K776" s="23" t="s">
        <v>108</v>
      </c>
      <c r="L776" s="24" t="s">
        <v>91</v>
      </c>
      <c r="M776" s="2">
        <v>26.0</v>
      </c>
      <c r="N776" s="25">
        <v>21.0</v>
      </c>
      <c r="O776" s="25"/>
      <c r="P776" s="25"/>
    </row>
    <row r="777">
      <c r="A777" s="16">
        <v>775.0</v>
      </c>
      <c r="B777" s="17" t="s">
        <v>1314</v>
      </c>
      <c r="C777" s="18">
        <v>5.0</v>
      </c>
      <c r="D777" s="19" t="s">
        <v>2669</v>
      </c>
      <c r="E777" s="20" t="s">
        <v>91</v>
      </c>
      <c r="F777" s="17" t="s">
        <v>1219</v>
      </c>
      <c r="G777" s="17" t="s">
        <v>2678</v>
      </c>
      <c r="H777" s="17" t="s">
        <v>2679</v>
      </c>
      <c r="I777" s="17" t="s">
        <v>125</v>
      </c>
      <c r="J777" s="22" t="s">
        <v>144</v>
      </c>
      <c r="K777" s="23" t="s">
        <v>108</v>
      </c>
      <c r="L777" s="24" t="s">
        <v>91</v>
      </c>
      <c r="M777" s="2">
        <v>26.0</v>
      </c>
      <c r="N777" s="25">
        <v>31.0</v>
      </c>
      <c r="O777" s="25"/>
      <c r="P777" s="25"/>
    </row>
    <row r="778">
      <c r="A778" s="16">
        <v>776.0</v>
      </c>
      <c r="B778" s="17" t="s">
        <v>1314</v>
      </c>
      <c r="C778" s="18">
        <v>6.0</v>
      </c>
      <c r="D778" s="19" t="s">
        <v>2669</v>
      </c>
      <c r="E778" s="20" t="s">
        <v>91</v>
      </c>
      <c r="F778" s="17" t="s">
        <v>1090</v>
      </c>
      <c r="G778" s="17" t="s">
        <v>2681</v>
      </c>
      <c r="H778" s="17" t="s">
        <v>2682</v>
      </c>
      <c r="I778" s="17" t="s">
        <v>125</v>
      </c>
      <c r="J778" s="22" t="s">
        <v>144</v>
      </c>
      <c r="K778" s="23" t="s">
        <v>108</v>
      </c>
      <c r="L778" s="24" t="s">
        <v>91</v>
      </c>
      <c r="M778" s="2">
        <v>26.0</v>
      </c>
      <c r="N778" s="25">
        <v>31.0</v>
      </c>
      <c r="O778" s="25"/>
      <c r="P778" s="25"/>
    </row>
    <row r="779">
      <c r="A779" s="16">
        <v>777.0</v>
      </c>
      <c r="B779" s="17" t="s">
        <v>1314</v>
      </c>
      <c r="C779" s="18">
        <v>7.0</v>
      </c>
      <c r="D779" s="19" t="s">
        <v>2669</v>
      </c>
      <c r="E779" s="20" t="s">
        <v>91</v>
      </c>
      <c r="F779" s="17" t="s">
        <v>411</v>
      </c>
      <c r="G779" s="17" t="s">
        <v>123</v>
      </c>
      <c r="H779" s="17" t="s">
        <v>2683</v>
      </c>
      <c r="I779" s="17" t="s">
        <v>125</v>
      </c>
      <c r="J779" s="22" t="s">
        <v>144</v>
      </c>
      <c r="K779" s="23" t="s">
        <v>108</v>
      </c>
      <c r="L779" s="24" t="s">
        <v>91</v>
      </c>
      <c r="M779" s="2">
        <v>26.0</v>
      </c>
      <c r="N779" s="25">
        <v>31.0</v>
      </c>
      <c r="O779" s="25"/>
      <c r="P779" s="25"/>
    </row>
    <row r="780">
      <c r="A780" s="16">
        <v>778.0</v>
      </c>
      <c r="B780" s="17" t="s">
        <v>1314</v>
      </c>
      <c r="C780" s="18">
        <v>8.0</v>
      </c>
      <c r="D780" s="19" t="s">
        <v>2669</v>
      </c>
      <c r="E780" s="20" t="s">
        <v>91</v>
      </c>
      <c r="F780" s="17" t="s">
        <v>851</v>
      </c>
      <c r="G780" s="17" t="s">
        <v>2684</v>
      </c>
      <c r="H780" s="17" t="s">
        <v>2685</v>
      </c>
      <c r="I780" s="17" t="s">
        <v>125</v>
      </c>
      <c r="J780" s="22" t="s">
        <v>144</v>
      </c>
      <c r="K780" s="23" t="s">
        <v>108</v>
      </c>
      <c r="L780" s="24" t="s">
        <v>91</v>
      </c>
      <c r="M780" s="2">
        <v>26.0</v>
      </c>
      <c r="N780" s="25">
        <v>31.0</v>
      </c>
      <c r="O780" s="25"/>
      <c r="P780" s="25"/>
    </row>
    <row r="781">
      <c r="A781" s="16">
        <v>779.0</v>
      </c>
      <c r="B781" s="27" t="s">
        <v>1314</v>
      </c>
      <c r="C781" s="18">
        <v>9.0</v>
      </c>
      <c r="D781" s="19" t="s">
        <v>2669</v>
      </c>
      <c r="E781" s="20" t="s">
        <v>91</v>
      </c>
      <c r="F781" s="27" t="s">
        <v>1188</v>
      </c>
      <c r="G781" s="17" t="s">
        <v>2686</v>
      </c>
      <c r="H781" s="17" t="s">
        <v>2687</v>
      </c>
      <c r="I781" s="17" t="s">
        <v>125</v>
      </c>
      <c r="J781" s="22" t="s">
        <v>144</v>
      </c>
      <c r="K781" s="23" t="s">
        <v>108</v>
      </c>
      <c r="L781" s="24"/>
      <c r="M781" s="2">
        <v>26.0</v>
      </c>
      <c r="N781" s="25">
        <v>31.0</v>
      </c>
      <c r="O781" s="25"/>
      <c r="P781" s="25"/>
    </row>
    <row r="782">
      <c r="A782" s="16">
        <v>780.0</v>
      </c>
      <c r="B782" s="27" t="s">
        <v>1314</v>
      </c>
      <c r="C782" s="18">
        <v>10.0</v>
      </c>
      <c r="D782" s="19" t="s">
        <v>2669</v>
      </c>
      <c r="E782" s="20" t="s">
        <v>91</v>
      </c>
      <c r="F782" s="27" t="s">
        <v>257</v>
      </c>
      <c r="G782" s="17" t="s">
        <v>123</v>
      </c>
      <c r="H782" s="17" t="s">
        <v>2689</v>
      </c>
      <c r="I782" s="17" t="s">
        <v>125</v>
      </c>
      <c r="J782" s="22" t="s">
        <v>144</v>
      </c>
      <c r="K782" s="23" t="s">
        <v>108</v>
      </c>
      <c r="L782" s="24"/>
      <c r="M782" s="2">
        <v>26.0</v>
      </c>
      <c r="N782" s="25">
        <v>31.0</v>
      </c>
      <c r="O782" s="25"/>
      <c r="P782" s="25"/>
    </row>
    <row r="783">
      <c r="A783" s="16">
        <v>781.0</v>
      </c>
      <c r="B783" s="27" t="s">
        <v>1314</v>
      </c>
      <c r="C783" s="18">
        <v>11.0</v>
      </c>
      <c r="D783" s="19" t="s">
        <v>2669</v>
      </c>
      <c r="E783" s="20" t="s">
        <v>91</v>
      </c>
      <c r="F783" s="27" t="s">
        <v>2690</v>
      </c>
      <c r="G783" s="17" t="s">
        <v>2692</v>
      </c>
      <c r="H783" s="17" t="s">
        <v>2693</v>
      </c>
      <c r="I783" s="17" t="s">
        <v>125</v>
      </c>
      <c r="J783" s="22" t="s">
        <v>144</v>
      </c>
      <c r="K783" s="23" t="s">
        <v>108</v>
      </c>
      <c r="L783" s="24"/>
      <c r="M783" s="2">
        <v>26.0</v>
      </c>
      <c r="N783" s="25">
        <v>31.0</v>
      </c>
      <c r="O783" s="25"/>
      <c r="P783" s="25"/>
    </row>
    <row r="784">
      <c r="A784" s="16">
        <v>782.0</v>
      </c>
      <c r="B784" s="27" t="s">
        <v>1314</v>
      </c>
      <c r="C784" s="18">
        <v>12.0</v>
      </c>
      <c r="D784" s="19" t="s">
        <v>2669</v>
      </c>
      <c r="E784" s="20" t="s">
        <v>91</v>
      </c>
      <c r="F784" s="27" t="s">
        <v>1340</v>
      </c>
      <c r="G784" s="17" t="s">
        <v>2696</v>
      </c>
      <c r="H784" s="17" t="s">
        <v>2697</v>
      </c>
      <c r="I784" s="17" t="s">
        <v>125</v>
      </c>
      <c r="J784" s="22" t="s">
        <v>144</v>
      </c>
      <c r="K784" s="23" t="s">
        <v>108</v>
      </c>
      <c r="L784" s="24"/>
      <c r="M784" s="2">
        <v>26.0</v>
      </c>
      <c r="N784" s="25">
        <v>31.0</v>
      </c>
      <c r="O784" s="25"/>
      <c r="P784" s="25"/>
    </row>
    <row r="785">
      <c r="A785" s="16">
        <v>783.0</v>
      </c>
      <c r="B785" s="27" t="s">
        <v>1314</v>
      </c>
      <c r="C785" s="18">
        <v>13.0</v>
      </c>
      <c r="D785" s="19" t="s">
        <v>2669</v>
      </c>
      <c r="E785" s="20" t="s">
        <v>91</v>
      </c>
      <c r="F785" s="27" t="s">
        <v>2699</v>
      </c>
      <c r="G785" s="17" t="s">
        <v>2701</v>
      </c>
      <c r="H785" s="17" t="s">
        <v>2702</v>
      </c>
      <c r="I785" s="17" t="s">
        <v>125</v>
      </c>
      <c r="J785" s="22" t="s">
        <v>144</v>
      </c>
      <c r="K785" s="23" t="s">
        <v>108</v>
      </c>
      <c r="L785" s="24"/>
      <c r="M785" s="2">
        <v>26.0</v>
      </c>
      <c r="N785" s="25">
        <v>31.0</v>
      </c>
      <c r="O785" s="25"/>
      <c r="P785" s="25"/>
    </row>
    <row r="786">
      <c r="A786" s="16">
        <v>784.0</v>
      </c>
      <c r="B786" s="17" t="s">
        <v>1314</v>
      </c>
      <c r="C786" s="18">
        <v>14.0</v>
      </c>
      <c r="D786" s="19" t="s">
        <v>2672</v>
      </c>
      <c r="E786" s="20" t="s">
        <v>91</v>
      </c>
      <c r="F786" s="17" t="s">
        <v>957</v>
      </c>
      <c r="G786" s="17" t="s">
        <v>1984</v>
      </c>
      <c r="H786" s="17" t="s">
        <v>2251</v>
      </c>
      <c r="I786" s="17" t="s">
        <v>125</v>
      </c>
      <c r="J786" s="22" t="s">
        <v>144</v>
      </c>
      <c r="K786" s="23" t="s">
        <v>108</v>
      </c>
      <c r="L786" s="24" t="s">
        <v>91</v>
      </c>
      <c r="M786" s="2">
        <v>26.0</v>
      </c>
      <c r="N786" s="25">
        <v>31.0</v>
      </c>
      <c r="O786" s="25"/>
      <c r="P786" s="25"/>
    </row>
    <row r="787">
      <c r="A787" s="16">
        <v>785.0</v>
      </c>
      <c r="B787" s="17" t="s">
        <v>1314</v>
      </c>
      <c r="C787" s="18">
        <v>15.0</v>
      </c>
      <c r="D787" s="19" t="s">
        <v>2672</v>
      </c>
      <c r="E787" s="20" t="s">
        <v>91</v>
      </c>
      <c r="F787" s="17" t="s">
        <v>1087</v>
      </c>
      <c r="G787" s="17" t="s">
        <v>2506</v>
      </c>
      <c r="H787" s="17" t="s">
        <v>2677</v>
      </c>
      <c r="I787" s="17" t="s">
        <v>125</v>
      </c>
      <c r="J787" s="22" t="s">
        <v>144</v>
      </c>
      <c r="K787" s="23" t="s">
        <v>108</v>
      </c>
      <c r="L787" s="24" t="s">
        <v>91</v>
      </c>
      <c r="M787" s="2">
        <v>26.0</v>
      </c>
      <c r="N787" s="25">
        <v>31.0</v>
      </c>
      <c r="O787" s="25"/>
      <c r="P787" s="25"/>
    </row>
    <row r="788">
      <c r="A788" s="16">
        <v>786.0</v>
      </c>
      <c r="B788" s="17" t="s">
        <v>1314</v>
      </c>
      <c r="C788" s="18">
        <v>16.0</v>
      </c>
      <c r="D788" s="19" t="s">
        <v>2672</v>
      </c>
      <c r="E788" s="20" t="s">
        <v>91</v>
      </c>
      <c r="F788" s="17" t="s">
        <v>986</v>
      </c>
      <c r="G788" s="17" t="s">
        <v>2704</v>
      </c>
      <c r="H788" s="17" t="s">
        <v>2705</v>
      </c>
      <c r="I788" s="17" t="s">
        <v>125</v>
      </c>
      <c r="J788" s="22" t="s">
        <v>144</v>
      </c>
      <c r="K788" s="23" t="s">
        <v>108</v>
      </c>
      <c r="L788" s="24" t="s">
        <v>91</v>
      </c>
      <c r="M788" s="2">
        <v>26.0</v>
      </c>
      <c r="N788" s="25">
        <v>31.0</v>
      </c>
      <c r="O788" s="25"/>
      <c r="P788" s="25"/>
    </row>
    <row r="789">
      <c r="A789" s="16">
        <v>787.0</v>
      </c>
      <c r="B789" s="17" t="s">
        <v>1314</v>
      </c>
      <c r="C789" s="18">
        <v>17.0</v>
      </c>
      <c r="D789" s="19" t="s">
        <v>2672</v>
      </c>
      <c r="E789" s="20" t="s">
        <v>91</v>
      </c>
      <c r="F789" s="17" t="s">
        <v>1331</v>
      </c>
      <c r="G789" s="17" t="s">
        <v>123</v>
      </c>
      <c r="H789" s="17" t="s">
        <v>2706</v>
      </c>
      <c r="I789" s="17" t="s">
        <v>125</v>
      </c>
      <c r="J789" s="22" t="s">
        <v>144</v>
      </c>
      <c r="K789" s="23" t="s">
        <v>108</v>
      </c>
      <c r="L789" s="24" t="s">
        <v>91</v>
      </c>
      <c r="M789" s="2">
        <v>26.0</v>
      </c>
      <c r="N789" s="25">
        <v>31.0</v>
      </c>
      <c r="O789" s="25"/>
      <c r="P789" s="25"/>
    </row>
    <row r="790">
      <c r="A790" s="16">
        <v>788.0</v>
      </c>
      <c r="B790" s="17" t="s">
        <v>1314</v>
      </c>
      <c r="C790" s="18">
        <v>18.0</v>
      </c>
      <c r="D790" s="19" t="s">
        <v>2672</v>
      </c>
      <c r="E790" s="20" t="s">
        <v>91</v>
      </c>
      <c r="F790" s="17" t="s">
        <v>1099</v>
      </c>
      <c r="G790" s="17" t="s">
        <v>2709</v>
      </c>
      <c r="H790" s="17" t="s">
        <v>2710</v>
      </c>
      <c r="I790" s="17" t="s">
        <v>2711</v>
      </c>
      <c r="J790" s="22" t="s">
        <v>144</v>
      </c>
      <c r="K790" s="23" t="s">
        <v>108</v>
      </c>
      <c r="L790" s="24" t="s">
        <v>91</v>
      </c>
      <c r="M790" s="2">
        <v>26.0</v>
      </c>
      <c r="N790" s="25">
        <v>31.0</v>
      </c>
      <c r="O790" s="25"/>
      <c r="P790" s="25"/>
    </row>
    <row r="791">
      <c r="A791" s="16">
        <v>789.0</v>
      </c>
      <c r="B791" s="17" t="s">
        <v>1314</v>
      </c>
      <c r="C791" s="18">
        <v>19.0</v>
      </c>
      <c r="D791" s="19" t="s">
        <v>2672</v>
      </c>
      <c r="E791" s="20" t="s">
        <v>91</v>
      </c>
      <c r="F791" s="17" t="s">
        <v>968</v>
      </c>
      <c r="G791" s="17" t="s">
        <v>2712</v>
      </c>
      <c r="H791" s="17" t="s">
        <v>2713</v>
      </c>
      <c r="I791" s="17" t="s">
        <v>2711</v>
      </c>
      <c r="J791" s="22" t="s">
        <v>144</v>
      </c>
      <c r="K791" s="23" t="s">
        <v>108</v>
      </c>
      <c r="L791" s="24" t="s">
        <v>91</v>
      </c>
      <c r="M791" s="2">
        <v>26.0</v>
      </c>
      <c r="N791" s="25">
        <v>31.0</v>
      </c>
      <c r="O791" s="25"/>
      <c r="P791" s="25"/>
    </row>
    <row r="792">
      <c r="A792" s="16">
        <v>790.0</v>
      </c>
      <c r="B792" s="27" t="s">
        <v>1314</v>
      </c>
      <c r="C792" s="18">
        <v>20.0</v>
      </c>
      <c r="D792" s="19" t="s">
        <v>2672</v>
      </c>
      <c r="E792" s="20" t="s">
        <v>91</v>
      </c>
      <c r="F792" s="27" t="s">
        <v>1061</v>
      </c>
      <c r="G792" s="17" t="s">
        <v>2281</v>
      </c>
      <c r="H792" s="17" t="s">
        <v>2717</v>
      </c>
      <c r="I792" s="17" t="s">
        <v>125</v>
      </c>
      <c r="J792" s="22" t="s">
        <v>144</v>
      </c>
      <c r="K792" s="23" t="s">
        <v>108</v>
      </c>
      <c r="L792" s="24"/>
      <c r="M792" s="2">
        <v>26.0</v>
      </c>
      <c r="N792" s="25">
        <v>31.0</v>
      </c>
      <c r="O792" s="25"/>
      <c r="P792" s="25"/>
    </row>
    <row r="793">
      <c r="A793" s="16">
        <v>791.0</v>
      </c>
      <c r="B793" s="17" t="s">
        <v>1314</v>
      </c>
      <c r="C793" s="18">
        <v>21.0</v>
      </c>
      <c r="D793" s="19" t="s">
        <v>1918</v>
      </c>
      <c r="E793" s="20" t="s">
        <v>91</v>
      </c>
      <c r="F793" s="17" t="s">
        <v>873</v>
      </c>
      <c r="G793" s="17" t="s">
        <v>123</v>
      </c>
      <c r="H793" s="17" t="s">
        <v>2718</v>
      </c>
      <c r="I793" s="17" t="s">
        <v>2719</v>
      </c>
      <c r="J793" s="22" t="s">
        <v>144</v>
      </c>
      <c r="K793" s="23" t="s">
        <v>108</v>
      </c>
      <c r="L793" s="24" t="s">
        <v>91</v>
      </c>
      <c r="M793" s="2">
        <v>26.0</v>
      </c>
      <c r="N793" s="25">
        <v>31.0</v>
      </c>
      <c r="O793" s="25"/>
      <c r="P793" s="25"/>
    </row>
    <row r="794">
      <c r="A794" s="16">
        <v>792.0</v>
      </c>
      <c r="B794" s="17" t="s">
        <v>1314</v>
      </c>
      <c r="C794" s="18">
        <v>22.0</v>
      </c>
      <c r="D794" s="19" t="s">
        <v>1918</v>
      </c>
      <c r="E794" s="20" t="s">
        <v>91</v>
      </c>
      <c r="F794" s="17" t="s">
        <v>961</v>
      </c>
      <c r="G794" s="17" t="s">
        <v>2721</v>
      </c>
      <c r="H794" s="17" t="s">
        <v>2722</v>
      </c>
      <c r="I794" s="17" t="s">
        <v>2719</v>
      </c>
      <c r="J794" s="22" t="s">
        <v>144</v>
      </c>
      <c r="K794" s="23" t="s">
        <v>108</v>
      </c>
      <c r="L794" s="24" t="s">
        <v>91</v>
      </c>
      <c r="M794" s="2">
        <v>26.0</v>
      </c>
      <c r="N794" s="25">
        <v>31.0</v>
      </c>
      <c r="O794" s="25"/>
      <c r="P794" s="25"/>
    </row>
    <row r="795">
      <c r="A795" s="16">
        <v>793.0</v>
      </c>
      <c r="B795" s="17" t="s">
        <v>1314</v>
      </c>
      <c r="C795" s="18">
        <v>23.0</v>
      </c>
      <c r="D795" s="19" t="s">
        <v>1918</v>
      </c>
      <c r="E795" s="20" t="s">
        <v>91</v>
      </c>
      <c r="F795" s="17" t="s">
        <v>972</v>
      </c>
      <c r="G795" s="17" t="s">
        <v>2723</v>
      </c>
      <c r="H795" s="17" t="s">
        <v>2724</v>
      </c>
      <c r="I795" s="17" t="s">
        <v>2719</v>
      </c>
      <c r="J795" s="22" t="s">
        <v>144</v>
      </c>
      <c r="K795" s="23" t="s">
        <v>108</v>
      </c>
      <c r="L795" s="24" t="s">
        <v>91</v>
      </c>
      <c r="M795" s="2">
        <v>26.0</v>
      </c>
      <c r="N795" s="25">
        <v>31.0</v>
      </c>
      <c r="O795" s="25"/>
      <c r="P795" s="25"/>
    </row>
    <row r="796">
      <c r="A796" s="16">
        <v>794.0</v>
      </c>
      <c r="B796" s="17" t="s">
        <v>1314</v>
      </c>
      <c r="C796" s="18">
        <v>24.0</v>
      </c>
      <c r="D796" s="19" t="s">
        <v>1918</v>
      </c>
      <c r="E796" s="20" t="s">
        <v>91</v>
      </c>
      <c r="F796" s="17" t="s">
        <v>1100</v>
      </c>
      <c r="G796" s="17" t="s">
        <v>2726</v>
      </c>
      <c r="H796" s="17" t="s">
        <v>2727</v>
      </c>
      <c r="I796" s="17" t="s">
        <v>2719</v>
      </c>
      <c r="J796" s="22" t="s">
        <v>144</v>
      </c>
      <c r="K796" s="23" t="s">
        <v>108</v>
      </c>
      <c r="L796" s="24" t="s">
        <v>91</v>
      </c>
      <c r="M796" s="2">
        <v>26.0</v>
      </c>
      <c r="N796" s="25">
        <v>31.0</v>
      </c>
      <c r="O796" s="25"/>
      <c r="P796" s="25"/>
    </row>
    <row r="797">
      <c r="A797" s="16">
        <v>795.0</v>
      </c>
      <c r="B797" s="17" t="s">
        <v>1314</v>
      </c>
      <c r="C797" s="18">
        <v>25.0</v>
      </c>
      <c r="D797" s="19" t="s">
        <v>1918</v>
      </c>
      <c r="E797" s="20" t="s">
        <v>91</v>
      </c>
      <c r="F797" s="17" t="s">
        <v>1055</v>
      </c>
      <c r="G797" s="17" t="s">
        <v>2728</v>
      </c>
      <c r="H797" s="17" t="s">
        <v>2729</v>
      </c>
      <c r="I797" s="17" t="s">
        <v>2719</v>
      </c>
      <c r="J797" s="22" t="s">
        <v>144</v>
      </c>
      <c r="K797" s="23" t="s">
        <v>108</v>
      </c>
      <c r="L797" s="24" t="s">
        <v>91</v>
      </c>
      <c r="M797" s="2">
        <v>26.0</v>
      </c>
      <c r="N797" s="25">
        <v>31.0</v>
      </c>
      <c r="O797" s="25"/>
      <c r="P797" s="25"/>
    </row>
    <row r="798">
      <c r="A798" s="16">
        <v>796.0</v>
      </c>
      <c r="B798" s="27" t="s">
        <v>1314</v>
      </c>
      <c r="C798" s="18">
        <v>26.0</v>
      </c>
      <c r="D798" s="19" t="s">
        <v>1918</v>
      </c>
      <c r="E798" s="20" t="s">
        <v>91</v>
      </c>
      <c r="F798" s="27" t="s">
        <v>1211</v>
      </c>
      <c r="G798" s="17" t="s">
        <v>2731</v>
      </c>
      <c r="H798" s="17" t="s">
        <v>2732</v>
      </c>
      <c r="I798" s="17" t="s">
        <v>125</v>
      </c>
      <c r="J798" s="22" t="s">
        <v>144</v>
      </c>
      <c r="K798" s="23" t="s">
        <v>108</v>
      </c>
      <c r="L798" s="24"/>
      <c r="M798" s="2">
        <v>26.0</v>
      </c>
      <c r="N798" s="25">
        <v>31.0</v>
      </c>
      <c r="O798" s="25"/>
      <c r="P798" s="25"/>
    </row>
    <row r="799">
      <c r="A799" s="16">
        <v>797.0</v>
      </c>
      <c r="B799" s="27" t="s">
        <v>1314</v>
      </c>
      <c r="C799" s="18">
        <v>27.0</v>
      </c>
      <c r="D799" s="19" t="s">
        <v>1918</v>
      </c>
      <c r="E799" s="20" t="s">
        <v>91</v>
      </c>
      <c r="F799" s="27" t="s">
        <v>1445</v>
      </c>
      <c r="G799" s="17" t="s">
        <v>2734</v>
      </c>
      <c r="H799" s="17" t="s">
        <v>2735</v>
      </c>
      <c r="I799" s="17" t="s">
        <v>125</v>
      </c>
      <c r="J799" s="22" t="s">
        <v>144</v>
      </c>
      <c r="K799" s="23" t="s">
        <v>108</v>
      </c>
      <c r="L799" s="24"/>
      <c r="M799" s="2">
        <v>26.0</v>
      </c>
      <c r="N799" s="25">
        <v>31.0</v>
      </c>
      <c r="O799" s="25"/>
      <c r="P799" s="25"/>
    </row>
    <row r="800">
      <c r="A800" s="16">
        <v>798.0</v>
      </c>
      <c r="B800" s="27" t="s">
        <v>1314</v>
      </c>
      <c r="C800" s="18">
        <v>28.0</v>
      </c>
      <c r="D800" s="19" t="s">
        <v>1918</v>
      </c>
      <c r="E800" s="20" t="s">
        <v>91</v>
      </c>
      <c r="F800" s="27" t="s">
        <v>1203</v>
      </c>
      <c r="G800" s="17" t="s">
        <v>2737</v>
      </c>
      <c r="H800" s="17" t="s">
        <v>2689</v>
      </c>
      <c r="I800" s="17" t="s">
        <v>125</v>
      </c>
      <c r="J800" s="22" t="s">
        <v>144</v>
      </c>
      <c r="K800" s="23" t="s">
        <v>108</v>
      </c>
      <c r="L800" s="24"/>
      <c r="M800" s="2">
        <v>26.0</v>
      </c>
      <c r="N800" s="25">
        <v>31.0</v>
      </c>
      <c r="O800" s="25"/>
      <c r="P800" s="25"/>
    </row>
    <row r="801">
      <c r="A801" s="16">
        <v>799.0</v>
      </c>
      <c r="B801" s="27" t="s">
        <v>1314</v>
      </c>
      <c r="C801" s="18">
        <v>29.0</v>
      </c>
      <c r="D801" s="19" t="s">
        <v>1918</v>
      </c>
      <c r="E801" s="20" t="s">
        <v>91</v>
      </c>
      <c r="F801" s="27" t="s">
        <v>2739</v>
      </c>
      <c r="G801" s="17" t="s">
        <v>2692</v>
      </c>
      <c r="H801" s="17" t="s">
        <v>2693</v>
      </c>
      <c r="I801" s="17" t="s">
        <v>125</v>
      </c>
      <c r="J801" s="22" t="s">
        <v>144</v>
      </c>
      <c r="K801" s="23" t="s">
        <v>108</v>
      </c>
      <c r="L801" s="24"/>
      <c r="M801" s="2">
        <v>26.0</v>
      </c>
      <c r="N801" s="25">
        <v>31.0</v>
      </c>
      <c r="O801" s="25"/>
      <c r="P801" s="25"/>
    </row>
    <row r="802">
      <c r="A802" s="16">
        <v>800.0</v>
      </c>
      <c r="B802" s="27" t="s">
        <v>1314</v>
      </c>
      <c r="C802" s="18">
        <v>30.0</v>
      </c>
      <c r="D802" s="19" t="s">
        <v>1918</v>
      </c>
      <c r="E802" s="20" t="s">
        <v>91</v>
      </c>
      <c r="F802" s="27" t="s">
        <v>1208</v>
      </c>
      <c r="G802" s="17" t="s">
        <v>2744</v>
      </c>
      <c r="H802" s="17" t="s">
        <v>2745</v>
      </c>
      <c r="I802" s="17" t="s">
        <v>125</v>
      </c>
      <c r="J802" s="22" t="s">
        <v>144</v>
      </c>
      <c r="K802" s="23" t="s">
        <v>108</v>
      </c>
      <c r="L802" s="24"/>
      <c r="M802" s="2">
        <v>26.0</v>
      </c>
      <c r="N802" s="25">
        <v>31.0</v>
      </c>
      <c r="O802" s="25"/>
      <c r="P802" s="25"/>
    </row>
    <row r="803">
      <c r="A803" s="16">
        <v>801.0</v>
      </c>
      <c r="B803" s="17" t="s">
        <v>1369</v>
      </c>
      <c r="C803" s="18">
        <v>1.0</v>
      </c>
      <c r="D803" s="19" t="s">
        <v>1938</v>
      </c>
      <c r="E803" s="20" t="s">
        <v>91</v>
      </c>
      <c r="F803" s="17" t="s">
        <v>1220</v>
      </c>
      <c r="G803" s="17" t="s">
        <v>2746</v>
      </c>
      <c r="H803" s="17" t="s">
        <v>2747</v>
      </c>
      <c r="I803" s="17" t="s">
        <v>98</v>
      </c>
      <c r="J803" s="22" t="s">
        <v>100</v>
      </c>
      <c r="K803" s="23" t="s">
        <v>108</v>
      </c>
      <c r="L803" s="24" t="s">
        <v>91</v>
      </c>
      <c r="M803" s="2">
        <v>27.0</v>
      </c>
      <c r="N803" s="25">
        <v>10.0</v>
      </c>
      <c r="O803" s="25"/>
      <c r="P803" s="25"/>
    </row>
    <row r="804">
      <c r="A804" s="16">
        <v>802.0</v>
      </c>
      <c r="B804" s="17" t="s">
        <v>1369</v>
      </c>
      <c r="C804" s="18">
        <v>2.0</v>
      </c>
      <c r="D804" s="19" t="s">
        <v>2748</v>
      </c>
      <c r="E804" s="20" t="s">
        <v>91</v>
      </c>
      <c r="F804" s="17" t="s">
        <v>1332</v>
      </c>
      <c r="G804" s="17" t="s">
        <v>2749</v>
      </c>
      <c r="H804" s="17" t="s">
        <v>2750</v>
      </c>
      <c r="I804" s="17" t="s">
        <v>98</v>
      </c>
      <c r="J804" s="22" t="s">
        <v>100</v>
      </c>
      <c r="K804" s="23" t="s">
        <v>108</v>
      </c>
      <c r="L804" s="24" t="s">
        <v>91</v>
      </c>
      <c r="M804" s="2">
        <v>27.0</v>
      </c>
      <c r="N804" s="25">
        <v>10.0</v>
      </c>
      <c r="O804" s="25"/>
      <c r="P804" s="25"/>
    </row>
    <row r="805">
      <c r="A805" s="16">
        <v>803.0</v>
      </c>
      <c r="B805" s="17" t="s">
        <v>1369</v>
      </c>
      <c r="C805" s="18">
        <v>3.0</v>
      </c>
      <c r="D805" s="19" t="s">
        <v>1938</v>
      </c>
      <c r="E805" s="20" t="s">
        <v>91</v>
      </c>
      <c r="F805" s="17" t="s">
        <v>92</v>
      </c>
      <c r="G805" s="17" t="s">
        <v>2751</v>
      </c>
      <c r="H805" s="17" t="s">
        <v>2752</v>
      </c>
      <c r="I805" s="17" t="s">
        <v>98</v>
      </c>
      <c r="J805" s="22" t="s">
        <v>135</v>
      </c>
      <c r="K805" s="23" t="s">
        <v>108</v>
      </c>
      <c r="L805" s="24" t="s">
        <v>91</v>
      </c>
      <c r="M805" s="2">
        <v>27.0</v>
      </c>
      <c r="N805" s="25">
        <v>20.0</v>
      </c>
      <c r="O805" s="25"/>
      <c r="P805" s="25"/>
    </row>
    <row r="806">
      <c r="A806" s="16">
        <v>804.0</v>
      </c>
      <c r="B806" s="17" t="s">
        <v>1369</v>
      </c>
      <c r="C806" s="18">
        <v>4.0</v>
      </c>
      <c r="D806" s="19" t="s">
        <v>1938</v>
      </c>
      <c r="E806" s="20" t="s">
        <v>91</v>
      </c>
      <c r="F806" s="17" t="s">
        <v>1097</v>
      </c>
      <c r="G806" s="17" t="s">
        <v>2753</v>
      </c>
      <c r="H806" s="17" t="s">
        <v>2754</v>
      </c>
      <c r="I806" s="17" t="s">
        <v>98</v>
      </c>
      <c r="J806" s="22" t="s">
        <v>135</v>
      </c>
      <c r="K806" s="23" t="s">
        <v>108</v>
      </c>
      <c r="L806" s="24" t="s">
        <v>91</v>
      </c>
      <c r="M806" s="2">
        <v>27.0</v>
      </c>
      <c r="N806" s="25">
        <v>20.0</v>
      </c>
      <c r="O806" s="25"/>
      <c r="P806" s="25"/>
    </row>
    <row r="807">
      <c r="A807" s="16">
        <v>805.0</v>
      </c>
      <c r="B807" s="17" t="s">
        <v>1369</v>
      </c>
      <c r="C807" s="18">
        <v>5.0</v>
      </c>
      <c r="D807" s="19" t="s">
        <v>1938</v>
      </c>
      <c r="E807" s="20" t="s">
        <v>91</v>
      </c>
      <c r="F807" s="17" t="s">
        <v>691</v>
      </c>
      <c r="G807" s="17" t="s">
        <v>2358</v>
      </c>
      <c r="H807" s="17" t="s">
        <v>2757</v>
      </c>
      <c r="I807" s="17" t="s">
        <v>98</v>
      </c>
      <c r="J807" s="22" t="s">
        <v>135</v>
      </c>
      <c r="K807" s="23" t="s">
        <v>108</v>
      </c>
      <c r="L807" s="24" t="s">
        <v>91</v>
      </c>
      <c r="M807" s="2">
        <v>27.0</v>
      </c>
      <c r="N807" s="25">
        <v>20.0</v>
      </c>
      <c r="O807" s="25"/>
      <c r="P807" s="25"/>
    </row>
    <row r="808">
      <c r="A808" s="16">
        <v>806.0</v>
      </c>
      <c r="B808" s="17" t="s">
        <v>1369</v>
      </c>
      <c r="C808" s="18">
        <v>6.0</v>
      </c>
      <c r="D808" s="19" t="s">
        <v>1938</v>
      </c>
      <c r="E808" s="20" t="s">
        <v>91</v>
      </c>
      <c r="F808" s="17" t="s">
        <v>707</v>
      </c>
      <c r="G808" s="17" t="s">
        <v>2758</v>
      </c>
      <c r="H808" s="17" t="s">
        <v>2759</v>
      </c>
      <c r="I808" s="17" t="s">
        <v>98</v>
      </c>
      <c r="J808" s="22" t="s">
        <v>135</v>
      </c>
      <c r="K808" s="23" t="s">
        <v>108</v>
      </c>
      <c r="L808" s="24" t="s">
        <v>91</v>
      </c>
      <c r="M808" s="2">
        <v>27.0</v>
      </c>
      <c r="N808" s="25">
        <v>20.0</v>
      </c>
      <c r="O808" s="25"/>
      <c r="P808" s="25"/>
    </row>
    <row r="809">
      <c r="A809" s="16">
        <v>807.0</v>
      </c>
      <c r="B809" s="17" t="s">
        <v>1369</v>
      </c>
      <c r="C809" s="18">
        <v>7.0</v>
      </c>
      <c r="D809" s="19" t="s">
        <v>2748</v>
      </c>
      <c r="E809" s="20" t="s">
        <v>91</v>
      </c>
      <c r="F809" s="17" t="s">
        <v>875</v>
      </c>
      <c r="G809" s="17" t="s">
        <v>2760</v>
      </c>
      <c r="H809" s="17" t="s">
        <v>2761</v>
      </c>
      <c r="I809" s="17" t="s">
        <v>98</v>
      </c>
      <c r="J809" s="22" t="s">
        <v>135</v>
      </c>
      <c r="K809" s="23" t="s">
        <v>108</v>
      </c>
      <c r="L809" s="24" t="s">
        <v>91</v>
      </c>
      <c r="M809" s="2">
        <v>27.0</v>
      </c>
      <c r="N809" s="25">
        <v>20.0</v>
      </c>
      <c r="O809" s="25"/>
      <c r="P809" s="25"/>
    </row>
    <row r="810">
      <c r="A810" s="16">
        <v>808.0</v>
      </c>
      <c r="B810" s="17" t="s">
        <v>1369</v>
      </c>
      <c r="C810" s="18">
        <v>8.0</v>
      </c>
      <c r="D810" s="19" t="s">
        <v>2764</v>
      </c>
      <c r="E810" s="20" t="s">
        <v>91</v>
      </c>
      <c r="F810" s="17" t="s">
        <v>1222</v>
      </c>
      <c r="G810" s="17" t="s">
        <v>2765</v>
      </c>
      <c r="H810" s="17" t="s">
        <v>2766</v>
      </c>
      <c r="I810" s="17" t="s">
        <v>98</v>
      </c>
      <c r="J810" s="22" t="s">
        <v>135</v>
      </c>
      <c r="K810" s="23" t="s">
        <v>108</v>
      </c>
      <c r="L810" s="24" t="s">
        <v>91</v>
      </c>
      <c r="M810" s="2">
        <v>27.0</v>
      </c>
      <c r="N810" s="25">
        <v>20.0</v>
      </c>
      <c r="O810" s="25"/>
      <c r="P810" s="25"/>
    </row>
    <row r="811">
      <c r="A811" s="16">
        <v>809.0</v>
      </c>
      <c r="B811" s="17" t="s">
        <v>1369</v>
      </c>
      <c r="C811" s="18">
        <v>9.0</v>
      </c>
      <c r="D811" s="19" t="s">
        <v>2764</v>
      </c>
      <c r="E811" s="20" t="s">
        <v>91</v>
      </c>
      <c r="F811" s="17" t="s">
        <v>1333</v>
      </c>
      <c r="G811" s="17" t="s">
        <v>2767</v>
      </c>
      <c r="H811" s="17" t="s">
        <v>2768</v>
      </c>
      <c r="I811" s="17" t="s">
        <v>98</v>
      </c>
      <c r="J811" s="22" t="s">
        <v>135</v>
      </c>
      <c r="K811" s="23" t="s">
        <v>108</v>
      </c>
      <c r="L811" s="24" t="s">
        <v>91</v>
      </c>
      <c r="M811" s="2">
        <v>27.0</v>
      </c>
      <c r="N811" s="25">
        <v>20.0</v>
      </c>
      <c r="O811" s="25"/>
      <c r="P811" s="25"/>
    </row>
    <row r="812">
      <c r="A812" s="16">
        <v>810.0</v>
      </c>
      <c r="B812" s="17" t="s">
        <v>1369</v>
      </c>
      <c r="C812" s="18">
        <v>10.0</v>
      </c>
      <c r="D812" s="19" t="s">
        <v>2764</v>
      </c>
      <c r="E812" s="20" t="s">
        <v>91</v>
      </c>
      <c r="F812" s="17" t="s">
        <v>1223</v>
      </c>
      <c r="G812" s="17" t="s">
        <v>2769</v>
      </c>
      <c r="H812" s="17" t="s">
        <v>2770</v>
      </c>
      <c r="I812" s="17" t="s">
        <v>98</v>
      </c>
      <c r="J812" s="22" t="s">
        <v>144</v>
      </c>
      <c r="K812" s="23" t="s">
        <v>108</v>
      </c>
      <c r="L812" s="24" t="s">
        <v>91</v>
      </c>
      <c r="M812" s="2">
        <v>27.0</v>
      </c>
      <c r="N812" s="25">
        <v>30.0</v>
      </c>
      <c r="O812" s="25"/>
      <c r="P812" s="25"/>
    </row>
    <row r="813">
      <c r="A813" s="16">
        <v>811.0</v>
      </c>
      <c r="B813" s="17" t="s">
        <v>1369</v>
      </c>
      <c r="C813" s="18">
        <v>11.0</v>
      </c>
      <c r="D813" s="19" t="s">
        <v>1938</v>
      </c>
      <c r="E813" s="20" t="s">
        <v>91</v>
      </c>
      <c r="F813" s="17" t="s">
        <v>963</v>
      </c>
      <c r="G813" s="17" t="s">
        <v>123</v>
      </c>
      <c r="H813" s="17" t="s">
        <v>2771</v>
      </c>
      <c r="I813" s="17" t="s">
        <v>2772</v>
      </c>
      <c r="J813" s="22" t="s">
        <v>144</v>
      </c>
      <c r="K813" s="23" t="s">
        <v>108</v>
      </c>
      <c r="L813" s="24" t="s">
        <v>91</v>
      </c>
      <c r="M813" s="2">
        <v>27.0</v>
      </c>
      <c r="N813" s="25">
        <v>31.0</v>
      </c>
      <c r="O813" s="25"/>
      <c r="P813" s="25"/>
    </row>
    <row r="814">
      <c r="A814" s="16">
        <v>812.0</v>
      </c>
      <c r="B814" s="17" t="s">
        <v>1369</v>
      </c>
      <c r="C814" s="18">
        <v>12.0</v>
      </c>
      <c r="D814" s="19" t="s">
        <v>1938</v>
      </c>
      <c r="E814" s="20" t="s">
        <v>91</v>
      </c>
      <c r="F814" s="17" t="s">
        <v>970</v>
      </c>
      <c r="G814" s="17" t="s">
        <v>2775</v>
      </c>
      <c r="H814" s="17" t="s">
        <v>2776</v>
      </c>
      <c r="I814" s="17" t="s">
        <v>2772</v>
      </c>
      <c r="J814" s="22" t="s">
        <v>144</v>
      </c>
      <c r="K814" s="23" t="s">
        <v>108</v>
      </c>
      <c r="L814" s="24" t="s">
        <v>91</v>
      </c>
      <c r="M814" s="2">
        <v>27.0</v>
      </c>
      <c r="N814" s="25">
        <v>31.0</v>
      </c>
      <c r="O814" s="25"/>
      <c r="P814" s="25"/>
    </row>
    <row r="815">
      <c r="A815" s="16">
        <v>813.0</v>
      </c>
      <c r="B815" s="17" t="s">
        <v>1369</v>
      </c>
      <c r="C815" s="18">
        <v>13.0</v>
      </c>
      <c r="D815" s="19" t="s">
        <v>1938</v>
      </c>
      <c r="E815" s="20" t="s">
        <v>91</v>
      </c>
      <c r="F815" s="17" t="s">
        <v>860</v>
      </c>
      <c r="G815" s="17" t="s">
        <v>2201</v>
      </c>
      <c r="H815" s="17" t="s">
        <v>2777</v>
      </c>
      <c r="I815" s="17" t="s">
        <v>2772</v>
      </c>
      <c r="J815" s="22" t="s">
        <v>144</v>
      </c>
      <c r="K815" s="23" t="s">
        <v>108</v>
      </c>
      <c r="L815" s="24" t="s">
        <v>91</v>
      </c>
      <c r="M815" s="2">
        <v>27.0</v>
      </c>
      <c r="N815" s="25">
        <v>31.0</v>
      </c>
      <c r="O815" s="25"/>
      <c r="P815" s="25"/>
    </row>
    <row r="816">
      <c r="A816" s="16">
        <v>814.0</v>
      </c>
      <c r="B816" s="17" t="s">
        <v>1369</v>
      </c>
      <c r="C816" s="18">
        <v>14.0</v>
      </c>
      <c r="D816" s="19" t="s">
        <v>1938</v>
      </c>
      <c r="E816" s="20" t="s">
        <v>91</v>
      </c>
      <c r="F816" s="17" t="s">
        <v>257</v>
      </c>
      <c r="G816" s="17" t="s">
        <v>123</v>
      </c>
      <c r="H816" s="17" t="s">
        <v>2778</v>
      </c>
      <c r="I816" s="17" t="s">
        <v>2772</v>
      </c>
      <c r="J816" s="22" t="s">
        <v>144</v>
      </c>
      <c r="K816" s="23" t="s">
        <v>108</v>
      </c>
      <c r="L816" s="24" t="s">
        <v>91</v>
      </c>
      <c r="M816" s="2">
        <v>27.0</v>
      </c>
      <c r="N816" s="25">
        <v>31.0</v>
      </c>
      <c r="O816" s="25"/>
      <c r="P816" s="25"/>
    </row>
    <row r="817">
      <c r="A817" s="16">
        <v>815.0</v>
      </c>
      <c r="B817" s="27" t="s">
        <v>1369</v>
      </c>
      <c r="C817" s="18">
        <v>15.0</v>
      </c>
      <c r="D817" s="19" t="s">
        <v>1938</v>
      </c>
      <c r="E817" s="20" t="s">
        <v>91</v>
      </c>
      <c r="F817" s="27" t="s">
        <v>1351</v>
      </c>
      <c r="G817" s="17" t="s">
        <v>2780</v>
      </c>
      <c r="H817" s="17" t="s">
        <v>2781</v>
      </c>
      <c r="I817" s="17" t="s">
        <v>125</v>
      </c>
      <c r="J817" s="22" t="s">
        <v>144</v>
      </c>
      <c r="K817" s="23" t="s">
        <v>108</v>
      </c>
      <c r="L817" s="24"/>
      <c r="M817" s="2">
        <v>27.0</v>
      </c>
      <c r="N817" s="25">
        <v>31.0</v>
      </c>
      <c r="O817" s="25"/>
      <c r="P817" s="25"/>
    </row>
    <row r="818">
      <c r="A818" s="16">
        <v>816.0</v>
      </c>
      <c r="B818" s="17" t="s">
        <v>1369</v>
      </c>
      <c r="C818" s="18">
        <v>16.0</v>
      </c>
      <c r="D818" s="19" t="s">
        <v>2748</v>
      </c>
      <c r="E818" s="20" t="s">
        <v>91</v>
      </c>
      <c r="F818" s="17" t="s">
        <v>485</v>
      </c>
      <c r="G818" s="17" t="s">
        <v>2785</v>
      </c>
      <c r="H818" s="17" t="s">
        <v>2786</v>
      </c>
      <c r="I818" s="17" t="s">
        <v>125</v>
      </c>
      <c r="J818" s="22" t="s">
        <v>144</v>
      </c>
      <c r="K818" s="23" t="s">
        <v>108</v>
      </c>
      <c r="L818" s="24" t="s">
        <v>91</v>
      </c>
      <c r="M818" s="2">
        <v>27.0</v>
      </c>
      <c r="N818" s="25">
        <v>31.0</v>
      </c>
      <c r="O818" s="25"/>
      <c r="P818" s="25"/>
    </row>
    <row r="819">
      <c r="A819" s="16">
        <v>817.0</v>
      </c>
      <c r="B819" s="17" t="s">
        <v>1369</v>
      </c>
      <c r="C819" s="18">
        <v>17.0</v>
      </c>
      <c r="D819" s="19" t="s">
        <v>2748</v>
      </c>
      <c r="E819" s="20" t="s">
        <v>91</v>
      </c>
      <c r="F819" s="17" t="s">
        <v>1224</v>
      </c>
      <c r="G819" s="17" t="s">
        <v>123</v>
      </c>
      <c r="H819" s="17" t="s">
        <v>2787</v>
      </c>
      <c r="I819" s="17" t="s">
        <v>125</v>
      </c>
      <c r="J819" s="22" t="s">
        <v>144</v>
      </c>
      <c r="K819" s="23" t="s">
        <v>108</v>
      </c>
      <c r="L819" s="24" t="s">
        <v>91</v>
      </c>
      <c r="M819" s="2">
        <v>27.0</v>
      </c>
      <c r="N819" s="25">
        <v>31.0</v>
      </c>
      <c r="O819" s="25"/>
      <c r="P819" s="25"/>
    </row>
    <row r="820">
      <c r="A820" s="16">
        <v>818.0</v>
      </c>
      <c r="B820" s="17" t="s">
        <v>1369</v>
      </c>
      <c r="C820" s="18">
        <v>18.0</v>
      </c>
      <c r="D820" s="19" t="s">
        <v>2748</v>
      </c>
      <c r="E820" s="20" t="s">
        <v>91</v>
      </c>
      <c r="F820" s="17" t="s">
        <v>488</v>
      </c>
      <c r="G820" s="17" t="s">
        <v>2788</v>
      </c>
      <c r="H820" s="17" t="s">
        <v>2789</v>
      </c>
      <c r="I820" s="17" t="s">
        <v>125</v>
      </c>
      <c r="J820" s="22" t="s">
        <v>144</v>
      </c>
      <c r="K820" s="23" t="s">
        <v>108</v>
      </c>
      <c r="L820" s="24" t="s">
        <v>91</v>
      </c>
      <c r="M820" s="2">
        <v>27.0</v>
      </c>
      <c r="N820" s="25">
        <v>31.0</v>
      </c>
      <c r="O820" s="25"/>
      <c r="P820" s="25"/>
    </row>
    <row r="821">
      <c r="A821" s="16">
        <v>819.0</v>
      </c>
      <c r="B821" s="17" t="s">
        <v>1369</v>
      </c>
      <c r="C821" s="18">
        <v>19.0</v>
      </c>
      <c r="D821" s="19" t="s">
        <v>2748</v>
      </c>
      <c r="E821" s="20" t="s">
        <v>91</v>
      </c>
      <c r="F821" s="17" t="s">
        <v>1103</v>
      </c>
      <c r="G821" s="17" t="s">
        <v>2792</v>
      </c>
      <c r="H821" s="17" t="s">
        <v>2786</v>
      </c>
      <c r="I821" s="17" t="s">
        <v>125</v>
      </c>
      <c r="J821" s="22" t="s">
        <v>144</v>
      </c>
      <c r="K821" s="23" t="s">
        <v>108</v>
      </c>
      <c r="L821" s="24" t="s">
        <v>91</v>
      </c>
      <c r="M821" s="2">
        <v>27.0</v>
      </c>
      <c r="N821" s="25">
        <v>31.0</v>
      </c>
      <c r="O821" s="25"/>
      <c r="P821" s="25"/>
    </row>
    <row r="822">
      <c r="A822" s="16">
        <v>820.0</v>
      </c>
      <c r="B822" s="17" t="s">
        <v>1369</v>
      </c>
      <c r="C822" s="18">
        <v>20.0</v>
      </c>
      <c r="D822" s="19" t="s">
        <v>2748</v>
      </c>
      <c r="E822" s="20" t="s">
        <v>91</v>
      </c>
      <c r="F822" s="17" t="s">
        <v>876</v>
      </c>
      <c r="G822" s="17" t="s">
        <v>2794</v>
      </c>
      <c r="H822" s="17" t="s">
        <v>2795</v>
      </c>
      <c r="I822" s="17" t="s">
        <v>125</v>
      </c>
      <c r="J822" s="22" t="s">
        <v>144</v>
      </c>
      <c r="K822" s="23" t="s">
        <v>108</v>
      </c>
      <c r="L822" s="24" t="s">
        <v>91</v>
      </c>
      <c r="M822" s="2">
        <v>27.0</v>
      </c>
      <c r="N822" s="25">
        <v>31.0</v>
      </c>
      <c r="O822" s="25"/>
      <c r="P822" s="25"/>
    </row>
    <row r="823">
      <c r="A823" s="16">
        <v>821.0</v>
      </c>
      <c r="B823" s="17" t="s">
        <v>1369</v>
      </c>
      <c r="C823" s="18">
        <v>21.0</v>
      </c>
      <c r="D823" s="19" t="s">
        <v>2748</v>
      </c>
      <c r="E823" s="20" t="s">
        <v>91</v>
      </c>
      <c r="F823" s="17" t="s">
        <v>1334</v>
      </c>
      <c r="G823" s="17" t="s">
        <v>2796</v>
      </c>
      <c r="H823" s="17" t="s">
        <v>2797</v>
      </c>
      <c r="I823" s="17" t="s">
        <v>125</v>
      </c>
      <c r="J823" s="22" t="s">
        <v>144</v>
      </c>
      <c r="K823" s="23" t="s">
        <v>108</v>
      </c>
      <c r="L823" s="24" t="s">
        <v>91</v>
      </c>
      <c r="M823" s="2">
        <v>27.0</v>
      </c>
      <c r="N823" s="25">
        <v>31.0</v>
      </c>
      <c r="O823" s="25"/>
      <c r="P823" s="25"/>
    </row>
    <row r="824">
      <c r="A824" s="16">
        <v>822.0</v>
      </c>
      <c r="B824" s="17" t="s">
        <v>1369</v>
      </c>
      <c r="C824" s="18">
        <v>22.0</v>
      </c>
      <c r="D824" s="19" t="s">
        <v>2748</v>
      </c>
      <c r="E824" s="20" t="s">
        <v>91</v>
      </c>
      <c r="F824" s="17" t="s">
        <v>858</v>
      </c>
      <c r="G824" s="17" t="s">
        <v>2798</v>
      </c>
      <c r="H824" s="17" t="s">
        <v>2799</v>
      </c>
      <c r="I824" s="17" t="s">
        <v>2800</v>
      </c>
      <c r="J824" s="22" t="s">
        <v>144</v>
      </c>
      <c r="K824" s="23" t="s">
        <v>108</v>
      </c>
      <c r="L824" s="24" t="s">
        <v>91</v>
      </c>
      <c r="M824" s="2">
        <v>27.0</v>
      </c>
      <c r="N824" s="25">
        <v>31.0</v>
      </c>
      <c r="O824" s="25"/>
      <c r="P824" s="25"/>
    </row>
    <row r="825">
      <c r="A825" s="16">
        <v>823.0</v>
      </c>
      <c r="B825" s="17" t="s">
        <v>1369</v>
      </c>
      <c r="C825" s="18">
        <v>23.0</v>
      </c>
      <c r="D825" s="19" t="s">
        <v>2748</v>
      </c>
      <c r="E825" s="20" t="s">
        <v>91</v>
      </c>
      <c r="F825" s="17" t="s">
        <v>1335</v>
      </c>
      <c r="G825" s="17" t="s">
        <v>2802</v>
      </c>
      <c r="H825" s="17" t="s">
        <v>2803</v>
      </c>
      <c r="I825" s="17" t="s">
        <v>2800</v>
      </c>
      <c r="J825" s="22" t="s">
        <v>144</v>
      </c>
      <c r="K825" s="23" t="s">
        <v>108</v>
      </c>
      <c r="L825" s="24" t="s">
        <v>91</v>
      </c>
      <c r="M825" s="2">
        <v>27.0</v>
      </c>
      <c r="N825" s="25">
        <v>31.0</v>
      </c>
      <c r="O825" s="25"/>
      <c r="P825" s="25"/>
    </row>
    <row r="826">
      <c r="A826" s="16">
        <v>824.0</v>
      </c>
      <c r="B826" s="17" t="s">
        <v>1369</v>
      </c>
      <c r="C826" s="18">
        <v>24.0</v>
      </c>
      <c r="D826" s="19" t="s">
        <v>2764</v>
      </c>
      <c r="E826" s="20" t="s">
        <v>91</v>
      </c>
      <c r="F826" s="17" t="s">
        <v>987</v>
      </c>
      <c r="G826" s="17" t="s">
        <v>2804</v>
      </c>
      <c r="H826" s="17" t="s">
        <v>2805</v>
      </c>
      <c r="I826" s="17" t="s">
        <v>125</v>
      </c>
      <c r="J826" s="22" t="s">
        <v>144</v>
      </c>
      <c r="K826" s="23" t="s">
        <v>108</v>
      </c>
      <c r="L826" s="24" t="s">
        <v>91</v>
      </c>
      <c r="M826" s="2">
        <v>27.0</v>
      </c>
      <c r="N826" s="25">
        <v>31.0</v>
      </c>
      <c r="O826" s="25"/>
      <c r="P826" s="25"/>
    </row>
    <row r="827">
      <c r="A827" s="16">
        <v>825.0</v>
      </c>
      <c r="B827" s="17" t="s">
        <v>1369</v>
      </c>
      <c r="C827" s="18">
        <v>25.0</v>
      </c>
      <c r="D827" s="19" t="s">
        <v>2764</v>
      </c>
      <c r="E827" s="20" t="s">
        <v>91</v>
      </c>
      <c r="F827" s="17" t="s">
        <v>988</v>
      </c>
      <c r="G827" s="17" t="s">
        <v>2806</v>
      </c>
      <c r="H827" s="17" t="s">
        <v>2807</v>
      </c>
      <c r="I827" s="17" t="s">
        <v>125</v>
      </c>
      <c r="J827" s="22" t="s">
        <v>144</v>
      </c>
      <c r="K827" s="23" t="s">
        <v>108</v>
      </c>
      <c r="L827" s="24" t="s">
        <v>91</v>
      </c>
      <c r="M827" s="2">
        <v>27.0</v>
      </c>
      <c r="N827" s="25">
        <v>31.0</v>
      </c>
      <c r="O827" s="25"/>
      <c r="P827" s="25"/>
    </row>
    <row r="828">
      <c r="A828" s="16">
        <v>826.0</v>
      </c>
      <c r="B828" s="17" t="s">
        <v>1369</v>
      </c>
      <c r="C828" s="18">
        <v>26.0</v>
      </c>
      <c r="D828" s="19" t="s">
        <v>2764</v>
      </c>
      <c r="E828" s="20" t="s">
        <v>91</v>
      </c>
      <c r="F828" s="17" t="s">
        <v>280</v>
      </c>
      <c r="G828" s="17" t="s">
        <v>2809</v>
      </c>
      <c r="H828" s="17" t="s">
        <v>2810</v>
      </c>
      <c r="I828" s="17" t="s">
        <v>125</v>
      </c>
      <c r="J828" s="22" t="s">
        <v>144</v>
      </c>
      <c r="K828" s="23" t="s">
        <v>108</v>
      </c>
      <c r="L828" s="24" t="s">
        <v>91</v>
      </c>
      <c r="M828" s="2">
        <v>27.0</v>
      </c>
      <c r="N828" s="25">
        <v>31.0</v>
      </c>
      <c r="O828" s="25"/>
      <c r="P828" s="25"/>
    </row>
    <row r="829">
      <c r="A829" s="16">
        <v>827.0</v>
      </c>
      <c r="B829" s="17" t="s">
        <v>1369</v>
      </c>
      <c r="C829" s="18">
        <v>27.0</v>
      </c>
      <c r="D829" s="19" t="s">
        <v>2764</v>
      </c>
      <c r="E829" s="20" t="s">
        <v>91</v>
      </c>
      <c r="F829" s="17" t="s">
        <v>990</v>
      </c>
      <c r="G829" s="17" t="s">
        <v>2811</v>
      </c>
      <c r="H829" s="17" t="s">
        <v>2812</v>
      </c>
      <c r="I829" s="17" t="s">
        <v>125</v>
      </c>
      <c r="J829" s="22" t="s">
        <v>144</v>
      </c>
      <c r="K829" s="23" t="s">
        <v>108</v>
      </c>
      <c r="L829" s="24" t="s">
        <v>91</v>
      </c>
      <c r="M829" s="2">
        <v>27.0</v>
      </c>
      <c r="N829" s="25">
        <v>31.0</v>
      </c>
      <c r="O829" s="25"/>
      <c r="P829" s="25"/>
    </row>
    <row r="830">
      <c r="A830" s="16">
        <v>828.0</v>
      </c>
      <c r="B830" s="17" t="s">
        <v>1369</v>
      </c>
      <c r="C830" s="18">
        <v>28.0</v>
      </c>
      <c r="D830" s="19" t="s">
        <v>2764</v>
      </c>
      <c r="E830" s="20" t="s">
        <v>91</v>
      </c>
      <c r="F830" s="17" t="s">
        <v>1336</v>
      </c>
      <c r="G830" s="17" t="s">
        <v>2814</v>
      </c>
      <c r="H830" s="17" t="s">
        <v>2815</v>
      </c>
      <c r="I830" s="17" t="s">
        <v>125</v>
      </c>
      <c r="J830" s="22" t="s">
        <v>144</v>
      </c>
      <c r="K830" s="23" t="s">
        <v>108</v>
      </c>
      <c r="L830" s="24" t="s">
        <v>91</v>
      </c>
      <c r="M830" s="2">
        <v>27.0</v>
      </c>
      <c r="N830" s="25">
        <v>31.0</v>
      </c>
      <c r="O830" s="25"/>
      <c r="P830" s="25"/>
    </row>
    <row r="831">
      <c r="A831" s="16">
        <v>829.0</v>
      </c>
      <c r="B831" s="17" t="s">
        <v>1369</v>
      </c>
      <c r="C831" s="18">
        <v>29.0</v>
      </c>
      <c r="D831" s="19" t="s">
        <v>2764</v>
      </c>
      <c r="E831" s="20" t="s">
        <v>91</v>
      </c>
      <c r="F831" s="17" t="s">
        <v>1337</v>
      </c>
      <c r="G831" s="17" t="s">
        <v>2817</v>
      </c>
      <c r="H831" s="17" t="s">
        <v>2818</v>
      </c>
      <c r="I831" s="17" t="s">
        <v>125</v>
      </c>
      <c r="J831" s="22" t="s">
        <v>144</v>
      </c>
      <c r="K831" s="23" t="s">
        <v>108</v>
      </c>
      <c r="L831" s="24" t="s">
        <v>91</v>
      </c>
      <c r="M831" s="2">
        <v>27.0</v>
      </c>
      <c r="N831" s="25">
        <v>31.0</v>
      </c>
      <c r="O831" s="25"/>
      <c r="P831" s="25"/>
    </row>
    <row r="832">
      <c r="A832" s="16">
        <v>830.0</v>
      </c>
      <c r="B832" s="17" t="s">
        <v>1369</v>
      </c>
      <c r="C832" s="18">
        <v>30.0</v>
      </c>
      <c r="D832" s="19" t="s">
        <v>2764</v>
      </c>
      <c r="E832" s="20" t="s">
        <v>91</v>
      </c>
      <c r="F832" s="17" t="s">
        <v>1339</v>
      </c>
      <c r="G832" s="17" t="s">
        <v>123</v>
      </c>
      <c r="H832" s="17" t="s">
        <v>2819</v>
      </c>
      <c r="I832" s="17" t="s">
        <v>2820</v>
      </c>
      <c r="J832" s="22" t="s">
        <v>144</v>
      </c>
      <c r="K832" s="23" t="s">
        <v>108</v>
      </c>
      <c r="L832" s="24" t="s">
        <v>91</v>
      </c>
      <c r="M832" s="2">
        <v>27.0</v>
      </c>
      <c r="N832" s="25">
        <v>31.0</v>
      </c>
      <c r="O832" s="25"/>
      <c r="P832" s="25"/>
    </row>
    <row r="833">
      <c r="A833" s="16">
        <v>831.0</v>
      </c>
      <c r="B833" s="17" t="s">
        <v>283</v>
      </c>
      <c r="C833" s="18">
        <v>1.0</v>
      </c>
      <c r="D833" s="19" t="s">
        <v>2149</v>
      </c>
      <c r="E833" s="20" t="s">
        <v>443</v>
      </c>
      <c r="F833" s="17" t="s">
        <v>292</v>
      </c>
      <c r="G833" s="17" t="s">
        <v>123</v>
      </c>
      <c r="H833" s="17" t="s">
        <v>2821</v>
      </c>
      <c r="I833" s="17" t="s">
        <v>98</v>
      </c>
      <c r="J833" s="22" t="s">
        <v>100</v>
      </c>
      <c r="K833" s="23" t="s">
        <v>108</v>
      </c>
      <c r="L833" s="24" t="s">
        <v>91</v>
      </c>
      <c r="M833" s="2">
        <v>28.0</v>
      </c>
      <c r="N833" s="25">
        <v>10.0</v>
      </c>
      <c r="O833" s="25"/>
      <c r="P833" s="25"/>
    </row>
    <row r="834">
      <c r="A834" s="16">
        <v>832.0</v>
      </c>
      <c r="B834" s="17" t="s">
        <v>283</v>
      </c>
      <c r="C834" s="18">
        <v>2.0</v>
      </c>
      <c r="D834" s="19" t="s">
        <v>2144</v>
      </c>
      <c r="E834" s="20" t="s">
        <v>443</v>
      </c>
      <c r="F834" s="17" t="s">
        <v>300</v>
      </c>
      <c r="G834" s="17" t="s">
        <v>2824</v>
      </c>
      <c r="H834" s="17" t="s">
        <v>2825</v>
      </c>
      <c r="I834" s="17" t="s">
        <v>98</v>
      </c>
      <c r="J834" s="22" t="s">
        <v>100</v>
      </c>
      <c r="K834" s="23" t="s">
        <v>108</v>
      </c>
      <c r="L834" s="24" t="s">
        <v>91</v>
      </c>
      <c r="M834" s="2">
        <v>28.0</v>
      </c>
      <c r="N834" s="25">
        <v>10.0</v>
      </c>
      <c r="O834" s="25"/>
      <c r="P834" s="25"/>
    </row>
    <row r="835">
      <c r="A835" s="16">
        <v>833.0</v>
      </c>
      <c r="B835" s="17" t="s">
        <v>283</v>
      </c>
      <c r="C835" s="18">
        <v>3.0</v>
      </c>
      <c r="D835" s="19" t="s">
        <v>2139</v>
      </c>
      <c r="E835" s="20" t="s">
        <v>443</v>
      </c>
      <c r="F835" s="17" t="s">
        <v>1104</v>
      </c>
      <c r="G835" s="17" t="s">
        <v>2826</v>
      </c>
      <c r="H835" s="17" t="s">
        <v>2827</v>
      </c>
      <c r="I835" s="17" t="s">
        <v>98</v>
      </c>
      <c r="J835" s="22" t="s">
        <v>100</v>
      </c>
      <c r="K835" s="23" t="s">
        <v>108</v>
      </c>
      <c r="L835" s="24" t="s">
        <v>91</v>
      </c>
      <c r="M835" s="2">
        <v>28.0</v>
      </c>
      <c r="N835" s="25">
        <v>10.0</v>
      </c>
      <c r="O835" s="25"/>
      <c r="P835" s="25"/>
    </row>
    <row r="836">
      <c r="A836" s="16">
        <v>834.0</v>
      </c>
      <c r="B836" s="17" t="s">
        <v>283</v>
      </c>
      <c r="C836" s="18">
        <v>4.0</v>
      </c>
      <c r="D836" s="19" t="s">
        <v>2149</v>
      </c>
      <c r="E836" s="20" t="s">
        <v>443</v>
      </c>
      <c r="F836" s="17" t="s">
        <v>712</v>
      </c>
      <c r="G836" s="17" t="s">
        <v>2829</v>
      </c>
      <c r="H836" s="17" t="s">
        <v>2830</v>
      </c>
      <c r="I836" s="17" t="s">
        <v>125</v>
      </c>
      <c r="J836" s="22" t="s">
        <v>135</v>
      </c>
      <c r="K836" s="23" t="s">
        <v>108</v>
      </c>
      <c r="L836" s="24" t="s">
        <v>91</v>
      </c>
      <c r="M836" s="2">
        <v>28.0</v>
      </c>
      <c r="N836" s="25">
        <v>21.0</v>
      </c>
      <c r="O836" s="25"/>
      <c r="P836" s="25"/>
    </row>
    <row r="837">
      <c r="A837" s="16">
        <v>835.0</v>
      </c>
      <c r="B837" s="17" t="s">
        <v>283</v>
      </c>
      <c r="C837" s="18">
        <v>5.0</v>
      </c>
      <c r="D837" s="19" t="s">
        <v>2139</v>
      </c>
      <c r="E837" s="20" t="s">
        <v>443</v>
      </c>
      <c r="F837" s="17" t="s">
        <v>303</v>
      </c>
      <c r="G837" s="17" t="s">
        <v>2831</v>
      </c>
      <c r="H837" s="17" t="s">
        <v>2832</v>
      </c>
      <c r="I837" s="17" t="s">
        <v>125</v>
      </c>
      <c r="J837" s="22" t="s">
        <v>135</v>
      </c>
      <c r="K837" s="23" t="s">
        <v>108</v>
      </c>
      <c r="L837" s="24" t="s">
        <v>91</v>
      </c>
      <c r="M837" s="2">
        <v>28.0</v>
      </c>
      <c r="N837" s="25">
        <v>21.0</v>
      </c>
      <c r="O837" s="25"/>
      <c r="P837" s="25"/>
    </row>
    <row r="838">
      <c r="A838" s="16">
        <v>836.0</v>
      </c>
      <c r="B838" s="17" t="s">
        <v>283</v>
      </c>
      <c r="C838" s="18">
        <v>6.0</v>
      </c>
      <c r="D838" s="19" t="s">
        <v>2149</v>
      </c>
      <c r="E838" s="20" t="s">
        <v>443</v>
      </c>
      <c r="F838" s="17" t="s">
        <v>621</v>
      </c>
      <c r="G838" s="17" t="s">
        <v>2833</v>
      </c>
      <c r="H838" s="17" t="s">
        <v>2834</v>
      </c>
      <c r="I838" s="17" t="s">
        <v>98</v>
      </c>
      <c r="J838" s="22" t="s">
        <v>144</v>
      </c>
      <c r="K838" s="23" t="s">
        <v>108</v>
      </c>
      <c r="L838" s="24" t="s">
        <v>91</v>
      </c>
      <c r="M838" s="2">
        <v>28.0</v>
      </c>
      <c r="N838" s="25">
        <v>30.0</v>
      </c>
      <c r="O838" s="25"/>
      <c r="P838" s="25"/>
    </row>
    <row r="839">
      <c r="A839" s="16">
        <v>837.0</v>
      </c>
      <c r="B839" s="17" t="s">
        <v>283</v>
      </c>
      <c r="C839" s="18">
        <v>7.0</v>
      </c>
      <c r="D839" s="19" t="s">
        <v>2144</v>
      </c>
      <c r="E839" s="20" t="s">
        <v>443</v>
      </c>
      <c r="F839" s="17" t="s">
        <v>306</v>
      </c>
      <c r="G839" s="17" t="s">
        <v>2836</v>
      </c>
      <c r="H839" s="17" t="s">
        <v>2837</v>
      </c>
      <c r="I839" s="17" t="s">
        <v>98</v>
      </c>
      <c r="J839" s="22" t="s">
        <v>144</v>
      </c>
      <c r="K839" s="23" t="s">
        <v>108</v>
      </c>
      <c r="L839" s="24" t="s">
        <v>91</v>
      </c>
      <c r="M839" s="2">
        <v>28.0</v>
      </c>
      <c r="N839" s="25">
        <v>30.0</v>
      </c>
      <c r="O839" s="25"/>
      <c r="P839" s="25"/>
    </row>
    <row r="840">
      <c r="A840" s="16">
        <v>838.0</v>
      </c>
      <c r="B840" s="17" t="s">
        <v>283</v>
      </c>
      <c r="C840" s="18">
        <v>8.0</v>
      </c>
      <c r="D840" s="19" t="s">
        <v>2144</v>
      </c>
      <c r="E840" s="20" t="s">
        <v>443</v>
      </c>
      <c r="F840" s="17" t="s">
        <v>717</v>
      </c>
      <c r="G840" s="17" t="s">
        <v>2838</v>
      </c>
      <c r="H840" s="17" t="s">
        <v>2837</v>
      </c>
      <c r="I840" s="17" t="s">
        <v>98</v>
      </c>
      <c r="J840" s="22" t="s">
        <v>144</v>
      </c>
      <c r="K840" s="23" t="s">
        <v>108</v>
      </c>
      <c r="L840" s="24" t="s">
        <v>91</v>
      </c>
      <c r="M840" s="2">
        <v>28.0</v>
      </c>
      <c r="N840" s="25">
        <v>30.0</v>
      </c>
      <c r="O840" s="25"/>
      <c r="P840" s="25"/>
    </row>
    <row r="841">
      <c r="A841" s="16">
        <v>839.0</v>
      </c>
      <c r="B841" s="17" t="s">
        <v>283</v>
      </c>
      <c r="C841" s="18">
        <v>9.0</v>
      </c>
      <c r="D841" s="19" t="s">
        <v>2144</v>
      </c>
      <c r="E841" s="20" t="s">
        <v>443</v>
      </c>
      <c r="F841" s="17" t="s">
        <v>722</v>
      </c>
      <c r="G841" s="17" t="s">
        <v>2839</v>
      </c>
      <c r="H841" s="17" t="s">
        <v>2837</v>
      </c>
      <c r="I841" s="17" t="s">
        <v>98</v>
      </c>
      <c r="J841" s="22" t="s">
        <v>144</v>
      </c>
      <c r="K841" s="23" t="s">
        <v>108</v>
      </c>
      <c r="L841" s="24" t="s">
        <v>91</v>
      </c>
      <c r="M841" s="2">
        <v>28.0</v>
      </c>
      <c r="N841" s="25">
        <v>30.0</v>
      </c>
      <c r="O841" s="25"/>
      <c r="P841" s="25"/>
    </row>
    <row r="842">
      <c r="A842" s="16">
        <v>840.0</v>
      </c>
      <c r="B842" s="17" t="s">
        <v>283</v>
      </c>
      <c r="C842" s="18">
        <v>10.0</v>
      </c>
      <c r="D842" s="19" t="s">
        <v>2139</v>
      </c>
      <c r="E842" s="20" t="s">
        <v>443</v>
      </c>
      <c r="F842" s="17" t="s">
        <v>1225</v>
      </c>
      <c r="G842" s="17" t="s">
        <v>2840</v>
      </c>
      <c r="H842" s="17" t="s">
        <v>2827</v>
      </c>
      <c r="I842" s="17" t="s">
        <v>98</v>
      </c>
      <c r="J842" s="22" t="s">
        <v>144</v>
      </c>
      <c r="K842" s="23" t="s">
        <v>108</v>
      </c>
      <c r="L842" s="24" t="s">
        <v>91</v>
      </c>
      <c r="M842" s="2">
        <v>28.0</v>
      </c>
      <c r="N842" s="25">
        <v>30.0</v>
      </c>
      <c r="O842" s="25"/>
      <c r="P842" s="25"/>
    </row>
    <row r="843">
      <c r="A843" s="16">
        <v>841.0</v>
      </c>
      <c r="B843" s="17" t="s">
        <v>283</v>
      </c>
      <c r="C843" s="18">
        <v>11.0</v>
      </c>
      <c r="D843" s="19" t="s">
        <v>2149</v>
      </c>
      <c r="E843" s="20" t="s">
        <v>443</v>
      </c>
      <c r="F843" s="17" t="s">
        <v>491</v>
      </c>
      <c r="G843" s="17" t="s">
        <v>2842</v>
      </c>
      <c r="H843" s="17" t="s">
        <v>2843</v>
      </c>
      <c r="I843" s="17" t="s">
        <v>125</v>
      </c>
      <c r="J843" s="22" t="s">
        <v>144</v>
      </c>
      <c r="K843" s="23" t="s">
        <v>108</v>
      </c>
      <c r="L843" s="24" t="s">
        <v>91</v>
      </c>
      <c r="M843" s="2">
        <v>28.0</v>
      </c>
      <c r="N843" s="25">
        <v>31.0</v>
      </c>
      <c r="O843" s="25"/>
      <c r="P843" s="25"/>
    </row>
    <row r="844">
      <c r="A844" s="16">
        <v>842.0</v>
      </c>
      <c r="B844" s="17" t="s">
        <v>283</v>
      </c>
      <c r="C844" s="18">
        <v>12.0</v>
      </c>
      <c r="D844" s="19" t="s">
        <v>2149</v>
      </c>
      <c r="E844" s="20" t="s">
        <v>443</v>
      </c>
      <c r="F844" s="17" t="s">
        <v>10</v>
      </c>
      <c r="G844" s="17" t="s">
        <v>2844</v>
      </c>
      <c r="H844" s="17" t="s">
        <v>2845</v>
      </c>
      <c r="I844" s="17" t="s">
        <v>125</v>
      </c>
      <c r="J844" s="22" t="s">
        <v>144</v>
      </c>
      <c r="K844" s="23" t="s">
        <v>108</v>
      </c>
      <c r="L844" s="24" t="s">
        <v>91</v>
      </c>
      <c r="M844" s="2">
        <v>28.0</v>
      </c>
      <c r="N844" s="25">
        <v>31.0</v>
      </c>
      <c r="O844" s="25"/>
      <c r="P844" s="25"/>
    </row>
    <row r="845">
      <c r="A845" s="16">
        <v>843.0</v>
      </c>
      <c r="B845" s="17" t="s">
        <v>283</v>
      </c>
      <c r="C845" s="18">
        <v>13.0</v>
      </c>
      <c r="D845" s="19" t="s">
        <v>2149</v>
      </c>
      <c r="E845" s="20" t="s">
        <v>443</v>
      </c>
      <c r="F845" s="17" t="s">
        <v>287</v>
      </c>
      <c r="G845" s="17" t="s">
        <v>2847</v>
      </c>
      <c r="H845" s="17" t="s">
        <v>2848</v>
      </c>
      <c r="I845" s="17" t="s">
        <v>125</v>
      </c>
      <c r="J845" s="22" t="s">
        <v>144</v>
      </c>
      <c r="K845" s="23" t="s">
        <v>108</v>
      </c>
      <c r="L845" s="24" t="s">
        <v>91</v>
      </c>
      <c r="M845" s="2">
        <v>28.0</v>
      </c>
      <c r="N845" s="25">
        <v>31.0</v>
      </c>
      <c r="O845" s="25"/>
      <c r="P845" s="25"/>
    </row>
    <row r="846">
      <c r="A846" s="16">
        <v>844.0</v>
      </c>
      <c r="B846" s="17" t="s">
        <v>283</v>
      </c>
      <c r="C846" s="18">
        <v>14.0</v>
      </c>
      <c r="D846" s="19" t="s">
        <v>2149</v>
      </c>
      <c r="E846" s="20" t="s">
        <v>443</v>
      </c>
      <c r="F846" s="17" t="s">
        <v>986</v>
      </c>
      <c r="G846" s="17" t="s">
        <v>2849</v>
      </c>
      <c r="H846" s="17" t="s">
        <v>2850</v>
      </c>
      <c r="I846" s="17" t="s">
        <v>125</v>
      </c>
      <c r="J846" s="22" t="s">
        <v>144</v>
      </c>
      <c r="K846" s="23" t="s">
        <v>108</v>
      </c>
      <c r="L846" s="24" t="s">
        <v>91</v>
      </c>
      <c r="M846" s="2">
        <v>28.0</v>
      </c>
      <c r="N846" s="25">
        <v>31.0</v>
      </c>
      <c r="O846" s="25"/>
      <c r="P846" s="25"/>
    </row>
    <row r="847">
      <c r="A847" s="16">
        <v>845.0</v>
      </c>
      <c r="B847" s="17" t="s">
        <v>283</v>
      </c>
      <c r="C847" s="18">
        <v>15.0</v>
      </c>
      <c r="D847" s="19" t="s">
        <v>2149</v>
      </c>
      <c r="E847" s="20" t="s">
        <v>443</v>
      </c>
      <c r="F847" s="17" t="s">
        <v>1085</v>
      </c>
      <c r="G847" s="17" t="s">
        <v>1867</v>
      </c>
      <c r="H847" s="17" t="s">
        <v>2851</v>
      </c>
      <c r="I847" s="17" t="s">
        <v>125</v>
      </c>
      <c r="J847" s="22" t="s">
        <v>144</v>
      </c>
      <c r="K847" s="23" t="s">
        <v>108</v>
      </c>
      <c r="L847" s="24" t="s">
        <v>91</v>
      </c>
      <c r="M847" s="2">
        <v>28.0</v>
      </c>
      <c r="N847" s="25">
        <v>31.0</v>
      </c>
      <c r="O847" s="25"/>
      <c r="P847" s="25"/>
    </row>
    <row r="848">
      <c r="A848" s="16">
        <v>846.0</v>
      </c>
      <c r="B848" s="17" t="s">
        <v>283</v>
      </c>
      <c r="C848" s="18">
        <v>16.0</v>
      </c>
      <c r="D848" s="19" t="s">
        <v>2149</v>
      </c>
      <c r="E848" s="20" t="s">
        <v>443</v>
      </c>
      <c r="F848" s="17" t="s">
        <v>877</v>
      </c>
      <c r="G848" s="17" t="s">
        <v>2855</v>
      </c>
      <c r="H848" s="17" t="s">
        <v>2856</v>
      </c>
      <c r="I848" s="17" t="s">
        <v>125</v>
      </c>
      <c r="J848" s="22" t="s">
        <v>144</v>
      </c>
      <c r="K848" s="23" t="s">
        <v>108</v>
      </c>
      <c r="L848" s="24" t="s">
        <v>91</v>
      </c>
      <c r="M848" s="2">
        <v>28.0</v>
      </c>
      <c r="N848" s="25">
        <v>31.0</v>
      </c>
      <c r="O848" s="25"/>
      <c r="P848" s="25"/>
    </row>
    <row r="849">
      <c r="A849" s="16">
        <v>847.0</v>
      </c>
      <c r="B849" s="17" t="s">
        <v>283</v>
      </c>
      <c r="C849" s="18">
        <v>17.0</v>
      </c>
      <c r="D849" s="19" t="s">
        <v>2149</v>
      </c>
      <c r="E849" s="20" t="s">
        <v>443</v>
      </c>
      <c r="F849" s="17" t="s">
        <v>1226</v>
      </c>
      <c r="G849" s="17" t="s">
        <v>2858</v>
      </c>
      <c r="H849" s="17" t="s">
        <v>2859</v>
      </c>
      <c r="I849" s="17" t="s">
        <v>125</v>
      </c>
      <c r="J849" s="22" t="s">
        <v>144</v>
      </c>
      <c r="K849" s="23" t="s">
        <v>108</v>
      </c>
      <c r="L849" s="24" t="s">
        <v>91</v>
      </c>
      <c r="M849" s="2">
        <v>28.0</v>
      </c>
      <c r="N849" s="25">
        <v>31.0</v>
      </c>
      <c r="O849" s="25"/>
      <c r="P849" s="25"/>
    </row>
    <row r="850">
      <c r="A850" s="16">
        <v>848.0</v>
      </c>
      <c r="B850" s="17" t="s">
        <v>283</v>
      </c>
      <c r="C850" s="18">
        <v>18.0</v>
      </c>
      <c r="D850" s="19" t="s">
        <v>2149</v>
      </c>
      <c r="E850" s="20" t="s">
        <v>443</v>
      </c>
      <c r="F850" s="17" t="s">
        <v>308</v>
      </c>
      <c r="G850" s="17" t="s">
        <v>2860</v>
      </c>
      <c r="H850" s="17" t="s">
        <v>2861</v>
      </c>
      <c r="I850" s="17" t="s">
        <v>125</v>
      </c>
      <c r="J850" s="22" t="s">
        <v>144</v>
      </c>
      <c r="K850" s="23" t="s">
        <v>108</v>
      </c>
      <c r="L850" s="24" t="s">
        <v>91</v>
      </c>
      <c r="M850" s="2">
        <v>28.0</v>
      </c>
      <c r="N850" s="25">
        <v>31.0</v>
      </c>
      <c r="O850" s="25"/>
      <c r="P850" s="25"/>
    </row>
    <row r="851">
      <c r="A851" s="16">
        <v>849.0</v>
      </c>
      <c r="B851" s="17" t="s">
        <v>283</v>
      </c>
      <c r="C851" s="18">
        <v>19.0</v>
      </c>
      <c r="D851" s="19" t="s">
        <v>2149</v>
      </c>
      <c r="E851" s="20" t="s">
        <v>443</v>
      </c>
      <c r="F851" s="17" t="s">
        <v>878</v>
      </c>
      <c r="G851" s="17" t="s">
        <v>2864</v>
      </c>
      <c r="H851" s="17" t="s">
        <v>2865</v>
      </c>
      <c r="I851" s="17" t="s">
        <v>125</v>
      </c>
      <c r="J851" s="22" t="s">
        <v>144</v>
      </c>
      <c r="K851" s="23" t="s">
        <v>108</v>
      </c>
      <c r="L851" s="24" t="s">
        <v>91</v>
      </c>
      <c r="M851" s="2">
        <v>28.0</v>
      </c>
      <c r="N851" s="25">
        <v>31.0</v>
      </c>
      <c r="O851" s="25"/>
      <c r="P851" s="25"/>
    </row>
    <row r="852">
      <c r="A852" s="16">
        <v>850.0</v>
      </c>
      <c r="B852" s="17" t="s">
        <v>283</v>
      </c>
      <c r="C852" s="18">
        <v>20.0</v>
      </c>
      <c r="D852" s="19" t="s">
        <v>2149</v>
      </c>
      <c r="E852" s="20" t="s">
        <v>443</v>
      </c>
      <c r="F852" s="17" t="s">
        <v>311</v>
      </c>
      <c r="G852" s="17" t="s">
        <v>2866</v>
      </c>
      <c r="H852" s="17" t="s">
        <v>2867</v>
      </c>
      <c r="I852" s="17" t="s">
        <v>125</v>
      </c>
      <c r="J852" s="22" t="s">
        <v>144</v>
      </c>
      <c r="K852" s="23" t="s">
        <v>108</v>
      </c>
      <c r="L852" s="24" t="s">
        <v>91</v>
      </c>
      <c r="M852" s="2">
        <v>28.0</v>
      </c>
      <c r="N852" s="25">
        <v>31.0</v>
      </c>
      <c r="O852" s="25"/>
      <c r="P852" s="25"/>
    </row>
    <row r="853">
      <c r="A853" s="16">
        <v>851.0</v>
      </c>
      <c r="B853" s="17" t="s">
        <v>283</v>
      </c>
      <c r="C853" s="18">
        <v>21.0</v>
      </c>
      <c r="D853" s="19" t="s">
        <v>2149</v>
      </c>
      <c r="E853" s="20" t="s">
        <v>443</v>
      </c>
      <c r="F853" s="17" t="s">
        <v>315</v>
      </c>
      <c r="G853" s="17" t="s">
        <v>2869</v>
      </c>
      <c r="H853" s="17" t="s">
        <v>2870</v>
      </c>
      <c r="I853" s="17" t="s">
        <v>125</v>
      </c>
      <c r="J853" s="22" t="s">
        <v>144</v>
      </c>
      <c r="K853" s="23" t="s">
        <v>108</v>
      </c>
      <c r="L853" s="24" t="s">
        <v>91</v>
      </c>
      <c r="M853" s="2">
        <v>28.0</v>
      </c>
      <c r="N853" s="25">
        <v>31.0</v>
      </c>
      <c r="O853" s="25"/>
      <c r="P853" s="25"/>
    </row>
    <row r="854">
      <c r="A854" s="16">
        <v>852.0</v>
      </c>
      <c r="B854" s="17" t="s">
        <v>283</v>
      </c>
      <c r="C854" s="18">
        <v>22.0</v>
      </c>
      <c r="D854" s="19" t="s">
        <v>2149</v>
      </c>
      <c r="E854" s="20" t="s">
        <v>443</v>
      </c>
      <c r="F854" s="17" t="s">
        <v>1227</v>
      </c>
      <c r="G854" s="17" t="s">
        <v>2871</v>
      </c>
      <c r="H854" s="17" t="s">
        <v>2872</v>
      </c>
      <c r="I854" s="17" t="s">
        <v>125</v>
      </c>
      <c r="J854" s="22" t="s">
        <v>144</v>
      </c>
      <c r="K854" s="23" t="s">
        <v>108</v>
      </c>
      <c r="L854" s="24" t="s">
        <v>91</v>
      </c>
      <c r="M854" s="2">
        <v>28.0</v>
      </c>
      <c r="N854" s="25">
        <v>31.0</v>
      </c>
      <c r="O854" s="25"/>
      <c r="P854" s="25"/>
    </row>
    <row r="855">
      <c r="A855" s="16">
        <v>853.0</v>
      </c>
      <c r="B855" s="17" t="s">
        <v>283</v>
      </c>
      <c r="C855" s="18">
        <v>23.0</v>
      </c>
      <c r="D855" s="19" t="s">
        <v>2149</v>
      </c>
      <c r="E855" s="20" t="s">
        <v>443</v>
      </c>
      <c r="F855" s="17" t="s">
        <v>879</v>
      </c>
      <c r="G855" s="17" t="s">
        <v>2873</v>
      </c>
      <c r="H855" s="17" t="s">
        <v>2874</v>
      </c>
      <c r="I855" s="17" t="s">
        <v>125</v>
      </c>
      <c r="J855" s="22" t="s">
        <v>144</v>
      </c>
      <c r="K855" s="23" t="s">
        <v>108</v>
      </c>
      <c r="L855" s="24" t="s">
        <v>91</v>
      </c>
      <c r="M855" s="2">
        <v>28.0</v>
      </c>
      <c r="N855" s="25">
        <v>31.0</v>
      </c>
      <c r="O855" s="25"/>
      <c r="P855" s="25"/>
    </row>
    <row r="856">
      <c r="A856" s="16">
        <v>854.0</v>
      </c>
      <c r="B856" s="17" t="s">
        <v>283</v>
      </c>
      <c r="C856" s="18">
        <v>24.0</v>
      </c>
      <c r="D856" s="19" t="s">
        <v>2149</v>
      </c>
      <c r="E856" s="20" t="s">
        <v>443</v>
      </c>
      <c r="F856" s="17" t="s">
        <v>259</v>
      </c>
      <c r="G856" s="17" t="s">
        <v>1676</v>
      </c>
      <c r="H856" s="17" t="s">
        <v>1677</v>
      </c>
      <c r="I856" s="17" t="s">
        <v>125</v>
      </c>
      <c r="J856" s="22" t="s">
        <v>144</v>
      </c>
      <c r="K856" s="23" t="s">
        <v>108</v>
      </c>
      <c r="L856" s="24" t="s">
        <v>91</v>
      </c>
      <c r="M856" s="2">
        <v>28.0</v>
      </c>
      <c r="N856" s="25">
        <v>31.0</v>
      </c>
      <c r="O856" s="25"/>
      <c r="P856" s="25"/>
    </row>
    <row r="857">
      <c r="A857" s="16">
        <v>855.0</v>
      </c>
      <c r="B857" s="17" t="s">
        <v>283</v>
      </c>
      <c r="C857" s="18">
        <v>25.0</v>
      </c>
      <c r="D857" s="19" t="s">
        <v>2149</v>
      </c>
      <c r="E857" s="20" t="s">
        <v>443</v>
      </c>
      <c r="F857" s="17" t="s">
        <v>115</v>
      </c>
      <c r="G857" s="17" t="s">
        <v>2875</v>
      </c>
      <c r="H857" s="17" t="s">
        <v>2876</v>
      </c>
      <c r="I857" s="17" t="s">
        <v>125</v>
      </c>
      <c r="J857" s="22" t="s">
        <v>144</v>
      </c>
      <c r="K857" s="23" t="s">
        <v>108</v>
      </c>
      <c r="L857" s="24" t="s">
        <v>91</v>
      </c>
      <c r="M857" s="2">
        <v>28.0</v>
      </c>
      <c r="N857" s="25">
        <v>31.0</v>
      </c>
      <c r="O857" s="25"/>
      <c r="P857" s="25"/>
    </row>
    <row r="858">
      <c r="A858" s="16">
        <v>856.0</v>
      </c>
      <c r="B858" s="17" t="s">
        <v>283</v>
      </c>
      <c r="C858" s="18">
        <v>26.0</v>
      </c>
      <c r="D858" s="19" t="s">
        <v>2149</v>
      </c>
      <c r="E858" s="20" t="s">
        <v>443</v>
      </c>
      <c r="F858" s="17" t="s">
        <v>1105</v>
      </c>
      <c r="G858" s="17" t="s">
        <v>2878</v>
      </c>
      <c r="H858" s="17" t="s">
        <v>2879</v>
      </c>
      <c r="I858" s="17" t="s">
        <v>125</v>
      </c>
      <c r="J858" s="22" t="s">
        <v>144</v>
      </c>
      <c r="K858" s="23" t="s">
        <v>108</v>
      </c>
      <c r="L858" s="24" t="s">
        <v>91</v>
      </c>
      <c r="M858" s="2">
        <v>28.0</v>
      </c>
      <c r="N858" s="25">
        <v>31.0</v>
      </c>
      <c r="O858" s="25"/>
      <c r="P858" s="25"/>
    </row>
    <row r="859">
      <c r="A859" s="16">
        <v>857.0</v>
      </c>
      <c r="B859" s="17" t="s">
        <v>283</v>
      </c>
      <c r="C859" s="18">
        <v>27.0</v>
      </c>
      <c r="D859" s="19" t="s">
        <v>2144</v>
      </c>
      <c r="E859" s="20" t="s">
        <v>443</v>
      </c>
      <c r="F859" s="17" t="s">
        <v>691</v>
      </c>
      <c r="G859" s="17" t="s">
        <v>2880</v>
      </c>
      <c r="H859" s="17" t="s">
        <v>2882</v>
      </c>
      <c r="I859" s="17" t="s">
        <v>125</v>
      </c>
      <c r="J859" s="22" t="s">
        <v>144</v>
      </c>
      <c r="K859" s="23" t="s">
        <v>108</v>
      </c>
      <c r="L859" s="24" t="s">
        <v>91</v>
      </c>
      <c r="M859" s="2">
        <v>28.0</v>
      </c>
      <c r="N859" s="25">
        <v>31.0</v>
      </c>
      <c r="O859" s="25"/>
      <c r="P859" s="25"/>
    </row>
    <row r="860">
      <c r="A860" s="16">
        <v>858.0</v>
      </c>
      <c r="B860" s="17" t="s">
        <v>283</v>
      </c>
      <c r="C860" s="18">
        <v>28.0</v>
      </c>
      <c r="D860" s="19" t="s">
        <v>2144</v>
      </c>
      <c r="E860" s="20" t="s">
        <v>443</v>
      </c>
      <c r="F860" s="17" t="s">
        <v>5</v>
      </c>
      <c r="G860" s="17" t="s">
        <v>2884</v>
      </c>
      <c r="H860" s="17" t="s">
        <v>2885</v>
      </c>
      <c r="I860" s="17" t="s">
        <v>125</v>
      </c>
      <c r="J860" s="22" t="s">
        <v>144</v>
      </c>
      <c r="K860" s="23" t="s">
        <v>108</v>
      </c>
      <c r="L860" s="24" t="s">
        <v>91</v>
      </c>
      <c r="M860" s="2">
        <v>28.0</v>
      </c>
      <c r="N860" s="25">
        <v>31.0</v>
      </c>
      <c r="O860" s="25"/>
      <c r="P860" s="25"/>
    </row>
    <row r="861">
      <c r="A861" s="16">
        <v>859.0</v>
      </c>
      <c r="B861" s="17" t="s">
        <v>283</v>
      </c>
      <c r="C861" s="18">
        <v>29.0</v>
      </c>
      <c r="D861" s="19" t="s">
        <v>2144</v>
      </c>
      <c r="E861" s="20" t="s">
        <v>443</v>
      </c>
      <c r="F861" s="17" t="s">
        <v>158</v>
      </c>
      <c r="G861" s="17" t="s">
        <v>2887</v>
      </c>
      <c r="H861" s="17" t="s">
        <v>2888</v>
      </c>
      <c r="I861" s="17" t="s">
        <v>125</v>
      </c>
      <c r="J861" s="22" t="s">
        <v>144</v>
      </c>
      <c r="K861" s="23" t="s">
        <v>108</v>
      </c>
      <c r="L861" s="24" t="s">
        <v>91</v>
      </c>
      <c r="M861" s="2">
        <v>28.0</v>
      </c>
      <c r="N861" s="25">
        <v>31.0</v>
      </c>
      <c r="O861" s="25"/>
      <c r="P861" s="25"/>
    </row>
    <row r="862">
      <c r="A862" s="16">
        <v>860.0</v>
      </c>
      <c r="B862" s="17" t="s">
        <v>283</v>
      </c>
      <c r="C862" s="18">
        <v>30.0</v>
      </c>
      <c r="D862" s="19" t="s">
        <v>2144</v>
      </c>
      <c r="E862" s="20" t="s">
        <v>443</v>
      </c>
      <c r="F862" s="17" t="s">
        <v>1228</v>
      </c>
      <c r="G862" s="17" t="s">
        <v>2889</v>
      </c>
      <c r="H862" s="17" t="s">
        <v>2890</v>
      </c>
      <c r="I862" s="17" t="s">
        <v>125</v>
      </c>
      <c r="J862" s="22" t="s">
        <v>144</v>
      </c>
      <c r="K862" s="23" t="s">
        <v>108</v>
      </c>
      <c r="L862" s="24" t="s">
        <v>91</v>
      </c>
      <c r="M862" s="2">
        <v>28.0</v>
      </c>
      <c r="N862" s="25">
        <v>31.0</v>
      </c>
      <c r="O862" s="25"/>
      <c r="P862" s="25"/>
    </row>
    <row r="863">
      <c r="A863" s="16">
        <v>861.0</v>
      </c>
      <c r="B863" s="17" t="s">
        <v>283</v>
      </c>
      <c r="C863" s="18">
        <v>31.0</v>
      </c>
      <c r="D863" s="19" t="s">
        <v>2144</v>
      </c>
      <c r="E863" s="20" t="s">
        <v>443</v>
      </c>
      <c r="F863" s="17" t="s">
        <v>1229</v>
      </c>
      <c r="G863" s="17" t="s">
        <v>2891</v>
      </c>
      <c r="H863" s="17" t="s">
        <v>2892</v>
      </c>
      <c r="I863" s="17" t="s">
        <v>125</v>
      </c>
      <c r="J863" s="22" t="s">
        <v>144</v>
      </c>
      <c r="K863" s="23" t="s">
        <v>108</v>
      </c>
      <c r="L863" s="24" t="s">
        <v>91</v>
      </c>
      <c r="M863" s="2">
        <v>28.0</v>
      </c>
      <c r="N863" s="25">
        <v>31.0</v>
      </c>
      <c r="O863" s="25"/>
      <c r="P863" s="25"/>
    </row>
    <row r="864">
      <c r="A864" s="16">
        <v>862.0</v>
      </c>
      <c r="B864" s="17" t="s">
        <v>283</v>
      </c>
      <c r="C864" s="18">
        <v>32.0</v>
      </c>
      <c r="D864" s="19" t="s">
        <v>2144</v>
      </c>
      <c r="E864" s="20" t="s">
        <v>443</v>
      </c>
      <c r="F864" s="17" t="s">
        <v>626</v>
      </c>
      <c r="G864" s="17" t="s">
        <v>2894</v>
      </c>
      <c r="H864" s="17" t="s">
        <v>2896</v>
      </c>
      <c r="I864" s="17" t="s">
        <v>125</v>
      </c>
      <c r="J864" s="22" t="s">
        <v>144</v>
      </c>
      <c r="K864" s="23" t="s">
        <v>108</v>
      </c>
      <c r="L864" s="24" t="s">
        <v>91</v>
      </c>
      <c r="M864" s="2">
        <v>28.0</v>
      </c>
      <c r="N864" s="25">
        <v>31.0</v>
      </c>
      <c r="O864" s="25"/>
      <c r="P864" s="25"/>
    </row>
    <row r="865">
      <c r="A865" s="16">
        <v>863.0</v>
      </c>
      <c r="B865" s="17" t="s">
        <v>283</v>
      </c>
      <c r="C865" s="18">
        <v>33.0</v>
      </c>
      <c r="D865" s="19" t="s">
        <v>2144</v>
      </c>
      <c r="E865" s="20" t="s">
        <v>443</v>
      </c>
      <c r="F865" s="17" t="s">
        <v>863</v>
      </c>
      <c r="G865" s="17" t="s">
        <v>2897</v>
      </c>
      <c r="H865" s="17" t="s">
        <v>2898</v>
      </c>
      <c r="I865" s="17" t="s">
        <v>125</v>
      </c>
      <c r="J865" s="22" t="s">
        <v>144</v>
      </c>
      <c r="K865" s="23" t="s">
        <v>108</v>
      </c>
      <c r="L865" s="24" t="s">
        <v>91</v>
      </c>
      <c r="M865" s="2">
        <v>28.0</v>
      </c>
      <c r="N865" s="25">
        <v>31.0</v>
      </c>
      <c r="O865" s="25"/>
      <c r="P865" s="25"/>
    </row>
    <row r="866">
      <c r="A866" s="16">
        <v>864.0</v>
      </c>
      <c r="B866" s="17" t="s">
        <v>283</v>
      </c>
      <c r="C866" s="18">
        <v>34.0</v>
      </c>
      <c r="D866" s="19" t="s">
        <v>2144</v>
      </c>
      <c r="E866" s="20" t="s">
        <v>443</v>
      </c>
      <c r="F866" s="17" t="s">
        <v>685</v>
      </c>
      <c r="G866" s="17" t="s">
        <v>2899</v>
      </c>
      <c r="H866" s="17" t="s">
        <v>2900</v>
      </c>
      <c r="I866" s="17" t="s">
        <v>125</v>
      </c>
      <c r="J866" s="22" t="s">
        <v>144</v>
      </c>
      <c r="K866" s="23" t="s">
        <v>108</v>
      </c>
      <c r="L866" s="24" t="s">
        <v>91</v>
      </c>
      <c r="M866" s="2">
        <v>28.0</v>
      </c>
      <c r="N866" s="25">
        <v>31.0</v>
      </c>
      <c r="O866" s="25"/>
      <c r="P866" s="25"/>
    </row>
    <row r="867">
      <c r="A867" s="16">
        <v>865.0</v>
      </c>
      <c r="B867" s="17" t="s">
        <v>283</v>
      </c>
      <c r="C867" s="18">
        <v>35.0</v>
      </c>
      <c r="D867" s="19" t="s">
        <v>2144</v>
      </c>
      <c r="E867" s="20" t="s">
        <v>443</v>
      </c>
      <c r="F867" s="17" t="s">
        <v>499</v>
      </c>
      <c r="G867" s="17" t="s">
        <v>2902</v>
      </c>
      <c r="H867" s="17" t="s">
        <v>2903</v>
      </c>
      <c r="I867" s="17" t="s">
        <v>125</v>
      </c>
      <c r="J867" s="22" t="s">
        <v>144</v>
      </c>
      <c r="K867" s="23" t="s">
        <v>108</v>
      </c>
      <c r="L867" s="24" t="s">
        <v>91</v>
      </c>
      <c r="M867" s="2">
        <v>28.0</v>
      </c>
      <c r="N867" s="25">
        <v>31.0</v>
      </c>
      <c r="O867" s="25"/>
      <c r="P867" s="25"/>
    </row>
    <row r="868">
      <c r="A868" s="16">
        <v>866.0</v>
      </c>
      <c r="B868" s="17" t="s">
        <v>283</v>
      </c>
      <c r="C868" s="18">
        <v>36.0</v>
      </c>
      <c r="D868" s="19" t="s">
        <v>2144</v>
      </c>
      <c r="E868" s="20" t="s">
        <v>443</v>
      </c>
      <c r="F868" s="17" t="s">
        <v>725</v>
      </c>
      <c r="G868" s="17" t="s">
        <v>2904</v>
      </c>
      <c r="H868" s="17" t="s">
        <v>2905</v>
      </c>
      <c r="I868" s="17" t="s">
        <v>125</v>
      </c>
      <c r="J868" s="22" t="s">
        <v>144</v>
      </c>
      <c r="K868" s="23" t="s">
        <v>108</v>
      </c>
      <c r="L868" s="24" t="s">
        <v>91</v>
      </c>
      <c r="M868" s="2">
        <v>28.0</v>
      </c>
      <c r="N868" s="25">
        <v>31.0</v>
      </c>
      <c r="O868" s="25"/>
      <c r="P868" s="25"/>
    </row>
    <row r="869">
      <c r="A869" s="16">
        <v>867.0</v>
      </c>
      <c r="B869" s="17" t="s">
        <v>283</v>
      </c>
      <c r="C869" s="18">
        <v>37.0</v>
      </c>
      <c r="D869" s="19" t="s">
        <v>2144</v>
      </c>
      <c r="E869" s="20" t="s">
        <v>443</v>
      </c>
      <c r="F869" s="17" t="s">
        <v>728</v>
      </c>
      <c r="G869" s="17" t="s">
        <v>2906</v>
      </c>
      <c r="H869" s="17" t="s">
        <v>2907</v>
      </c>
      <c r="I869" s="17" t="s">
        <v>125</v>
      </c>
      <c r="J869" s="22" t="s">
        <v>144</v>
      </c>
      <c r="K869" s="23" t="s">
        <v>108</v>
      </c>
      <c r="L869" s="24" t="s">
        <v>91</v>
      </c>
      <c r="M869" s="2">
        <v>28.0</v>
      </c>
      <c r="N869" s="25">
        <v>31.0</v>
      </c>
      <c r="O869" s="25"/>
      <c r="P869" s="25"/>
    </row>
    <row r="870">
      <c r="A870" s="16">
        <v>868.0</v>
      </c>
      <c r="B870" s="17" t="s">
        <v>283</v>
      </c>
      <c r="C870" s="18">
        <v>38.0</v>
      </c>
      <c r="D870" s="19" t="s">
        <v>2144</v>
      </c>
      <c r="E870" s="20" t="s">
        <v>443</v>
      </c>
      <c r="F870" s="17" t="s">
        <v>1106</v>
      </c>
      <c r="G870" s="17" t="s">
        <v>2909</v>
      </c>
      <c r="H870" s="17" t="s">
        <v>2910</v>
      </c>
      <c r="I870" s="17" t="s">
        <v>125</v>
      </c>
      <c r="J870" s="22" t="s">
        <v>144</v>
      </c>
      <c r="K870" s="23" t="s">
        <v>108</v>
      </c>
      <c r="L870" s="24" t="s">
        <v>91</v>
      </c>
      <c r="M870" s="2">
        <v>28.0</v>
      </c>
      <c r="N870" s="25">
        <v>31.0</v>
      </c>
      <c r="O870" s="25"/>
      <c r="P870" s="25"/>
    </row>
    <row r="871">
      <c r="A871" s="16">
        <v>869.0</v>
      </c>
      <c r="B871" s="17" t="s">
        <v>283</v>
      </c>
      <c r="C871" s="18">
        <v>39.0</v>
      </c>
      <c r="D871" s="19" t="s">
        <v>2144</v>
      </c>
      <c r="E871" s="20" t="s">
        <v>443</v>
      </c>
      <c r="F871" s="17" t="s">
        <v>734</v>
      </c>
      <c r="G871" s="17" t="s">
        <v>2911</v>
      </c>
      <c r="H871" s="17" t="s">
        <v>2912</v>
      </c>
      <c r="I871" s="17" t="s">
        <v>125</v>
      </c>
      <c r="J871" s="22" t="s">
        <v>144</v>
      </c>
      <c r="K871" s="23" t="s">
        <v>108</v>
      </c>
      <c r="L871" s="24" t="s">
        <v>91</v>
      </c>
      <c r="M871" s="2">
        <v>28.0</v>
      </c>
      <c r="N871" s="25">
        <v>31.0</v>
      </c>
      <c r="O871" s="25"/>
      <c r="P871" s="25"/>
    </row>
    <row r="872">
      <c r="A872" s="16">
        <v>870.0</v>
      </c>
      <c r="B872" s="17" t="s">
        <v>283</v>
      </c>
      <c r="C872" s="18">
        <v>40.0</v>
      </c>
      <c r="D872" s="19" t="s">
        <v>2144</v>
      </c>
      <c r="E872" s="20" t="s">
        <v>443</v>
      </c>
      <c r="F872" s="17" t="s">
        <v>1230</v>
      </c>
      <c r="G872" s="17" t="s">
        <v>2914</v>
      </c>
      <c r="H872" s="17" t="s">
        <v>2915</v>
      </c>
      <c r="I872" s="17" t="s">
        <v>125</v>
      </c>
      <c r="J872" s="22" t="s">
        <v>144</v>
      </c>
      <c r="K872" s="23" t="s">
        <v>108</v>
      </c>
      <c r="L872" s="24" t="s">
        <v>91</v>
      </c>
      <c r="M872" s="2">
        <v>28.0</v>
      </c>
      <c r="N872" s="25">
        <v>31.0</v>
      </c>
      <c r="O872" s="25"/>
      <c r="P872" s="25"/>
    </row>
    <row r="873">
      <c r="A873" s="16">
        <v>871.0</v>
      </c>
      <c r="B873" s="17" t="s">
        <v>283</v>
      </c>
      <c r="C873" s="18">
        <v>41.0</v>
      </c>
      <c r="D873" s="19" t="s">
        <v>2144</v>
      </c>
      <c r="E873" s="20" t="s">
        <v>443</v>
      </c>
      <c r="F873" s="17" t="s">
        <v>973</v>
      </c>
      <c r="G873" s="17" t="s">
        <v>2324</v>
      </c>
      <c r="H873" s="17" t="s">
        <v>2916</v>
      </c>
      <c r="I873" s="17" t="s">
        <v>125</v>
      </c>
      <c r="J873" s="22" t="s">
        <v>144</v>
      </c>
      <c r="K873" s="23" t="s">
        <v>108</v>
      </c>
      <c r="L873" s="24" t="s">
        <v>91</v>
      </c>
      <c r="M873" s="2">
        <v>28.0</v>
      </c>
      <c r="N873" s="25">
        <v>31.0</v>
      </c>
      <c r="O873" s="25"/>
      <c r="P873" s="25"/>
    </row>
    <row r="874">
      <c r="A874" s="16">
        <v>872.0</v>
      </c>
      <c r="B874" s="17" t="s">
        <v>283</v>
      </c>
      <c r="C874" s="18">
        <v>42.0</v>
      </c>
      <c r="D874" s="19" t="s">
        <v>2144</v>
      </c>
      <c r="E874" s="20" t="s">
        <v>443</v>
      </c>
      <c r="F874" s="17" t="s">
        <v>990</v>
      </c>
      <c r="G874" s="17" t="s">
        <v>2918</v>
      </c>
      <c r="H874" s="17" t="s">
        <v>2919</v>
      </c>
      <c r="I874" s="17" t="s">
        <v>125</v>
      </c>
      <c r="J874" s="22" t="s">
        <v>144</v>
      </c>
      <c r="K874" s="23" t="s">
        <v>108</v>
      </c>
      <c r="L874" s="24" t="s">
        <v>91</v>
      </c>
      <c r="M874" s="2">
        <v>28.0</v>
      </c>
      <c r="N874" s="25">
        <v>31.0</v>
      </c>
      <c r="O874" s="25"/>
      <c r="P874" s="25"/>
    </row>
    <row r="875">
      <c r="A875" s="16">
        <v>873.0</v>
      </c>
      <c r="B875" s="17" t="s">
        <v>283</v>
      </c>
      <c r="C875" s="18">
        <v>43.0</v>
      </c>
      <c r="D875" s="19" t="s">
        <v>2144</v>
      </c>
      <c r="E875" s="20" t="s">
        <v>443</v>
      </c>
      <c r="F875" s="17" t="s">
        <v>1340</v>
      </c>
      <c r="G875" s="17" t="s">
        <v>2920</v>
      </c>
      <c r="H875" s="17" t="s">
        <v>2921</v>
      </c>
      <c r="I875" s="17" t="s">
        <v>125</v>
      </c>
      <c r="J875" s="22" t="s">
        <v>144</v>
      </c>
      <c r="K875" s="23" t="s">
        <v>108</v>
      </c>
      <c r="L875" s="24" t="s">
        <v>91</v>
      </c>
      <c r="M875" s="2">
        <v>28.0</v>
      </c>
      <c r="N875" s="25">
        <v>31.0</v>
      </c>
      <c r="O875" s="25"/>
      <c r="P875" s="25"/>
    </row>
    <row r="876">
      <c r="A876" s="16">
        <v>874.0</v>
      </c>
      <c r="B876" s="17" t="s">
        <v>283</v>
      </c>
      <c r="C876" s="18">
        <v>44.0</v>
      </c>
      <c r="D876" s="19" t="s">
        <v>2144</v>
      </c>
      <c r="E876" s="20" t="s">
        <v>443</v>
      </c>
      <c r="F876" s="17" t="s">
        <v>1231</v>
      </c>
      <c r="G876" s="17" t="s">
        <v>2922</v>
      </c>
      <c r="H876" s="17" t="s">
        <v>2923</v>
      </c>
      <c r="I876" s="17" t="s">
        <v>125</v>
      </c>
      <c r="J876" s="22" t="s">
        <v>144</v>
      </c>
      <c r="K876" s="23" t="s">
        <v>108</v>
      </c>
      <c r="L876" s="24" t="s">
        <v>91</v>
      </c>
      <c r="M876" s="2">
        <v>28.0</v>
      </c>
      <c r="N876" s="25">
        <v>31.0</v>
      </c>
      <c r="O876" s="25"/>
      <c r="P876" s="25"/>
    </row>
    <row r="877">
      <c r="A877" s="16">
        <v>875.0</v>
      </c>
      <c r="B877" s="17" t="s">
        <v>283</v>
      </c>
      <c r="C877" s="18">
        <v>45.0</v>
      </c>
      <c r="D877" s="19" t="s">
        <v>2144</v>
      </c>
      <c r="E877" s="20" t="s">
        <v>443</v>
      </c>
      <c r="F877" s="17" t="s">
        <v>1109</v>
      </c>
      <c r="G877" s="17" t="s">
        <v>2924</v>
      </c>
      <c r="H877" s="17" t="s">
        <v>2925</v>
      </c>
      <c r="I877" s="17" t="s">
        <v>125</v>
      </c>
      <c r="J877" s="22" t="s">
        <v>144</v>
      </c>
      <c r="K877" s="23" t="s">
        <v>108</v>
      </c>
      <c r="L877" s="24" t="s">
        <v>91</v>
      </c>
      <c r="M877" s="2">
        <v>28.0</v>
      </c>
      <c r="N877" s="25">
        <v>31.0</v>
      </c>
      <c r="O877" s="25"/>
      <c r="P877" s="25"/>
    </row>
    <row r="878">
      <c r="A878" s="16">
        <v>876.0</v>
      </c>
      <c r="B878" s="17" t="s">
        <v>283</v>
      </c>
      <c r="C878" s="18">
        <v>46.0</v>
      </c>
      <c r="D878" s="19" t="s">
        <v>2144</v>
      </c>
      <c r="E878" s="20" t="s">
        <v>443</v>
      </c>
      <c r="F878" s="17" t="s">
        <v>1110</v>
      </c>
      <c r="G878" s="17" t="s">
        <v>2927</v>
      </c>
      <c r="H878" s="17" t="s">
        <v>2928</v>
      </c>
      <c r="I878" s="17" t="s">
        <v>125</v>
      </c>
      <c r="J878" s="22" t="s">
        <v>144</v>
      </c>
      <c r="K878" s="23" t="s">
        <v>108</v>
      </c>
      <c r="L878" s="24" t="s">
        <v>91</v>
      </c>
      <c r="M878" s="2">
        <v>28.0</v>
      </c>
      <c r="N878" s="25">
        <v>31.0</v>
      </c>
      <c r="O878" s="25"/>
      <c r="P878" s="25"/>
    </row>
    <row r="879">
      <c r="A879" s="16">
        <v>877.0</v>
      </c>
      <c r="B879" s="17" t="s">
        <v>283</v>
      </c>
      <c r="C879" s="18">
        <v>47.0</v>
      </c>
      <c r="D879" s="19" t="s">
        <v>2144</v>
      </c>
      <c r="E879" s="20" t="s">
        <v>443</v>
      </c>
      <c r="F879" s="17" t="s">
        <v>1195</v>
      </c>
      <c r="G879" s="17" t="s">
        <v>2929</v>
      </c>
      <c r="H879" s="17" t="s">
        <v>2930</v>
      </c>
      <c r="I879" s="17" t="s">
        <v>125</v>
      </c>
      <c r="J879" s="22" t="s">
        <v>144</v>
      </c>
      <c r="K879" s="23" t="s">
        <v>108</v>
      </c>
      <c r="L879" s="24" t="s">
        <v>91</v>
      </c>
      <c r="M879" s="2">
        <v>28.0</v>
      </c>
      <c r="N879" s="25">
        <v>31.0</v>
      </c>
      <c r="O879" s="25"/>
      <c r="P879" s="25"/>
    </row>
    <row r="880">
      <c r="A880" s="16">
        <v>878.0</v>
      </c>
      <c r="B880" s="17" t="s">
        <v>283</v>
      </c>
      <c r="C880" s="18">
        <v>48.0</v>
      </c>
      <c r="D880" s="19" t="s">
        <v>2144</v>
      </c>
      <c r="E880" s="20" t="s">
        <v>443</v>
      </c>
      <c r="F880" s="17" t="s">
        <v>940</v>
      </c>
      <c r="G880" s="17" t="s">
        <v>1682</v>
      </c>
      <c r="H880" s="17" t="s">
        <v>2932</v>
      </c>
      <c r="I880" s="17" t="s">
        <v>125</v>
      </c>
      <c r="J880" s="22" t="s">
        <v>144</v>
      </c>
      <c r="K880" s="23" t="s">
        <v>108</v>
      </c>
      <c r="L880" s="24" t="s">
        <v>91</v>
      </c>
      <c r="M880" s="2">
        <v>28.0</v>
      </c>
      <c r="N880" s="25">
        <v>31.0</v>
      </c>
      <c r="O880" s="25"/>
      <c r="P880" s="25"/>
    </row>
    <row r="881">
      <c r="A881" s="16">
        <v>879.0</v>
      </c>
      <c r="B881" s="17" t="s">
        <v>283</v>
      </c>
      <c r="C881" s="18">
        <v>49.0</v>
      </c>
      <c r="D881" s="19" t="s">
        <v>2144</v>
      </c>
      <c r="E881" s="20" t="s">
        <v>443</v>
      </c>
      <c r="F881" s="17" t="s">
        <v>1232</v>
      </c>
      <c r="G881" s="17" t="s">
        <v>2934</v>
      </c>
      <c r="H881" s="17" t="s">
        <v>2935</v>
      </c>
      <c r="I881" s="17" t="s">
        <v>125</v>
      </c>
      <c r="J881" s="22" t="s">
        <v>144</v>
      </c>
      <c r="K881" s="23" t="s">
        <v>108</v>
      </c>
      <c r="L881" s="24" t="s">
        <v>91</v>
      </c>
      <c r="M881" s="2">
        <v>28.0</v>
      </c>
      <c r="N881" s="25">
        <v>31.0</v>
      </c>
      <c r="O881" s="25"/>
      <c r="P881" s="25"/>
    </row>
    <row r="882">
      <c r="A882" s="16">
        <v>880.0</v>
      </c>
      <c r="B882" s="17" t="s">
        <v>283</v>
      </c>
      <c r="C882" s="18">
        <v>50.0</v>
      </c>
      <c r="D882" s="19" t="s">
        <v>2144</v>
      </c>
      <c r="E882" s="20" t="s">
        <v>443</v>
      </c>
      <c r="F882" s="17" t="s">
        <v>861</v>
      </c>
      <c r="G882" s="17" t="s">
        <v>2936</v>
      </c>
      <c r="H882" s="17" t="s">
        <v>2937</v>
      </c>
      <c r="I882" s="17" t="s">
        <v>125</v>
      </c>
      <c r="J882" s="22" t="s">
        <v>144</v>
      </c>
      <c r="K882" s="23" t="s">
        <v>108</v>
      </c>
      <c r="L882" s="24" t="s">
        <v>91</v>
      </c>
      <c r="M882" s="2">
        <v>28.0</v>
      </c>
      <c r="N882" s="25">
        <v>31.0</v>
      </c>
      <c r="O882" s="25"/>
      <c r="P882" s="25"/>
    </row>
    <row r="883">
      <c r="A883" s="16">
        <v>881.0</v>
      </c>
      <c r="B883" s="17" t="s">
        <v>283</v>
      </c>
      <c r="C883" s="18">
        <v>51.0</v>
      </c>
      <c r="D883" s="19" t="s">
        <v>2144</v>
      </c>
      <c r="E883" s="20" t="s">
        <v>443</v>
      </c>
      <c r="F883" s="17" t="s">
        <v>1063</v>
      </c>
      <c r="G883" s="17" t="s">
        <v>2938</v>
      </c>
      <c r="H883" s="17" t="s">
        <v>2939</v>
      </c>
      <c r="I883" s="17" t="s">
        <v>125</v>
      </c>
      <c r="J883" s="22" t="s">
        <v>144</v>
      </c>
      <c r="K883" s="23" t="s">
        <v>108</v>
      </c>
      <c r="L883" s="24" t="s">
        <v>91</v>
      </c>
      <c r="M883" s="2">
        <v>28.0</v>
      </c>
      <c r="N883" s="25">
        <v>31.0</v>
      </c>
      <c r="O883" s="25"/>
      <c r="P883" s="25"/>
    </row>
    <row r="884">
      <c r="A884" s="16">
        <v>882.0</v>
      </c>
      <c r="B884" s="17" t="s">
        <v>283</v>
      </c>
      <c r="C884" s="18">
        <v>52.0</v>
      </c>
      <c r="D884" s="19" t="s">
        <v>2144</v>
      </c>
      <c r="E884" s="20" t="s">
        <v>443</v>
      </c>
      <c r="F884" s="17" t="s">
        <v>821</v>
      </c>
      <c r="G884" s="17" t="s">
        <v>2941</v>
      </c>
      <c r="H884" s="17" t="s">
        <v>2942</v>
      </c>
      <c r="I884" s="17" t="s">
        <v>125</v>
      </c>
      <c r="J884" s="22" t="s">
        <v>144</v>
      </c>
      <c r="K884" s="23" t="s">
        <v>108</v>
      </c>
      <c r="L884" s="24" t="s">
        <v>91</v>
      </c>
      <c r="M884" s="2">
        <v>28.0</v>
      </c>
      <c r="N884" s="25">
        <v>31.0</v>
      </c>
      <c r="O884" s="25"/>
      <c r="P884" s="25"/>
    </row>
    <row r="885">
      <c r="A885" s="16">
        <v>883.0</v>
      </c>
      <c r="B885" s="17" t="s">
        <v>283</v>
      </c>
      <c r="C885" s="18">
        <v>53.0</v>
      </c>
      <c r="D885" s="19" t="s">
        <v>2144</v>
      </c>
      <c r="E885" s="20" t="s">
        <v>443</v>
      </c>
      <c r="F885" s="17" t="s">
        <v>945</v>
      </c>
      <c r="G885" s="17" t="s">
        <v>2943</v>
      </c>
      <c r="H885" s="17" t="s">
        <v>2944</v>
      </c>
      <c r="I885" s="17" t="s">
        <v>125</v>
      </c>
      <c r="J885" s="22" t="s">
        <v>144</v>
      </c>
      <c r="K885" s="23" t="s">
        <v>108</v>
      </c>
      <c r="L885" s="24" t="s">
        <v>91</v>
      </c>
      <c r="M885" s="2">
        <v>28.0</v>
      </c>
      <c r="N885" s="25">
        <v>31.0</v>
      </c>
      <c r="O885" s="25"/>
      <c r="P885" s="25"/>
    </row>
    <row r="886">
      <c r="A886" s="16">
        <v>884.0</v>
      </c>
      <c r="B886" s="17" t="s">
        <v>283</v>
      </c>
      <c r="C886" s="18">
        <v>54.0</v>
      </c>
      <c r="D886" s="19" t="s">
        <v>2144</v>
      </c>
      <c r="E886" s="20" t="s">
        <v>443</v>
      </c>
      <c r="F886" s="17" t="s">
        <v>880</v>
      </c>
      <c r="G886" s="17" t="s">
        <v>2945</v>
      </c>
      <c r="H886" s="17" t="s">
        <v>2946</v>
      </c>
      <c r="I886" s="17" t="s">
        <v>125</v>
      </c>
      <c r="J886" s="22" t="s">
        <v>144</v>
      </c>
      <c r="K886" s="23" t="s">
        <v>108</v>
      </c>
      <c r="L886" s="24" t="s">
        <v>91</v>
      </c>
      <c r="M886" s="2">
        <v>28.0</v>
      </c>
      <c r="N886" s="25">
        <v>31.0</v>
      </c>
      <c r="O886" s="25"/>
      <c r="P886" s="25"/>
    </row>
    <row r="887">
      <c r="A887" s="16">
        <v>885.0</v>
      </c>
      <c r="B887" s="17" t="s">
        <v>283</v>
      </c>
      <c r="C887" s="18">
        <v>55.0</v>
      </c>
      <c r="D887" s="19" t="s">
        <v>2144</v>
      </c>
      <c r="E887" s="20" t="s">
        <v>443</v>
      </c>
      <c r="F887" s="17" t="s">
        <v>881</v>
      </c>
      <c r="G887" s="17" t="s">
        <v>2947</v>
      </c>
      <c r="H887" s="17" t="s">
        <v>2948</v>
      </c>
      <c r="I887" s="17" t="s">
        <v>125</v>
      </c>
      <c r="J887" s="22" t="s">
        <v>144</v>
      </c>
      <c r="K887" s="23" t="s">
        <v>108</v>
      </c>
      <c r="L887" s="24" t="s">
        <v>91</v>
      </c>
      <c r="M887" s="2">
        <v>28.0</v>
      </c>
      <c r="N887" s="25">
        <v>31.0</v>
      </c>
      <c r="O887" s="25"/>
      <c r="P887" s="25"/>
    </row>
    <row r="888">
      <c r="A888" s="16">
        <v>886.0</v>
      </c>
      <c r="B888" s="17" t="s">
        <v>283</v>
      </c>
      <c r="C888" s="18">
        <v>56.0</v>
      </c>
      <c r="D888" s="19" t="s">
        <v>2144</v>
      </c>
      <c r="E888" s="20" t="s">
        <v>443</v>
      </c>
      <c r="F888" s="17" t="s">
        <v>985</v>
      </c>
      <c r="G888" s="17" t="s">
        <v>2950</v>
      </c>
      <c r="H888" s="17" t="s">
        <v>2951</v>
      </c>
      <c r="I888" s="17" t="s">
        <v>125</v>
      </c>
      <c r="J888" s="22" t="s">
        <v>144</v>
      </c>
      <c r="K888" s="23" t="s">
        <v>108</v>
      </c>
      <c r="L888" s="24" t="s">
        <v>91</v>
      </c>
      <c r="M888" s="2">
        <v>28.0</v>
      </c>
      <c r="N888" s="25">
        <v>31.0</v>
      </c>
      <c r="O888" s="25"/>
      <c r="P888" s="25"/>
    </row>
    <row r="889">
      <c r="A889" s="16">
        <v>887.0</v>
      </c>
      <c r="B889" s="17" t="s">
        <v>283</v>
      </c>
      <c r="C889" s="18">
        <v>57.0</v>
      </c>
      <c r="D889" s="19" t="s">
        <v>2144</v>
      </c>
      <c r="E889" s="20" t="s">
        <v>443</v>
      </c>
      <c r="F889" s="17" t="s">
        <v>876</v>
      </c>
      <c r="G889" s="17" t="s">
        <v>2952</v>
      </c>
      <c r="H889" s="17" t="s">
        <v>2953</v>
      </c>
      <c r="I889" s="17" t="s">
        <v>125</v>
      </c>
      <c r="J889" s="22" t="s">
        <v>144</v>
      </c>
      <c r="K889" s="23" t="s">
        <v>108</v>
      </c>
      <c r="L889" s="24" t="s">
        <v>91</v>
      </c>
      <c r="M889" s="2">
        <v>28.0</v>
      </c>
      <c r="N889" s="25">
        <v>31.0</v>
      </c>
      <c r="O889" s="25"/>
      <c r="P889" s="25"/>
    </row>
    <row r="890">
      <c r="A890" s="16">
        <v>888.0</v>
      </c>
      <c r="B890" s="17" t="s">
        <v>283</v>
      </c>
      <c r="C890" s="18">
        <v>58.0</v>
      </c>
      <c r="D890" s="19" t="s">
        <v>2144</v>
      </c>
      <c r="E890" s="20" t="s">
        <v>443</v>
      </c>
      <c r="F890" s="17" t="s">
        <v>149</v>
      </c>
      <c r="G890" s="17" t="s">
        <v>2954</v>
      </c>
      <c r="H890" s="17" t="s">
        <v>2955</v>
      </c>
      <c r="I890" s="17" t="s">
        <v>125</v>
      </c>
      <c r="J890" s="22" t="s">
        <v>144</v>
      </c>
      <c r="K890" s="23" t="s">
        <v>108</v>
      </c>
      <c r="L890" s="24" t="s">
        <v>91</v>
      </c>
      <c r="M890" s="2">
        <v>28.0</v>
      </c>
      <c r="N890" s="25">
        <v>31.0</v>
      </c>
      <c r="O890" s="25"/>
      <c r="P890" s="25"/>
    </row>
    <row r="891">
      <c r="A891" s="16">
        <v>889.0</v>
      </c>
      <c r="B891" s="17" t="s">
        <v>283</v>
      </c>
      <c r="C891" s="18">
        <v>59.0</v>
      </c>
      <c r="D891" s="19" t="s">
        <v>2144</v>
      </c>
      <c r="E891" s="20" t="s">
        <v>443</v>
      </c>
      <c r="F891" s="17" t="s">
        <v>1092</v>
      </c>
      <c r="G891" s="17" t="s">
        <v>2956</v>
      </c>
      <c r="H891" s="17" t="s">
        <v>2957</v>
      </c>
      <c r="I891" s="17" t="s">
        <v>125</v>
      </c>
      <c r="J891" s="22" t="s">
        <v>144</v>
      </c>
      <c r="K891" s="23" t="s">
        <v>108</v>
      </c>
      <c r="L891" s="24" t="s">
        <v>91</v>
      </c>
      <c r="M891" s="2">
        <v>28.0</v>
      </c>
      <c r="N891" s="25">
        <v>31.0</v>
      </c>
      <c r="O891" s="25"/>
      <c r="P891" s="25"/>
    </row>
    <row r="892">
      <c r="A892" s="16">
        <v>890.0</v>
      </c>
      <c r="B892" s="17" t="s">
        <v>283</v>
      </c>
      <c r="C892" s="18">
        <v>60.0</v>
      </c>
      <c r="D892" s="19" t="s">
        <v>2144</v>
      </c>
      <c r="E892" s="20" t="s">
        <v>443</v>
      </c>
      <c r="F892" s="17" t="s">
        <v>824</v>
      </c>
      <c r="G892" s="17" t="s">
        <v>2958</v>
      </c>
      <c r="H892" s="17" t="s">
        <v>2959</v>
      </c>
      <c r="I892" s="17" t="s">
        <v>125</v>
      </c>
      <c r="J892" s="22" t="s">
        <v>144</v>
      </c>
      <c r="K892" s="23" t="s">
        <v>108</v>
      </c>
      <c r="L892" s="24" t="s">
        <v>91</v>
      </c>
      <c r="M892" s="2">
        <v>28.0</v>
      </c>
      <c r="N892" s="25">
        <v>31.0</v>
      </c>
      <c r="O892" s="25"/>
      <c r="P892" s="25"/>
    </row>
    <row r="893">
      <c r="A893" s="16">
        <v>891.0</v>
      </c>
      <c r="B893" s="17" t="s">
        <v>283</v>
      </c>
      <c r="C893" s="18">
        <v>61.0</v>
      </c>
      <c r="D893" s="19" t="s">
        <v>2144</v>
      </c>
      <c r="E893" s="20" t="s">
        <v>443</v>
      </c>
      <c r="F893" s="17" t="s">
        <v>318</v>
      </c>
      <c r="G893" s="17" t="s">
        <v>2960</v>
      </c>
      <c r="H893" s="17" t="s">
        <v>2961</v>
      </c>
      <c r="I893" s="17" t="s">
        <v>125</v>
      </c>
      <c r="J893" s="22" t="s">
        <v>144</v>
      </c>
      <c r="K893" s="23" t="s">
        <v>108</v>
      </c>
      <c r="L893" s="24" t="s">
        <v>91</v>
      </c>
      <c r="M893" s="2">
        <v>28.0</v>
      </c>
      <c r="N893" s="25">
        <v>31.0</v>
      </c>
      <c r="O893" s="25"/>
      <c r="P893" s="25"/>
    </row>
    <row r="894">
      <c r="A894" s="16">
        <v>892.0</v>
      </c>
      <c r="B894" s="17" t="s">
        <v>283</v>
      </c>
      <c r="C894" s="18">
        <v>62.0</v>
      </c>
      <c r="D894" s="19" t="s">
        <v>2144</v>
      </c>
      <c r="E894" s="20" t="s">
        <v>443</v>
      </c>
      <c r="F894" s="17" t="s">
        <v>1341</v>
      </c>
      <c r="G894" s="17" t="s">
        <v>2962</v>
      </c>
      <c r="H894" s="17" t="s">
        <v>2964</v>
      </c>
      <c r="I894" s="17" t="s">
        <v>125</v>
      </c>
      <c r="J894" s="22" t="s">
        <v>144</v>
      </c>
      <c r="K894" s="23" t="s">
        <v>108</v>
      </c>
      <c r="L894" s="24" t="s">
        <v>91</v>
      </c>
      <c r="M894" s="2">
        <v>28.0</v>
      </c>
      <c r="N894" s="25">
        <v>31.0</v>
      </c>
      <c r="O894" s="25"/>
      <c r="P894" s="25"/>
    </row>
    <row r="895">
      <c r="A895" s="16">
        <v>893.0</v>
      </c>
      <c r="B895" s="17" t="s">
        <v>283</v>
      </c>
      <c r="C895" s="18">
        <v>63.0</v>
      </c>
      <c r="D895" s="19" t="s">
        <v>2144</v>
      </c>
      <c r="E895" s="20" t="s">
        <v>443</v>
      </c>
      <c r="F895" s="17" t="s">
        <v>481</v>
      </c>
      <c r="G895" s="17" t="s">
        <v>2965</v>
      </c>
      <c r="H895" s="17" t="s">
        <v>2966</v>
      </c>
      <c r="I895" s="17" t="s">
        <v>125</v>
      </c>
      <c r="J895" s="22" t="s">
        <v>144</v>
      </c>
      <c r="K895" s="23" t="s">
        <v>108</v>
      </c>
      <c r="L895" s="24" t="s">
        <v>91</v>
      </c>
      <c r="M895" s="2">
        <v>28.0</v>
      </c>
      <c r="N895" s="25">
        <v>31.0</v>
      </c>
      <c r="O895" s="25"/>
      <c r="P895" s="25"/>
    </row>
    <row r="896">
      <c r="A896" s="16">
        <v>894.0</v>
      </c>
      <c r="B896" s="17" t="s">
        <v>283</v>
      </c>
      <c r="C896" s="18">
        <v>64.0</v>
      </c>
      <c r="D896" s="19" t="s">
        <v>2144</v>
      </c>
      <c r="E896" s="20" t="s">
        <v>443</v>
      </c>
      <c r="F896" s="17" t="s">
        <v>532</v>
      </c>
      <c r="G896" s="17" t="s">
        <v>2967</v>
      </c>
      <c r="H896" s="17" t="s">
        <v>2968</v>
      </c>
      <c r="I896" s="17" t="s">
        <v>125</v>
      </c>
      <c r="J896" s="22" t="s">
        <v>144</v>
      </c>
      <c r="K896" s="23" t="s">
        <v>108</v>
      </c>
      <c r="L896" s="24" t="s">
        <v>91</v>
      </c>
      <c r="M896" s="2">
        <v>28.0</v>
      </c>
      <c r="N896" s="25">
        <v>31.0</v>
      </c>
      <c r="O896" s="25"/>
      <c r="P896" s="25"/>
    </row>
    <row r="897">
      <c r="A897" s="16">
        <v>895.0</v>
      </c>
      <c r="B897" s="17" t="s">
        <v>283</v>
      </c>
      <c r="C897" s="18">
        <v>65.0</v>
      </c>
      <c r="D897" s="19" t="s">
        <v>2144</v>
      </c>
      <c r="E897" s="20" t="s">
        <v>443</v>
      </c>
      <c r="F897" s="17" t="s">
        <v>1033</v>
      </c>
      <c r="G897" s="17" t="s">
        <v>1754</v>
      </c>
      <c r="H897" s="17" t="s">
        <v>2971</v>
      </c>
      <c r="I897" s="17" t="s">
        <v>125</v>
      </c>
      <c r="J897" s="22" t="s">
        <v>144</v>
      </c>
      <c r="K897" s="23" t="s">
        <v>108</v>
      </c>
      <c r="L897" s="24" t="s">
        <v>91</v>
      </c>
      <c r="M897" s="2">
        <v>28.0</v>
      </c>
      <c r="N897" s="25">
        <v>31.0</v>
      </c>
      <c r="O897" s="25"/>
      <c r="P897" s="25"/>
    </row>
    <row r="898">
      <c r="A898" s="16">
        <v>896.0</v>
      </c>
      <c r="B898" s="17" t="s">
        <v>283</v>
      </c>
      <c r="C898" s="18">
        <v>66.0</v>
      </c>
      <c r="D898" s="19" t="s">
        <v>2144</v>
      </c>
      <c r="E898" s="20" t="s">
        <v>443</v>
      </c>
      <c r="F898" s="17" t="s">
        <v>1323</v>
      </c>
      <c r="G898" s="17" t="s">
        <v>2972</v>
      </c>
      <c r="H898" s="17" t="s">
        <v>2973</v>
      </c>
      <c r="I898" s="17" t="s">
        <v>125</v>
      </c>
      <c r="J898" s="22" t="s">
        <v>144</v>
      </c>
      <c r="K898" s="23" t="s">
        <v>108</v>
      </c>
      <c r="L898" s="24" t="s">
        <v>91</v>
      </c>
      <c r="M898" s="2">
        <v>28.0</v>
      </c>
      <c r="N898" s="25">
        <v>31.0</v>
      </c>
      <c r="O898" s="25"/>
      <c r="P898" s="25"/>
    </row>
    <row r="899">
      <c r="A899" s="16">
        <v>897.0</v>
      </c>
      <c r="B899" s="17" t="s">
        <v>283</v>
      </c>
      <c r="C899" s="18">
        <v>67.0</v>
      </c>
      <c r="D899" s="19" t="s">
        <v>2144</v>
      </c>
      <c r="E899" s="20" t="s">
        <v>443</v>
      </c>
      <c r="F899" s="17" t="s">
        <v>1233</v>
      </c>
      <c r="G899" s="17" t="s">
        <v>2975</v>
      </c>
      <c r="H899" s="17" t="s">
        <v>2976</v>
      </c>
      <c r="I899" s="17" t="s">
        <v>125</v>
      </c>
      <c r="J899" s="22" t="s">
        <v>144</v>
      </c>
      <c r="K899" s="23" t="s">
        <v>108</v>
      </c>
      <c r="L899" s="24" t="s">
        <v>91</v>
      </c>
      <c r="M899" s="2">
        <v>28.0</v>
      </c>
      <c r="N899" s="25">
        <v>31.0</v>
      </c>
      <c r="O899" s="25"/>
      <c r="P899" s="25"/>
    </row>
    <row r="900">
      <c r="A900" s="16">
        <v>898.0</v>
      </c>
      <c r="B900" s="17" t="s">
        <v>283</v>
      </c>
      <c r="C900" s="18">
        <v>68.0</v>
      </c>
      <c r="D900" s="19" t="s">
        <v>2144</v>
      </c>
      <c r="E900" s="20" t="s">
        <v>443</v>
      </c>
      <c r="F900" s="17" t="s">
        <v>1219</v>
      </c>
      <c r="G900" s="17" t="s">
        <v>2678</v>
      </c>
      <c r="H900" s="17" t="s">
        <v>2977</v>
      </c>
      <c r="I900" s="17" t="s">
        <v>125</v>
      </c>
      <c r="J900" s="22" t="s">
        <v>144</v>
      </c>
      <c r="K900" s="23" t="s">
        <v>108</v>
      </c>
      <c r="L900" s="24" t="s">
        <v>91</v>
      </c>
      <c r="M900" s="2">
        <v>28.0</v>
      </c>
      <c r="N900" s="25">
        <v>31.0</v>
      </c>
      <c r="O900" s="25"/>
      <c r="P900" s="25"/>
    </row>
    <row r="901">
      <c r="A901" s="16">
        <v>899.0</v>
      </c>
      <c r="B901" s="17" t="s">
        <v>283</v>
      </c>
      <c r="C901" s="18">
        <v>69.0</v>
      </c>
      <c r="D901" s="19" t="s">
        <v>2144</v>
      </c>
      <c r="E901" s="20" t="s">
        <v>443</v>
      </c>
      <c r="F901" s="17" t="s">
        <v>1234</v>
      </c>
      <c r="G901" s="17" t="s">
        <v>2979</v>
      </c>
      <c r="H901" s="17" t="s">
        <v>2980</v>
      </c>
      <c r="I901" s="17" t="s">
        <v>125</v>
      </c>
      <c r="J901" s="22" t="s">
        <v>144</v>
      </c>
      <c r="K901" s="23" t="s">
        <v>108</v>
      </c>
      <c r="L901" s="24" t="s">
        <v>91</v>
      </c>
      <c r="M901" s="2">
        <v>28.0</v>
      </c>
      <c r="N901" s="25">
        <v>31.0</v>
      </c>
      <c r="O901" s="25"/>
      <c r="P901" s="25"/>
    </row>
    <row r="902">
      <c r="A902" s="16">
        <v>900.0</v>
      </c>
      <c r="B902" s="17" t="s">
        <v>283</v>
      </c>
      <c r="C902" s="18">
        <v>70.0</v>
      </c>
      <c r="D902" s="19" t="s">
        <v>2144</v>
      </c>
      <c r="E902" s="20" t="s">
        <v>443</v>
      </c>
      <c r="F902" s="17" t="s">
        <v>447</v>
      </c>
      <c r="G902" s="17" t="s">
        <v>1766</v>
      </c>
      <c r="H902" s="17" t="s">
        <v>2981</v>
      </c>
      <c r="I902" s="17" t="s">
        <v>125</v>
      </c>
      <c r="J902" s="22" t="s">
        <v>144</v>
      </c>
      <c r="K902" s="23" t="s">
        <v>108</v>
      </c>
      <c r="L902" s="24" t="s">
        <v>91</v>
      </c>
      <c r="M902" s="2">
        <v>28.0</v>
      </c>
      <c r="N902" s="25">
        <v>31.0</v>
      </c>
      <c r="O902" s="25"/>
      <c r="P902" s="25"/>
    </row>
    <row r="903">
      <c r="A903" s="16">
        <v>901.0</v>
      </c>
      <c r="B903" s="17" t="s">
        <v>283</v>
      </c>
      <c r="C903" s="18">
        <v>71.0</v>
      </c>
      <c r="D903" s="19" t="s">
        <v>2144</v>
      </c>
      <c r="E903" s="20" t="s">
        <v>443</v>
      </c>
      <c r="F903" s="17" t="s">
        <v>375</v>
      </c>
      <c r="G903" s="17" t="s">
        <v>2983</v>
      </c>
      <c r="H903" s="17" t="s">
        <v>2984</v>
      </c>
      <c r="I903" s="17" t="s">
        <v>125</v>
      </c>
      <c r="J903" s="22" t="s">
        <v>144</v>
      </c>
      <c r="K903" s="23" t="s">
        <v>108</v>
      </c>
      <c r="L903" s="24" t="s">
        <v>91</v>
      </c>
      <c r="M903" s="2">
        <v>28.0</v>
      </c>
      <c r="N903" s="25">
        <v>31.0</v>
      </c>
      <c r="O903" s="25"/>
      <c r="P903" s="25"/>
    </row>
    <row r="904">
      <c r="A904" s="16">
        <v>902.0</v>
      </c>
      <c r="B904" s="17" t="s">
        <v>283</v>
      </c>
      <c r="C904" s="18">
        <v>72.0</v>
      </c>
      <c r="D904" s="19" t="s">
        <v>2144</v>
      </c>
      <c r="E904" s="20" t="s">
        <v>443</v>
      </c>
      <c r="F904" s="17" t="s">
        <v>738</v>
      </c>
      <c r="G904" s="17" t="s">
        <v>2985</v>
      </c>
      <c r="H904" s="17" t="s">
        <v>2986</v>
      </c>
      <c r="I904" s="17" t="s">
        <v>125</v>
      </c>
      <c r="J904" s="22" t="s">
        <v>144</v>
      </c>
      <c r="K904" s="23" t="s">
        <v>108</v>
      </c>
      <c r="L904" s="24" t="s">
        <v>91</v>
      </c>
      <c r="M904" s="2">
        <v>28.0</v>
      </c>
      <c r="N904" s="25">
        <v>31.0</v>
      </c>
      <c r="O904" s="25"/>
      <c r="P904" s="25"/>
    </row>
    <row r="905">
      <c r="A905" s="16">
        <v>903.0</v>
      </c>
      <c r="B905" s="17" t="s">
        <v>283</v>
      </c>
      <c r="C905" s="18">
        <v>73.0</v>
      </c>
      <c r="D905" s="19" t="s">
        <v>2144</v>
      </c>
      <c r="E905" s="20" t="s">
        <v>443</v>
      </c>
      <c r="F905" s="17" t="s">
        <v>965</v>
      </c>
      <c r="G905" s="17" t="s">
        <v>2558</v>
      </c>
      <c r="H905" s="17" t="s">
        <v>2987</v>
      </c>
      <c r="I905" s="17" t="s">
        <v>125</v>
      </c>
      <c r="J905" s="22" t="s">
        <v>144</v>
      </c>
      <c r="K905" s="23" t="s">
        <v>108</v>
      </c>
      <c r="L905" s="24" t="s">
        <v>91</v>
      </c>
      <c r="M905" s="2">
        <v>28.0</v>
      </c>
      <c r="N905" s="25">
        <v>31.0</v>
      </c>
      <c r="O905" s="25"/>
      <c r="P905" s="25"/>
    </row>
    <row r="906">
      <c r="A906" s="16">
        <v>904.0</v>
      </c>
      <c r="B906" s="17" t="s">
        <v>283</v>
      </c>
      <c r="C906" s="18">
        <v>74.0</v>
      </c>
      <c r="D906" s="19" t="s">
        <v>2144</v>
      </c>
      <c r="E906" s="20" t="s">
        <v>443</v>
      </c>
      <c r="F906" s="17" t="s">
        <v>1037</v>
      </c>
      <c r="G906" s="17" t="s">
        <v>2988</v>
      </c>
      <c r="H906" s="17" t="s">
        <v>2989</v>
      </c>
      <c r="I906" s="17" t="s">
        <v>125</v>
      </c>
      <c r="J906" s="22" t="s">
        <v>144</v>
      </c>
      <c r="K906" s="23" t="s">
        <v>108</v>
      </c>
      <c r="L906" s="24" t="s">
        <v>91</v>
      </c>
      <c r="M906" s="2">
        <v>28.0</v>
      </c>
      <c r="N906" s="25">
        <v>31.0</v>
      </c>
      <c r="O906" s="25"/>
      <c r="P906" s="25"/>
    </row>
    <row r="907">
      <c r="A907" s="16">
        <v>905.0</v>
      </c>
      <c r="B907" s="17" t="s">
        <v>283</v>
      </c>
      <c r="C907" s="18">
        <v>75.0</v>
      </c>
      <c r="D907" s="19" t="s">
        <v>2144</v>
      </c>
      <c r="E907" s="20" t="s">
        <v>443</v>
      </c>
      <c r="F907" s="17" t="s">
        <v>870</v>
      </c>
      <c r="G907" s="17" t="s">
        <v>2991</v>
      </c>
      <c r="H907" s="17" t="s">
        <v>2992</v>
      </c>
      <c r="I907" s="17" t="s">
        <v>125</v>
      </c>
      <c r="J907" s="22" t="s">
        <v>144</v>
      </c>
      <c r="K907" s="23" t="s">
        <v>108</v>
      </c>
      <c r="L907" s="24" t="s">
        <v>91</v>
      </c>
      <c r="M907" s="2">
        <v>28.0</v>
      </c>
      <c r="N907" s="25">
        <v>31.0</v>
      </c>
      <c r="O907" s="25"/>
      <c r="P907" s="25"/>
    </row>
    <row r="908">
      <c r="A908" s="16">
        <v>906.0</v>
      </c>
      <c r="B908" s="17" t="s">
        <v>283</v>
      </c>
      <c r="C908" s="18">
        <v>76.0</v>
      </c>
      <c r="D908" s="19" t="s">
        <v>2144</v>
      </c>
      <c r="E908" s="20" t="s">
        <v>443</v>
      </c>
      <c r="F908" s="17" t="s">
        <v>1203</v>
      </c>
      <c r="G908" s="17" t="s">
        <v>2994</v>
      </c>
      <c r="H908" s="17" t="s">
        <v>2995</v>
      </c>
      <c r="I908" s="17" t="s">
        <v>125</v>
      </c>
      <c r="J908" s="22" t="s">
        <v>144</v>
      </c>
      <c r="K908" s="23" t="s">
        <v>108</v>
      </c>
      <c r="L908" s="24" t="s">
        <v>91</v>
      </c>
      <c r="M908" s="2">
        <v>28.0</v>
      </c>
      <c r="N908" s="25">
        <v>31.0</v>
      </c>
      <c r="O908" s="25"/>
      <c r="P908" s="25"/>
    </row>
    <row r="909">
      <c r="A909" s="16">
        <v>907.0</v>
      </c>
      <c r="B909" s="17" t="s">
        <v>283</v>
      </c>
      <c r="C909" s="18">
        <v>77.0</v>
      </c>
      <c r="D909" s="19" t="s">
        <v>2144</v>
      </c>
      <c r="E909" s="20" t="s">
        <v>443</v>
      </c>
      <c r="F909" s="17" t="s">
        <v>1235</v>
      </c>
      <c r="G909" s="17" t="s">
        <v>2997</v>
      </c>
      <c r="H909" s="17" t="s">
        <v>2998</v>
      </c>
      <c r="I909" s="17" t="s">
        <v>125</v>
      </c>
      <c r="J909" s="22" t="s">
        <v>144</v>
      </c>
      <c r="K909" s="23" t="s">
        <v>108</v>
      </c>
      <c r="L909" s="24" t="s">
        <v>91</v>
      </c>
      <c r="M909" s="2">
        <v>28.0</v>
      </c>
      <c r="N909" s="25">
        <v>31.0</v>
      </c>
      <c r="O909" s="25"/>
      <c r="P909" s="25"/>
    </row>
    <row r="910">
      <c r="A910" s="16">
        <v>908.0</v>
      </c>
      <c r="B910" s="17" t="s">
        <v>283</v>
      </c>
      <c r="C910" s="18">
        <v>78.0</v>
      </c>
      <c r="D910" s="19" t="s">
        <v>2144</v>
      </c>
      <c r="E910" s="20" t="s">
        <v>443</v>
      </c>
      <c r="F910" s="17" t="s">
        <v>947</v>
      </c>
      <c r="G910" s="17" t="s">
        <v>2999</v>
      </c>
      <c r="H910" s="17" t="s">
        <v>3000</v>
      </c>
      <c r="I910" s="17" t="s">
        <v>125</v>
      </c>
      <c r="J910" s="22" t="s">
        <v>144</v>
      </c>
      <c r="K910" s="23" t="s">
        <v>108</v>
      </c>
      <c r="L910" s="24" t="s">
        <v>91</v>
      </c>
      <c r="M910" s="2">
        <v>28.0</v>
      </c>
      <c r="N910" s="25">
        <v>31.0</v>
      </c>
      <c r="O910" s="25"/>
      <c r="P910" s="25"/>
    </row>
    <row r="911">
      <c r="A911" s="16">
        <v>909.0</v>
      </c>
      <c r="B911" s="17" t="s">
        <v>283</v>
      </c>
      <c r="C911" s="18">
        <v>79.0</v>
      </c>
      <c r="D911" s="19" t="s">
        <v>2144</v>
      </c>
      <c r="E911" s="20" t="s">
        <v>443</v>
      </c>
      <c r="F911" s="17" t="s">
        <v>699</v>
      </c>
      <c r="G911" s="17" t="s">
        <v>2628</v>
      </c>
      <c r="H911" s="17" t="s">
        <v>3002</v>
      </c>
      <c r="I911" s="17" t="s">
        <v>125</v>
      </c>
      <c r="J911" s="22" t="s">
        <v>144</v>
      </c>
      <c r="K911" s="23" t="s">
        <v>108</v>
      </c>
      <c r="L911" s="24" t="s">
        <v>91</v>
      </c>
      <c r="M911" s="2">
        <v>28.0</v>
      </c>
      <c r="N911" s="25">
        <v>31.0</v>
      </c>
      <c r="O911" s="25"/>
      <c r="P911" s="25"/>
    </row>
    <row r="912">
      <c r="A912" s="16">
        <v>910.0</v>
      </c>
      <c r="B912" s="17" t="s">
        <v>283</v>
      </c>
      <c r="C912" s="18">
        <v>80.0</v>
      </c>
      <c r="D912" s="19" t="s">
        <v>2144</v>
      </c>
      <c r="E912" s="20" t="s">
        <v>443</v>
      </c>
      <c r="F912" s="17" t="s">
        <v>1237</v>
      </c>
      <c r="G912" s="17" t="s">
        <v>3004</v>
      </c>
      <c r="H912" s="17" t="s">
        <v>3005</v>
      </c>
      <c r="I912" s="17" t="s">
        <v>125</v>
      </c>
      <c r="J912" s="22" t="s">
        <v>144</v>
      </c>
      <c r="K912" s="23" t="s">
        <v>108</v>
      </c>
      <c r="L912" s="24" t="s">
        <v>91</v>
      </c>
      <c r="M912" s="2">
        <v>28.0</v>
      </c>
      <c r="N912" s="25">
        <v>31.0</v>
      </c>
      <c r="O912" s="25"/>
      <c r="P912" s="25"/>
    </row>
    <row r="913">
      <c r="A913" s="16">
        <v>911.0</v>
      </c>
      <c r="B913" s="17" t="s">
        <v>283</v>
      </c>
      <c r="C913" s="18">
        <v>81.0</v>
      </c>
      <c r="D913" s="19" t="s">
        <v>2144</v>
      </c>
      <c r="E913" s="20" t="s">
        <v>443</v>
      </c>
      <c r="F913" s="17" t="s">
        <v>520</v>
      </c>
      <c r="G913" s="17" t="s">
        <v>3006</v>
      </c>
      <c r="H913" s="17" t="s">
        <v>3007</v>
      </c>
      <c r="I913" s="17" t="s">
        <v>125</v>
      </c>
      <c r="J913" s="22" t="s">
        <v>144</v>
      </c>
      <c r="K913" s="23" t="s">
        <v>108</v>
      </c>
      <c r="L913" s="24" t="s">
        <v>91</v>
      </c>
      <c r="M913" s="2">
        <v>28.0</v>
      </c>
      <c r="N913" s="25">
        <v>31.0</v>
      </c>
      <c r="O913" s="25"/>
      <c r="P913" s="25"/>
    </row>
    <row r="914">
      <c r="A914" s="16">
        <v>912.0</v>
      </c>
      <c r="B914" s="17" t="s">
        <v>283</v>
      </c>
      <c r="C914" s="18">
        <v>82.0</v>
      </c>
      <c r="D914" s="19" t="s">
        <v>2144</v>
      </c>
      <c r="E914" s="20" t="s">
        <v>443</v>
      </c>
      <c r="F914" s="17" t="s">
        <v>991</v>
      </c>
      <c r="G914" s="17" t="s">
        <v>3008</v>
      </c>
      <c r="H914" s="17" t="s">
        <v>2955</v>
      </c>
      <c r="I914" s="17" t="s">
        <v>125</v>
      </c>
      <c r="J914" s="22" t="s">
        <v>144</v>
      </c>
      <c r="K914" s="23" t="s">
        <v>108</v>
      </c>
      <c r="L914" s="24" t="s">
        <v>91</v>
      </c>
      <c r="M914" s="2">
        <v>28.0</v>
      </c>
      <c r="N914" s="25">
        <v>31.0</v>
      </c>
      <c r="O914" s="25"/>
      <c r="P914" s="25"/>
    </row>
    <row r="915">
      <c r="A915" s="16">
        <v>913.0</v>
      </c>
      <c r="B915" s="17" t="s">
        <v>283</v>
      </c>
      <c r="C915" s="18">
        <v>83.0</v>
      </c>
      <c r="D915" s="19" t="s">
        <v>2144</v>
      </c>
      <c r="E915" s="20" t="s">
        <v>443</v>
      </c>
      <c r="F915" s="17" t="s">
        <v>1098</v>
      </c>
      <c r="G915" s="17" t="s">
        <v>2651</v>
      </c>
      <c r="H915" s="17" t="s">
        <v>3009</v>
      </c>
      <c r="I915" s="17" t="s">
        <v>125</v>
      </c>
      <c r="J915" s="22" t="s">
        <v>144</v>
      </c>
      <c r="K915" s="23" t="s">
        <v>108</v>
      </c>
      <c r="L915" s="24" t="s">
        <v>91</v>
      </c>
      <c r="M915" s="2">
        <v>28.0</v>
      </c>
      <c r="N915" s="25">
        <v>31.0</v>
      </c>
      <c r="O915" s="25"/>
      <c r="P915" s="25"/>
    </row>
    <row r="916">
      <c r="A916" s="16">
        <v>914.0</v>
      </c>
      <c r="B916" s="17" t="s">
        <v>283</v>
      </c>
      <c r="C916" s="18">
        <v>84.0</v>
      </c>
      <c r="D916" s="19" t="s">
        <v>2144</v>
      </c>
      <c r="E916" s="20" t="s">
        <v>443</v>
      </c>
      <c r="F916" s="17" t="s">
        <v>1342</v>
      </c>
      <c r="G916" s="17" t="s">
        <v>3010</v>
      </c>
      <c r="H916" s="17" t="s">
        <v>3011</v>
      </c>
      <c r="I916" s="17" t="s">
        <v>125</v>
      </c>
      <c r="J916" s="22" t="s">
        <v>144</v>
      </c>
      <c r="K916" s="23" t="s">
        <v>108</v>
      </c>
      <c r="L916" s="24" t="s">
        <v>91</v>
      </c>
      <c r="M916" s="2">
        <v>28.0</v>
      </c>
      <c r="N916" s="25">
        <v>31.0</v>
      </c>
      <c r="O916" s="25"/>
      <c r="P916" s="25"/>
    </row>
    <row r="917">
      <c r="A917" s="16">
        <v>915.0</v>
      </c>
      <c r="B917" s="17" t="s">
        <v>283</v>
      </c>
      <c r="C917" s="18">
        <v>85.0</v>
      </c>
      <c r="D917" s="19" t="s">
        <v>2144</v>
      </c>
      <c r="E917" s="20" t="s">
        <v>443</v>
      </c>
      <c r="F917" s="17" t="s">
        <v>748</v>
      </c>
      <c r="G917" s="17" t="s">
        <v>3012</v>
      </c>
      <c r="H917" s="17" t="s">
        <v>3013</v>
      </c>
      <c r="I917" s="17" t="s">
        <v>125</v>
      </c>
      <c r="J917" s="22" t="s">
        <v>144</v>
      </c>
      <c r="K917" s="23" t="s">
        <v>108</v>
      </c>
      <c r="L917" s="24" t="s">
        <v>91</v>
      </c>
      <c r="M917" s="2">
        <v>28.0</v>
      </c>
      <c r="N917" s="25">
        <v>31.0</v>
      </c>
      <c r="O917" s="25"/>
      <c r="P917" s="25"/>
    </row>
    <row r="918">
      <c r="A918" s="16">
        <v>916.0</v>
      </c>
      <c r="B918" s="17" t="s">
        <v>283</v>
      </c>
      <c r="C918" s="18">
        <v>86.0</v>
      </c>
      <c r="D918" s="19" t="s">
        <v>2144</v>
      </c>
      <c r="E918" s="20" t="s">
        <v>443</v>
      </c>
      <c r="F918" s="17" t="s">
        <v>1087</v>
      </c>
      <c r="G918" s="17" t="s">
        <v>3015</v>
      </c>
      <c r="H918" s="17" t="s">
        <v>3016</v>
      </c>
      <c r="I918" s="17" t="s">
        <v>125</v>
      </c>
      <c r="J918" s="22" t="s">
        <v>144</v>
      </c>
      <c r="K918" s="23" t="s">
        <v>108</v>
      </c>
      <c r="L918" s="24" t="s">
        <v>91</v>
      </c>
      <c r="M918" s="2">
        <v>28.0</v>
      </c>
      <c r="N918" s="25">
        <v>31.0</v>
      </c>
      <c r="O918" s="25"/>
      <c r="P918" s="25"/>
    </row>
    <row r="919">
      <c r="A919" s="16">
        <v>917.0</v>
      </c>
      <c r="B919" s="17" t="s">
        <v>283</v>
      </c>
      <c r="C919" s="18">
        <v>87.0</v>
      </c>
      <c r="D919" s="19" t="s">
        <v>2144</v>
      </c>
      <c r="E919" s="20" t="s">
        <v>443</v>
      </c>
      <c r="F919" s="17" t="s">
        <v>1345</v>
      </c>
      <c r="G919" s="17" t="s">
        <v>3017</v>
      </c>
      <c r="H919" s="17" t="s">
        <v>3018</v>
      </c>
      <c r="I919" s="17" t="s">
        <v>125</v>
      </c>
      <c r="J919" s="22" t="s">
        <v>144</v>
      </c>
      <c r="K919" s="23" t="s">
        <v>108</v>
      </c>
      <c r="L919" s="24" t="s">
        <v>91</v>
      </c>
      <c r="M919" s="2">
        <v>28.0</v>
      </c>
      <c r="N919" s="25">
        <v>31.0</v>
      </c>
      <c r="O919" s="25"/>
      <c r="P919" s="25"/>
    </row>
    <row r="920">
      <c r="A920" s="16">
        <v>918.0</v>
      </c>
      <c r="B920" s="17" t="s">
        <v>283</v>
      </c>
      <c r="C920" s="18">
        <v>88.0</v>
      </c>
      <c r="D920" s="19" t="s">
        <v>2144</v>
      </c>
      <c r="E920" s="20" t="s">
        <v>443</v>
      </c>
      <c r="F920" s="17" t="s">
        <v>982</v>
      </c>
      <c r="G920" s="17" t="s">
        <v>3020</v>
      </c>
      <c r="H920" s="17" t="s">
        <v>3021</v>
      </c>
      <c r="I920" s="17" t="s">
        <v>125</v>
      </c>
      <c r="J920" s="22" t="s">
        <v>144</v>
      </c>
      <c r="K920" s="23" t="s">
        <v>108</v>
      </c>
      <c r="L920" s="24" t="s">
        <v>91</v>
      </c>
      <c r="M920" s="2">
        <v>28.0</v>
      </c>
      <c r="N920" s="25">
        <v>31.0</v>
      </c>
      <c r="O920" s="25"/>
      <c r="P920" s="25"/>
    </row>
    <row r="921">
      <c r="A921" s="16">
        <v>919.0</v>
      </c>
      <c r="B921" s="17" t="s">
        <v>283</v>
      </c>
      <c r="C921" s="18">
        <v>89.0</v>
      </c>
      <c r="D921" s="19" t="s">
        <v>2144</v>
      </c>
      <c r="E921" s="20" t="s">
        <v>443</v>
      </c>
      <c r="F921" s="17" t="s">
        <v>753</v>
      </c>
      <c r="G921" s="17" t="s">
        <v>3022</v>
      </c>
      <c r="H921" s="17" t="s">
        <v>3023</v>
      </c>
      <c r="I921" s="17" t="s">
        <v>125</v>
      </c>
      <c r="J921" s="22" t="s">
        <v>144</v>
      </c>
      <c r="K921" s="23" t="s">
        <v>108</v>
      </c>
      <c r="L921" s="24" t="s">
        <v>91</v>
      </c>
      <c r="M921" s="2">
        <v>28.0</v>
      </c>
      <c r="N921" s="25">
        <v>31.0</v>
      </c>
      <c r="O921" s="25"/>
      <c r="P921" s="25"/>
    </row>
    <row r="922">
      <c r="A922" s="16">
        <v>920.0</v>
      </c>
      <c r="B922" s="17" t="s">
        <v>283</v>
      </c>
      <c r="C922" s="18">
        <v>90.0</v>
      </c>
      <c r="D922" s="19" t="s">
        <v>2144</v>
      </c>
      <c r="E922" s="20" t="s">
        <v>443</v>
      </c>
      <c r="F922" s="17" t="s">
        <v>1192</v>
      </c>
      <c r="G922" s="17" t="s">
        <v>3024</v>
      </c>
      <c r="H922" s="17" t="s">
        <v>3025</v>
      </c>
      <c r="I922" s="17" t="s">
        <v>125</v>
      </c>
      <c r="J922" s="22" t="s">
        <v>144</v>
      </c>
      <c r="K922" s="23" t="s">
        <v>108</v>
      </c>
      <c r="L922" s="24" t="s">
        <v>91</v>
      </c>
      <c r="M922" s="2">
        <v>28.0</v>
      </c>
      <c r="N922" s="25">
        <v>31.0</v>
      </c>
      <c r="O922" s="25"/>
      <c r="P922" s="25"/>
    </row>
    <row r="923">
      <c r="A923" s="16">
        <v>921.0</v>
      </c>
      <c r="B923" s="17" t="s">
        <v>283</v>
      </c>
      <c r="C923" s="18">
        <v>91.0</v>
      </c>
      <c r="D923" s="19" t="s">
        <v>2144</v>
      </c>
      <c r="E923" s="20" t="s">
        <v>443</v>
      </c>
      <c r="F923" s="17" t="s">
        <v>883</v>
      </c>
      <c r="G923" s="17" t="s">
        <v>3026</v>
      </c>
      <c r="H923" s="17" t="s">
        <v>3028</v>
      </c>
      <c r="I923" s="17" t="s">
        <v>125</v>
      </c>
      <c r="J923" s="22" t="s">
        <v>144</v>
      </c>
      <c r="K923" s="23" t="s">
        <v>108</v>
      </c>
      <c r="L923" s="24" t="s">
        <v>91</v>
      </c>
      <c r="M923" s="2">
        <v>28.0</v>
      </c>
      <c r="N923" s="25">
        <v>31.0</v>
      </c>
      <c r="O923" s="25"/>
      <c r="P923" s="25"/>
    </row>
    <row r="924">
      <c r="A924" s="16">
        <v>922.0</v>
      </c>
      <c r="B924" s="17" t="s">
        <v>283</v>
      </c>
      <c r="C924" s="18">
        <v>92.0</v>
      </c>
      <c r="D924" s="19" t="s">
        <v>2144</v>
      </c>
      <c r="E924" s="20" t="s">
        <v>443</v>
      </c>
      <c r="F924" s="17" t="s">
        <v>1239</v>
      </c>
      <c r="G924" s="17" t="s">
        <v>3029</v>
      </c>
      <c r="H924" s="17" t="s">
        <v>3030</v>
      </c>
      <c r="I924" s="17" t="s">
        <v>125</v>
      </c>
      <c r="J924" s="22" t="s">
        <v>144</v>
      </c>
      <c r="K924" s="23" t="s">
        <v>108</v>
      </c>
      <c r="L924" s="24" t="s">
        <v>91</v>
      </c>
      <c r="M924" s="2">
        <v>28.0</v>
      </c>
      <c r="N924" s="25">
        <v>31.0</v>
      </c>
      <c r="O924" s="25"/>
      <c r="P924" s="25"/>
    </row>
    <row r="925">
      <c r="A925" s="16">
        <v>923.0</v>
      </c>
      <c r="B925" s="17" t="s">
        <v>283</v>
      </c>
      <c r="C925" s="18">
        <v>93.0</v>
      </c>
      <c r="D925" s="19" t="s">
        <v>2144</v>
      </c>
      <c r="E925" s="20" t="s">
        <v>443</v>
      </c>
      <c r="F925" s="17" t="s">
        <v>993</v>
      </c>
      <c r="G925" s="17" t="s">
        <v>3031</v>
      </c>
      <c r="H925" s="17" t="s">
        <v>3032</v>
      </c>
      <c r="I925" s="17" t="s">
        <v>125</v>
      </c>
      <c r="J925" s="22" t="s">
        <v>144</v>
      </c>
      <c r="K925" s="23" t="s">
        <v>108</v>
      </c>
      <c r="L925" s="24" t="s">
        <v>91</v>
      </c>
      <c r="M925" s="2">
        <v>28.0</v>
      </c>
      <c r="N925" s="25">
        <v>31.0</v>
      </c>
      <c r="O925" s="25"/>
      <c r="P925" s="25"/>
    </row>
    <row r="926">
      <c r="A926" s="16">
        <v>924.0</v>
      </c>
      <c r="B926" s="17" t="s">
        <v>283</v>
      </c>
      <c r="C926" s="18">
        <v>94.0</v>
      </c>
      <c r="D926" s="19" t="s">
        <v>2144</v>
      </c>
      <c r="E926" s="20" t="s">
        <v>443</v>
      </c>
      <c r="F926" s="17" t="s">
        <v>1077</v>
      </c>
      <c r="G926" s="17" t="s">
        <v>1860</v>
      </c>
      <c r="H926" s="17" t="s">
        <v>3033</v>
      </c>
      <c r="I926" s="17" t="s">
        <v>125</v>
      </c>
      <c r="J926" s="22" t="s">
        <v>144</v>
      </c>
      <c r="K926" s="23" t="s">
        <v>108</v>
      </c>
      <c r="L926" s="24" t="s">
        <v>91</v>
      </c>
      <c r="M926" s="2">
        <v>28.0</v>
      </c>
      <c r="N926" s="25">
        <v>31.0</v>
      </c>
      <c r="O926" s="25"/>
      <c r="P926" s="25"/>
    </row>
    <row r="927">
      <c r="A927" s="16">
        <v>925.0</v>
      </c>
      <c r="B927" s="17" t="s">
        <v>283</v>
      </c>
      <c r="C927" s="18">
        <v>95.0</v>
      </c>
      <c r="D927" s="19" t="s">
        <v>2144</v>
      </c>
      <c r="E927" s="20" t="s">
        <v>443</v>
      </c>
      <c r="F927" s="17" t="s">
        <v>757</v>
      </c>
      <c r="G927" s="17" t="s">
        <v>3034</v>
      </c>
      <c r="H927" s="17" t="s">
        <v>3035</v>
      </c>
      <c r="I927" s="17" t="s">
        <v>125</v>
      </c>
      <c r="J927" s="22" t="s">
        <v>144</v>
      </c>
      <c r="K927" s="23" t="s">
        <v>108</v>
      </c>
      <c r="L927" s="24" t="s">
        <v>91</v>
      </c>
      <c r="M927" s="2">
        <v>28.0</v>
      </c>
      <c r="N927" s="25">
        <v>31.0</v>
      </c>
      <c r="O927" s="25"/>
      <c r="P927" s="25"/>
    </row>
    <row r="928">
      <c r="A928" s="16">
        <v>926.0</v>
      </c>
      <c r="B928" s="17" t="s">
        <v>283</v>
      </c>
      <c r="C928" s="18">
        <v>96.0</v>
      </c>
      <c r="D928" s="19" t="s">
        <v>2144</v>
      </c>
      <c r="E928" s="20" t="s">
        <v>443</v>
      </c>
      <c r="F928" s="17" t="s">
        <v>1039</v>
      </c>
      <c r="G928" s="17" t="s">
        <v>3036</v>
      </c>
      <c r="H928" s="17" t="s">
        <v>3037</v>
      </c>
      <c r="I928" s="17" t="s">
        <v>125</v>
      </c>
      <c r="J928" s="22" t="s">
        <v>144</v>
      </c>
      <c r="K928" s="23" t="s">
        <v>108</v>
      </c>
      <c r="L928" s="24" t="s">
        <v>91</v>
      </c>
      <c r="M928" s="2">
        <v>28.0</v>
      </c>
      <c r="N928" s="25">
        <v>31.0</v>
      </c>
      <c r="O928" s="25"/>
      <c r="P928" s="25"/>
    </row>
    <row r="929">
      <c r="A929" s="16">
        <v>927.0</v>
      </c>
      <c r="B929" s="17" t="s">
        <v>283</v>
      </c>
      <c r="C929" s="18">
        <v>97.0</v>
      </c>
      <c r="D929" s="19" t="s">
        <v>2144</v>
      </c>
      <c r="E929" s="20" t="s">
        <v>443</v>
      </c>
      <c r="F929" s="17" t="s">
        <v>702</v>
      </c>
      <c r="G929" s="17" t="s">
        <v>2637</v>
      </c>
      <c r="H929" s="17" t="s">
        <v>3038</v>
      </c>
      <c r="I929" s="17" t="s">
        <v>125</v>
      </c>
      <c r="J929" s="22" t="s">
        <v>144</v>
      </c>
      <c r="K929" s="23" t="s">
        <v>108</v>
      </c>
      <c r="L929" s="24" t="s">
        <v>91</v>
      </c>
      <c r="M929" s="2">
        <v>28.0</v>
      </c>
      <c r="N929" s="25">
        <v>31.0</v>
      </c>
      <c r="O929" s="25"/>
      <c r="P929" s="25"/>
    </row>
    <row r="930">
      <c r="A930" s="16">
        <v>928.0</v>
      </c>
      <c r="B930" s="17" t="s">
        <v>283</v>
      </c>
      <c r="C930" s="18">
        <v>98.0</v>
      </c>
      <c r="D930" s="19" t="s">
        <v>2144</v>
      </c>
      <c r="E930" s="20" t="s">
        <v>443</v>
      </c>
      <c r="F930" s="17" t="s">
        <v>1240</v>
      </c>
      <c r="G930" s="17" t="s">
        <v>3039</v>
      </c>
      <c r="H930" s="17" t="s">
        <v>3041</v>
      </c>
      <c r="I930" s="17" t="s">
        <v>125</v>
      </c>
      <c r="J930" s="22" t="s">
        <v>144</v>
      </c>
      <c r="K930" s="23" t="s">
        <v>108</v>
      </c>
      <c r="L930" s="24" t="s">
        <v>91</v>
      </c>
      <c r="M930" s="2">
        <v>28.0</v>
      </c>
      <c r="N930" s="25">
        <v>31.0</v>
      </c>
      <c r="O930" s="25"/>
      <c r="P930" s="25"/>
    </row>
    <row r="931">
      <c r="A931" s="16">
        <v>929.0</v>
      </c>
      <c r="B931" s="17" t="s">
        <v>283</v>
      </c>
      <c r="C931" s="18">
        <v>99.0</v>
      </c>
      <c r="D931" s="19" t="s">
        <v>2144</v>
      </c>
      <c r="E931" s="20" t="s">
        <v>443</v>
      </c>
      <c r="F931" s="17" t="s">
        <v>402</v>
      </c>
      <c r="G931" s="17" t="s">
        <v>1144</v>
      </c>
      <c r="H931" s="17" t="s">
        <v>3042</v>
      </c>
      <c r="I931" s="17" t="s">
        <v>125</v>
      </c>
      <c r="J931" s="22" t="s">
        <v>144</v>
      </c>
      <c r="K931" s="23" t="s">
        <v>108</v>
      </c>
      <c r="L931" s="24" t="s">
        <v>91</v>
      </c>
      <c r="M931" s="2">
        <v>28.0</v>
      </c>
      <c r="N931" s="25">
        <v>31.0</v>
      </c>
      <c r="O931" s="25"/>
      <c r="P931" s="25"/>
    </row>
    <row r="932">
      <c r="A932" s="16">
        <v>930.0</v>
      </c>
      <c r="B932" s="17" t="s">
        <v>283</v>
      </c>
      <c r="C932" s="18">
        <v>100.0</v>
      </c>
      <c r="D932" s="19" t="s">
        <v>2144</v>
      </c>
      <c r="E932" s="20" t="s">
        <v>443</v>
      </c>
      <c r="F932" s="17" t="s">
        <v>944</v>
      </c>
      <c r="G932" s="17" t="s">
        <v>2256</v>
      </c>
      <c r="H932" s="17" t="s">
        <v>3043</v>
      </c>
      <c r="I932" s="17" t="s">
        <v>125</v>
      </c>
      <c r="J932" s="22" t="s">
        <v>144</v>
      </c>
      <c r="K932" s="23" t="s">
        <v>108</v>
      </c>
      <c r="L932" s="24" t="s">
        <v>91</v>
      </c>
      <c r="M932" s="2">
        <v>28.0</v>
      </c>
      <c r="N932" s="25">
        <v>31.0</v>
      </c>
      <c r="O932" s="25"/>
      <c r="P932" s="25"/>
    </row>
    <row r="933">
      <c r="A933" s="16">
        <v>931.0</v>
      </c>
      <c r="B933" s="17" t="s">
        <v>283</v>
      </c>
      <c r="C933" s="18">
        <v>101.0</v>
      </c>
      <c r="D933" s="19" t="s">
        <v>2144</v>
      </c>
      <c r="E933" s="20" t="s">
        <v>443</v>
      </c>
      <c r="F933" s="17" t="s">
        <v>1346</v>
      </c>
      <c r="G933" s="17" t="s">
        <v>3045</v>
      </c>
      <c r="H933" s="17" t="s">
        <v>3046</v>
      </c>
      <c r="I933" s="17" t="s">
        <v>125</v>
      </c>
      <c r="J933" s="22" t="s">
        <v>144</v>
      </c>
      <c r="K933" s="23" t="s">
        <v>108</v>
      </c>
      <c r="L933" s="24" t="s">
        <v>91</v>
      </c>
      <c r="M933" s="2">
        <v>28.0</v>
      </c>
      <c r="N933" s="25">
        <v>31.0</v>
      </c>
      <c r="O933" s="25"/>
      <c r="P933" s="25"/>
    </row>
    <row r="934">
      <c r="A934" s="16">
        <v>932.0</v>
      </c>
      <c r="B934" s="17" t="s">
        <v>283</v>
      </c>
      <c r="C934" s="18">
        <v>102.0</v>
      </c>
      <c r="D934" s="19" t="s">
        <v>2144</v>
      </c>
      <c r="E934" s="20" t="s">
        <v>443</v>
      </c>
      <c r="F934" s="17" t="s">
        <v>1067</v>
      </c>
      <c r="G934" s="17" t="s">
        <v>3047</v>
      </c>
      <c r="H934" s="17" t="s">
        <v>3048</v>
      </c>
      <c r="I934" s="17" t="s">
        <v>125</v>
      </c>
      <c r="J934" s="22" t="s">
        <v>144</v>
      </c>
      <c r="K934" s="23" t="s">
        <v>108</v>
      </c>
      <c r="L934" s="24" t="s">
        <v>91</v>
      </c>
      <c r="M934" s="2">
        <v>28.0</v>
      </c>
      <c r="N934" s="25">
        <v>31.0</v>
      </c>
      <c r="O934" s="25"/>
      <c r="P934" s="25"/>
    </row>
    <row r="935">
      <c r="A935" s="16">
        <v>933.0</v>
      </c>
      <c r="B935" s="17" t="s">
        <v>283</v>
      </c>
      <c r="C935" s="18">
        <v>103.0</v>
      </c>
      <c r="D935" s="19" t="s">
        <v>2144</v>
      </c>
      <c r="E935" s="20" t="s">
        <v>443</v>
      </c>
      <c r="F935" s="17" t="s">
        <v>1111</v>
      </c>
      <c r="G935" s="17" t="s">
        <v>3049</v>
      </c>
      <c r="H935" s="17" t="s">
        <v>3050</v>
      </c>
      <c r="I935" s="17" t="s">
        <v>125</v>
      </c>
      <c r="J935" s="22" t="s">
        <v>144</v>
      </c>
      <c r="K935" s="23" t="s">
        <v>108</v>
      </c>
      <c r="L935" s="24" t="s">
        <v>91</v>
      </c>
      <c r="M935" s="2">
        <v>28.0</v>
      </c>
      <c r="N935" s="25">
        <v>31.0</v>
      </c>
      <c r="O935" s="25"/>
      <c r="P935" s="25"/>
    </row>
    <row r="936">
      <c r="A936" s="16">
        <v>934.0</v>
      </c>
      <c r="B936" s="17" t="s">
        <v>283</v>
      </c>
      <c r="C936" s="18">
        <v>104.0</v>
      </c>
      <c r="D936" s="19" t="s">
        <v>2144</v>
      </c>
      <c r="E936" s="20" t="s">
        <v>443</v>
      </c>
      <c r="F936" s="17" t="s">
        <v>1347</v>
      </c>
      <c r="G936" s="17" t="s">
        <v>123</v>
      </c>
      <c r="H936" s="17" t="s">
        <v>3052</v>
      </c>
      <c r="I936" s="17" t="s">
        <v>125</v>
      </c>
      <c r="J936" s="22" t="s">
        <v>144</v>
      </c>
      <c r="K936" s="23" t="s">
        <v>108</v>
      </c>
      <c r="L936" s="24" t="s">
        <v>91</v>
      </c>
      <c r="M936" s="2">
        <v>28.0</v>
      </c>
      <c r="N936" s="25">
        <v>31.0</v>
      </c>
      <c r="O936" s="25"/>
      <c r="P936" s="25"/>
    </row>
    <row r="937">
      <c r="A937" s="16">
        <v>935.0</v>
      </c>
      <c r="B937" s="17" t="s">
        <v>283</v>
      </c>
      <c r="C937" s="18">
        <v>105.0</v>
      </c>
      <c r="D937" s="19" t="s">
        <v>2144</v>
      </c>
      <c r="E937" s="20" t="s">
        <v>443</v>
      </c>
      <c r="F937" s="17" t="s">
        <v>914</v>
      </c>
      <c r="G937" s="17" t="s">
        <v>3053</v>
      </c>
      <c r="H937" s="17" t="s">
        <v>3054</v>
      </c>
      <c r="I937" s="17" t="s">
        <v>125</v>
      </c>
      <c r="J937" s="22" t="s">
        <v>144</v>
      </c>
      <c r="K937" s="23" t="s">
        <v>108</v>
      </c>
      <c r="L937" s="24" t="s">
        <v>91</v>
      </c>
      <c r="M937" s="2">
        <v>28.0</v>
      </c>
      <c r="N937" s="25">
        <v>31.0</v>
      </c>
      <c r="O937" s="25"/>
      <c r="P937" s="25"/>
    </row>
    <row r="938">
      <c r="A938" s="16">
        <v>936.0</v>
      </c>
      <c r="B938" s="17" t="s">
        <v>283</v>
      </c>
      <c r="C938" s="18">
        <v>106.0</v>
      </c>
      <c r="D938" s="19" t="s">
        <v>2144</v>
      </c>
      <c r="E938" s="20" t="s">
        <v>443</v>
      </c>
      <c r="F938" s="17" t="s">
        <v>1099</v>
      </c>
      <c r="G938" s="17" t="s">
        <v>3055</v>
      </c>
      <c r="H938" s="17" t="s">
        <v>3056</v>
      </c>
      <c r="I938" s="17" t="s">
        <v>125</v>
      </c>
      <c r="J938" s="22" t="s">
        <v>144</v>
      </c>
      <c r="K938" s="23" t="s">
        <v>108</v>
      </c>
      <c r="L938" s="24" t="s">
        <v>91</v>
      </c>
      <c r="M938" s="2">
        <v>28.0</v>
      </c>
      <c r="N938" s="25">
        <v>31.0</v>
      </c>
      <c r="O938" s="25"/>
      <c r="P938" s="25"/>
    </row>
    <row r="939">
      <c r="A939" s="16">
        <v>937.0</v>
      </c>
      <c r="B939" s="17" t="s">
        <v>283</v>
      </c>
      <c r="C939" s="18">
        <v>107.0</v>
      </c>
      <c r="D939" s="19" t="s">
        <v>2144</v>
      </c>
      <c r="E939" s="20" t="s">
        <v>443</v>
      </c>
      <c r="F939" s="17" t="s">
        <v>1242</v>
      </c>
      <c r="G939" s="17" t="s">
        <v>3058</v>
      </c>
      <c r="H939" s="17" t="s">
        <v>3059</v>
      </c>
      <c r="I939" s="17" t="s">
        <v>125</v>
      </c>
      <c r="J939" s="22" t="s">
        <v>144</v>
      </c>
      <c r="K939" s="23" t="s">
        <v>108</v>
      </c>
      <c r="L939" s="24" t="s">
        <v>91</v>
      </c>
      <c r="M939" s="2">
        <v>28.0</v>
      </c>
      <c r="N939" s="25">
        <v>31.0</v>
      </c>
      <c r="O939" s="25"/>
      <c r="P939" s="25"/>
    </row>
    <row r="940">
      <c r="A940" s="16">
        <v>938.0</v>
      </c>
      <c r="B940" s="17" t="s">
        <v>283</v>
      </c>
      <c r="C940" s="18">
        <v>108.0</v>
      </c>
      <c r="D940" s="19" t="s">
        <v>2144</v>
      </c>
      <c r="E940" s="20" t="s">
        <v>443</v>
      </c>
      <c r="F940" s="17" t="s">
        <v>929</v>
      </c>
      <c r="G940" s="17" t="s">
        <v>3060</v>
      </c>
      <c r="H940" s="17" t="s">
        <v>3061</v>
      </c>
      <c r="I940" s="17" t="s">
        <v>125</v>
      </c>
      <c r="J940" s="22" t="s">
        <v>144</v>
      </c>
      <c r="K940" s="23" t="s">
        <v>108</v>
      </c>
      <c r="L940" s="24" t="s">
        <v>91</v>
      </c>
      <c r="M940" s="2">
        <v>28.0</v>
      </c>
      <c r="N940" s="25">
        <v>31.0</v>
      </c>
      <c r="O940" s="25"/>
      <c r="P940" s="25"/>
    </row>
    <row r="941">
      <c r="A941" s="16">
        <v>939.0</v>
      </c>
      <c r="B941" s="17" t="s">
        <v>283</v>
      </c>
      <c r="C941" s="18">
        <v>109.0</v>
      </c>
      <c r="D941" s="19" t="s">
        <v>2144</v>
      </c>
      <c r="E941" s="20" t="s">
        <v>443</v>
      </c>
      <c r="F941" s="17" t="s">
        <v>827</v>
      </c>
      <c r="G941" s="17" t="s">
        <v>3063</v>
      </c>
      <c r="H941" s="17" t="s">
        <v>3064</v>
      </c>
      <c r="I941" s="17" t="s">
        <v>125</v>
      </c>
      <c r="J941" s="22" t="s">
        <v>144</v>
      </c>
      <c r="K941" s="23" t="s">
        <v>108</v>
      </c>
      <c r="L941" s="24" t="s">
        <v>91</v>
      </c>
      <c r="M941" s="2">
        <v>28.0</v>
      </c>
      <c r="N941" s="25">
        <v>31.0</v>
      </c>
      <c r="O941" s="25"/>
      <c r="P941" s="25"/>
    </row>
    <row r="942">
      <c r="A942" s="16">
        <v>940.0</v>
      </c>
      <c r="B942" s="17" t="s">
        <v>283</v>
      </c>
      <c r="C942" s="18">
        <v>110.0</v>
      </c>
      <c r="D942" s="19" t="s">
        <v>2144</v>
      </c>
      <c r="E942" s="20" t="s">
        <v>443</v>
      </c>
      <c r="F942" s="17" t="s">
        <v>994</v>
      </c>
      <c r="G942" s="17" t="s">
        <v>3065</v>
      </c>
      <c r="H942" s="17" t="s">
        <v>3066</v>
      </c>
      <c r="I942" s="17" t="s">
        <v>125</v>
      </c>
      <c r="J942" s="22" t="s">
        <v>144</v>
      </c>
      <c r="K942" s="23" t="s">
        <v>108</v>
      </c>
      <c r="L942" s="24" t="s">
        <v>91</v>
      </c>
      <c r="M942" s="2">
        <v>28.0</v>
      </c>
      <c r="N942" s="25">
        <v>31.0</v>
      </c>
      <c r="O942" s="25"/>
      <c r="P942" s="25"/>
    </row>
    <row r="943">
      <c r="A943" s="16">
        <v>941.0</v>
      </c>
      <c r="B943" s="17" t="s">
        <v>283</v>
      </c>
      <c r="C943" s="18">
        <v>111.0</v>
      </c>
      <c r="D943" s="19" t="s">
        <v>2144</v>
      </c>
      <c r="E943" s="20" t="s">
        <v>443</v>
      </c>
      <c r="F943" s="17" t="s">
        <v>1165</v>
      </c>
      <c r="G943" s="17" t="s">
        <v>3067</v>
      </c>
      <c r="H943" s="17" t="s">
        <v>3068</v>
      </c>
      <c r="I943" s="17" t="s">
        <v>125</v>
      </c>
      <c r="J943" s="22" t="s">
        <v>144</v>
      </c>
      <c r="K943" s="23" t="s">
        <v>108</v>
      </c>
      <c r="L943" s="24" t="s">
        <v>91</v>
      </c>
      <c r="M943" s="2">
        <v>28.0</v>
      </c>
      <c r="N943" s="25">
        <v>31.0</v>
      </c>
      <c r="O943" s="25"/>
      <c r="P943" s="25"/>
    </row>
    <row r="944">
      <c r="A944" s="16">
        <v>942.0</v>
      </c>
      <c r="B944" s="17" t="s">
        <v>283</v>
      </c>
      <c r="C944" s="18">
        <v>112.0</v>
      </c>
      <c r="D944" s="19" t="s">
        <v>2144</v>
      </c>
      <c r="E944" s="20" t="s">
        <v>443</v>
      </c>
      <c r="F944" s="17" t="s">
        <v>1350</v>
      </c>
      <c r="G944" s="17" t="s">
        <v>3069</v>
      </c>
      <c r="H944" s="17" t="s">
        <v>3070</v>
      </c>
      <c r="I944" s="17" t="s">
        <v>125</v>
      </c>
      <c r="J944" s="22" t="s">
        <v>144</v>
      </c>
      <c r="K944" s="23" t="s">
        <v>108</v>
      </c>
      <c r="L944" s="24" t="s">
        <v>91</v>
      </c>
      <c r="M944" s="2">
        <v>28.0</v>
      </c>
      <c r="N944" s="25">
        <v>31.0</v>
      </c>
      <c r="O944" s="25"/>
      <c r="P944" s="25"/>
    </row>
    <row r="945">
      <c r="A945" s="16">
        <v>943.0</v>
      </c>
      <c r="B945" s="17" t="s">
        <v>283</v>
      </c>
      <c r="C945" s="18">
        <v>113.0</v>
      </c>
      <c r="D945" s="19" t="s">
        <v>2144</v>
      </c>
      <c r="E945" s="20" t="s">
        <v>443</v>
      </c>
      <c r="F945" s="17" t="s">
        <v>1351</v>
      </c>
      <c r="G945" s="17" t="s">
        <v>3071</v>
      </c>
      <c r="H945" s="17" t="s">
        <v>3072</v>
      </c>
      <c r="I945" s="17" t="s">
        <v>125</v>
      </c>
      <c r="J945" s="22" t="s">
        <v>144</v>
      </c>
      <c r="K945" s="23" t="s">
        <v>108</v>
      </c>
      <c r="L945" s="24" t="s">
        <v>91</v>
      </c>
      <c r="M945" s="2">
        <v>28.0</v>
      </c>
      <c r="N945" s="25">
        <v>31.0</v>
      </c>
      <c r="O945" s="25"/>
      <c r="P945" s="25"/>
    </row>
    <row r="946">
      <c r="A946" s="16">
        <v>944.0</v>
      </c>
      <c r="B946" s="17" t="s">
        <v>283</v>
      </c>
      <c r="C946" s="18">
        <v>114.0</v>
      </c>
      <c r="D946" s="19" t="s">
        <v>2144</v>
      </c>
      <c r="E946" s="20" t="s">
        <v>443</v>
      </c>
      <c r="F946" s="17" t="s">
        <v>1055</v>
      </c>
      <c r="G946" s="17" t="s">
        <v>2728</v>
      </c>
      <c r="H946" s="17" t="s">
        <v>3074</v>
      </c>
      <c r="I946" s="17" t="s">
        <v>125</v>
      </c>
      <c r="J946" s="22" t="s">
        <v>144</v>
      </c>
      <c r="K946" s="23" t="s">
        <v>108</v>
      </c>
      <c r="L946" s="24" t="s">
        <v>91</v>
      </c>
      <c r="M946" s="2">
        <v>28.0</v>
      </c>
      <c r="N946" s="25">
        <v>31.0</v>
      </c>
      <c r="O946" s="25"/>
      <c r="P946" s="25"/>
    </row>
    <row r="947">
      <c r="A947" s="16">
        <v>945.0</v>
      </c>
      <c r="B947" s="17" t="s">
        <v>283</v>
      </c>
      <c r="C947" s="18">
        <v>115.0</v>
      </c>
      <c r="D947" s="19" t="s">
        <v>2144</v>
      </c>
      <c r="E947" s="20" t="s">
        <v>443</v>
      </c>
      <c r="F947" s="17" t="s">
        <v>1208</v>
      </c>
      <c r="G947" s="17" t="s">
        <v>2342</v>
      </c>
      <c r="H947" s="17" t="s">
        <v>2343</v>
      </c>
      <c r="I947" s="17" t="s">
        <v>125</v>
      </c>
      <c r="J947" s="22" t="s">
        <v>144</v>
      </c>
      <c r="K947" s="23" t="s">
        <v>108</v>
      </c>
      <c r="L947" s="24" t="s">
        <v>91</v>
      </c>
      <c r="M947" s="2">
        <v>28.0</v>
      </c>
      <c r="N947" s="25">
        <v>31.0</v>
      </c>
      <c r="O947" s="25"/>
      <c r="P947" s="25"/>
    </row>
    <row r="948">
      <c r="A948" s="16">
        <v>946.0</v>
      </c>
      <c r="B948" s="17" t="s">
        <v>283</v>
      </c>
      <c r="C948" s="18">
        <v>116.0</v>
      </c>
      <c r="D948" s="19" t="s">
        <v>2144</v>
      </c>
      <c r="E948" s="20" t="s">
        <v>443</v>
      </c>
      <c r="F948" s="17" t="s">
        <v>705</v>
      </c>
      <c r="G948" s="17" t="s">
        <v>3075</v>
      </c>
      <c r="H948" s="17" t="s">
        <v>3076</v>
      </c>
      <c r="I948" s="17" t="s">
        <v>125</v>
      </c>
      <c r="J948" s="22" t="s">
        <v>144</v>
      </c>
      <c r="K948" s="23" t="s">
        <v>108</v>
      </c>
      <c r="L948" s="24" t="s">
        <v>91</v>
      </c>
      <c r="M948" s="2">
        <v>28.0</v>
      </c>
      <c r="N948" s="25">
        <v>31.0</v>
      </c>
      <c r="O948" s="25"/>
      <c r="P948" s="25"/>
    </row>
    <row r="949">
      <c r="A949" s="16">
        <v>947.0</v>
      </c>
      <c r="B949" s="17" t="s">
        <v>283</v>
      </c>
      <c r="C949" s="18">
        <v>117.0</v>
      </c>
      <c r="D949" s="19" t="s">
        <v>2144</v>
      </c>
      <c r="E949" s="20" t="s">
        <v>443</v>
      </c>
      <c r="F949" s="17" t="s">
        <v>972</v>
      </c>
      <c r="G949" s="17" t="s">
        <v>123</v>
      </c>
      <c r="H949" s="17" t="s">
        <v>3078</v>
      </c>
      <c r="I949" s="17" t="s">
        <v>125</v>
      </c>
      <c r="J949" s="22" t="s">
        <v>144</v>
      </c>
      <c r="K949" s="23" t="s">
        <v>108</v>
      </c>
      <c r="L949" s="24" t="s">
        <v>91</v>
      </c>
      <c r="M949" s="2">
        <v>28.0</v>
      </c>
      <c r="N949" s="25">
        <v>31.0</v>
      </c>
      <c r="O949" s="25"/>
      <c r="P949" s="25"/>
    </row>
    <row r="950">
      <c r="A950" s="16">
        <v>948.0</v>
      </c>
      <c r="B950" s="17" t="s">
        <v>283</v>
      </c>
      <c r="C950" s="18">
        <v>118.0</v>
      </c>
      <c r="D950" s="19" t="s">
        <v>2144</v>
      </c>
      <c r="E950" s="20" t="s">
        <v>443</v>
      </c>
      <c r="F950" s="17" t="s">
        <v>1112</v>
      </c>
      <c r="G950" s="17" t="s">
        <v>3079</v>
      </c>
      <c r="H950" s="17" t="s">
        <v>3080</v>
      </c>
      <c r="I950" s="17" t="s">
        <v>125</v>
      </c>
      <c r="J950" s="22" t="s">
        <v>144</v>
      </c>
      <c r="K950" s="23" t="s">
        <v>108</v>
      </c>
      <c r="L950" s="24" t="s">
        <v>91</v>
      </c>
      <c r="M950" s="2">
        <v>28.0</v>
      </c>
      <c r="N950" s="25">
        <v>31.0</v>
      </c>
      <c r="O950" s="25"/>
      <c r="P950" s="25"/>
    </row>
    <row r="951">
      <c r="A951" s="16">
        <v>949.0</v>
      </c>
      <c r="B951" s="17" t="s">
        <v>283</v>
      </c>
      <c r="C951" s="18">
        <v>119.0</v>
      </c>
      <c r="D951" s="19" t="s">
        <v>2144</v>
      </c>
      <c r="E951" s="20" t="s">
        <v>443</v>
      </c>
      <c r="F951" s="17" t="s">
        <v>1177</v>
      </c>
      <c r="G951" s="17" t="s">
        <v>1954</v>
      </c>
      <c r="H951" s="17" t="s">
        <v>3082</v>
      </c>
      <c r="I951" s="17" t="s">
        <v>125</v>
      </c>
      <c r="J951" s="22" t="s">
        <v>144</v>
      </c>
      <c r="K951" s="23" t="s">
        <v>108</v>
      </c>
      <c r="L951" s="24" t="s">
        <v>91</v>
      </c>
      <c r="M951" s="2">
        <v>28.0</v>
      </c>
      <c r="N951" s="25">
        <v>31.0</v>
      </c>
      <c r="O951" s="25"/>
      <c r="P951" s="25"/>
    </row>
    <row r="952">
      <c r="A952" s="16">
        <v>950.0</v>
      </c>
      <c r="B952" s="17" t="s">
        <v>283</v>
      </c>
      <c r="C952" s="18">
        <v>120.0</v>
      </c>
      <c r="D952" s="19" t="s">
        <v>2144</v>
      </c>
      <c r="E952" s="20" t="s">
        <v>443</v>
      </c>
      <c r="F952" s="17" t="s">
        <v>1352</v>
      </c>
      <c r="G952" s="17" t="s">
        <v>3083</v>
      </c>
      <c r="H952" s="17" t="s">
        <v>3084</v>
      </c>
      <c r="I952" s="17" t="s">
        <v>125</v>
      </c>
      <c r="J952" s="22" t="s">
        <v>144</v>
      </c>
      <c r="K952" s="23" t="s">
        <v>108</v>
      </c>
      <c r="L952" s="24" t="s">
        <v>91</v>
      </c>
      <c r="M952" s="2">
        <v>28.0</v>
      </c>
      <c r="N952" s="25">
        <v>31.0</v>
      </c>
      <c r="O952" s="25"/>
      <c r="P952" s="25"/>
    </row>
    <row r="953">
      <c r="A953" s="16">
        <v>951.0</v>
      </c>
      <c r="B953" s="17" t="s">
        <v>283</v>
      </c>
      <c r="C953" s="18">
        <v>121.0</v>
      </c>
      <c r="D953" s="19" t="s">
        <v>2139</v>
      </c>
      <c r="E953" s="20" t="s">
        <v>443</v>
      </c>
      <c r="F953" s="17" t="s">
        <v>85</v>
      </c>
      <c r="G953" s="17" t="s">
        <v>3086</v>
      </c>
      <c r="H953" s="17" t="s">
        <v>3087</v>
      </c>
      <c r="I953" s="17" t="s">
        <v>125</v>
      </c>
      <c r="J953" s="22" t="s">
        <v>144</v>
      </c>
      <c r="K953" s="23" t="s">
        <v>108</v>
      </c>
      <c r="L953" s="24" t="s">
        <v>91</v>
      </c>
      <c r="M953" s="2">
        <v>28.0</v>
      </c>
      <c r="N953" s="25">
        <v>31.0</v>
      </c>
      <c r="O953" s="25"/>
      <c r="P953" s="25"/>
    </row>
    <row r="954">
      <c r="A954" s="16">
        <v>952.0</v>
      </c>
      <c r="B954" s="17" t="s">
        <v>283</v>
      </c>
      <c r="C954" s="18">
        <v>122.0</v>
      </c>
      <c r="D954" s="19" t="s">
        <v>2139</v>
      </c>
      <c r="E954" s="20" t="s">
        <v>443</v>
      </c>
      <c r="F954" s="17" t="s">
        <v>163</v>
      </c>
      <c r="G954" s="17" t="s">
        <v>3088</v>
      </c>
      <c r="H954" s="17" t="s">
        <v>3090</v>
      </c>
      <c r="I954" s="17" t="s">
        <v>125</v>
      </c>
      <c r="J954" s="22" t="s">
        <v>144</v>
      </c>
      <c r="K954" s="23" t="s">
        <v>108</v>
      </c>
      <c r="L954" s="24" t="s">
        <v>91</v>
      </c>
      <c r="M954" s="2">
        <v>28.0</v>
      </c>
      <c r="N954" s="25">
        <v>31.0</v>
      </c>
      <c r="O954" s="25"/>
      <c r="P954" s="25"/>
    </row>
    <row r="955">
      <c r="A955" s="16">
        <v>953.0</v>
      </c>
      <c r="B955" s="17" t="s">
        <v>283</v>
      </c>
      <c r="C955" s="18">
        <v>123.0</v>
      </c>
      <c r="D955" s="19" t="s">
        <v>2139</v>
      </c>
      <c r="E955" s="20" t="s">
        <v>443</v>
      </c>
      <c r="F955" s="17" t="s">
        <v>868</v>
      </c>
      <c r="G955" s="17" t="s">
        <v>3091</v>
      </c>
      <c r="H955" s="17" t="s">
        <v>3092</v>
      </c>
      <c r="I955" s="17" t="s">
        <v>125</v>
      </c>
      <c r="J955" s="22" t="s">
        <v>144</v>
      </c>
      <c r="K955" s="23" t="s">
        <v>108</v>
      </c>
      <c r="L955" s="24" t="s">
        <v>91</v>
      </c>
      <c r="M955" s="2">
        <v>28.0</v>
      </c>
      <c r="N955" s="25">
        <v>31.0</v>
      </c>
      <c r="O955" s="25"/>
      <c r="P955" s="25"/>
    </row>
    <row r="956">
      <c r="A956" s="16">
        <v>954.0</v>
      </c>
      <c r="B956" s="17" t="s">
        <v>283</v>
      </c>
      <c r="C956" s="18">
        <v>124.0</v>
      </c>
      <c r="D956" s="19" t="s">
        <v>2139</v>
      </c>
      <c r="E956" s="20" t="s">
        <v>443</v>
      </c>
      <c r="F956" s="17" t="s">
        <v>1353</v>
      </c>
      <c r="G956" s="17" t="s">
        <v>3093</v>
      </c>
      <c r="H956" s="17" t="s">
        <v>3094</v>
      </c>
      <c r="I956" s="17" t="s">
        <v>125</v>
      </c>
      <c r="J956" s="22" t="s">
        <v>144</v>
      </c>
      <c r="K956" s="23" t="s">
        <v>108</v>
      </c>
      <c r="L956" s="24" t="s">
        <v>91</v>
      </c>
      <c r="M956" s="2">
        <v>28.0</v>
      </c>
      <c r="N956" s="25">
        <v>31.0</v>
      </c>
      <c r="O956" s="25"/>
      <c r="P956" s="25"/>
    </row>
    <row r="957">
      <c r="A957" s="16">
        <v>955.0</v>
      </c>
      <c r="B957" s="17" t="s">
        <v>283</v>
      </c>
      <c r="C957" s="18">
        <v>125.0</v>
      </c>
      <c r="D957" s="19" t="s">
        <v>2139</v>
      </c>
      <c r="E957" s="20" t="s">
        <v>443</v>
      </c>
      <c r="F957" s="17" t="s">
        <v>1032</v>
      </c>
      <c r="G957" s="17" t="s">
        <v>3095</v>
      </c>
      <c r="H957" s="17" t="s">
        <v>3096</v>
      </c>
      <c r="I957" s="17" t="s">
        <v>125</v>
      </c>
      <c r="J957" s="22" t="s">
        <v>144</v>
      </c>
      <c r="K957" s="23" t="s">
        <v>108</v>
      </c>
      <c r="L957" s="24" t="s">
        <v>91</v>
      </c>
      <c r="M957" s="2">
        <v>28.0</v>
      </c>
      <c r="N957" s="25">
        <v>31.0</v>
      </c>
      <c r="O957" s="25"/>
      <c r="P957" s="25"/>
    </row>
    <row r="958">
      <c r="A958" s="16">
        <v>956.0</v>
      </c>
      <c r="B958" s="17" t="s">
        <v>283</v>
      </c>
      <c r="C958" s="18">
        <v>126.0</v>
      </c>
      <c r="D958" s="19" t="s">
        <v>2139</v>
      </c>
      <c r="E958" s="20" t="s">
        <v>443</v>
      </c>
      <c r="F958" s="17" t="s">
        <v>1355</v>
      </c>
      <c r="G958" s="17" t="s">
        <v>3098</v>
      </c>
      <c r="H958" s="17" t="s">
        <v>3099</v>
      </c>
      <c r="I958" s="17" t="s">
        <v>125</v>
      </c>
      <c r="J958" s="22" t="s">
        <v>144</v>
      </c>
      <c r="K958" s="23" t="s">
        <v>108</v>
      </c>
      <c r="L958" s="24" t="s">
        <v>91</v>
      </c>
      <c r="M958" s="2">
        <v>28.0</v>
      </c>
      <c r="N958" s="25">
        <v>31.0</v>
      </c>
      <c r="O958" s="25"/>
      <c r="P958" s="25"/>
    </row>
    <row r="959">
      <c r="A959" s="16">
        <v>957.0</v>
      </c>
      <c r="B959" s="17" t="s">
        <v>283</v>
      </c>
      <c r="C959" s="18">
        <v>127.0</v>
      </c>
      <c r="D959" s="19" t="s">
        <v>2139</v>
      </c>
      <c r="E959" s="20" t="s">
        <v>443</v>
      </c>
      <c r="F959" s="17" t="s">
        <v>1213</v>
      </c>
      <c r="G959" s="17" t="s">
        <v>3100</v>
      </c>
      <c r="H959" s="17" t="s">
        <v>3101</v>
      </c>
      <c r="I959" s="17" t="s">
        <v>125</v>
      </c>
      <c r="J959" s="22" t="s">
        <v>144</v>
      </c>
      <c r="K959" s="23" t="s">
        <v>108</v>
      </c>
      <c r="L959" s="24" t="s">
        <v>91</v>
      </c>
      <c r="M959" s="2">
        <v>28.0</v>
      </c>
      <c r="N959" s="25">
        <v>31.0</v>
      </c>
      <c r="O959" s="25"/>
      <c r="P959" s="25"/>
    </row>
    <row r="960">
      <c r="A960" s="16">
        <v>958.0</v>
      </c>
      <c r="B960" s="17" t="s">
        <v>283</v>
      </c>
      <c r="C960" s="18">
        <v>128.0</v>
      </c>
      <c r="D960" s="19" t="s">
        <v>2139</v>
      </c>
      <c r="E960" s="20" t="s">
        <v>443</v>
      </c>
      <c r="F960" s="17" t="s">
        <v>981</v>
      </c>
      <c r="G960" s="17" t="s">
        <v>3102</v>
      </c>
      <c r="H960" s="17" t="s">
        <v>3104</v>
      </c>
      <c r="I960" s="17" t="s">
        <v>125</v>
      </c>
      <c r="J960" s="22" t="s">
        <v>144</v>
      </c>
      <c r="K960" s="23" t="s">
        <v>108</v>
      </c>
      <c r="L960" s="24" t="s">
        <v>91</v>
      </c>
      <c r="M960" s="2">
        <v>28.0</v>
      </c>
      <c r="N960" s="25">
        <v>31.0</v>
      </c>
      <c r="O960" s="25"/>
      <c r="P960" s="25"/>
    </row>
    <row r="961">
      <c r="A961" s="16">
        <v>959.0</v>
      </c>
      <c r="B961" s="17" t="s">
        <v>283</v>
      </c>
      <c r="C961" s="18">
        <v>129.0</v>
      </c>
      <c r="D961" s="19" t="s">
        <v>2139</v>
      </c>
      <c r="E961" s="20" t="s">
        <v>443</v>
      </c>
      <c r="F961" s="17" t="s">
        <v>1356</v>
      </c>
      <c r="G961" s="17" t="s">
        <v>3105</v>
      </c>
      <c r="H961" s="17" t="s">
        <v>3106</v>
      </c>
      <c r="I961" s="17" t="s">
        <v>125</v>
      </c>
      <c r="J961" s="22" t="s">
        <v>144</v>
      </c>
      <c r="K961" s="23" t="s">
        <v>108</v>
      </c>
      <c r="L961" s="24" t="s">
        <v>91</v>
      </c>
      <c r="M961" s="2">
        <v>28.0</v>
      </c>
      <c r="N961" s="25">
        <v>31.0</v>
      </c>
      <c r="O961" s="25"/>
      <c r="P961" s="25"/>
    </row>
    <row r="962">
      <c r="A962" s="16">
        <v>960.0</v>
      </c>
      <c r="B962" s="17" t="s">
        <v>283</v>
      </c>
      <c r="C962" s="18">
        <v>130.0</v>
      </c>
      <c r="D962" s="19" t="s">
        <v>2139</v>
      </c>
      <c r="E962" s="20" t="s">
        <v>443</v>
      </c>
      <c r="F962" s="17" t="s">
        <v>884</v>
      </c>
      <c r="G962" s="17" t="s">
        <v>3107</v>
      </c>
      <c r="H962" s="17" t="s">
        <v>3109</v>
      </c>
      <c r="I962" s="17" t="s">
        <v>125</v>
      </c>
      <c r="J962" s="22" t="s">
        <v>144</v>
      </c>
      <c r="K962" s="23" t="s">
        <v>108</v>
      </c>
      <c r="L962" s="24" t="s">
        <v>91</v>
      </c>
      <c r="M962" s="2">
        <v>28.0</v>
      </c>
      <c r="N962" s="25">
        <v>31.0</v>
      </c>
      <c r="O962" s="25"/>
      <c r="P962" s="25"/>
    </row>
    <row r="963">
      <c r="A963" s="16">
        <v>961.0</v>
      </c>
      <c r="B963" s="17" t="s">
        <v>283</v>
      </c>
      <c r="C963" s="18">
        <v>131.0</v>
      </c>
      <c r="D963" s="19" t="s">
        <v>2139</v>
      </c>
      <c r="E963" s="20" t="s">
        <v>443</v>
      </c>
      <c r="F963" s="17" t="s">
        <v>1127</v>
      </c>
      <c r="G963" s="17" t="s">
        <v>123</v>
      </c>
      <c r="H963" s="17" t="s">
        <v>3110</v>
      </c>
      <c r="I963" s="17" t="s">
        <v>125</v>
      </c>
      <c r="J963" s="22" t="s">
        <v>144</v>
      </c>
      <c r="K963" s="23" t="s">
        <v>108</v>
      </c>
      <c r="L963" s="24" t="s">
        <v>91</v>
      </c>
      <c r="M963" s="2">
        <v>28.0</v>
      </c>
      <c r="N963" s="25">
        <v>31.0</v>
      </c>
      <c r="O963" s="25"/>
      <c r="P963" s="25"/>
    </row>
    <row r="964">
      <c r="A964" s="16">
        <v>962.0</v>
      </c>
      <c r="B964" s="17" t="s">
        <v>283</v>
      </c>
      <c r="C964" s="18">
        <v>132.0</v>
      </c>
      <c r="D964" s="19" t="s">
        <v>2139</v>
      </c>
      <c r="E964" s="20" t="s">
        <v>443</v>
      </c>
      <c r="F964" s="17" t="s">
        <v>198</v>
      </c>
      <c r="G964" s="17" t="s">
        <v>2485</v>
      </c>
      <c r="H964" s="17" t="s">
        <v>2487</v>
      </c>
      <c r="I964" s="17" t="s">
        <v>125</v>
      </c>
      <c r="J964" s="22" t="s">
        <v>144</v>
      </c>
      <c r="K964" s="23" t="s">
        <v>108</v>
      </c>
      <c r="L964" s="24" t="s">
        <v>91</v>
      </c>
      <c r="M964" s="2">
        <v>28.0</v>
      </c>
      <c r="N964" s="25">
        <v>31.0</v>
      </c>
      <c r="O964" s="25"/>
      <c r="P964" s="25"/>
    </row>
    <row r="965">
      <c r="A965" s="16">
        <v>963.0</v>
      </c>
      <c r="B965" s="17" t="s">
        <v>283</v>
      </c>
      <c r="C965" s="18">
        <v>133.0</v>
      </c>
      <c r="D965" s="19" t="s">
        <v>2139</v>
      </c>
      <c r="E965" s="20" t="s">
        <v>443</v>
      </c>
      <c r="F965" s="17" t="s">
        <v>966</v>
      </c>
      <c r="G965" s="17" t="s">
        <v>3112</v>
      </c>
      <c r="H965" s="17" t="s">
        <v>3113</v>
      </c>
      <c r="I965" s="17" t="s">
        <v>125</v>
      </c>
      <c r="J965" s="22" t="s">
        <v>144</v>
      </c>
      <c r="K965" s="23" t="s">
        <v>108</v>
      </c>
      <c r="L965" s="24" t="s">
        <v>91</v>
      </c>
      <c r="M965" s="2">
        <v>28.0</v>
      </c>
      <c r="N965" s="25">
        <v>31.0</v>
      </c>
      <c r="O965" s="25"/>
      <c r="P965" s="25"/>
    </row>
    <row r="966">
      <c r="A966" s="16">
        <v>964.0</v>
      </c>
      <c r="B966" s="17" t="s">
        <v>283</v>
      </c>
      <c r="C966" s="18">
        <v>134.0</v>
      </c>
      <c r="D966" s="19" t="s">
        <v>2139</v>
      </c>
      <c r="E966" s="20" t="s">
        <v>443</v>
      </c>
      <c r="F966" s="17" t="s">
        <v>1113</v>
      </c>
      <c r="G966" s="17" t="s">
        <v>123</v>
      </c>
      <c r="H966" s="17" t="s">
        <v>3115</v>
      </c>
      <c r="I966" s="17" t="s">
        <v>125</v>
      </c>
      <c r="J966" s="22" t="s">
        <v>144</v>
      </c>
      <c r="K966" s="23" t="s">
        <v>108</v>
      </c>
      <c r="L966" s="24" t="s">
        <v>91</v>
      </c>
      <c r="M966" s="2">
        <v>28.0</v>
      </c>
      <c r="N966" s="25">
        <v>31.0</v>
      </c>
      <c r="O966" s="25"/>
      <c r="P966" s="25"/>
    </row>
    <row r="967">
      <c r="A967" s="16">
        <v>965.0</v>
      </c>
      <c r="B967" s="17" t="s">
        <v>283</v>
      </c>
      <c r="C967" s="18">
        <v>135.0</v>
      </c>
      <c r="D967" s="19" t="s">
        <v>2139</v>
      </c>
      <c r="E967" s="20" t="s">
        <v>443</v>
      </c>
      <c r="F967" s="17" t="s">
        <v>1357</v>
      </c>
      <c r="G967" s="17" t="s">
        <v>3116</v>
      </c>
      <c r="H967" s="17" t="s">
        <v>3117</v>
      </c>
      <c r="I967" s="17" t="s">
        <v>125</v>
      </c>
      <c r="J967" s="22" t="s">
        <v>144</v>
      </c>
      <c r="K967" s="23" t="s">
        <v>108</v>
      </c>
      <c r="L967" s="24" t="s">
        <v>91</v>
      </c>
      <c r="M967" s="2">
        <v>28.0</v>
      </c>
      <c r="N967" s="25">
        <v>31.0</v>
      </c>
      <c r="O967" s="25"/>
      <c r="P967" s="25"/>
    </row>
    <row r="968">
      <c r="A968" s="16">
        <v>966.0</v>
      </c>
      <c r="B968" s="17" t="s">
        <v>283</v>
      </c>
      <c r="C968" s="18">
        <v>136.0</v>
      </c>
      <c r="D968" s="19" t="s">
        <v>2139</v>
      </c>
      <c r="E968" s="20" t="s">
        <v>443</v>
      </c>
      <c r="F968" s="17" t="s">
        <v>1358</v>
      </c>
      <c r="G968" s="17" t="s">
        <v>3119</v>
      </c>
      <c r="H968" s="17" t="s">
        <v>3120</v>
      </c>
      <c r="I968" s="17" t="s">
        <v>125</v>
      </c>
      <c r="J968" s="22" t="s">
        <v>144</v>
      </c>
      <c r="K968" s="23" t="s">
        <v>108</v>
      </c>
      <c r="L968" s="24" t="s">
        <v>91</v>
      </c>
      <c r="M968" s="2">
        <v>28.0</v>
      </c>
      <c r="N968" s="25">
        <v>31.0</v>
      </c>
      <c r="O968" s="25"/>
      <c r="P968" s="25"/>
    </row>
    <row r="969">
      <c r="A969" s="16">
        <v>967.0</v>
      </c>
      <c r="B969" s="17" t="s">
        <v>283</v>
      </c>
      <c r="C969" s="18">
        <v>137.0</v>
      </c>
      <c r="D969" s="19" t="s">
        <v>2139</v>
      </c>
      <c r="E969" s="20" t="s">
        <v>443</v>
      </c>
      <c r="F969" s="17" t="s">
        <v>1244</v>
      </c>
      <c r="G969" s="17" t="s">
        <v>3121</v>
      </c>
      <c r="H969" s="17" t="s">
        <v>3122</v>
      </c>
      <c r="I969" s="17" t="s">
        <v>125</v>
      </c>
      <c r="J969" s="22" t="s">
        <v>144</v>
      </c>
      <c r="K969" s="23" t="s">
        <v>108</v>
      </c>
      <c r="L969" s="24" t="s">
        <v>91</v>
      </c>
      <c r="M969" s="2">
        <v>28.0</v>
      </c>
      <c r="N969" s="25">
        <v>31.0</v>
      </c>
      <c r="O969" s="25"/>
      <c r="P969" s="25"/>
    </row>
    <row r="970">
      <c r="A970" s="16">
        <v>968.0</v>
      </c>
      <c r="B970" s="17" t="s">
        <v>283</v>
      </c>
      <c r="C970" s="18">
        <v>138.0</v>
      </c>
      <c r="D970" s="19" t="s">
        <v>2139</v>
      </c>
      <c r="E970" s="20" t="s">
        <v>443</v>
      </c>
      <c r="F970" s="17" t="s">
        <v>1168</v>
      </c>
      <c r="G970" s="17" t="s">
        <v>3123</v>
      </c>
      <c r="H970" s="17" t="s">
        <v>3124</v>
      </c>
      <c r="I970" s="17" t="s">
        <v>125</v>
      </c>
      <c r="J970" s="22" t="s">
        <v>144</v>
      </c>
      <c r="K970" s="23" t="s">
        <v>108</v>
      </c>
      <c r="L970" s="24" t="s">
        <v>91</v>
      </c>
      <c r="M970" s="2">
        <v>28.0</v>
      </c>
      <c r="N970" s="25">
        <v>31.0</v>
      </c>
      <c r="O970" s="25"/>
      <c r="P970" s="25"/>
    </row>
    <row r="971">
      <c r="A971" s="16">
        <v>969.0</v>
      </c>
      <c r="B971" s="17" t="s">
        <v>283</v>
      </c>
      <c r="C971" s="18">
        <v>139.0</v>
      </c>
      <c r="D971" s="19" t="s">
        <v>2139</v>
      </c>
      <c r="E971" s="20" t="s">
        <v>443</v>
      </c>
      <c r="F971" s="17" t="s">
        <v>1359</v>
      </c>
      <c r="G971" s="17" t="s">
        <v>3125</v>
      </c>
      <c r="H971" s="17" t="s">
        <v>3126</v>
      </c>
      <c r="I971" s="17" t="s">
        <v>125</v>
      </c>
      <c r="J971" s="22" t="s">
        <v>144</v>
      </c>
      <c r="K971" s="23" t="s">
        <v>108</v>
      </c>
      <c r="L971" s="24" t="s">
        <v>91</v>
      </c>
      <c r="M971" s="2">
        <v>28.0</v>
      </c>
      <c r="N971" s="25">
        <v>31.0</v>
      </c>
      <c r="O971" s="25"/>
      <c r="P971" s="25"/>
    </row>
    <row r="972">
      <c r="A972" s="16">
        <v>970.0</v>
      </c>
      <c r="B972" s="17" t="s">
        <v>283</v>
      </c>
      <c r="C972" s="18">
        <v>140.0</v>
      </c>
      <c r="D972" s="19" t="s">
        <v>2139</v>
      </c>
      <c r="E972" s="20" t="s">
        <v>443</v>
      </c>
      <c r="F972" s="17" t="s">
        <v>1088</v>
      </c>
      <c r="G972" s="17" t="s">
        <v>3127</v>
      </c>
      <c r="H972" s="17" t="s">
        <v>3128</v>
      </c>
      <c r="I972" s="17" t="s">
        <v>125</v>
      </c>
      <c r="J972" s="22" t="s">
        <v>144</v>
      </c>
      <c r="K972" s="23" t="s">
        <v>108</v>
      </c>
      <c r="L972" s="24" t="s">
        <v>91</v>
      </c>
      <c r="M972" s="2">
        <v>28.0</v>
      </c>
      <c r="N972" s="25">
        <v>31.0</v>
      </c>
      <c r="O972" s="25"/>
      <c r="P972" s="25"/>
    </row>
    <row r="973">
      <c r="A973" s="16">
        <v>971.0</v>
      </c>
      <c r="B973" s="17" t="s">
        <v>283</v>
      </c>
      <c r="C973" s="18">
        <v>141.0</v>
      </c>
      <c r="D973" s="19" t="s">
        <v>2139</v>
      </c>
      <c r="E973" s="20" t="s">
        <v>443</v>
      </c>
      <c r="F973" s="17" t="s">
        <v>1181</v>
      </c>
      <c r="G973" s="17" t="s">
        <v>3130</v>
      </c>
      <c r="H973" s="17" t="s">
        <v>3099</v>
      </c>
      <c r="I973" s="17" t="s">
        <v>125</v>
      </c>
      <c r="J973" s="22" t="s">
        <v>144</v>
      </c>
      <c r="K973" s="23" t="s">
        <v>108</v>
      </c>
      <c r="L973" s="24" t="s">
        <v>91</v>
      </c>
      <c r="M973" s="2">
        <v>28.0</v>
      </c>
      <c r="N973" s="25">
        <v>31.0</v>
      </c>
      <c r="O973" s="25"/>
      <c r="P973" s="25"/>
    </row>
    <row r="974">
      <c r="A974" s="16">
        <v>972.0</v>
      </c>
      <c r="B974" s="17" t="s">
        <v>283</v>
      </c>
      <c r="C974" s="18">
        <v>142.0</v>
      </c>
      <c r="D974" s="19" t="s">
        <v>2139</v>
      </c>
      <c r="E974" s="20" t="s">
        <v>443</v>
      </c>
      <c r="F974" s="17" t="s">
        <v>1114</v>
      </c>
      <c r="G974" s="17" t="s">
        <v>3131</v>
      </c>
      <c r="H974" s="17" t="s">
        <v>3132</v>
      </c>
      <c r="I974" s="17" t="s">
        <v>125</v>
      </c>
      <c r="J974" s="22" t="s">
        <v>144</v>
      </c>
      <c r="K974" s="23" t="s">
        <v>108</v>
      </c>
      <c r="L974" s="24" t="s">
        <v>91</v>
      </c>
      <c r="M974" s="2">
        <v>28.0</v>
      </c>
      <c r="N974" s="25">
        <v>31.0</v>
      </c>
      <c r="O974" s="25"/>
      <c r="P974" s="25"/>
    </row>
    <row r="975">
      <c r="A975" s="16">
        <v>973.0</v>
      </c>
      <c r="B975" s="17" t="s">
        <v>283</v>
      </c>
      <c r="C975" s="18">
        <v>143.0</v>
      </c>
      <c r="D975" s="19" t="s">
        <v>2139</v>
      </c>
      <c r="E975" s="20" t="s">
        <v>443</v>
      </c>
      <c r="F975" s="17" t="s">
        <v>1100</v>
      </c>
      <c r="G975" s="17" t="s">
        <v>2726</v>
      </c>
      <c r="H975" s="17" t="s">
        <v>3133</v>
      </c>
      <c r="I975" s="17" t="s">
        <v>125</v>
      </c>
      <c r="J975" s="22" t="s">
        <v>144</v>
      </c>
      <c r="K975" s="23" t="s">
        <v>108</v>
      </c>
      <c r="L975" s="24" t="s">
        <v>91</v>
      </c>
      <c r="M975" s="2">
        <v>28.0</v>
      </c>
      <c r="N975" s="25">
        <v>31.0</v>
      </c>
      <c r="O975" s="25"/>
      <c r="P975" s="25"/>
    </row>
    <row r="976">
      <c r="A976" s="16">
        <v>974.0</v>
      </c>
      <c r="B976" s="17" t="s">
        <v>283</v>
      </c>
      <c r="C976" s="18">
        <v>144.0</v>
      </c>
      <c r="D976" s="19" t="s">
        <v>2139</v>
      </c>
      <c r="E976" s="20" t="s">
        <v>443</v>
      </c>
      <c r="F976" s="17" t="s">
        <v>1115</v>
      </c>
      <c r="G976" s="17" t="s">
        <v>3135</v>
      </c>
      <c r="H976" s="17" t="s">
        <v>3136</v>
      </c>
      <c r="I976" s="17" t="s">
        <v>125</v>
      </c>
      <c r="J976" s="22" t="s">
        <v>144</v>
      </c>
      <c r="K976" s="23" t="s">
        <v>108</v>
      </c>
      <c r="L976" s="24" t="s">
        <v>91</v>
      </c>
      <c r="M976" s="2">
        <v>28.0</v>
      </c>
      <c r="N976" s="25">
        <v>31.0</v>
      </c>
      <c r="O976" s="25"/>
      <c r="P976" s="25"/>
    </row>
    <row r="977">
      <c r="A977" s="16">
        <v>975.0</v>
      </c>
      <c r="B977" s="17" t="s">
        <v>283</v>
      </c>
      <c r="C977" s="18">
        <v>145.0</v>
      </c>
      <c r="D977" s="19" t="s">
        <v>2139</v>
      </c>
      <c r="E977" s="20" t="s">
        <v>443</v>
      </c>
      <c r="F977" s="17" t="s">
        <v>421</v>
      </c>
      <c r="G977" s="17" t="s">
        <v>3138</v>
      </c>
      <c r="H977" s="17" t="s">
        <v>3139</v>
      </c>
      <c r="I977" s="17" t="s">
        <v>125</v>
      </c>
      <c r="J977" s="22" t="s">
        <v>144</v>
      </c>
      <c r="K977" s="23" t="s">
        <v>108</v>
      </c>
      <c r="L977" s="24" t="s">
        <v>91</v>
      </c>
      <c r="M977" s="2">
        <v>28.0</v>
      </c>
      <c r="N977" s="25">
        <v>31.0</v>
      </c>
      <c r="O977" s="25"/>
      <c r="P977" s="25"/>
    </row>
    <row r="978">
      <c r="A978" s="16">
        <v>976.0</v>
      </c>
      <c r="B978" s="17" t="s">
        <v>283</v>
      </c>
      <c r="C978" s="18">
        <v>146.0</v>
      </c>
      <c r="D978" s="19" t="s">
        <v>2139</v>
      </c>
      <c r="E978" s="20" t="s">
        <v>443</v>
      </c>
      <c r="F978" s="17" t="s">
        <v>933</v>
      </c>
      <c r="G978" s="17" t="s">
        <v>3140</v>
      </c>
      <c r="H978" s="17" t="s">
        <v>3141</v>
      </c>
      <c r="I978" s="17" t="s">
        <v>125</v>
      </c>
      <c r="J978" s="22" t="s">
        <v>144</v>
      </c>
      <c r="K978" s="23" t="s">
        <v>108</v>
      </c>
      <c r="L978" s="24" t="s">
        <v>91</v>
      </c>
      <c r="M978" s="2">
        <v>28.0</v>
      </c>
      <c r="N978" s="25">
        <v>31.0</v>
      </c>
      <c r="O978" s="25"/>
      <c r="P978" s="25"/>
    </row>
    <row r="979">
      <c r="A979" s="16">
        <v>977.0</v>
      </c>
      <c r="B979" s="17" t="s">
        <v>283</v>
      </c>
      <c r="C979" s="18">
        <v>147.0</v>
      </c>
      <c r="D979" s="19" t="s">
        <v>2139</v>
      </c>
      <c r="E979" s="20" t="s">
        <v>443</v>
      </c>
      <c r="F979" s="17" t="s">
        <v>1362</v>
      </c>
      <c r="G979" s="17" t="s">
        <v>3142</v>
      </c>
      <c r="H979" s="17" t="s">
        <v>3144</v>
      </c>
      <c r="I979" s="17" t="s">
        <v>125</v>
      </c>
      <c r="J979" s="22" t="s">
        <v>144</v>
      </c>
      <c r="K979" s="23" t="s">
        <v>108</v>
      </c>
      <c r="L979" s="24" t="s">
        <v>91</v>
      </c>
      <c r="M979" s="2">
        <v>28.0</v>
      </c>
      <c r="N979" s="25">
        <v>31.0</v>
      </c>
      <c r="O979" s="25"/>
      <c r="P979" s="25"/>
    </row>
    <row r="980">
      <c r="A980" s="16">
        <v>978.0</v>
      </c>
      <c r="B980" s="17" t="s">
        <v>283</v>
      </c>
      <c r="C980" s="18">
        <v>148.0</v>
      </c>
      <c r="D980" s="19" t="s">
        <v>2139</v>
      </c>
      <c r="E980" s="20" t="s">
        <v>443</v>
      </c>
      <c r="F980" s="17" t="s">
        <v>1245</v>
      </c>
      <c r="G980" s="17" t="s">
        <v>3145</v>
      </c>
      <c r="H980" s="17" t="s">
        <v>3146</v>
      </c>
      <c r="I980" s="17" t="s">
        <v>125</v>
      </c>
      <c r="J980" s="22" t="s">
        <v>144</v>
      </c>
      <c r="K980" s="23" t="s">
        <v>108</v>
      </c>
      <c r="L980" s="24" t="s">
        <v>91</v>
      </c>
      <c r="M980" s="2">
        <v>28.0</v>
      </c>
      <c r="N980" s="25">
        <v>31.0</v>
      </c>
      <c r="O980" s="25"/>
      <c r="P980" s="25"/>
    </row>
    <row r="981">
      <c r="A981" s="16">
        <v>979.0</v>
      </c>
      <c r="B981" s="17" t="s">
        <v>283</v>
      </c>
      <c r="C981" s="18">
        <v>149.0</v>
      </c>
      <c r="D981" s="19" t="s">
        <v>2139</v>
      </c>
      <c r="E981" s="20" t="s">
        <v>443</v>
      </c>
      <c r="F981" s="17" t="s">
        <v>613</v>
      </c>
      <c r="G981" s="17" t="s">
        <v>123</v>
      </c>
      <c r="H981" s="17" t="s">
        <v>1567</v>
      </c>
      <c r="I981" s="17" t="s">
        <v>125</v>
      </c>
      <c r="J981" s="22" t="s">
        <v>144</v>
      </c>
      <c r="K981" s="23" t="s">
        <v>108</v>
      </c>
      <c r="L981" s="24" t="s">
        <v>91</v>
      </c>
      <c r="M981" s="2">
        <v>28.0</v>
      </c>
      <c r="N981" s="25">
        <v>31.0</v>
      </c>
      <c r="O981" s="25"/>
      <c r="P981" s="25"/>
    </row>
    <row r="982">
      <c r="A982" s="16">
        <v>980.0</v>
      </c>
      <c r="B982" s="17" t="s">
        <v>283</v>
      </c>
      <c r="C982" s="18">
        <v>150.0</v>
      </c>
      <c r="D982" s="19" t="s">
        <v>2139</v>
      </c>
      <c r="E982" s="20" t="s">
        <v>443</v>
      </c>
      <c r="F982" s="17" t="s">
        <v>869</v>
      </c>
      <c r="G982" s="17" t="s">
        <v>2394</v>
      </c>
      <c r="H982" s="17" t="s">
        <v>2395</v>
      </c>
      <c r="I982" s="17" t="s">
        <v>125</v>
      </c>
      <c r="J982" s="22" t="s">
        <v>144</v>
      </c>
      <c r="K982" s="23" t="s">
        <v>108</v>
      </c>
      <c r="L982" s="24" t="s">
        <v>91</v>
      </c>
      <c r="M982" s="2">
        <v>28.0</v>
      </c>
      <c r="N982" s="25">
        <v>31.0</v>
      </c>
      <c r="O982" s="25"/>
      <c r="P982" s="25"/>
    </row>
    <row r="983">
      <c r="A983" s="16">
        <v>981.0</v>
      </c>
      <c r="B983" s="17" t="s">
        <v>283</v>
      </c>
      <c r="C983" s="18">
        <v>151.0</v>
      </c>
      <c r="D983" s="19" t="s">
        <v>2139</v>
      </c>
      <c r="E983" s="20" t="s">
        <v>443</v>
      </c>
      <c r="F983" s="17" t="s">
        <v>1167</v>
      </c>
      <c r="G983" s="17" t="s">
        <v>3148</v>
      </c>
      <c r="H983" s="17" t="s">
        <v>3149</v>
      </c>
      <c r="I983" s="17" t="s">
        <v>125</v>
      </c>
      <c r="J983" s="22" t="s">
        <v>144</v>
      </c>
      <c r="K983" s="23" t="s">
        <v>108</v>
      </c>
      <c r="L983" s="24" t="s">
        <v>91</v>
      </c>
      <c r="M983" s="2">
        <v>28.0</v>
      </c>
      <c r="N983" s="25">
        <v>31.0</v>
      </c>
      <c r="O983" s="25"/>
      <c r="P983" s="25"/>
    </row>
    <row r="984">
      <c r="A984" s="16">
        <v>982.0</v>
      </c>
      <c r="B984" s="17" t="s">
        <v>283</v>
      </c>
      <c r="C984" s="18">
        <v>152.0</v>
      </c>
      <c r="D984" s="19" t="s">
        <v>2139</v>
      </c>
      <c r="E984" s="20" t="s">
        <v>443</v>
      </c>
      <c r="F984" s="17" t="s">
        <v>974</v>
      </c>
      <c r="G984" s="17" t="s">
        <v>3150</v>
      </c>
      <c r="H984" s="17" t="s">
        <v>3099</v>
      </c>
      <c r="I984" s="17" t="s">
        <v>125</v>
      </c>
      <c r="J984" s="22" t="s">
        <v>144</v>
      </c>
      <c r="K984" s="23" t="s">
        <v>108</v>
      </c>
      <c r="L984" s="24" t="s">
        <v>91</v>
      </c>
      <c r="M984" s="2">
        <v>28.0</v>
      </c>
      <c r="N984" s="25">
        <v>31.0</v>
      </c>
      <c r="O984" s="25"/>
      <c r="P984" s="25"/>
    </row>
    <row r="985">
      <c r="A985" s="16">
        <v>983.0</v>
      </c>
      <c r="B985" s="17" t="s">
        <v>283</v>
      </c>
      <c r="C985" s="18">
        <v>153.0</v>
      </c>
      <c r="D985" s="19" t="s">
        <v>2130</v>
      </c>
      <c r="E985" s="20" t="s">
        <v>443</v>
      </c>
      <c r="F985" s="17" t="s">
        <v>403</v>
      </c>
      <c r="G985" s="17" t="s">
        <v>123</v>
      </c>
      <c r="H985" s="17" t="s">
        <v>3151</v>
      </c>
      <c r="I985" s="17" t="s">
        <v>125</v>
      </c>
      <c r="J985" s="22" t="s">
        <v>144</v>
      </c>
      <c r="K985" s="23" t="s">
        <v>108</v>
      </c>
      <c r="L985" s="24" t="s">
        <v>91</v>
      </c>
      <c r="M985" s="2">
        <v>28.0</v>
      </c>
      <c r="N985" s="25">
        <v>31.0</v>
      </c>
      <c r="O985" s="25"/>
      <c r="P985" s="25"/>
    </row>
    <row r="986">
      <c r="A986" s="16">
        <v>984.0</v>
      </c>
      <c r="B986" s="17" t="s">
        <v>283</v>
      </c>
      <c r="C986" s="18">
        <v>154.0</v>
      </c>
      <c r="D986" s="19" t="s">
        <v>2130</v>
      </c>
      <c r="E986" s="20" t="s">
        <v>443</v>
      </c>
      <c r="F986" s="17" t="s">
        <v>385</v>
      </c>
      <c r="G986" s="17" t="s">
        <v>3154</v>
      </c>
      <c r="H986" s="17" t="s">
        <v>3155</v>
      </c>
      <c r="I986" s="17" t="s">
        <v>125</v>
      </c>
      <c r="J986" s="22" t="s">
        <v>144</v>
      </c>
      <c r="K986" s="23" t="s">
        <v>108</v>
      </c>
      <c r="L986" s="24" t="s">
        <v>91</v>
      </c>
      <c r="M986" s="2">
        <v>28.0</v>
      </c>
      <c r="N986" s="25">
        <v>31.0</v>
      </c>
      <c r="O986" s="25"/>
      <c r="P986" s="25"/>
    </row>
    <row r="987">
      <c r="A987" s="16">
        <v>985.0</v>
      </c>
      <c r="B987" s="17" t="s">
        <v>283</v>
      </c>
      <c r="C987" s="18">
        <v>155.0</v>
      </c>
      <c r="D987" s="19" t="s">
        <v>2130</v>
      </c>
      <c r="E987" s="20" t="s">
        <v>443</v>
      </c>
      <c r="F987" s="17" t="s">
        <v>152</v>
      </c>
      <c r="G987" s="17" t="s">
        <v>3156</v>
      </c>
      <c r="H987" s="17" t="s">
        <v>3157</v>
      </c>
      <c r="I987" s="17" t="s">
        <v>125</v>
      </c>
      <c r="J987" s="22" t="s">
        <v>144</v>
      </c>
      <c r="K987" s="23" t="s">
        <v>108</v>
      </c>
      <c r="L987" s="24" t="s">
        <v>91</v>
      </c>
      <c r="M987" s="2">
        <v>28.0</v>
      </c>
      <c r="N987" s="25">
        <v>31.0</v>
      </c>
      <c r="O987" s="25"/>
      <c r="P987" s="25"/>
    </row>
    <row r="988">
      <c r="A988" s="16">
        <v>986.0</v>
      </c>
      <c r="B988" s="17" t="s">
        <v>283</v>
      </c>
      <c r="C988" s="18">
        <v>156.0</v>
      </c>
      <c r="D988" s="19" t="s">
        <v>2130</v>
      </c>
      <c r="E988" s="20" t="s">
        <v>443</v>
      </c>
      <c r="F988" s="17" t="s">
        <v>988</v>
      </c>
      <c r="G988" s="17" t="s">
        <v>123</v>
      </c>
      <c r="H988" s="17" t="s">
        <v>3160</v>
      </c>
      <c r="I988" s="17" t="s">
        <v>125</v>
      </c>
      <c r="J988" s="22" t="s">
        <v>144</v>
      </c>
      <c r="K988" s="23" t="s">
        <v>108</v>
      </c>
      <c r="L988" s="24" t="s">
        <v>91</v>
      </c>
      <c r="M988" s="2">
        <v>28.0</v>
      </c>
      <c r="N988" s="25">
        <v>31.0</v>
      </c>
      <c r="O988" s="25"/>
      <c r="P988" s="25"/>
    </row>
    <row r="989">
      <c r="A989" s="16">
        <v>987.0</v>
      </c>
      <c r="B989" s="17" t="s">
        <v>494</v>
      </c>
      <c r="C989" s="18">
        <v>1.0</v>
      </c>
      <c r="D989" s="19" t="s">
        <v>2316</v>
      </c>
      <c r="E989" s="20" t="s">
        <v>443</v>
      </c>
      <c r="F989" s="17" t="s">
        <v>92</v>
      </c>
      <c r="G989" s="17" t="s">
        <v>123</v>
      </c>
      <c r="H989" s="17" t="s">
        <v>3161</v>
      </c>
      <c r="I989" s="17" t="s">
        <v>98</v>
      </c>
      <c r="J989" s="22" t="s">
        <v>100</v>
      </c>
      <c r="K989" s="23" t="s">
        <v>108</v>
      </c>
      <c r="L989" s="24" t="s">
        <v>91</v>
      </c>
      <c r="M989" s="2">
        <v>29.0</v>
      </c>
      <c r="N989" s="25">
        <v>10.0</v>
      </c>
      <c r="O989" s="25"/>
      <c r="P989" s="25"/>
    </row>
    <row r="990">
      <c r="A990" s="16">
        <v>988.0</v>
      </c>
      <c r="B990" s="17" t="s">
        <v>494</v>
      </c>
      <c r="C990" s="18">
        <v>2.0</v>
      </c>
      <c r="D990" s="19" t="s">
        <v>2316</v>
      </c>
      <c r="E990" s="20" t="s">
        <v>443</v>
      </c>
      <c r="F990" s="17" t="s">
        <v>1246</v>
      </c>
      <c r="G990" s="17" t="s">
        <v>3164</v>
      </c>
      <c r="H990" s="17" t="s">
        <v>3165</v>
      </c>
      <c r="I990" s="17" t="s">
        <v>125</v>
      </c>
      <c r="J990" s="22" t="s">
        <v>100</v>
      </c>
      <c r="K990" s="23" t="s">
        <v>108</v>
      </c>
      <c r="L990" s="24" t="s">
        <v>91</v>
      </c>
      <c r="M990" s="2">
        <v>29.0</v>
      </c>
      <c r="N990" s="25">
        <v>11.0</v>
      </c>
      <c r="O990" s="25"/>
      <c r="P990" s="25"/>
    </row>
    <row r="991">
      <c r="A991" s="16">
        <v>989.0</v>
      </c>
      <c r="B991" s="17" t="s">
        <v>494</v>
      </c>
      <c r="C991" s="18">
        <v>3.0</v>
      </c>
      <c r="D991" s="19" t="s">
        <v>2316</v>
      </c>
      <c r="E991" s="20" t="s">
        <v>443</v>
      </c>
      <c r="F991" s="17" t="s">
        <v>1247</v>
      </c>
      <c r="G991" s="17" t="s">
        <v>123</v>
      </c>
      <c r="H991" s="17" t="s">
        <v>3166</v>
      </c>
      <c r="I991" s="17" t="s">
        <v>125</v>
      </c>
      <c r="J991" s="22" t="s">
        <v>100</v>
      </c>
      <c r="K991" s="23" t="s">
        <v>108</v>
      </c>
      <c r="L991" s="24" t="s">
        <v>91</v>
      </c>
      <c r="M991" s="2">
        <v>29.0</v>
      </c>
      <c r="N991" s="25">
        <v>11.0</v>
      </c>
      <c r="O991" s="25"/>
      <c r="P991" s="25"/>
    </row>
    <row r="992">
      <c r="A992" s="16">
        <v>990.0</v>
      </c>
      <c r="B992" s="17" t="s">
        <v>494</v>
      </c>
      <c r="C992" s="18">
        <v>4.0</v>
      </c>
      <c r="D992" s="19" t="s">
        <v>2316</v>
      </c>
      <c r="E992" s="20" t="s">
        <v>443</v>
      </c>
      <c r="F992" s="17" t="s">
        <v>985</v>
      </c>
      <c r="G992" s="17" t="s">
        <v>2660</v>
      </c>
      <c r="H992" s="17" t="s">
        <v>3167</v>
      </c>
      <c r="I992" s="17" t="s">
        <v>98</v>
      </c>
      <c r="J992" s="22" t="s">
        <v>135</v>
      </c>
      <c r="K992" s="23" t="s">
        <v>108</v>
      </c>
      <c r="L992" s="24" t="s">
        <v>91</v>
      </c>
      <c r="M992" s="2">
        <v>29.0</v>
      </c>
      <c r="N992" s="25">
        <v>20.0</v>
      </c>
      <c r="O992" s="25"/>
      <c r="P992" s="25"/>
    </row>
    <row r="993">
      <c r="A993" s="16">
        <v>991.0</v>
      </c>
      <c r="B993" s="17" t="s">
        <v>494</v>
      </c>
      <c r="C993" s="18">
        <v>5.0</v>
      </c>
      <c r="D993" s="19" t="s">
        <v>2321</v>
      </c>
      <c r="E993" s="20" t="s">
        <v>443</v>
      </c>
      <c r="F993" s="17" t="s">
        <v>1363</v>
      </c>
      <c r="G993" s="17" t="s">
        <v>3168</v>
      </c>
      <c r="H993" s="17" t="s">
        <v>3170</v>
      </c>
      <c r="I993" s="17" t="s">
        <v>125</v>
      </c>
      <c r="J993" s="22" t="s">
        <v>144</v>
      </c>
      <c r="K993" s="23" t="s">
        <v>108</v>
      </c>
      <c r="L993" s="24" t="s">
        <v>91</v>
      </c>
      <c r="M993" s="2">
        <v>29.0</v>
      </c>
      <c r="N993" s="25">
        <v>31.0</v>
      </c>
      <c r="O993" s="25"/>
      <c r="P993" s="25"/>
    </row>
    <row r="994">
      <c r="A994" s="16">
        <v>992.0</v>
      </c>
      <c r="B994" s="27" t="s">
        <v>494</v>
      </c>
      <c r="C994" s="18">
        <v>6.0</v>
      </c>
      <c r="D994" s="19" t="s">
        <v>2321</v>
      </c>
      <c r="E994" s="20" t="s">
        <v>443</v>
      </c>
      <c r="F994" s="27" t="s">
        <v>871</v>
      </c>
      <c r="G994" s="17" t="s">
        <v>3174</v>
      </c>
      <c r="H994" s="17" t="s">
        <v>3175</v>
      </c>
      <c r="I994" s="17" t="s">
        <v>125</v>
      </c>
      <c r="J994" s="22" t="s">
        <v>144</v>
      </c>
      <c r="K994" s="23" t="s">
        <v>108</v>
      </c>
      <c r="L994" s="24"/>
      <c r="M994" s="2">
        <v>29.0</v>
      </c>
      <c r="N994" s="25">
        <v>31.0</v>
      </c>
      <c r="O994" s="25"/>
      <c r="P994" s="25"/>
    </row>
    <row r="995">
      <c r="A995" s="16">
        <v>993.0</v>
      </c>
      <c r="B995" s="17" t="s">
        <v>494</v>
      </c>
      <c r="C995" s="18">
        <v>7.0</v>
      </c>
      <c r="D995" s="19" t="s">
        <v>2316</v>
      </c>
      <c r="E995" s="20" t="s">
        <v>443</v>
      </c>
      <c r="F995" s="17" t="s">
        <v>10</v>
      </c>
      <c r="G995" s="17" t="s">
        <v>3176</v>
      </c>
      <c r="H995" s="17" t="s">
        <v>3177</v>
      </c>
      <c r="I995" s="17" t="s">
        <v>125</v>
      </c>
      <c r="J995" s="22" t="s">
        <v>144</v>
      </c>
      <c r="K995" s="23" t="s">
        <v>108</v>
      </c>
      <c r="L995" s="24" t="s">
        <v>91</v>
      </c>
      <c r="M995" s="2">
        <v>29.0</v>
      </c>
      <c r="N995" s="25">
        <v>31.0</v>
      </c>
      <c r="O995" s="25"/>
      <c r="P995" s="25"/>
    </row>
    <row r="996">
      <c r="A996" s="16">
        <v>994.0</v>
      </c>
      <c r="B996" s="17" t="s">
        <v>494</v>
      </c>
      <c r="C996" s="18">
        <v>8.0</v>
      </c>
      <c r="D996" s="19" t="s">
        <v>2316</v>
      </c>
      <c r="E996" s="20" t="s">
        <v>443</v>
      </c>
      <c r="F996" s="17" t="s">
        <v>371</v>
      </c>
      <c r="G996" s="17" t="s">
        <v>3178</v>
      </c>
      <c r="H996" s="17" t="s">
        <v>3179</v>
      </c>
      <c r="I996" s="17" t="s">
        <v>125</v>
      </c>
      <c r="J996" s="22" t="s">
        <v>144</v>
      </c>
      <c r="K996" s="23" t="s">
        <v>108</v>
      </c>
      <c r="L996" s="24" t="s">
        <v>91</v>
      </c>
      <c r="M996" s="2">
        <v>29.0</v>
      </c>
      <c r="N996" s="25">
        <v>31.0</v>
      </c>
      <c r="O996" s="25"/>
      <c r="P996" s="25"/>
    </row>
    <row r="997">
      <c r="A997" s="16">
        <v>995.0</v>
      </c>
      <c r="B997" s="17" t="s">
        <v>494</v>
      </c>
      <c r="C997" s="18">
        <v>9.0</v>
      </c>
      <c r="D997" s="19" t="s">
        <v>2316</v>
      </c>
      <c r="E997" s="20" t="s">
        <v>443</v>
      </c>
      <c r="F997" s="17" t="s">
        <v>841</v>
      </c>
      <c r="G997" s="17" t="s">
        <v>3180</v>
      </c>
      <c r="H997" s="17" t="s">
        <v>3181</v>
      </c>
      <c r="I997" s="17" t="s">
        <v>125</v>
      </c>
      <c r="J997" s="22" t="s">
        <v>144</v>
      </c>
      <c r="K997" s="23" t="s">
        <v>108</v>
      </c>
      <c r="L997" s="24" t="s">
        <v>91</v>
      </c>
      <c r="M997" s="2">
        <v>29.0</v>
      </c>
      <c r="N997" s="25">
        <v>31.0</v>
      </c>
      <c r="O997" s="25"/>
      <c r="P997" s="25"/>
    </row>
    <row r="998">
      <c r="A998" s="16">
        <v>996.0</v>
      </c>
      <c r="B998" s="17" t="s">
        <v>494</v>
      </c>
      <c r="C998" s="18">
        <v>10.0</v>
      </c>
      <c r="D998" s="19" t="s">
        <v>2316</v>
      </c>
      <c r="E998" s="20" t="s">
        <v>443</v>
      </c>
      <c r="F998" s="17" t="s">
        <v>510</v>
      </c>
      <c r="G998" s="17" t="s">
        <v>3183</v>
      </c>
      <c r="H998" s="17" t="s">
        <v>3184</v>
      </c>
      <c r="I998" s="17" t="s">
        <v>125</v>
      </c>
      <c r="J998" s="22" t="s">
        <v>144</v>
      </c>
      <c r="K998" s="23" t="s">
        <v>108</v>
      </c>
      <c r="L998" s="24" t="s">
        <v>91</v>
      </c>
      <c r="M998" s="2">
        <v>29.0</v>
      </c>
      <c r="N998" s="25">
        <v>31.0</v>
      </c>
      <c r="O998" s="25"/>
      <c r="P998" s="25"/>
    </row>
    <row r="999">
      <c r="A999" s="16">
        <v>997.0</v>
      </c>
      <c r="B999" s="17" t="s">
        <v>494</v>
      </c>
      <c r="C999" s="18">
        <v>11.0</v>
      </c>
      <c r="D999" s="19" t="s">
        <v>2316</v>
      </c>
      <c r="E999" s="20" t="s">
        <v>443</v>
      </c>
      <c r="F999" s="17" t="s">
        <v>421</v>
      </c>
      <c r="G999" s="17" t="s">
        <v>3185</v>
      </c>
      <c r="H999" s="17" t="s">
        <v>3186</v>
      </c>
      <c r="I999" s="17" t="s">
        <v>125</v>
      </c>
      <c r="J999" s="22" t="s">
        <v>144</v>
      </c>
      <c r="K999" s="23" t="s">
        <v>108</v>
      </c>
      <c r="L999" s="24" t="s">
        <v>91</v>
      </c>
      <c r="M999" s="2">
        <v>29.0</v>
      </c>
      <c r="N999" s="25">
        <v>31.0</v>
      </c>
      <c r="O999" s="25"/>
      <c r="P999" s="25"/>
    </row>
    <row r="1000">
      <c r="A1000" s="16">
        <v>998.0</v>
      </c>
      <c r="B1000" s="17" t="s">
        <v>494</v>
      </c>
      <c r="C1000" s="18">
        <v>12.0</v>
      </c>
      <c r="D1000" s="19" t="s">
        <v>2316</v>
      </c>
      <c r="E1000" s="20" t="s">
        <v>443</v>
      </c>
      <c r="F1000" s="17" t="s">
        <v>982</v>
      </c>
      <c r="G1000" s="17" t="s">
        <v>123</v>
      </c>
      <c r="H1000" s="17" t="s">
        <v>3187</v>
      </c>
      <c r="I1000" s="17" t="s">
        <v>125</v>
      </c>
      <c r="J1000" s="22" t="s">
        <v>144</v>
      </c>
      <c r="K1000" s="23" t="s">
        <v>108</v>
      </c>
      <c r="L1000" s="24" t="s">
        <v>91</v>
      </c>
      <c r="M1000" s="2">
        <v>29.0</v>
      </c>
      <c r="N1000" s="25">
        <v>31.0</v>
      </c>
      <c r="O1000" s="25"/>
      <c r="P1000" s="25"/>
    </row>
    <row r="1001">
      <c r="A1001" s="16">
        <v>999.0</v>
      </c>
      <c r="B1001" s="17" t="s">
        <v>494</v>
      </c>
      <c r="C1001" s="18">
        <v>13.0</v>
      </c>
      <c r="D1001" s="19" t="s">
        <v>2316</v>
      </c>
      <c r="E1001" s="20" t="s">
        <v>443</v>
      </c>
      <c r="F1001" s="17" t="s">
        <v>849</v>
      </c>
      <c r="G1001" s="17" t="s">
        <v>123</v>
      </c>
      <c r="H1001" s="17" t="s">
        <v>3190</v>
      </c>
      <c r="I1001" s="17" t="s">
        <v>125</v>
      </c>
      <c r="J1001" s="22" t="s">
        <v>144</v>
      </c>
      <c r="K1001" s="23" t="s">
        <v>108</v>
      </c>
      <c r="L1001" s="24" t="s">
        <v>91</v>
      </c>
      <c r="M1001" s="2">
        <v>29.0</v>
      </c>
      <c r="N1001" s="25">
        <v>31.0</v>
      </c>
      <c r="O1001" s="25"/>
      <c r="P1001" s="25"/>
    </row>
    <row r="1002">
      <c r="A1002" s="16">
        <v>1000.0</v>
      </c>
      <c r="B1002" s="17" t="s">
        <v>494</v>
      </c>
      <c r="C1002" s="18">
        <v>14.0</v>
      </c>
      <c r="D1002" s="19" t="s">
        <v>2316</v>
      </c>
      <c r="E1002" s="20" t="s">
        <v>443</v>
      </c>
      <c r="F1002" s="17" t="s">
        <v>1080</v>
      </c>
      <c r="G1002" s="17" t="s">
        <v>3192</v>
      </c>
      <c r="H1002" s="17" t="s">
        <v>3193</v>
      </c>
      <c r="I1002" s="17" t="s">
        <v>125</v>
      </c>
      <c r="J1002" s="22" t="s">
        <v>144</v>
      </c>
      <c r="K1002" s="23" t="s">
        <v>108</v>
      </c>
      <c r="L1002" s="24" t="s">
        <v>91</v>
      </c>
      <c r="M1002" s="2">
        <v>29.0</v>
      </c>
      <c r="N1002" s="25">
        <v>31.0</v>
      </c>
      <c r="O1002" s="25"/>
      <c r="P1002" s="25"/>
    </row>
    <row r="1003">
      <c r="A1003" s="16">
        <v>1001.0</v>
      </c>
      <c r="B1003" s="17" t="s">
        <v>494</v>
      </c>
      <c r="C1003" s="18">
        <v>15.0</v>
      </c>
      <c r="D1003" s="19" t="s">
        <v>2316</v>
      </c>
      <c r="E1003" s="20" t="s">
        <v>443</v>
      </c>
      <c r="F1003" s="17" t="s">
        <v>1081</v>
      </c>
      <c r="G1003" s="17" t="s">
        <v>123</v>
      </c>
      <c r="H1003" s="17" t="s">
        <v>3195</v>
      </c>
      <c r="I1003" s="17" t="s">
        <v>125</v>
      </c>
      <c r="J1003" s="22" t="s">
        <v>144</v>
      </c>
      <c r="K1003" s="23" t="s">
        <v>108</v>
      </c>
      <c r="L1003" s="24" t="s">
        <v>91</v>
      </c>
      <c r="M1003" s="2">
        <v>29.0</v>
      </c>
      <c r="N1003" s="25">
        <v>31.0</v>
      </c>
      <c r="O1003" s="25"/>
      <c r="P1003" s="25"/>
    </row>
    <row r="1004">
      <c r="A1004" s="16">
        <v>1002.0</v>
      </c>
      <c r="B1004" s="17" t="s">
        <v>494</v>
      </c>
      <c r="C1004" s="18">
        <v>16.0</v>
      </c>
      <c r="D1004" s="19" t="s">
        <v>2316</v>
      </c>
      <c r="E1004" s="20" t="s">
        <v>443</v>
      </c>
      <c r="F1004" s="17" t="s">
        <v>1084</v>
      </c>
      <c r="G1004" s="17" t="s">
        <v>3196</v>
      </c>
      <c r="H1004" s="17" t="s">
        <v>3197</v>
      </c>
      <c r="I1004" s="17" t="s">
        <v>125</v>
      </c>
      <c r="J1004" s="22" t="s">
        <v>144</v>
      </c>
      <c r="K1004" s="23" t="s">
        <v>108</v>
      </c>
      <c r="L1004" s="24" t="s">
        <v>91</v>
      </c>
      <c r="M1004" s="2">
        <v>29.0</v>
      </c>
      <c r="N1004" s="25">
        <v>31.0</v>
      </c>
      <c r="O1004" s="25"/>
      <c r="P1004" s="25"/>
    </row>
    <row r="1005">
      <c r="A1005" s="16">
        <v>1003.0</v>
      </c>
      <c r="B1005" s="17" t="s">
        <v>494</v>
      </c>
      <c r="C1005" s="18">
        <v>17.0</v>
      </c>
      <c r="D1005" s="19" t="s">
        <v>2316</v>
      </c>
      <c r="E1005" s="20" t="s">
        <v>443</v>
      </c>
      <c r="F1005" s="17" t="s">
        <v>1079</v>
      </c>
      <c r="G1005" s="17" t="s">
        <v>3198</v>
      </c>
      <c r="H1005" s="17" t="s">
        <v>3199</v>
      </c>
      <c r="I1005" s="17" t="s">
        <v>125</v>
      </c>
      <c r="J1005" s="22" t="s">
        <v>144</v>
      </c>
      <c r="K1005" s="23" t="s">
        <v>108</v>
      </c>
      <c r="L1005" s="24" t="s">
        <v>91</v>
      </c>
      <c r="M1005" s="2">
        <v>29.0</v>
      </c>
      <c r="N1005" s="25">
        <v>31.0</v>
      </c>
      <c r="O1005" s="25"/>
      <c r="P1005" s="25"/>
    </row>
    <row r="1006">
      <c r="A1006" s="16">
        <v>1004.0</v>
      </c>
      <c r="B1006" s="17" t="s">
        <v>494</v>
      </c>
      <c r="C1006" s="18">
        <v>18.0</v>
      </c>
      <c r="D1006" s="19" t="s">
        <v>2316</v>
      </c>
      <c r="E1006" s="20" t="s">
        <v>443</v>
      </c>
      <c r="F1006" s="17" t="s">
        <v>1364</v>
      </c>
      <c r="G1006" s="17" t="s">
        <v>123</v>
      </c>
      <c r="H1006" s="17" t="s">
        <v>3200</v>
      </c>
      <c r="I1006" s="17" t="s">
        <v>125</v>
      </c>
      <c r="J1006" s="22" t="s">
        <v>144</v>
      </c>
      <c r="K1006" s="23" t="s">
        <v>108</v>
      </c>
      <c r="L1006" s="24" t="s">
        <v>91</v>
      </c>
      <c r="M1006" s="2">
        <v>29.0</v>
      </c>
      <c r="N1006" s="25">
        <v>31.0</v>
      </c>
      <c r="O1006" s="25"/>
      <c r="P1006" s="25"/>
    </row>
    <row r="1007">
      <c r="A1007" s="16">
        <v>1005.0</v>
      </c>
      <c r="B1007" s="17" t="s">
        <v>494</v>
      </c>
      <c r="C1007" s="18">
        <v>19.0</v>
      </c>
      <c r="D1007" s="19" t="s">
        <v>2316</v>
      </c>
      <c r="E1007" s="20" t="s">
        <v>443</v>
      </c>
      <c r="F1007" s="17" t="s">
        <v>885</v>
      </c>
      <c r="G1007" s="17" t="s">
        <v>3202</v>
      </c>
      <c r="H1007" s="17" t="s">
        <v>3203</v>
      </c>
      <c r="I1007" s="17" t="s">
        <v>125</v>
      </c>
      <c r="J1007" s="22" t="s">
        <v>144</v>
      </c>
      <c r="K1007" s="23" t="s">
        <v>108</v>
      </c>
      <c r="L1007" s="24" t="s">
        <v>91</v>
      </c>
      <c r="M1007" s="2">
        <v>29.0</v>
      </c>
      <c r="N1007" s="25">
        <v>31.0</v>
      </c>
      <c r="O1007" s="25"/>
      <c r="P1007" s="25"/>
    </row>
    <row r="1008">
      <c r="A1008" s="16">
        <v>1006.0</v>
      </c>
      <c r="B1008" s="17" t="s">
        <v>494</v>
      </c>
      <c r="C1008" s="18">
        <v>20.0</v>
      </c>
      <c r="D1008" s="19" t="s">
        <v>2316</v>
      </c>
      <c r="E1008" s="20" t="s">
        <v>443</v>
      </c>
      <c r="F1008" s="17" t="s">
        <v>280</v>
      </c>
      <c r="G1008" s="17" t="s">
        <v>3204</v>
      </c>
      <c r="H1008" s="17" t="s">
        <v>3205</v>
      </c>
      <c r="I1008" s="17" t="s">
        <v>125</v>
      </c>
      <c r="J1008" s="22" t="s">
        <v>144</v>
      </c>
      <c r="K1008" s="23" t="s">
        <v>108</v>
      </c>
      <c r="L1008" s="24" t="s">
        <v>91</v>
      </c>
      <c r="M1008" s="2">
        <v>29.0</v>
      </c>
      <c r="N1008" s="25">
        <v>31.0</v>
      </c>
      <c r="O1008" s="25"/>
      <c r="P1008" s="25"/>
    </row>
    <row r="1009">
      <c r="A1009" s="16">
        <v>1007.0</v>
      </c>
      <c r="B1009" s="17" t="s">
        <v>494</v>
      </c>
      <c r="C1009" s="18">
        <v>21.0</v>
      </c>
      <c r="D1009" s="19" t="s">
        <v>2316</v>
      </c>
      <c r="E1009" s="20" t="s">
        <v>443</v>
      </c>
      <c r="F1009" s="17" t="s">
        <v>1028</v>
      </c>
      <c r="G1009" s="17" t="s">
        <v>3206</v>
      </c>
      <c r="H1009" s="17" t="s">
        <v>3207</v>
      </c>
      <c r="I1009" s="17" t="s">
        <v>125</v>
      </c>
      <c r="J1009" s="22" t="s">
        <v>144</v>
      </c>
      <c r="K1009" s="23" t="s">
        <v>108</v>
      </c>
      <c r="L1009" s="24" t="s">
        <v>91</v>
      </c>
      <c r="M1009" s="2">
        <v>29.0</v>
      </c>
      <c r="N1009" s="25">
        <v>31.0</v>
      </c>
      <c r="O1009" s="25"/>
      <c r="P1009" s="25"/>
    </row>
    <row r="1010">
      <c r="A1010" s="16">
        <v>1008.0</v>
      </c>
      <c r="B1010" s="17" t="s">
        <v>494</v>
      </c>
      <c r="C1010" s="18">
        <v>22.0</v>
      </c>
      <c r="D1010" s="19" t="s">
        <v>2316</v>
      </c>
      <c r="E1010" s="20" t="s">
        <v>443</v>
      </c>
      <c r="F1010" s="17" t="s">
        <v>120</v>
      </c>
      <c r="G1010" s="17" t="s">
        <v>3209</v>
      </c>
      <c r="H1010" s="17" t="s">
        <v>3210</v>
      </c>
      <c r="I1010" s="17" t="s">
        <v>125</v>
      </c>
      <c r="J1010" s="22" t="s">
        <v>144</v>
      </c>
      <c r="K1010" s="23" t="s">
        <v>108</v>
      </c>
      <c r="L1010" s="24" t="s">
        <v>91</v>
      </c>
      <c r="M1010" s="2">
        <v>29.0</v>
      </c>
      <c r="N1010" s="25">
        <v>31.0</v>
      </c>
      <c r="O1010" s="25"/>
      <c r="P1010" s="25"/>
    </row>
    <row r="1011">
      <c r="A1011" s="16">
        <v>1009.0</v>
      </c>
      <c r="B1011" s="17" t="s">
        <v>494</v>
      </c>
      <c r="C1011" s="18">
        <v>23.0</v>
      </c>
      <c r="D1011" s="19" t="s">
        <v>2316</v>
      </c>
      <c r="E1011" s="20" t="s">
        <v>443</v>
      </c>
      <c r="F1011" s="17" t="s">
        <v>527</v>
      </c>
      <c r="G1011" s="17" t="s">
        <v>3211</v>
      </c>
      <c r="H1011" s="17" t="s">
        <v>3212</v>
      </c>
      <c r="I1011" s="17" t="s">
        <v>125</v>
      </c>
      <c r="J1011" s="22" t="s">
        <v>144</v>
      </c>
      <c r="K1011" s="23" t="s">
        <v>108</v>
      </c>
      <c r="L1011" s="24" t="s">
        <v>91</v>
      </c>
      <c r="M1011" s="2">
        <v>29.0</v>
      </c>
      <c r="N1011" s="25">
        <v>31.0</v>
      </c>
      <c r="O1011" s="25"/>
      <c r="P1011" s="25"/>
    </row>
    <row r="1012">
      <c r="A1012" s="16">
        <v>1010.0</v>
      </c>
      <c r="B1012" s="17" t="s">
        <v>494</v>
      </c>
      <c r="C1012" s="18">
        <v>24.0</v>
      </c>
      <c r="D1012" s="19" t="s">
        <v>2316</v>
      </c>
      <c r="E1012" s="20" t="s">
        <v>443</v>
      </c>
      <c r="F1012" s="17" t="s">
        <v>1365</v>
      </c>
      <c r="G1012" s="17" t="s">
        <v>3213</v>
      </c>
      <c r="H1012" s="17" t="s">
        <v>3214</v>
      </c>
      <c r="I1012" s="17" t="s">
        <v>125</v>
      </c>
      <c r="J1012" s="22" t="s">
        <v>144</v>
      </c>
      <c r="K1012" s="23" t="s">
        <v>108</v>
      </c>
      <c r="L1012" s="24" t="s">
        <v>91</v>
      </c>
      <c r="M1012" s="2">
        <v>29.0</v>
      </c>
      <c r="N1012" s="25">
        <v>31.0</v>
      </c>
      <c r="O1012" s="25"/>
      <c r="P1012" s="25"/>
    </row>
    <row r="1013">
      <c r="A1013" s="16">
        <v>1011.0</v>
      </c>
      <c r="B1013" s="17" t="s">
        <v>494</v>
      </c>
      <c r="C1013" s="18">
        <v>25.0</v>
      </c>
      <c r="D1013" s="19" t="s">
        <v>2316</v>
      </c>
      <c r="E1013" s="20" t="s">
        <v>443</v>
      </c>
      <c r="F1013" s="17" t="s">
        <v>475</v>
      </c>
      <c r="G1013" s="17" t="s">
        <v>3215</v>
      </c>
      <c r="H1013" s="17" t="s">
        <v>3216</v>
      </c>
      <c r="I1013" s="17" t="s">
        <v>125</v>
      </c>
      <c r="J1013" s="22" t="s">
        <v>144</v>
      </c>
      <c r="K1013" s="23" t="s">
        <v>108</v>
      </c>
      <c r="L1013" s="24" t="s">
        <v>91</v>
      </c>
      <c r="M1013" s="2">
        <v>29.0</v>
      </c>
      <c r="N1013" s="25">
        <v>31.0</v>
      </c>
      <c r="O1013" s="25"/>
      <c r="P1013" s="25"/>
    </row>
    <row r="1014">
      <c r="A1014" s="16">
        <v>1012.0</v>
      </c>
      <c r="B1014" s="17" t="s">
        <v>494</v>
      </c>
      <c r="C1014" s="18">
        <v>26.0</v>
      </c>
      <c r="D1014" s="19" t="s">
        <v>2316</v>
      </c>
      <c r="E1014" s="20" t="s">
        <v>443</v>
      </c>
      <c r="F1014" s="17" t="s">
        <v>1116</v>
      </c>
      <c r="G1014" s="17" t="s">
        <v>3217</v>
      </c>
      <c r="H1014" s="17" t="s">
        <v>3218</v>
      </c>
      <c r="I1014" s="17" t="s">
        <v>125</v>
      </c>
      <c r="J1014" s="22" t="s">
        <v>144</v>
      </c>
      <c r="K1014" s="23" t="s">
        <v>108</v>
      </c>
      <c r="L1014" s="24" t="s">
        <v>91</v>
      </c>
      <c r="M1014" s="2">
        <v>29.0</v>
      </c>
      <c r="N1014" s="25">
        <v>31.0</v>
      </c>
      <c r="O1014" s="25"/>
      <c r="P1014" s="25"/>
    </row>
    <row r="1015">
      <c r="A1015" s="16">
        <v>1013.0</v>
      </c>
      <c r="B1015" s="17" t="s">
        <v>494</v>
      </c>
      <c r="C1015" s="18">
        <v>27.0</v>
      </c>
      <c r="D1015" s="19" t="s">
        <v>2316</v>
      </c>
      <c r="E1015" s="20" t="s">
        <v>443</v>
      </c>
      <c r="F1015" s="17" t="s">
        <v>447</v>
      </c>
      <c r="G1015" s="17" t="s">
        <v>3220</v>
      </c>
      <c r="H1015" s="17" t="s">
        <v>3221</v>
      </c>
      <c r="I1015" s="17" t="s">
        <v>125</v>
      </c>
      <c r="J1015" s="22" t="s">
        <v>144</v>
      </c>
      <c r="K1015" s="23" t="s">
        <v>108</v>
      </c>
      <c r="L1015" s="24" t="s">
        <v>91</v>
      </c>
      <c r="M1015" s="2">
        <v>29.0</v>
      </c>
      <c r="N1015" s="25">
        <v>31.0</v>
      </c>
      <c r="O1015" s="25"/>
      <c r="P1015" s="25"/>
    </row>
    <row r="1016">
      <c r="A1016" s="16">
        <v>1014.0</v>
      </c>
      <c r="B1016" s="17" t="s">
        <v>494</v>
      </c>
      <c r="C1016" s="18">
        <v>28.0</v>
      </c>
      <c r="D1016" s="19" t="s">
        <v>2316</v>
      </c>
      <c r="E1016" s="20" t="s">
        <v>443</v>
      </c>
      <c r="F1016" s="17" t="s">
        <v>1110</v>
      </c>
      <c r="G1016" s="17" t="s">
        <v>3222</v>
      </c>
      <c r="H1016" s="17" t="s">
        <v>3223</v>
      </c>
      <c r="I1016" s="17" t="s">
        <v>125</v>
      </c>
      <c r="J1016" s="22" t="s">
        <v>144</v>
      </c>
      <c r="K1016" s="23" t="s">
        <v>108</v>
      </c>
      <c r="L1016" s="24" t="s">
        <v>91</v>
      </c>
      <c r="M1016" s="2">
        <v>29.0</v>
      </c>
      <c r="N1016" s="25">
        <v>31.0</v>
      </c>
      <c r="O1016" s="25"/>
      <c r="P1016" s="25"/>
    </row>
    <row r="1017">
      <c r="A1017" s="16">
        <v>1015.0</v>
      </c>
      <c r="B1017" s="17" t="s">
        <v>494</v>
      </c>
      <c r="C1017" s="18">
        <v>29.0</v>
      </c>
      <c r="D1017" s="19" t="s">
        <v>2316</v>
      </c>
      <c r="E1017" s="20" t="s">
        <v>443</v>
      </c>
      <c r="F1017" s="17" t="s">
        <v>1366</v>
      </c>
      <c r="G1017" s="17" t="s">
        <v>3226</v>
      </c>
      <c r="H1017" s="17" t="s">
        <v>3227</v>
      </c>
      <c r="I1017" s="17" t="s">
        <v>125</v>
      </c>
      <c r="J1017" s="22" t="s">
        <v>144</v>
      </c>
      <c r="K1017" s="23" t="s">
        <v>108</v>
      </c>
      <c r="L1017" s="24" t="s">
        <v>91</v>
      </c>
      <c r="M1017" s="2">
        <v>29.0</v>
      </c>
      <c r="N1017" s="25">
        <v>31.0</v>
      </c>
      <c r="O1017" s="25"/>
      <c r="P1017" s="25"/>
    </row>
    <row r="1018">
      <c r="A1018" s="16">
        <v>1016.0</v>
      </c>
      <c r="B1018" s="17" t="s">
        <v>494</v>
      </c>
      <c r="C1018" s="18">
        <v>30.0</v>
      </c>
      <c r="D1018" s="19" t="s">
        <v>2316</v>
      </c>
      <c r="E1018" s="20" t="s">
        <v>443</v>
      </c>
      <c r="F1018" s="17" t="s">
        <v>1367</v>
      </c>
      <c r="G1018" s="17" t="s">
        <v>3228</v>
      </c>
      <c r="H1018" s="17" t="s">
        <v>3229</v>
      </c>
      <c r="I1018" s="17" t="s">
        <v>125</v>
      </c>
      <c r="J1018" s="22" t="s">
        <v>144</v>
      </c>
      <c r="K1018" s="23" t="s">
        <v>108</v>
      </c>
      <c r="L1018" s="24" t="s">
        <v>91</v>
      </c>
      <c r="M1018" s="2">
        <v>29.0</v>
      </c>
      <c r="N1018" s="25">
        <v>31.0</v>
      </c>
      <c r="O1018" s="25"/>
      <c r="P1018" s="25"/>
    </row>
    <row r="1019">
      <c r="A1019" s="16">
        <v>1017.0</v>
      </c>
      <c r="B1019" s="17" t="s">
        <v>494</v>
      </c>
      <c r="C1019" s="18">
        <v>31.0</v>
      </c>
      <c r="D1019" s="19" t="s">
        <v>2316</v>
      </c>
      <c r="E1019" s="20" t="s">
        <v>443</v>
      </c>
      <c r="F1019" s="17" t="s">
        <v>1091</v>
      </c>
      <c r="G1019" s="17" t="s">
        <v>2607</v>
      </c>
      <c r="H1019" s="17" t="s">
        <v>3230</v>
      </c>
      <c r="I1019" s="17" t="s">
        <v>125</v>
      </c>
      <c r="J1019" s="22" t="s">
        <v>144</v>
      </c>
      <c r="K1019" s="23" t="s">
        <v>108</v>
      </c>
      <c r="L1019" s="24" t="s">
        <v>91</v>
      </c>
      <c r="M1019" s="2">
        <v>29.0</v>
      </c>
      <c r="N1019" s="25">
        <v>31.0</v>
      </c>
      <c r="O1019" s="25"/>
      <c r="P1019" s="25"/>
    </row>
    <row r="1020">
      <c r="A1020" s="16">
        <v>1018.0</v>
      </c>
      <c r="B1020" s="17" t="s">
        <v>494</v>
      </c>
      <c r="C1020" s="18">
        <v>32.0</v>
      </c>
      <c r="D1020" s="19" t="s">
        <v>2316</v>
      </c>
      <c r="E1020" s="20" t="s">
        <v>443</v>
      </c>
      <c r="F1020" s="17" t="s">
        <v>869</v>
      </c>
      <c r="G1020" s="17" t="s">
        <v>123</v>
      </c>
      <c r="H1020" s="17" t="s">
        <v>3233</v>
      </c>
      <c r="I1020" s="17" t="s">
        <v>125</v>
      </c>
      <c r="J1020" s="22" t="s">
        <v>144</v>
      </c>
      <c r="K1020" s="23" t="s">
        <v>108</v>
      </c>
      <c r="L1020" s="24" t="s">
        <v>91</v>
      </c>
      <c r="M1020" s="2">
        <v>29.0</v>
      </c>
      <c r="N1020" s="25">
        <v>31.0</v>
      </c>
      <c r="O1020" s="25"/>
      <c r="P1020" s="25"/>
    </row>
    <row r="1021">
      <c r="A1021" s="16">
        <v>1019.0</v>
      </c>
      <c r="B1021" s="17" t="s">
        <v>494</v>
      </c>
      <c r="C1021" s="18">
        <v>33.0</v>
      </c>
      <c r="D1021" s="19" t="s">
        <v>2316</v>
      </c>
      <c r="E1021" s="20" t="s">
        <v>443</v>
      </c>
      <c r="F1021" s="17" t="s">
        <v>1228</v>
      </c>
      <c r="G1021" s="17" t="s">
        <v>2889</v>
      </c>
      <c r="H1021" s="17" t="s">
        <v>3234</v>
      </c>
      <c r="I1021" s="17" t="s">
        <v>125</v>
      </c>
      <c r="J1021" s="22" t="s">
        <v>144</v>
      </c>
      <c r="K1021" s="23" t="s">
        <v>108</v>
      </c>
      <c r="L1021" s="24" t="s">
        <v>91</v>
      </c>
      <c r="M1021" s="2">
        <v>29.0</v>
      </c>
      <c r="N1021" s="25">
        <v>31.0</v>
      </c>
      <c r="O1021" s="25"/>
      <c r="P1021" s="25"/>
    </row>
    <row r="1022">
      <c r="A1022" s="16">
        <v>1020.0</v>
      </c>
      <c r="B1022" s="17" t="s">
        <v>494</v>
      </c>
      <c r="C1022" s="18">
        <v>34.0</v>
      </c>
      <c r="D1022" s="19" t="s">
        <v>2316</v>
      </c>
      <c r="E1022" s="20" t="s">
        <v>443</v>
      </c>
      <c r="F1022" s="17" t="s">
        <v>868</v>
      </c>
      <c r="G1022" s="17" t="s">
        <v>123</v>
      </c>
      <c r="H1022" s="17" t="s">
        <v>3236</v>
      </c>
      <c r="I1022" s="17" t="s">
        <v>125</v>
      </c>
      <c r="J1022" s="22" t="s">
        <v>144</v>
      </c>
      <c r="K1022" s="23" t="s">
        <v>108</v>
      </c>
      <c r="L1022" s="24" t="s">
        <v>91</v>
      </c>
      <c r="M1022" s="2">
        <v>29.0</v>
      </c>
      <c r="N1022" s="25">
        <v>31.0</v>
      </c>
      <c r="O1022" s="25"/>
      <c r="P1022" s="25"/>
    </row>
    <row r="1023">
      <c r="A1023" s="16">
        <v>1021.0</v>
      </c>
      <c r="B1023" s="17" t="s">
        <v>494</v>
      </c>
      <c r="C1023" s="18">
        <v>35.0</v>
      </c>
      <c r="D1023" s="19" t="s">
        <v>2316</v>
      </c>
      <c r="E1023" s="20" t="s">
        <v>443</v>
      </c>
      <c r="F1023" s="17" t="s">
        <v>668</v>
      </c>
      <c r="G1023" s="17" t="s">
        <v>3237</v>
      </c>
      <c r="H1023" s="17" t="s">
        <v>3238</v>
      </c>
      <c r="I1023" s="17" t="s">
        <v>125</v>
      </c>
      <c r="J1023" s="22" t="s">
        <v>144</v>
      </c>
      <c r="K1023" s="23" t="s">
        <v>108</v>
      </c>
      <c r="L1023" s="24" t="s">
        <v>91</v>
      </c>
      <c r="M1023" s="2">
        <v>29.0</v>
      </c>
      <c r="N1023" s="25">
        <v>31.0</v>
      </c>
      <c r="O1023" s="25"/>
      <c r="P1023" s="25"/>
    </row>
    <row r="1024">
      <c r="A1024" s="16">
        <v>1022.0</v>
      </c>
      <c r="B1024" s="17" t="s">
        <v>494</v>
      </c>
      <c r="C1024" s="18">
        <v>36.0</v>
      </c>
      <c r="D1024" s="19" t="s">
        <v>2316</v>
      </c>
      <c r="E1024" s="20" t="s">
        <v>443</v>
      </c>
      <c r="F1024" s="17" t="s">
        <v>996</v>
      </c>
      <c r="G1024" s="17" t="s">
        <v>3240</v>
      </c>
      <c r="H1024" s="17" t="s">
        <v>3241</v>
      </c>
      <c r="I1024" s="17" t="s">
        <v>125</v>
      </c>
      <c r="J1024" s="22" t="s">
        <v>144</v>
      </c>
      <c r="K1024" s="23" t="s">
        <v>108</v>
      </c>
      <c r="L1024" s="24" t="s">
        <v>91</v>
      </c>
      <c r="M1024" s="2">
        <v>29.0</v>
      </c>
      <c r="N1024" s="25">
        <v>31.0</v>
      </c>
      <c r="O1024" s="25"/>
      <c r="P1024" s="25"/>
    </row>
    <row r="1025">
      <c r="A1025" s="16">
        <v>1023.0</v>
      </c>
      <c r="B1025" s="17" t="s">
        <v>494</v>
      </c>
      <c r="C1025" s="18">
        <v>37.0</v>
      </c>
      <c r="D1025" s="19" t="s">
        <v>2316</v>
      </c>
      <c r="E1025" s="20" t="s">
        <v>443</v>
      </c>
      <c r="F1025" s="17" t="s">
        <v>1117</v>
      </c>
      <c r="G1025" s="17" t="s">
        <v>2040</v>
      </c>
      <c r="H1025" s="17" t="s">
        <v>3242</v>
      </c>
      <c r="I1025" s="17" t="s">
        <v>125</v>
      </c>
      <c r="J1025" s="22" t="s">
        <v>144</v>
      </c>
      <c r="K1025" s="23" t="s">
        <v>108</v>
      </c>
      <c r="L1025" s="24" t="s">
        <v>91</v>
      </c>
      <c r="M1025" s="2">
        <v>29.0</v>
      </c>
      <c r="N1025" s="25">
        <v>31.0</v>
      </c>
      <c r="O1025" s="25"/>
      <c r="P1025" s="25"/>
    </row>
    <row r="1026">
      <c r="A1026" s="16">
        <v>1024.0</v>
      </c>
      <c r="B1026" s="17" t="s">
        <v>494</v>
      </c>
      <c r="C1026" s="18">
        <v>38.0</v>
      </c>
      <c r="D1026" s="19" t="s">
        <v>2316</v>
      </c>
      <c r="E1026" s="20" t="s">
        <v>443</v>
      </c>
      <c r="F1026" s="17" t="s">
        <v>886</v>
      </c>
      <c r="G1026" s="17" t="s">
        <v>3243</v>
      </c>
      <c r="H1026" s="17" t="s">
        <v>3244</v>
      </c>
      <c r="I1026" s="17" t="s">
        <v>125</v>
      </c>
      <c r="J1026" s="22" t="s">
        <v>144</v>
      </c>
      <c r="K1026" s="23" t="s">
        <v>108</v>
      </c>
      <c r="L1026" s="24" t="s">
        <v>91</v>
      </c>
      <c r="M1026" s="2">
        <v>29.0</v>
      </c>
      <c r="N1026" s="25">
        <v>31.0</v>
      </c>
      <c r="O1026" s="25"/>
      <c r="P1026" s="25"/>
    </row>
    <row r="1027">
      <c r="A1027" s="16">
        <v>1025.0</v>
      </c>
      <c r="B1027" s="17" t="s">
        <v>494</v>
      </c>
      <c r="C1027" s="18">
        <v>39.0</v>
      </c>
      <c r="D1027" s="19" t="s">
        <v>2316</v>
      </c>
      <c r="E1027" s="20" t="s">
        <v>443</v>
      </c>
      <c r="F1027" s="17" t="s">
        <v>685</v>
      </c>
      <c r="G1027" s="17" t="s">
        <v>2301</v>
      </c>
      <c r="H1027" s="17" t="s">
        <v>3246</v>
      </c>
      <c r="I1027" s="17" t="s">
        <v>125</v>
      </c>
      <c r="J1027" s="22" t="s">
        <v>144</v>
      </c>
      <c r="K1027" s="23" t="s">
        <v>108</v>
      </c>
      <c r="L1027" s="24" t="s">
        <v>91</v>
      </c>
      <c r="M1027" s="2">
        <v>29.0</v>
      </c>
      <c r="N1027" s="25">
        <v>31.0</v>
      </c>
      <c r="O1027" s="25"/>
      <c r="P1027" s="25"/>
    </row>
    <row r="1028">
      <c r="A1028" s="16">
        <v>1026.0</v>
      </c>
      <c r="B1028" s="17" t="s">
        <v>494</v>
      </c>
      <c r="C1028" s="18">
        <v>40.0</v>
      </c>
      <c r="D1028" s="19" t="s">
        <v>2316</v>
      </c>
      <c r="E1028" s="20" t="s">
        <v>443</v>
      </c>
      <c r="F1028" s="17" t="s">
        <v>76</v>
      </c>
      <c r="G1028" s="17" t="s">
        <v>3247</v>
      </c>
      <c r="H1028" s="17" t="s">
        <v>3248</v>
      </c>
      <c r="I1028" s="17" t="s">
        <v>125</v>
      </c>
      <c r="J1028" s="22" t="s">
        <v>144</v>
      </c>
      <c r="K1028" s="23" t="s">
        <v>108</v>
      </c>
      <c r="L1028" s="24" t="s">
        <v>91</v>
      </c>
      <c r="M1028" s="2">
        <v>29.0</v>
      </c>
      <c r="N1028" s="25">
        <v>31.0</v>
      </c>
      <c r="O1028" s="25"/>
      <c r="P1028" s="25"/>
    </row>
    <row r="1029">
      <c r="A1029" s="16">
        <v>1027.0</v>
      </c>
      <c r="B1029" s="17" t="s">
        <v>494</v>
      </c>
      <c r="C1029" s="18">
        <v>41.0</v>
      </c>
      <c r="D1029" s="19" t="s">
        <v>2316</v>
      </c>
      <c r="E1029" s="20" t="s">
        <v>443</v>
      </c>
      <c r="F1029" s="17" t="s">
        <v>725</v>
      </c>
      <c r="G1029" s="17" t="s">
        <v>3249</v>
      </c>
      <c r="H1029" s="17" t="s">
        <v>3250</v>
      </c>
      <c r="I1029" s="17" t="s">
        <v>125</v>
      </c>
      <c r="J1029" s="22" t="s">
        <v>144</v>
      </c>
      <c r="K1029" s="23" t="s">
        <v>108</v>
      </c>
      <c r="L1029" s="24" t="s">
        <v>91</v>
      </c>
      <c r="M1029" s="2">
        <v>29.0</v>
      </c>
      <c r="N1029" s="25">
        <v>31.0</v>
      </c>
      <c r="O1029" s="25"/>
      <c r="P1029" s="25"/>
    </row>
    <row r="1030">
      <c r="A1030" s="16">
        <v>1028.0</v>
      </c>
      <c r="B1030" s="27" t="s">
        <v>494</v>
      </c>
      <c r="C1030" s="18">
        <v>42.0</v>
      </c>
      <c r="D1030" s="19" t="s">
        <v>2316</v>
      </c>
      <c r="E1030" s="20" t="s">
        <v>443</v>
      </c>
      <c r="F1030" s="27" t="s">
        <v>1278</v>
      </c>
      <c r="G1030" s="17" t="s">
        <v>3254</v>
      </c>
      <c r="H1030" s="17" t="s">
        <v>3256</v>
      </c>
      <c r="I1030" s="17" t="s">
        <v>125</v>
      </c>
      <c r="J1030" s="22" t="s">
        <v>144</v>
      </c>
      <c r="K1030" s="23" t="s">
        <v>108</v>
      </c>
      <c r="L1030" s="24"/>
      <c r="M1030" s="2">
        <v>29.0</v>
      </c>
      <c r="N1030" s="25">
        <v>31.0</v>
      </c>
      <c r="O1030" s="25"/>
      <c r="P1030" s="25"/>
    </row>
    <row r="1031">
      <c r="A1031" s="16">
        <v>1029.0</v>
      </c>
      <c r="B1031" s="27" t="s">
        <v>494</v>
      </c>
      <c r="C1031" s="18">
        <v>43.0</v>
      </c>
      <c r="D1031" s="19" t="s">
        <v>2316</v>
      </c>
      <c r="E1031" s="20" t="s">
        <v>443</v>
      </c>
      <c r="F1031" s="27" t="s">
        <v>1830</v>
      </c>
      <c r="G1031" s="17" t="s">
        <v>3258</v>
      </c>
      <c r="H1031" s="17" t="s">
        <v>3259</v>
      </c>
      <c r="I1031" s="17" t="s">
        <v>125</v>
      </c>
      <c r="J1031" s="22" t="s">
        <v>144</v>
      </c>
      <c r="K1031" s="23" t="s">
        <v>108</v>
      </c>
      <c r="L1031" s="24"/>
      <c r="M1031" s="2">
        <v>29.0</v>
      </c>
      <c r="N1031" s="25">
        <v>31.0</v>
      </c>
      <c r="O1031" s="25"/>
      <c r="P1031" s="25"/>
    </row>
    <row r="1032">
      <c r="A1032" s="16">
        <v>1030.0</v>
      </c>
      <c r="B1032" s="27" t="s">
        <v>494</v>
      </c>
      <c r="C1032" s="18">
        <v>44.0</v>
      </c>
      <c r="D1032" s="19" t="s">
        <v>2316</v>
      </c>
      <c r="E1032" s="20" t="s">
        <v>443</v>
      </c>
      <c r="F1032" s="27" t="s">
        <v>1369</v>
      </c>
      <c r="G1032" s="17" t="s">
        <v>3261</v>
      </c>
      <c r="H1032" s="17" t="s">
        <v>3262</v>
      </c>
      <c r="I1032" s="17" t="s">
        <v>125</v>
      </c>
      <c r="J1032" s="22" t="s">
        <v>144</v>
      </c>
      <c r="K1032" s="23" t="s">
        <v>108</v>
      </c>
      <c r="L1032" s="24"/>
      <c r="M1032" s="2">
        <v>29.0</v>
      </c>
      <c r="N1032" s="25">
        <v>31.0</v>
      </c>
      <c r="O1032" s="25"/>
      <c r="P1032" s="25"/>
    </row>
    <row r="1033">
      <c r="A1033" s="16">
        <v>1031.0</v>
      </c>
      <c r="B1033" s="27" t="s">
        <v>494</v>
      </c>
      <c r="C1033" s="18">
        <v>45.0</v>
      </c>
      <c r="D1033" s="19" t="s">
        <v>2316</v>
      </c>
      <c r="E1033" s="20" t="s">
        <v>443</v>
      </c>
      <c r="F1033" s="27" t="s">
        <v>970</v>
      </c>
      <c r="G1033" s="17" t="s">
        <v>2192</v>
      </c>
      <c r="H1033" s="17" t="s">
        <v>3264</v>
      </c>
      <c r="I1033" s="17" t="s">
        <v>125</v>
      </c>
      <c r="J1033" s="22" t="s">
        <v>144</v>
      </c>
      <c r="K1033" s="23" t="s">
        <v>108</v>
      </c>
      <c r="L1033" s="24"/>
      <c r="M1033" s="2">
        <v>29.0</v>
      </c>
      <c r="N1033" s="25">
        <v>31.0</v>
      </c>
      <c r="O1033" s="25"/>
      <c r="P1033" s="25"/>
    </row>
    <row r="1034">
      <c r="A1034" s="16">
        <v>1032.0</v>
      </c>
      <c r="B1034" s="27" t="s">
        <v>494</v>
      </c>
      <c r="C1034" s="18">
        <v>46.0</v>
      </c>
      <c r="D1034" s="19" t="s">
        <v>2316</v>
      </c>
      <c r="E1034" s="20" t="s">
        <v>443</v>
      </c>
      <c r="F1034" s="27" t="s">
        <v>1203</v>
      </c>
      <c r="G1034" s="17" t="s">
        <v>2620</v>
      </c>
      <c r="H1034" s="17" t="s">
        <v>3265</v>
      </c>
      <c r="I1034" s="17" t="s">
        <v>125</v>
      </c>
      <c r="J1034" s="22" t="s">
        <v>144</v>
      </c>
      <c r="K1034" s="23" t="s">
        <v>108</v>
      </c>
      <c r="L1034" s="24"/>
      <c r="M1034" s="2">
        <v>29.0</v>
      </c>
      <c r="N1034" s="25">
        <v>31.0</v>
      </c>
      <c r="O1034" s="25"/>
      <c r="P1034" s="25"/>
    </row>
    <row r="1035">
      <c r="A1035" s="16">
        <v>1033.0</v>
      </c>
      <c r="B1035" s="27" t="s">
        <v>494</v>
      </c>
      <c r="C1035" s="18">
        <v>47.0</v>
      </c>
      <c r="D1035" s="19" t="s">
        <v>2316</v>
      </c>
      <c r="E1035" s="20" t="s">
        <v>443</v>
      </c>
      <c r="F1035" s="27" t="s">
        <v>968</v>
      </c>
      <c r="G1035" s="17" t="s">
        <v>3268</v>
      </c>
      <c r="H1035" s="17" t="s">
        <v>3269</v>
      </c>
      <c r="I1035" s="17" t="s">
        <v>125</v>
      </c>
      <c r="J1035" s="22" t="s">
        <v>144</v>
      </c>
      <c r="K1035" s="23" t="s">
        <v>108</v>
      </c>
      <c r="L1035" s="24"/>
      <c r="M1035" s="2">
        <v>29.0</v>
      </c>
      <c r="N1035" s="25">
        <v>31.0</v>
      </c>
      <c r="O1035" s="25"/>
      <c r="P1035" s="25"/>
    </row>
    <row r="1036">
      <c r="A1036" s="16">
        <v>1034.0</v>
      </c>
      <c r="B1036" s="27" t="s">
        <v>494</v>
      </c>
      <c r="C1036" s="18">
        <v>48.0</v>
      </c>
      <c r="D1036" s="19" t="s">
        <v>2316</v>
      </c>
      <c r="E1036" s="20" t="s">
        <v>443</v>
      </c>
      <c r="F1036" s="27" t="s">
        <v>1019</v>
      </c>
      <c r="G1036" s="17" t="s">
        <v>3272</v>
      </c>
      <c r="H1036" s="17" t="s">
        <v>3273</v>
      </c>
      <c r="I1036" s="17" t="s">
        <v>125</v>
      </c>
      <c r="J1036" s="22" t="s">
        <v>144</v>
      </c>
      <c r="K1036" s="23" t="s">
        <v>108</v>
      </c>
      <c r="L1036" s="24"/>
      <c r="M1036" s="2">
        <v>29.0</v>
      </c>
      <c r="N1036" s="25">
        <v>31.0</v>
      </c>
      <c r="O1036" s="25"/>
      <c r="P1036" s="25"/>
    </row>
    <row r="1037">
      <c r="A1037" s="16">
        <v>1035.0</v>
      </c>
      <c r="B1037" s="27" t="s">
        <v>494</v>
      </c>
      <c r="C1037" s="18">
        <v>49.0</v>
      </c>
      <c r="D1037" s="19" t="s">
        <v>2316</v>
      </c>
      <c r="E1037" s="20" t="s">
        <v>443</v>
      </c>
      <c r="F1037" s="27" t="s">
        <v>1047</v>
      </c>
      <c r="G1037" s="17" t="s">
        <v>3274</v>
      </c>
      <c r="H1037" s="17" t="s">
        <v>3275</v>
      </c>
      <c r="I1037" s="17" t="s">
        <v>125</v>
      </c>
      <c r="J1037" s="22" t="s">
        <v>144</v>
      </c>
      <c r="K1037" s="23" t="s">
        <v>108</v>
      </c>
      <c r="L1037" s="24"/>
      <c r="M1037" s="2">
        <v>29.0</v>
      </c>
      <c r="N1037" s="25">
        <v>31.0</v>
      </c>
      <c r="O1037" s="25"/>
      <c r="P1037" s="25"/>
    </row>
    <row r="1038">
      <c r="A1038" s="16">
        <v>1036.0</v>
      </c>
      <c r="B1038" s="27" t="s">
        <v>494</v>
      </c>
      <c r="C1038" s="18">
        <v>50.0</v>
      </c>
      <c r="D1038" s="19" t="s">
        <v>2316</v>
      </c>
      <c r="E1038" s="20" t="s">
        <v>443</v>
      </c>
      <c r="F1038" s="27" t="s">
        <v>951</v>
      </c>
      <c r="G1038" s="17" t="s">
        <v>3277</v>
      </c>
      <c r="H1038" s="17" t="s">
        <v>3275</v>
      </c>
      <c r="I1038" s="17" t="s">
        <v>125</v>
      </c>
      <c r="J1038" s="22" t="s">
        <v>144</v>
      </c>
      <c r="K1038" s="23" t="s">
        <v>108</v>
      </c>
      <c r="L1038" s="24"/>
      <c r="M1038" s="2">
        <v>29.0</v>
      </c>
      <c r="N1038" s="25">
        <v>31.0</v>
      </c>
      <c r="O1038" s="25"/>
      <c r="P1038" s="25"/>
    </row>
    <row r="1039">
      <c r="A1039" s="16">
        <v>1037.0</v>
      </c>
      <c r="B1039" s="17" t="s">
        <v>861</v>
      </c>
      <c r="C1039" s="18">
        <v>1.0</v>
      </c>
      <c r="D1039" s="19" t="s">
        <v>2021</v>
      </c>
      <c r="E1039" s="20" t="s">
        <v>91</v>
      </c>
      <c r="F1039" s="17" t="s">
        <v>1116</v>
      </c>
      <c r="G1039" s="17" t="s">
        <v>123</v>
      </c>
      <c r="H1039" s="17" t="s">
        <v>3278</v>
      </c>
      <c r="I1039" s="17" t="s">
        <v>98</v>
      </c>
      <c r="J1039" s="22" t="s">
        <v>100</v>
      </c>
      <c r="K1039" s="23" t="s">
        <v>108</v>
      </c>
      <c r="L1039" s="24" t="s">
        <v>91</v>
      </c>
      <c r="M1039" s="2">
        <v>30.0</v>
      </c>
      <c r="N1039" s="25">
        <v>10.0</v>
      </c>
      <c r="O1039" s="25"/>
      <c r="P1039" s="25"/>
    </row>
    <row r="1040">
      <c r="A1040" s="16">
        <v>1038.0</v>
      </c>
      <c r="B1040" s="17" t="s">
        <v>861</v>
      </c>
      <c r="C1040" s="18">
        <v>2.0</v>
      </c>
      <c r="D1040" s="19" t="s">
        <v>2021</v>
      </c>
      <c r="E1040" s="20" t="s">
        <v>91</v>
      </c>
      <c r="F1040" s="17" t="s">
        <v>5</v>
      </c>
      <c r="G1040" s="17" t="s">
        <v>3280</v>
      </c>
      <c r="H1040" s="17" t="s">
        <v>3281</v>
      </c>
      <c r="I1040" s="17" t="s">
        <v>98</v>
      </c>
      <c r="J1040" s="22" t="s">
        <v>135</v>
      </c>
      <c r="K1040" s="23" t="s">
        <v>108</v>
      </c>
      <c r="L1040" s="24" t="s">
        <v>91</v>
      </c>
      <c r="M1040" s="2">
        <v>30.0</v>
      </c>
      <c r="N1040" s="25">
        <v>20.0</v>
      </c>
      <c r="O1040" s="25"/>
      <c r="P1040" s="25"/>
    </row>
    <row r="1041">
      <c r="A1041" s="16">
        <v>1039.0</v>
      </c>
      <c r="B1041" s="17" t="s">
        <v>861</v>
      </c>
      <c r="C1041" s="18">
        <v>3.0</v>
      </c>
      <c r="D1041" s="19" t="s">
        <v>2021</v>
      </c>
      <c r="E1041" s="20" t="s">
        <v>91</v>
      </c>
      <c r="F1041" s="17" t="s">
        <v>1109</v>
      </c>
      <c r="G1041" s="17" t="s">
        <v>2924</v>
      </c>
      <c r="H1041" s="17" t="s">
        <v>3282</v>
      </c>
      <c r="I1041" s="17" t="s">
        <v>98</v>
      </c>
      <c r="J1041" s="22" t="s">
        <v>135</v>
      </c>
      <c r="K1041" s="23" t="s">
        <v>108</v>
      </c>
      <c r="L1041" s="24" t="s">
        <v>91</v>
      </c>
      <c r="M1041" s="2">
        <v>30.0</v>
      </c>
      <c r="N1041" s="25">
        <v>20.0</v>
      </c>
      <c r="O1041" s="25"/>
      <c r="P1041" s="25"/>
    </row>
    <row r="1042">
      <c r="A1042" s="16">
        <v>1040.0</v>
      </c>
      <c r="B1042" s="17" t="s">
        <v>861</v>
      </c>
      <c r="C1042" s="18">
        <v>4.0</v>
      </c>
      <c r="D1042" s="19" t="s">
        <v>3225</v>
      </c>
      <c r="E1042" s="20" t="s">
        <v>91</v>
      </c>
      <c r="F1042" s="17" t="s">
        <v>996</v>
      </c>
      <c r="G1042" s="17" t="s">
        <v>123</v>
      </c>
      <c r="H1042" s="17" t="s">
        <v>3283</v>
      </c>
      <c r="I1042" s="17" t="s">
        <v>98</v>
      </c>
      <c r="J1042" s="22" t="s">
        <v>135</v>
      </c>
      <c r="K1042" s="23" t="s">
        <v>108</v>
      </c>
      <c r="L1042" s="24" t="s">
        <v>91</v>
      </c>
      <c r="M1042" s="2">
        <v>30.0</v>
      </c>
      <c r="N1042" s="25">
        <v>20.0</v>
      </c>
      <c r="O1042" s="25"/>
      <c r="P1042" s="25"/>
    </row>
    <row r="1043">
      <c r="A1043" s="16">
        <v>1041.0</v>
      </c>
      <c r="B1043" s="17" t="s">
        <v>861</v>
      </c>
      <c r="C1043" s="18">
        <v>5.0</v>
      </c>
      <c r="D1043" s="19" t="s">
        <v>3225</v>
      </c>
      <c r="E1043" s="20" t="s">
        <v>91</v>
      </c>
      <c r="F1043" s="17" t="s">
        <v>166</v>
      </c>
      <c r="G1043" s="17" t="s">
        <v>123</v>
      </c>
      <c r="H1043" s="17" t="s">
        <v>3284</v>
      </c>
      <c r="I1043" s="17" t="s">
        <v>98</v>
      </c>
      <c r="J1043" s="22" t="s">
        <v>135</v>
      </c>
      <c r="K1043" s="23" t="s">
        <v>108</v>
      </c>
      <c r="L1043" s="24" t="s">
        <v>91</v>
      </c>
      <c r="M1043" s="2">
        <v>30.0</v>
      </c>
      <c r="N1043" s="25">
        <v>20.0</v>
      </c>
      <c r="O1043" s="25"/>
      <c r="P1043" s="25"/>
    </row>
    <row r="1044">
      <c r="A1044" s="16">
        <v>1042.0</v>
      </c>
      <c r="B1044" s="17" t="s">
        <v>861</v>
      </c>
      <c r="C1044" s="18">
        <v>6.0</v>
      </c>
      <c r="D1044" s="19" t="s">
        <v>3225</v>
      </c>
      <c r="E1044" s="20" t="s">
        <v>91</v>
      </c>
      <c r="F1044" s="17" t="s">
        <v>47</v>
      </c>
      <c r="G1044" s="17" t="s">
        <v>3285</v>
      </c>
      <c r="H1044" s="17" t="s">
        <v>3286</v>
      </c>
      <c r="I1044" s="17" t="s">
        <v>98</v>
      </c>
      <c r="J1044" s="22" t="s">
        <v>135</v>
      </c>
      <c r="K1044" s="23" t="s">
        <v>108</v>
      </c>
      <c r="L1044" s="24" t="s">
        <v>91</v>
      </c>
      <c r="M1044" s="2">
        <v>30.0</v>
      </c>
      <c r="N1044" s="25">
        <v>20.0</v>
      </c>
      <c r="O1044" s="25"/>
      <c r="P1044" s="25"/>
    </row>
    <row r="1045">
      <c r="A1045" s="16">
        <v>1043.0</v>
      </c>
      <c r="B1045" s="17" t="s">
        <v>861</v>
      </c>
      <c r="C1045" s="18">
        <v>7.0</v>
      </c>
      <c r="D1045" s="19" t="s">
        <v>3225</v>
      </c>
      <c r="E1045" s="20" t="s">
        <v>91</v>
      </c>
      <c r="F1045" s="17" t="s">
        <v>287</v>
      </c>
      <c r="G1045" s="17" t="s">
        <v>2847</v>
      </c>
      <c r="H1045" s="17" t="s">
        <v>3287</v>
      </c>
      <c r="I1045" s="17" t="s">
        <v>98</v>
      </c>
      <c r="J1045" s="22" t="s">
        <v>135</v>
      </c>
      <c r="K1045" s="23" t="s">
        <v>108</v>
      </c>
      <c r="L1045" s="24" t="s">
        <v>91</v>
      </c>
      <c r="M1045" s="2">
        <v>30.0</v>
      </c>
      <c r="N1045" s="25">
        <v>20.0</v>
      </c>
      <c r="O1045" s="25"/>
      <c r="P1045" s="25"/>
    </row>
    <row r="1046">
      <c r="A1046" s="16">
        <v>1044.0</v>
      </c>
      <c r="B1046" s="17" t="s">
        <v>861</v>
      </c>
      <c r="C1046" s="18">
        <v>8.0</v>
      </c>
      <c r="D1046" s="19" t="s">
        <v>3225</v>
      </c>
      <c r="E1046" s="20" t="s">
        <v>91</v>
      </c>
      <c r="F1046" s="17" t="s">
        <v>679</v>
      </c>
      <c r="G1046" s="17" t="s">
        <v>123</v>
      </c>
      <c r="H1046" s="17" t="s">
        <v>3289</v>
      </c>
      <c r="I1046" s="17" t="s">
        <v>98</v>
      </c>
      <c r="J1046" s="22" t="s">
        <v>135</v>
      </c>
      <c r="K1046" s="23" t="s">
        <v>108</v>
      </c>
      <c r="L1046" s="24" t="s">
        <v>91</v>
      </c>
      <c r="M1046" s="2">
        <v>30.0</v>
      </c>
      <c r="N1046" s="25">
        <v>20.0</v>
      </c>
      <c r="O1046" s="25"/>
      <c r="P1046" s="25"/>
    </row>
    <row r="1047">
      <c r="A1047" s="16">
        <v>1045.0</v>
      </c>
      <c r="B1047" s="17" t="s">
        <v>861</v>
      </c>
      <c r="C1047" s="18">
        <v>9.0</v>
      </c>
      <c r="D1047" s="19" t="s">
        <v>3225</v>
      </c>
      <c r="E1047" s="20" t="s">
        <v>91</v>
      </c>
      <c r="F1047" s="17" t="s">
        <v>1249</v>
      </c>
      <c r="G1047" s="17" t="s">
        <v>123</v>
      </c>
      <c r="H1047" s="17" t="s">
        <v>3290</v>
      </c>
      <c r="I1047" s="17" t="s">
        <v>98</v>
      </c>
      <c r="J1047" s="22" t="s">
        <v>135</v>
      </c>
      <c r="K1047" s="23" t="s">
        <v>108</v>
      </c>
      <c r="L1047" s="24" t="s">
        <v>91</v>
      </c>
      <c r="M1047" s="2">
        <v>30.0</v>
      </c>
      <c r="N1047" s="25">
        <v>20.0</v>
      </c>
      <c r="O1047" s="25"/>
      <c r="P1047" s="25"/>
    </row>
    <row r="1048">
      <c r="A1048" s="16">
        <v>1046.0</v>
      </c>
      <c r="B1048" s="17" t="s">
        <v>861</v>
      </c>
      <c r="C1048" s="18">
        <v>10.0</v>
      </c>
      <c r="D1048" s="19" t="s">
        <v>2021</v>
      </c>
      <c r="E1048" s="20" t="s">
        <v>91</v>
      </c>
      <c r="F1048" s="17" t="s">
        <v>887</v>
      </c>
      <c r="G1048" s="17" t="s">
        <v>3291</v>
      </c>
      <c r="H1048" s="17" t="s">
        <v>3292</v>
      </c>
      <c r="I1048" s="17" t="s">
        <v>98</v>
      </c>
      <c r="J1048" s="22" t="s">
        <v>144</v>
      </c>
      <c r="K1048" s="23" t="s">
        <v>108</v>
      </c>
      <c r="L1048" s="24" t="s">
        <v>91</v>
      </c>
      <c r="M1048" s="2">
        <v>30.0</v>
      </c>
      <c r="N1048" s="25">
        <v>30.0</v>
      </c>
      <c r="O1048" s="25"/>
      <c r="P1048" s="25"/>
    </row>
    <row r="1049">
      <c r="A1049" s="16">
        <v>1047.0</v>
      </c>
      <c r="B1049" s="17" t="s">
        <v>861</v>
      </c>
      <c r="C1049" s="18">
        <v>11.0</v>
      </c>
      <c r="D1049" s="19" t="s">
        <v>2021</v>
      </c>
      <c r="E1049" s="20" t="s">
        <v>91</v>
      </c>
      <c r="F1049" s="17" t="s">
        <v>1081</v>
      </c>
      <c r="G1049" s="17" t="s">
        <v>3295</v>
      </c>
      <c r="H1049" s="17" t="s">
        <v>3296</v>
      </c>
      <c r="I1049" s="17" t="s">
        <v>98</v>
      </c>
      <c r="J1049" s="22" t="s">
        <v>144</v>
      </c>
      <c r="K1049" s="23" t="s">
        <v>108</v>
      </c>
      <c r="L1049" s="24" t="s">
        <v>91</v>
      </c>
      <c r="M1049" s="2">
        <v>30.0</v>
      </c>
      <c r="N1049" s="25">
        <v>30.0</v>
      </c>
      <c r="O1049" s="25"/>
      <c r="P1049" s="25"/>
    </row>
    <row r="1050">
      <c r="A1050" s="16">
        <v>1048.0</v>
      </c>
      <c r="B1050" s="17" t="s">
        <v>861</v>
      </c>
      <c r="C1050" s="18">
        <v>12.0</v>
      </c>
      <c r="D1050" s="19" t="s">
        <v>3225</v>
      </c>
      <c r="E1050" s="20" t="s">
        <v>91</v>
      </c>
      <c r="F1050" s="17" t="s">
        <v>439</v>
      </c>
      <c r="G1050" s="17" t="s">
        <v>2436</v>
      </c>
      <c r="H1050" s="17" t="s">
        <v>3297</v>
      </c>
      <c r="I1050" s="17" t="s">
        <v>98</v>
      </c>
      <c r="J1050" s="22" t="s">
        <v>144</v>
      </c>
      <c r="K1050" s="23" t="s">
        <v>108</v>
      </c>
      <c r="L1050" s="24" t="s">
        <v>91</v>
      </c>
      <c r="M1050" s="2">
        <v>30.0</v>
      </c>
      <c r="N1050" s="25">
        <v>30.0</v>
      </c>
      <c r="O1050" s="25"/>
      <c r="P1050" s="25"/>
    </row>
    <row r="1051">
      <c r="A1051" s="16">
        <v>1049.0</v>
      </c>
      <c r="B1051" s="17" t="s">
        <v>861</v>
      </c>
      <c r="C1051" s="18">
        <v>13.0</v>
      </c>
      <c r="D1051" s="19" t="s">
        <v>3225</v>
      </c>
      <c r="E1051" s="20" t="s">
        <v>91</v>
      </c>
      <c r="F1051" s="17" t="s">
        <v>7</v>
      </c>
      <c r="G1051" s="17" t="s">
        <v>3298</v>
      </c>
      <c r="H1051" s="17" t="s">
        <v>3299</v>
      </c>
      <c r="I1051" s="17" t="s">
        <v>98</v>
      </c>
      <c r="J1051" s="22" t="s">
        <v>144</v>
      </c>
      <c r="K1051" s="23" t="s">
        <v>108</v>
      </c>
      <c r="L1051" s="24" t="s">
        <v>91</v>
      </c>
      <c r="M1051" s="2">
        <v>30.0</v>
      </c>
      <c r="N1051" s="25">
        <v>30.0</v>
      </c>
      <c r="O1051" s="25"/>
      <c r="P1051" s="25"/>
    </row>
    <row r="1052">
      <c r="A1052" s="16">
        <v>1050.0</v>
      </c>
      <c r="B1052" s="17" t="s">
        <v>861</v>
      </c>
      <c r="C1052" s="18">
        <v>14.0</v>
      </c>
      <c r="D1052" s="19" t="s">
        <v>3225</v>
      </c>
      <c r="E1052" s="20" t="s">
        <v>91</v>
      </c>
      <c r="F1052" s="17" t="s">
        <v>875</v>
      </c>
      <c r="G1052" s="17" t="s">
        <v>123</v>
      </c>
      <c r="H1052" s="17" t="s">
        <v>3300</v>
      </c>
      <c r="I1052" s="17" t="s">
        <v>98</v>
      </c>
      <c r="J1052" s="22" t="s">
        <v>144</v>
      </c>
      <c r="K1052" s="23" t="s">
        <v>108</v>
      </c>
      <c r="L1052" s="24" t="s">
        <v>91</v>
      </c>
      <c r="M1052" s="2">
        <v>30.0</v>
      </c>
      <c r="N1052" s="25">
        <v>30.0</v>
      </c>
      <c r="O1052" s="25"/>
      <c r="P1052" s="25"/>
    </row>
    <row r="1053">
      <c r="A1053" s="16">
        <v>1051.0</v>
      </c>
      <c r="B1053" s="17" t="s">
        <v>861</v>
      </c>
      <c r="C1053" s="18">
        <v>15.0</v>
      </c>
      <c r="D1053" s="19" t="s">
        <v>3225</v>
      </c>
      <c r="E1053" s="20" t="s">
        <v>91</v>
      </c>
      <c r="F1053" s="17" t="s">
        <v>510</v>
      </c>
      <c r="G1053" s="17" t="s">
        <v>3183</v>
      </c>
      <c r="H1053" s="17" t="s">
        <v>3302</v>
      </c>
      <c r="I1053" s="17" t="s">
        <v>98</v>
      </c>
      <c r="J1053" s="22" t="s">
        <v>144</v>
      </c>
      <c r="K1053" s="23" t="s">
        <v>108</v>
      </c>
      <c r="L1053" s="24" t="s">
        <v>91</v>
      </c>
      <c r="M1053" s="2">
        <v>30.0</v>
      </c>
      <c r="N1053" s="25">
        <v>30.0</v>
      </c>
      <c r="O1053" s="25"/>
      <c r="P1053" s="25"/>
    </row>
    <row r="1054">
      <c r="A1054" s="16">
        <v>1052.0</v>
      </c>
      <c r="B1054" s="17" t="s">
        <v>861</v>
      </c>
      <c r="C1054" s="18">
        <v>16.0</v>
      </c>
      <c r="D1054" s="19" t="s">
        <v>3225</v>
      </c>
      <c r="E1054" s="20" t="s">
        <v>91</v>
      </c>
      <c r="F1054" s="17" t="s">
        <v>485</v>
      </c>
      <c r="G1054" s="17" t="s">
        <v>123</v>
      </c>
      <c r="H1054" s="17" t="s">
        <v>3303</v>
      </c>
      <c r="I1054" s="17" t="s">
        <v>98</v>
      </c>
      <c r="J1054" s="22" t="s">
        <v>144</v>
      </c>
      <c r="K1054" s="23" t="s">
        <v>108</v>
      </c>
      <c r="L1054" s="24" t="s">
        <v>91</v>
      </c>
      <c r="M1054" s="2">
        <v>30.0</v>
      </c>
      <c r="N1054" s="25">
        <v>30.0</v>
      </c>
      <c r="O1054" s="25"/>
      <c r="P1054" s="25"/>
    </row>
    <row r="1055">
      <c r="A1055" s="16">
        <v>1053.0</v>
      </c>
      <c r="B1055" s="17" t="s">
        <v>861</v>
      </c>
      <c r="C1055" s="18">
        <v>17.0</v>
      </c>
      <c r="D1055" s="19" t="s">
        <v>3225</v>
      </c>
      <c r="E1055" s="20" t="s">
        <v>91</v>
      </c>
      <c r="F1055" s="17" t="s">
        <v>152</v>
      </c>
      <c r="G1055" s="17" t="s">
        <v>3304</v>
      </c>
      <c r="H1055" s="17" t="s">
        <v>3305</v>
      </c>
      <c r="I1055" s="17" t="s">
        <v>98</v>
      </c>
      <c r="J1055" s="22" t="s">
        <v>144</v>
      </c>
      <c r="K1055" s="23" t="s">
        <v>108</v>
      </c>
      <c r="L1055" s="24" t="s">
        <v>91</v>
      </c>
      <c r="M1055" s="2">
        <v>30.0</v>
      </c>
      <c r="N1055" s="25">
        <v>30.0</v>
      </c>
      <c r="O1055" s="25"/>
      <c r="P1055" s="25"/>
    </row>
    <row r="1056">
      <c r="A1056" s="16">
        <v>1054.0</v>
      </c>
      <c r="B1056" s="17" t="s">
        <v>861</v>
      </c>
      <c r="C1056" s="18">
        <v>18.0</v>
      </c>
      <c r="D1056" s="19" t="s">
        <v>3225</v>
      </c>
      <c r="E1056" s="20" t="s">
        <v>91</v>
      </c>
      <c r="F1056" s="17" t="s">
        <v>761</v>
      </c>
      <c r="G1056" s="17" t="s">
        <v>3307</v>
      </c>
      <c r="H1056" s="17" t="s">
        <v>3308</v>
      </c>
      <c r="I1056" s="17" t="s">
        <v>98</v>
      </c>
      <c r="J1056" s="22" t="s">
        <v>144</v>
      </c>
      <c r="K1056" s="23" t="s">
        <v>108</v>
      </c>
      <c r="L1056" s="24" t="s">
        <v>91</v>
      </c>
      <c r="M1056" s="2">
        <v>30.0</v>
      </c>
      <c r="N1056" s="25">
        <v>30.0</v>
      </c>
      <c r="O1056" s="25"/>
      <c r="P1056" s="25"/>
    </row>
    <row r="1057">
      <c r="A1057" s="16">
        <v>1055.0</v>
      </c>
      <c r="B1057" s="17" t="s">
        <v>861</v>
      </c>
      <c r="C1057" s="18">
        <v>19.0</v>
      </c>
      <c r="D1057" s="19" t="s">
        <v>3225</v>
      </c>
      <c r="E1057" s="20" t="s">
        <v>91</v>
      </c>
      <c r="F1057" s="17" t="s">
        <v>280</v>
      </c>
      <c r="G1057" s="17" t="s">
        <v>123</v>
      </c>
      <c r="H1057" s="17" t="s">
        <v>3309</v>
      </c>
      <c r="I1057" s="17" t="s">
        <v>98</v>
      </c>
      <c r="J1057" s="22" t="s">
        <v>144</v>
      </c>
      <c r="K1057" s="23" t="s">
        <v>108</v>
      </c>
      <c r="L1057" s="24" t="s">
        <v>91</v>
      </c>
      <c r="M1057" s="2">
        <v>30.0</v>
      </c>
      <c r="N1057" s="25">
        <v>30.0</v>
      </c>
      <c r="O1057" s="25"/>
      <c r="P1057" s="25"/>
    </row>
    <row r="1058">
      <c r="A1058" s="16">
        <v>1056.0</v>
      </c>
      <c r="B1058" s="17" t="s">
        <v>861</v>
      </c>
      <c r="C1058" s="18">
        <v>20.0</v>
      </c>
      <c r="D1058" s="19" t="s">
        <v>2021</v>
      </c>
      <c r="E1058" s="20" t="s">
        <v>91</v>
      </c>
      <c r="F1058" s="17" t="s">
        <v>481</v>
      </c>
      <c r="G1058" s="17" t="s">
        <v>2662</v>
      </c>
      <c r="H1058" s="17" t="s">
        <v>3310</v>
      </c>
      <c r="I1058" s="17" t="s">
        <v>125</v>
      </c>
      <c r="J1058" s="22" t="s">
        <v>144</v>
      </c>
      <c r="K1058" s="23" t="s">
        <v>108</v>
      </c>
      <c r="L1058" s="24" t="s">
        <v>91</v>
      </c>
      <c r="M1058" s="2">
        <v>30.0</v>
      </c>
      <c r="N1058" s="25">
        <v>31.0</v>
      </c>
      <c r="O1058" s="25"/>
      <c r="P1058" s="25"/>
    </row>
    <row r="1059">
      <c r="A1059" s="16">
        <v>1057.0</v>
      </c>
      <c r="B1059" s="17" t="s">
        <v>861</v>
      </c>
      <c r="C1059" s="18">
        <v>21.0</v>
      </c>
      <c r="D1059" s="19" t="s">
        <v>2021</v>
      </c>
      <c r="E1059" s="20" t="s">
        <v>91</v>
      </c>
      <c r="F1059" s="17" t="s">
        <v>541</v>
      </c>
      <c r="G1059" s="17" t="s">
        <v>123</v>
      </c>
      <c r="H1059" s="17" t="s">
        <v>3312</v>
      </c>
      <c r="I1059" s="17" t="s">
        <v>125</v>
      </c>
      <c r="J1059" s="22" t="s">
        <v>144</v>
      </c>
      <c r="K1059" s="23" t="s">
        <v>108</v>
      </c>
      <c r="L1059" s="24" t="s">
        <v>91</v>
      </c>
      <c r="M1059" s="2">
        <v>30.0</v>
      </c>
      <c r="N1059" s="25">
        <v>31.0</v>
      </c>
      <c r="O1059" s="25"/>
      <c r="P1059" s="25"/>
    </row>
    <row r="1060">
      <c r="A1060" s="16">
        <v>1058.0</v>
      </c>
      <c r="B1060" s="17" t="s">
        <v>861</v>
      </c>
      <c r="C1060" s="18">
        <v>22.0</v>
      </c>
      <c r="D1060" s="19" t="s">
        <v>2021</v>
      </c>
      <c r="E1060" s="20" t="s">
        <v>91</v>
      </c>
      <c r="F1060" s="17" t="s">
        <v>860</v>
      </c>
      <c r="G1060" s="17" t="s">
        <v>3313</v>
      </c>
      <c r="H1060" s="17" t="s">
        <v>3314</v>
      </c>
      <c r="I1060" s="17" t="s">
        <v>125</v>
      </c>
      <c r="J1060" s="22" t="s">
        <v>144</v>
      </c>
      <c r="K1060" s="23" t="s">
        <v>108</v>
      </c>
      <c r="L1060" s="24" t="s">
        <v>91</v>
      </c>
      <c r="M1060" s="2">
        <v>30.0</v>
      </c>
      <c r="N1060" s="25">
        <v>31.0</v>
      </c>
      <c r="O1060" s="25"/>
      <c r="P1060" s="25"/>
    </row>
    <row r="1061">
      <c r="A1061" s="16">
        <v>1059.0</v>
      </c>
      <c r="B1061" s="17" t="s">
        <v>861</v>
      </c>
      <c r="C1061" s="18">
        <v>23.0</v>
      </c>
      <c r="D1061" s="19" t="s">
        <v>2021</v>
      </c>
      <c r="E1061" s="20" t="s">
        <v>91</v>
      </c>
      <c r="F1061" s="17" t="s">
        <v>318</v>
      </c>
      <c r="G1061" s="17" t="s">
        <v>123</v>
      </c>
      <c r="H1061" s="17" t="s">
        <v>3315</v>
      </c>
      <c r="I1061" s="17" t="s">
        <v>125</v>
      </c>
      <c r="J1061" s="22" t="s">
        <v>144</v>
      </c>
      <c r="K1061" s="23" t="s">
        <v>108</v>
      </c>
      <c r="L1061" s="24" t="s">
        <v>91</v>
      </c>
      <c r="M1061" s="2">
        <v>30.0</v>
      </c>
      <c r="N1061" s="25">
        <v>31.0</v>
      </c>
      <c r="O1061" s="25"/>
      <c r="P1061" s="25"/>
    </row>
    <row r="1062">
      <c r="A1062" s="16">
        <v>1060.0</v>
      </c>
      <c r="B1062" s="17" t="s">
        <v>861</v>
      </c>
      <c r="C1062" s="18">
        <v>24.0</v>
      </c>
      <c r="D1062" s="19" t="s">
        <v>2021</v>
      </c>
      <c r="E1062" s="20" t="s">
        <v>91</v>
      </c>
      <c r="F1062" s="17" t="s">
        <v>1369</v>
      </c>
      <c r="G1062" s="17" t="s">
        <v>3316</v>
      </c>
      <c r="H1062" s="17" t="s">
        <v>3317</v>
      </c>
      <c r="I1062" s="17" t="s">
        <v>125</v>
      </c>
      <c r="J1062" s="22" t="s">
        <v>144</v>
      </c>
      <c r="K1062" s="23" t="s">
        <v>108</v>
      </c>
      <c r="L1062" s="24" t="s">
        <v>91</v>
      </c>
      <c r="M1062" s="2">
        <v>30.0</v>
      </c>
      <c r="N1062" s="25">
        <v>31.0</v>
      </c>
      <c r="O1062" s="25"/>
      <c r="P1062" s="25"/>
    </row>
    <row r="1063">
      <c r="A1063" s="16">
        <v>1061.0</v>
      </c>
      <c r="B1063" s="17" t="s">
        <v>861</v>
      </c>
      <c r="C1063" s="18">
        <v>25.0</v>
      </c>
      <c r="D1063" s="19" t="s">
        <v>2021</v>
      </c>
      <c r="E1063" s="20" t="s">
        <v>91</v>
      </c>
      <c r="F1063" s="17" t="s">
        <v>858</v>
      </c>
      <c r="G1063" s="17" t="s">
        <v>3319</v>
      </c>
      <c r="H1063" s="17" t="s">
        <v>3320</v>
      </c>
      <c r="I1063" s="17" t="s">
        <v>125</v>
      </c>
      <c r="J1063" s="22" t="s">
        <v>144</v>
      </c>
      <c r="K1063" s="23" t="s">
        <v>108</v>
      </c>
      <c r="L1063" s="24" t="s">
        <v>91</v>
      </c>
      <c r="M1063" s="2">
        <v>30.0</v>
      </c>
      <c r="N1063" s="25">
        <v>31.0</v>
      </c>
      <c r="O1063" s="25"/>
      <c r="P1063" s="25"/>
    </row>
    <row r="1064">
      <c r="A1064" s="16">
        <v>1062.0</v>
      </c>
      <c r="B1064" s="17" t="s">
        <v>861</v>
      </c>
      <c r="C1064" s="18">
        <v>26.0</v>
      </c>
      <c r="D1064" s="19" t="s">
        <v>2021</v>
      </c>
      <c r="E1064" s="20" t="s">
        <v>91</v>
      </c>
      <c r="F1064" s="17" t="s">
        <v>734</v>
      </c>
      <c r="G1064" s="17" t="s">
        <v>3321</v>
      </c>
      <c r="H1064" s="17" t="s">
        <v>3322</v>
      </c>
      <c r="I1064" s="17" t="s">
        <v>125</v>
      </c>
      <c r="J1064" s="22" t="s">
        <v>144</v>
      </c>
      <c r="K1064" s="23" t="s">
        <v>108</v>
      </c>
      <c r="L1064" s="24" t="s">
        <v>91</v>
      </c>
      <c r="M1064" s="2">
        <v>30.0</v>
      </c>
      <c r="N1064" s="25">
        <v>31.0</v>
      </c>
      <c r="O1064" s="25"/>
      <c r="P1064" s="25"/>
    </row>
    <row r="1065">
      <c r="A1065" s="16">
        <v>1063.0</v>
      </c>
      <c r="B1065" s="17" t="s">
        <v>861</v>
      </c>
      <c r="C1065" s="18">
        <v>27.0</v>
      </c>
      <c r="D1065" s="19" t="s">
        <v>2021</v>
      </c>
      <c r="E1065" s="20" t="s">
        <v>91</v>
      </c>
      <c r="F1065" s="17" t="s">
        <v>503</v>
      </c>
      <c r="G1065" s="17" t="s">
        <v>3323</v>
      </c>
      <c r="H1065" s="17" t="s">
        <v>3324</v>
      </c>
      <c r="I1065" s="17" t="s">
        <v>125</v>
      </c>
      <c r="J1065" s="22" t="s">
        <v>144</v>
      </c>
      <c r="K1065" s="23" t="s">
        <v>108</v>
      </c>
      <c r="L1065" s="24" t="s">
        <v>91</v>
      </c>
      <c r="M1065" s="2">
        <v>30.0</v>
      </c>
      <c r="N1065" s="25">
        <v>31.0</v>
      </c>
      <c r="O1065" s="25"/>
      <c r="P1065" s="25"/>
    </row>
    <row r="1066">
      <c r="A1066" s="16">
        <v>1064.0</v>
      </c>
      <c r="B1066" s="17" t="s">
        <v>861</v>
      </c>
      <c r="C1066" s="18">
        <v>28.0</v>
      </c>
      <c r="D1066" s="19" t="s">
        <v>2021</v>
      </c>
      <c r="E1066" s="20" t="s">
        <v>91</v>
      </c>
      <c r="F1066" s="17" t="s">
        <v>888</v>
      </c>
      <c r="G1066" s="17" t="s">
        <v>3327</v>
      </c>
      <c r="H1066" s="17" t="s">
        <v>3328</v>
      </c>
      <c r="I1066" s="17" t="s">
        <v>125</v>
      </c>
      <c r="J1066" s="22" t="s">
        <v>144</v>
      </c>
      <c r="K1066" s="23" t="s">
        <v>108</v>
      </c>
      <c r="L1066" s="24" t="s">
        <v>91</v>
      </c>
      <c r="M1066" s="2">
        <v>30.0</v>
      </c>
      <c r="N1066" s="25">
        <v>31.0</v>
      </c>
      <c r="O1066" s="25"/>
      <c r="P1066" s="25"/>
    </row>
    <row r="1067">
      <c r="A1067" s="16">
        <v>1065.0</v>
      </c>
      <c r="B1067" s="17" t="s">
        <v>861</v>
      </c>
      <c r="C1067" s="18">
        <v>29.0</v>
      </c>
      <c r="D1067" s="19" t="s">
        <v>2021</v>
      </c>
      <c r="E1067" s="20" t="s">
        <v>91</v>
      </c>
      <c r="F1067" s="17" t="s">
        <v>994</v>
      </c>
      <c r="G1067" s="17" t="s">
        <v>3329</v>
      </c>
      <c r="H1067" s="17" t="s">
        <v>3330</v>
      </c>
      <c r="I1067" s="17" t="s">
        <v>125</v>
      </c>
      <c r="J1067" s="22" t="s">
        <v>144</v>
      </c>
      <c r="K1067" s="23" t="s">
        <v>108</v>
      </c>
      <c r="L1067" s="24" t="s">
        <v>91</v>
      </c>
      <c r="M1067" s="2">
        <v>30.0</v>
      </c>
      <c r="N1067" s="25">
        <v>31.0</v>
      </c>
      <c r="O1067" s="25"/>
      <c r="P1067" s="25"/>
    </row>
    <row r="1068">
      <c r="A1068" s="16">
        <v>1066.0</v>
      </c>
      <c r="B1068" s="17" t="s">
        <v>861</v>
      </c>
      <c r="C1068" s="18">
        <v>30.0</v>
      </c>
      <c r="D1068" s="19" t="s">
        <v>3225</v>
      </c>
      <c r="E1068" s="20" t="s">
        <v>91</v>
      </c>
      <c r="F1068" s="17" t="s">
        <v>970</v>
      </c>
      <c r="G1068" s="17" t="s">
        <v>3331</v>
      </c>
      <c r="H1068" s="17" t="s">
        <v>3332</v>
      </c>
      <c r="I1068" s="17" t="s">
        <v>125</v>
      </c>
      <c r="J1068" s="22" t="s">
        <v>144</v>
      </c>
      <c r="K1068" s="23" t="s">
        <v>108</v>
      </c>
      <c r="L1068" s="24" t="s">
        <v>91</v>
      </c>
      <c r="M1068" s="2">
        <v>30.0</v>
      </c>
      <c r="N1068" s="25">
        <v>31.0</v>
      </c>
      <c r="O1068" s="25"/>
      <c r="P1068" s="25"/>
    </row>
    <row r="1069">
      <c r="A1069" s="16">
        <v>1067.0</v>
      </c>
      <c r="B1069" s="17" t="s">
        <v>1595</v>
      </c>
      <c r="C1069" s="18">
        <v>1.0</v>
      </c>
      <c r="D1069" s="19" t="s">
        <v>3252</v>
      </c>
      <c r="E1069" s="20" t="s">
        <v>91</v>
      </c>
      <c r="F1069" s="17" t="s">
        <v>1370</v>
      </c>
      <c r="G1069" s="17" t="s">
        <v>3334</v>
      </c>
      <c r="H1069" s="17" t="s">
        <v>3335</v>
      </c>
      <c r="I1069" s="17" t="s">
        <v>98</v>
      </c>
      <c r="J1069" s="22" t="s">
        <v>135</v>
      </c>
      <c r="K1069" s="23" t="s">
        <v>108</v>
      </c>
      <c r="L1069" s="24" t="s">
        <v>91</v>
      </c>
      <c r="M1069" s="2">
        <v>31.0</v>
      </c>
      <c r="N1069" s="25">
        <v>20.0</v>
      </c>
      <c r="O1069" s="25"/>
      <c r="P1069" s="25"/>
    </row>
    <row r="1070">
      <c r="A1070" s="16">
        <v>1068.0</v>
      </c>
      <c r="B1070" s="17" t="s">
        <v>1595</v>
      </c>
      <c r="C1070" s="18">
        <v>2.0</v>
      </c>
      <c r="D1070" s="19" t="s">
        <v>2044</v>
      </c>
      <c r="E1070" s="20" t="s">
        <v>91</v>
      </c>
      <c r="F1070" s="17" t="s">
        <v>371</v>
      </c>
      <c r="G1070" s="17" t="s">
        <v>123</v>
      </c>
      <c r="H1070" s="17" t="s">
        <v>3336</v>
      </c>
      <c r="I1070" s="17" t="s">
        <v>125</v>
      </c>
      <c r="J1070" s="22" t="s">
        <v>135</v>
      </c>
      <c r="K1070" s="23" t="s">
        <v>108</v>
      </c>
      <c r="L1070" s="24" t="s">
        <v>91</v>
      </c>
      <c r="M1070" s="2">
        <v>31.0</v>
      </c>
      <c r="N1070" s="25">
        <v>21.0</v>
      </c>
      <c r="O1070" s="25"/>
      <c r="P1070" s="25"/>
    </row>
    <row r="1071">
      <c r="A1071" s="16">
        <v>1069.0</v>
      </c>
      <c r="B1071" s="17" t="s">
        <v>1595</v>
      </c>
      <c r="C1071" s="18">
        <v>3.0</v>
      </c>
      <c r="D1071" s="19" t="s">
        <v>2044</v>
      </c>
      <c r="E1071" s="20" t="s">
        <v>91</v>
      </c>
      <c r="F1071" s="17" t="s">
        <v>76</v>
      </c>
      <c r="G1071" s="17" t="s">
        <v>3247</v>
      </c>
      <c r="H1071" s="17" t="s">
        <v>3337</v>
      </c>
      <c r="I1071" s="17" t="s">
        <v>125</v>
      </c>
      <c r="J1071" s="22" t="s">
        <v>144</v>
      </c>
      <c r="K1071" s="23" t="s">
        <v>108</v>
      </c>
      <c r="L1071" s="24" t="s">
        <v>91</v>
      </c>
      <c r="M1071" s="2">
        <v>31.0</v>
      </c>
      <c r="N1071" s="25">
        <v>31.0</v>
      </c>
      <c r="O1071" s="25"/>
      <c r="P1071" s="25"/>
    </row>
    <row r="1072">
      <c r="A1072" s="16">
        <v>1070.0</v>
      </c>
      <c r="B1072" s="17" t="s">
        <v>1595</v>
      </c>
      <c r="C1072" s="18">
        <v>4.0</v>
      </c>
      <c r="D1072" s="19" t="s">
        <v>2044</v>
      </c>
      <c r="E1072" s="20" t="s">
        <v>91</v>
      </c>
      <c r="F1072" s="17" t="s">
        <v>1119</v>
      </c>
      <c r="G1072" s="17" t="s">
        <v>3339</v>
      </c>
      <c r="H1072" s="17" t="s">
        <v>3340</v>
      </c>
      <c r="I1072" s="17" t="s">
        <v>125</v>
      </c>
      <c r="J1072" s="22" t="s">
        <v>144</v>
      </c>
      <c r="K1072" s="23" t="s">
        <v>108</v>
      </c>
      <c r="L1072" s="24" t="s">
        <v>91</v>
      </c>
      <c r="M1072" s="2">
        <v>31.0</v>
      </c>
      <c r="N1072" s="25">
        <v>31.0</v>
      </c>
      <c r="O1072" s="25"/>
      <c r="P1072" s="25"/>
    </row>
    <row r="1073">
      <c r="A1073" s="16">
        <v>1071.0</v>
      </c>
      <c r="B1073" s="17" t="s">
        <v>1595</v>
      </c>
      <c r="C1073" s="18">
        <v>5.0</v>
      </c>
      <c r="D1073" s="19" t="s">
        <v>2044</v>
      </c>
      <c r="E1073" s="20" t="s">
        <v>91</v>
      </c>
      <c r="F1073" s="17" t="s">
        <v>494</v>
      </c>
      <c r="G1073" s="17" t="s">
        <v>3341</v>
      </c>
      <c r="H1073" s="17" t="s">
        <v>3342</v>
      </c>
      <c r="I1073" s="17" t="s">
        <v>125</v>
      </c>
      <c r="J1073" s="22" t="s">
        <v>144</v>
      </c>
      <c r="K1073" s="23" t="s">
        <v>108</v>
      </c>
      <c r="L1073" s="24" t="s">
        <v>91</v>
      </c>
      <c r="M1073" s="2">
        <v>31.0</v>
      </c>
      <c r="N1073" s="25">
        <v>31.0</v>
      </c>
      <c r="O1073" s="25"/>
      <c r="P1073" s="25"/>
    </row>
    <row r="1074">
      <c r="A1074" s="16">
        <v>1072.0</v>
      </c>
      <c r="B1074" s="17" t="s">
        <v>1595</v>
      </c>
      <c r="C1074" s="18">
        <v>6.0</v>
      </c>
      <c r="D1074" s="19" t="s">
        <v>2044</v>
      </c>
      <c r="E1074" s="20" t="s">
        <v>91</v>
      </c>
      <c r="F1074" s="17" t="s">
        <v>541</v>
      </c>
      <c r="G1074" s="17" t="s">
        <v>123</v>
      </c>
      <c r="H1074" s="17" t="s">
        <v>3343</v>
      </c>
      <c r="I1074" s="17" t="s">
        <v>125</v>
      </c>
      <c r="J1074" s="22" t="s">
        <v>144</v>
      </c>
      <c r="K1074" s="23" t="s">
        <v>108</v>
      </c>
      <c r="L1074" s="24" t="s">
        <v>91</v>
      </c>
      <c r="M1074" s="2">
        <v>31.0</v>
      </c>
      <c r="N1074" s="25">
        <v>31.0</v>
      </c>
      <c r="O1074" s="25"/>
      <c r="P1074" s="25"/>
    </row>
    <row r="1075">
      <c r="A1075" s="16">
        <v>1073.0</v>
      </c>
      <c r="B1075" s="17" t="s">
        <v>1595</v>
      </c>
      <c r="C1075" s="18">
        <v>7.0</v>
      </c>
      <c r="D1075" s="19" t="s">
        <v>2044</v>
      </c>
      <c r="E1075" s="20" t="s">
        <v>91</v>
      </c>
      <c r="F1075" s="17" t="s">
        <v>510</v>
      </c>
      <c r="G1075" s="17" t="s">
        <v>123</v>
      </c>
      <c r="H1075" s="17" t="s">
        <v>3346</v>
      </c>
      <c r="I1075" s="17" t="s">
        <v>125</v>
      </c>
      <c r="J1075" s="22" t="s">
        <v>144</v>
      </c>
      <c r="K1075" s="23" t="s">
        <v>108</v>
      </c>
      <c r="L1075" s="24" t="s">
        <v>91</v>
      </c>
      <c r="M1075" s="2">
        <v>31.0</v>
      </c>
      <c r="N1075" s="25">
        <v>31.0</v>
      </c>
      <c r="O1075" s="25"/>
      <c r="P1075" s="25"/>
    </row>
    <row r="1076">
      <c r="A1076" s="16">
        <v>1074.0</v>
      </c>
      <c r="B1076" s="17" t="s">
        <v>1595</v>
      </c>
      <c r="C1076" s="18">
        <v>8.0</v>
      </c>
      <c r="D1076" s="19" t="s">
        <v>2044</v>
      </c>
      <c r="E1076" s="20" t="s">
        <v>91</v>
      </c>
      <c r="F1076" s="17" t="s">
        <v>884</v>
      </c>
      <c r="G1076" s="17" t="s">
        <v>3347</v>
      </c>
      <c r="H1076" s="17" t="s">
        <v>3348</v>
      </c>
      <c r="I1076" s="17" t="s">
        <v>125</v>
      </c>
      <c r="J1076" s="22" t="s">
        <v>144</v>
      </c>
      <c r="K1076" s="23" t="s">
        <v>108</v>
      </c>
      <c r="L1076" s="24" t="s">
        <v>91</v>
      </c>
      <c r="M1076" s="2">
        <v>31.0</v>
      </c>
      <c r="N1076" s="25">
        <v>31.0</v>
      </c>
      <c r="O1076" s="25"/>
      <c r="P1076" s="25"/>
    </row>
    <row r="1077">
      <c r="A1077" s="16">
        <v>1075.0</v>
      </c>
      <c r="B1077" s="17" t="s">
        <v>1595</v>
      </c>
      <c r="C1077" s="18">
        <v>9.0</v>
      </c>
      <c r="D1077" s="19" t="s">
        <v>2044</v>
      </c>
      <c r="E1077" s="20" t="s">
        <v>91</v>
      </c>
      <c r="F1077" s="17" t="s">
        <v>887</v>
      </c>
      <c r="G1077" s="17" t="s">
        <v>123</v>
      </c>
      <c r="H1077" s="17" t="s">
        <v>3349</v>
      </c>
      <c r="I1077" s="17" t="s">
        <v>125</v>
      </c>
      <c r="J1077" s="22" t="s">
        <v>144</v>
      </c>
      <c r="K1077" s="23" t="s">
        <v>108</v>
      </c>
      <c r="L1077" s="24" t="s">
        <v>91</v>
      </c>
      <c r="M1077" s="2">
        <v>31.0</v>
      </c>
      <c r="N1077" s="25">
        <v>31.0</v>
      </c>
      <c r="O1077" s="25"/>
      <c r="P1077" s="25"/>
    </row>
    <row r="1078">
      <c r="A1078" s="16">
        <v>1076.0</v>
      </c>
      <c r="B1078" s="17" t="s">
        <v>1595</v>
      </c>
      <c r="C1078" s="18">
        <v>10.0</v>
      </c>
      <c r="D1078" s="19" t="s">
        <v>2044</v>
      </c>
      <c r="E1078" s="20" t="s">
        <v>91</v>
      </c>
      <c r="F1078" s="17" t="s">
        <v>503</v>
      </c>
      <c r="G1078" s="17" t="s">
        <v>3323</v>
      </c>
      <c r="H1078" s="17" t="s">
        <v>3324</v>
      </c>
      <c r="I1078" s="17" t="s">
        <v>125</v>
      </c>
      <c r="J1078" s="22" t="s">
        <v>144</v>
      </c>
      <c r="K1078" s="23" t="s">
        <v>108</v>
      </c>
      <c r="L1078" s="24" t="s">
        <v>91</v>
      </c>
      <c r="M1078" s="2">
        <v>31.0</v>
      </c>
      <c r="N1078" s="25">
        <v>31.0</v>
      </c>
      <c r="O1078" s="25"/>
      <c r="P1078" s="25"/>
    </row>
    <row r="1079">
      <c r="A1079" s="16">
        <v>1077.0</v>
      </c>
      <c r="B1079" s="17" t="s">
        <v>1595</v>
      </c>
      <c r="C1079" s="18">
        <v>11.0</v>
      </c>
      <c r="D1079" s="19" t="s">
        <v>2044</v>
      </c>
      <c r="E1079" s="20" t="s">
        <v>91</v>
      </c>
      <c r="F1079" s="17" t="s">
        <v>152</v>
      </c>
      <c r="G1079" s="17" t="s">
        <v>3304</v>
      </c>
      <c r="H1079" s="17" t="s">
        <v>3305</v>
      </c>
      <c r="I1079" s="17" t="s">
        <v>125</v>
      </c>
      <c r="J1079" s="22" t="s">
        <v>144</v>
      </c>
      <c r="K1079" s="23" t="s">
        <v>108</v>
      </c>
      <c r="L1079" s="24" t="s">
        <v>91</v>
      </c>
      <c r="M1079" s="2">
        <v>31.0</v>
      </c>
      <c r="N1079" s="25">
        <v>31.0</v>
      </c>
      <c r="O1079" s="25"/>
      <c r="P1079" s="25"/>
    </row>
    <row r="1080">
      <c r="A1080" s="16">
        <v>1078.0</v>
      </c>
      <c r="B1080" s="17" t="s">
        <v>1595</v>
      </c>
      <c r="C1080" s="18">
        <v>12.0</v>
      </c>
      <c r="D1080" s="19" t="s">
        <v>2044</v>
      </c>
      <c r="E1080" s="20" t="s">
        <v>91</v>
      </c>
      <c r="F1080" s="17" t="s">
        <v>325</v>
      </c>
      <c r="G1080" s="17" t="s">
        <v>3352</v>
      </c>
      <c r="H1080" s="17" t="s">
        <v>3353</v>
      </c>
      <c r="I1080" s="17" t="s">
        <v>125</v>
      </c>
      <c r="J1080" s="22" t="s">
        <v>144</v>
      </c>
      <c r="K1080" s="23" t="s">
        <v>108</v>
      </c>
      <c r="L1080" s="24" t="s">
        <v>91</v>
      </c>
      <c r="M1080" s="2">
        <v>31.0</v>
      </c>
      <c r="N1080" s="25">
        <v>31.0</v>
      </c>
      <c r="O1080" s="25"/>
      <c r="P1080" s="25"/>
    </row>
    <row r="1081">
      <c r="A1081" s="16">
        <v>1079.0</v>
      </c>
      <c r="B1081" s="17" t="s">
        <v>1595</v>
      </c>
      <c r="C1081" s="18">
        <v>13.0</v>
      </c>
      <c r="D1081" s="19" t="s">
        <v>2044</v>
      </c>
      <c r="E1081" s="20" t="s">
        <v>91</v>
      </c>
      <c r="F1081" s="17" t="s">
        <v>888</v>
      </c>
      <c r="G1081" s="17" t="s">
        <v>3327</v>
      </c>
      <c r="H1081" s="17" t="s">
        <v>3354</v>
      </c>
      <c r="I1081" s="17" t="s">
        <v>125</v>
      </c>
      <c r="J1081" s="22" t="s">
        <v>144</v>
      </c>
      <c r="K1081" s="23" t="s">
        <v>108</v>
      </c>
      <c r="L1081" s="24" t="s">
        <v>91</v>
      </c>
      <c r="M1081" s="2">
        <v>31.0</v>
      </c>
      <c r="N1081" s="25">
        <v>31.0</v>
      </c>
      <c r="O1081" s="25"/>
      <c r="P1081" s="25"/>
    </row>
    <row r="1082">
      <c r="A1082" s="16">
        <v>1080.0</v>
      </c>
      <c r="B1082" s="17" t="s">
        <v>1595</v>
      </c>
      <c r="C1082" s="18">
        <v>14.0</v>
      </c>
      <c r="D1082" s="19" t="s">
        <v>2044</v>
      </c>
      <c r="E1082" s="20" t="s">
        <v>91</v>
      </c>
      <c r="F1082" s="17" t="s">
        <v>880</v>
      </c>
      <c r="G1082" s="17" t="s">
        <v>3355</v>
      </c>
      <c r="H1082" s="17" t="s">
        <v>3357</v>
      </c>
      <c r="I1082" s="17" t="s">
        <v>125</v>
      </c>
      <c r="J1082" s="22" t="s">
        <v>144</v>
      </c>
      <c r="K1082" s="23" t="s">
        <v>108</v>
      </c>
      <c r="L1082" s="24" t="s">
        <v>91</v>
      </c>
      <c r="M1082" s="2">
        <v>31.0</v>
      </c>
      <c r="N1082" s="25">
        <v>31.0</v>
      </c>
      <c r="O1082" s="25"/>
      <c r="P1082" s="25"/>
    </row>
    <row r="1083">
      <c r="A1083" s="16">
        <v>1081.0</v>
      </c>
      <c r="B1083" s="17" t="s">
        <v>1595</v>
      </c>
      <c r="C1083" s="18">
        <v>15.0</v>
      </c>
      <c r="D1083" s="19" t="s">
        <v>2044</v>
      </c>
      <c r="E1083" s="20" t="s">
        <v>91</v>
      </c>
      <c r="F1083" s="17" t="s">
        <v>761</v>
      </c>
      <c r="G1083" s="17" t="s">
        <v>3307</v>
      </c>
      <c r="H1083" s="17" t="s">
        <v>3358</v>
      </c>
      <c r="I1083" s="17" t="s">
        <v>125</v>
      </c>
      <c r="J1083" s="22" t="s">
        <v>144</v>
      </c>
      <c r="K1083" s="23" t="s">
        <v>108</v>
      </c>
      <c r="L1083" s="24" t="s">
        <v>91</v>
      </c>
      <c r="M1083" s="2">
        <v>31.0</v>
      </c>
      <c r="N1083" s="25">
        <v>31.0</v>
      </c>
      <c r="O1083" s="25"/>
      <c r="P1083" s="25"/>
    </row>
    <row r="1084">
      <c r="A1084" s="16">
        <v>1082.0</v>
      </c>
      <c r="B1084" s="17" t="s">
        <v>1595</v>
      </c>
      <c r="C1084" s="18">
        <v>16.0</v>
      </c>
      <c r="D1084" s="19" t="s">
        <v>2044</v>
      </c>
      <c r="E1084" s="20" t="s">
        <v>91</v>
      </c>
      <c r="F1084" s="17" t="s">
        <v>728</v>
      </c>
      <c r="G1084" s="17" t="s">
        <v>3359</v>
      </c>
      <c r="H1084" s="17" t="s">
        <v>3360</v>
      </c>
      <c r="I1084" s="17" t="s">
        <v>125</v>
      </c>
      <c r="J1084" s="22" t="s">
        <v>144</v>
      </c>
      <c r="K1084" s="23" t="s">
        <v>108</v>
      </c>
      <c r="L1084" s="24" t="s">
        <v>91</v>
      </c>
      <c r="M1084" s="2">
        <v>31.0</v>
      </c>
      <c r="N1084" s="25">
        <v>31.0</v>
      </c>
      <c r="O1084" s="25"/>
      <c r="P1084" s="25"/>
    </row>
    <row r="1085">
      <c r="A1085" s="16">
        <v>1083.0</v>
      </c>
      <c r="B1085" s="17" t="s">
        <v>1595</v>
      </c>
      <c r="C1085" s="18">
        <v>17.0</v>
      </c>
      <c r="D1085" s="19" t="s">
        <v>2044</v>
      </c>
      <c r="E1085" s="20" t="s">
        <v>91</v>
      </c>
      <c r="F1085" s="17" t="s">
        <v>10</v>
      </c>
      <c r="G1085" s="17" t="s">
        <v>2844</v>
      </c>
      <c r="H1085" s="17" t="s">
        <v>3361</v>
      </c>
      <c r="I1085" s="17" t="s">
        <v>125</v>
      </c>
      <c r="J1085" s="22" t="s">
        <v>144</v>
      </c>
      <c r="K1085" s="23" t="s">
        <v>108</v>
      </c>
      <c r="L1085" s="24" t="s">
        <v>91</v>
      </c>
      <c r="M1085" s="2">
        <v>31.0</v>
      </c>
      <c r="N1085" s="25">
        <v>31.0</v>
      </c>
      <c r="O1085" s="25"/>
      <c r="P1085" s="25"/>
    </row>
    <row r="1086">
      <c r="A1086" s="16">
        <v>1084.0</v>
      </c>
      <c r="B1086" s="17" t="s">
        <v>1595</v>
      </c>
      <c r="C1086" s="18">
        <v>18.0</v>
      </c>
      <c r="D1086" s="19" t="s">
        <v>2044</v>
      </c>
      <c r="E1086" s="20" t="s">
        <v>91</v>
      </c>
      <c r="F1086" s="17" t="s">
        <v>943</v>
      </c>
      <c r="G1086" s="17" t="s">
        <v>3363</v>
      </c>
      <c r="H1086" s="17" t="s">
        <v>3364</v>
      </c>
      <c r="I1086" s="17" t="s">
        <v>125</v>
      </c>
      <c r="J1086" s="22" t="s">
        <v>144</v>
      </c>
      <c r="K1086" s="23" t="s">
        <v>108</v>
      </c>
      <c r="L1086" s="24" t="s">
        <v>91</v>
      </c>
      <c r="M1086" s="2">
        <v>31.0</v>
      </c>
      <c r="N1086" s="25">
        <v>31.0</v>
      </c>
      <c r="O1086" s="25"/>
      <c r="P1086" s="25"/>
    </row>
    <row r="1087">
      <c r="A1087" s="16">
        <v>1085.0</v>
      </c>
      <c r="B1087" s="17" t="s">
        <v>1595</v>
      </c>
      <c r="C1087" s="18">
        <v>19.0</v>
      </c>
      <c r="D1087" s="19" t="s">
        <v>2044</v>
      </c>
      <c r="E1087" s="20" t="s">
        <v>91</v>
      </c>
      <c r="F1087" s="17" t="s">
        <v>51</v>
      </c>
      <c r="G1087" s="17" t="s">
        <v>123</v>
      </c>
      <c r="H1087" s="17" t="s">
        <v>3365</v>
      </c>
      <c r="I1087" s="17" t="s">
        <v>125</v>
      </c>
      <c r="J1087" s="22" t="s">
        <v>144</v>
      </c>
      <c r="K1087" s="23" t="s">
        <v>108</v>
      </c>
      <c r="L1087" s="24" t="s">
        <v>91</v>
      </c>
      <c r="M1087" s="2">
        <v>31.0</v>
      </c>
      <c r="N1087" s="25">
        <v>31.0</v>
      </c>
      <c r="O1087" s="25"/>
      <c r="P1087" s="25"/>
    </row>
    <row r="1088">
      <c r="A1088" s="16">
        <v>1086.0</v>
      </c>
      <c r="B1088" s="17" t="s">
        <v>1595</v>
      </c>
      <c r="C1088" s="18">
        <v>20.0</v>
      </c>
      <c r="D1088" s="19" t="s">
        <v>2044</v>
      </c>
      <c r="E1088" s="20" t="s">
        <v>91</v>
      </c>
      <c r="F1088" s="17" t="s">
        <v>867</v>
      </c>
      <c r="G1088" s="17" t="s">
        <v>3366</v>
      </c>
      <c r="H1088" s="17" t="s">
        <v>3367</v>
      </c>
      <c r="I1088" s="17" t="s">
        <v>125</v>
      </c>
      <c r="J1088" s="22" t="s">
        <v>144</v>
      </c>
      <c r="K1088" s="23" t="s">
        <v>108</v>
      </c>
      <c r="L1088" s="24" t="s">
        <v>91</v>
      </c>
      <c r="M1088" s="2">
        <v>31.0</v>
      </c>
      <c r="N1088" s="25">
        <v>31.0</v>
      </c>
      <c r="O1088" s="25"/>
      <c r="P1088" s="25"/>
    </row>
    <row r="1089">
      <c r="A1089" s="16">
        <v>1087.0</v>
      </c>
      <c r="B1089" s="17" t="s">
        <v>1595</v>
      </c>
      <c r="C1089" s="18">
        <v>21.0</v>
      </c>
      <c r="D1089" s="19" t="s">
        <v>2044</v>
      </c>
      <c r="E1089" s="20" t="s">
        <v>91</v>
      </c>
      <c r="F1089" s="17" t="s">
        <v>1250</v>
      </c>
      <c r="G1089" s="17" t="s">
        <v>3368</v>
      </c>
      <c r="H1089" s="17" t="s">
        <v>3369</v>
      </c>
      <c r="I1089" s="17" t="s">
        <v>125</v>
      </c>
      <c r="J1089" s="22" t="s">
        <v>144</v>
      </c>
      <c r="K1089" s="23" t="s">
        <v>108</v>
      </c>
      <c r="L1089" s="24" t="s">
        <v>91</v>
      </c>
      <c r="M1089" s="2">
        <v>31.0</v>
      </c>
      <c r="N1089" s="25">
        <v>31.0</v>
      </c>
      <c r="O1089" s="25"/>
      <c r="P1089" s="25"/>
    </row>
    <row r="1090">
      <c r="A1090" s="16">
        <v>1088.0</v>
      </c>
      <c r="B1090" s="17" t="s">
        <v>990</v>
      </c>
      <c r="C1090" s="18">
        <v>1.0</v>
      </c>
      <c r="D1090" s="19" t="s">
        <v>2059</v>
      </c>
      <c r="E1090" s="20" t="s">
        <v>91</v>
      </c>
      <c r="F1090" s="17" t="s">
        <v>444</v>
      </c>
      <c r="G1090" s="17" t="s">
        <v>123</v>
      </c>
      <c r="H1090" s="17" t="s">
        <v>3370</v>
      </c>
      <c r="I1090" s="17" t="s">
        <v>125</v>
      </c>
      <c r="J1090" s="22" t="s">
        <v>100</v>
      </c>
      <c r="K1090" s="23" t="s">
        <v>108</v>
      </c>
      <c r="L1090" s="24" t="s">
        <v>91</v>
      </c>
      <c r="M1090" s="2">
        <v>32.0</v>
      </c>
      <c r="N1090" s="25">
        <v>11.0</v>
      </c>
      <c r="O1090" s="25"/>
      <c r="P1090" s="25"/>
    </row>
    <row r="1091">
      <c r="A1091" s="16">
        <v>1089.0</v>
      </c>
      <c r="B1091" s="17" t="s">
        <v>990</v>
      </c>
      <c r="C1091" s="18">
        <v>2.0</v>
      </c>
      <c r="D1091" s="19" t="s">
        <v>3271</v>
      </c>
      <c r="E1091" s="20" t="s">
        <v>91</v>
      </c>
      <c r="F1091" s="17" t="s">
        <v>1086</v>
      </c>
      <c r="G1091" s="17" t="s">
        <v>123</v>
      </c>
      <c r="H1091" s="17" t="s">
        <v>3371</v>
      </c>
      <c r="I1091" s="17" t="s">
        <v>125</v>
      </c>
      <c r="J1091" s="22" t="s">
        <v>135</v>
      </c>
      <c r="K1091" s="23" t="s">
        <v>108</v>
      </c>
      <c r="L1091" s="24" t="s">
        <v>91</v>
      </c>
      <c r="M1091" s="2">
        <v>32.0</v>
      </c>
      <c r="N1091" s="25">
        <v>21.0</v>
      </c>
      <c r="O1091" s="25"/>
      <c r="P1091" s="25"/>
    </row>
    <row r="1092">
      <c r="A1092" s="16">
        <v>1090.0</v>
      </c>
      <c r="B1092" s="17" t="s">
        <v>990</v>
      </c>
      <c r="C1092" s="18">
        <v>3.0</v>
      </c>
      <c r="D1092" s="19" t="s">
        <v>3267</v>
      </c>
      <c r="E1092" s="20" t="s">
        <v>91</v>
      </c>
      <c r="F1092" s="17" t="s">
        <v>875</v>
      </c>
      <c r="G1092" s="17" t="s">
        <v>3373</v>
      </c>
      <c r="H1092" s="17" t="s">
        <v>3374</v>
      </c>
      <c r="I1092" s="17" t="s">
        <v>125</v>
      </c>
      <c r="J1092" s="22" t="s">
        <v>135</v>
      </c>
      <c r="K1092" s="23" t="s">
        <v>108</v>
      </c>
      <c r="L1092" s="24" t="s">
        <v>91</v>
      </c>
      <c r="M1092" s="2">
        <v>32.0</v>
      </c>
      <c r="N1092" s="25">
        <v>21.0</v>
      </c>
      <c r="O1092" s="25"/>
      <c r="P1092" s="25"/>
    </row>
    <row r="1093">
      <c r="A1093" s="16">
        <v>1091.0</v>
      </c>
      <c r="B1093" s="17" t="s">
        <v>990</v>
      </c>
      <c r="C1093" s="18">
        <v>4.0</v>
      </c>
      <c r="D1093" s="19" t="s">
        <v>2059</v>
      </c>
      <c r="E1093" s="20" t="s">
        <v>91</v>
      </c>
      <c r="F1093" s="17" t="s">
        <v>679</v>
      </c>
      <c r="G1093" s="17" t="s">
        <v>123</v>
      </c>
      <c r="H1093" s="17" t="s">
        <v>3375</v>
      </c>
      <c r="I1093" s="17" t="s">
        <v>125</v>
      </c>
      <c r="J1093" s="22" t="s">
        <v>135</v>
      </c>
      <c r="K1093" s="23" t="s">
        <v>108</v>
      </c>
      <c r="L1093" s="24" t="s">
        <v>91</v>
      </c>
      <c r="M1093" s="2">
        <v>32.0</v>
      </c>
      <c r="N1093" s="25">
        <v>21.0</v>
      </c>
      <c r="O1093" s="25"/>
      <c r="P1093" s="25"/>
    </row>
    <row r="1094">
      <c r="A1094" s="16">
        <v>1092.0</v>
      </c>
      <c r="B1094" s="17" t="s">
        <v>990</v>
      </c>
      <c r="C1094" s="18">
        <v>5.0</v>
      </c>
      <c r="D1094" s="19" t="s">
        <v>2059</v>
      </c>
      <c r="E1094" s="20" t="s">
        <v>91</v>
      </c>
      <c r="F1094" s="17" t="s">
        <v>120</v>
      </c>
      <c r="G1094" s="17" t="s">
        <v>3209</v>
      </c>
      <c r="H1094" s="17" t="s">
        <v>3376</v>
      </c>
      <c r="I1094" s="17" t="s">
        <v>125</v>
      </c>
      <c r="J1094" s="22" t="s">
        <v>135</v>
      </c>
      <c r="K1094" s="23" t="s">
        <v>108</v>
      </c>
      <c r="L1094" s="24" t="s">
        <v>91</v>
      </c>
      <c r="M1094" s="2">
        <v>32.0</v>
      </c>
      <c r="N1094" s="25">
        <v>21.0</v>
      </c>
      <c r="O1094" s="25"/>
      <c r="P1094" s="25"/>
    </row>
    <row r="1095">
      <c r="A1095" s="16">
        <v>1093.0</v>
      </c>
      <c r="B1095" s="17" t="s">
        <v>990</v>
      </c>
      <c r="C1095" s="18">
        <v>6.0</v>
      </c>
      <c r="D1095" s="19" t="s">
        <v>3267</v>
      </c>
      <c r="E1095" s="20" t="s">
        <v>91</v>
      </c>
      <c r="F1095" s="17" t="s">
        <v>439</v>
      </c>
      <c r="G1095" s="17" t="s">
        <v>123</v>
      </c>
      <c r="H1095" s="17" t="s">
        <v>3377</v>
      </c>
      <c r="I1095" s="17" t="s">
        <v>125</v>
      </c>
      <c r="J1095" s="22" t="s">
        <v>144</v>
      </c>
      <c r="K1095" s="23" t="s">
        <v>108</v>
      </c>
      <c r="L1095" s="24" t="s">
        <v>91</v>
      </c>
      <c r="M1095" s="2">
        <v>32.0</v>
      </c>
      <c r="N1095" s="25">
        <v>31.0</v>
      </c>
      <c r="O1095" s="25"/>
      <c r="P1095" s="25"/>
    </row>
    <row r="1096">
      <c r="A1096" s="16">
        <v>1094.0</v>
      </c>
      <c r="B1096" s="17" t="s">
        <v>990</v>
      </c>
      <c r="C1096" s="18">
        <v>7.0</v>
      </c>
      <c r="D1096" s="19" t="s">
        <v>3267</v>
      </c>
      <c r="E1096" s="20" t="s">
        <v>91</v>
      </c>
      <c r="F1096" s="17" t="s">
        <v>481</v>
      </c>
      <c r="G1096" s="17" t="s">
        <v>2662</v>
      </c>
      <c r="H1096" s="17" t="s">
        <v>2663</v>
      </c>
      <c r="I1096" s="17" t="s">
        <v>125</v>
      </c>
      <c r="J1096" s="22" t="s">
        <v>144</v>
      </c>
      <c r="K1096" s="23" t="s">
        <v>108</v>
      </c>
      <c r="L1096" s="24" t="s">
        <v>91</v>
      </c>
      <c r="M1096" s="2">
        <v>32.0</v>
      </c>
      <c r="N1096" s="25">
        <v>31.0</v>
      </c>
      <c r="O1096" s="25"/>
      <c r="P1096" s="25"/>
    </row>
    <row r="1097">
      <c r="A1097" s="16">
        <v>1095.0</v>
      </c>
      <c r="B1097" s="17" t="s">
        <v>990</v>
      </c>
      <c r="C1097" s="18">
        <v>8.0</v>
      </c>
      <c r="D1097" s="19" t="s">
        <v>3267</v>
      </c>
      <c r="E1097" s="20" t="s">
        <v>91</v>
      </c>
      <c r="F1097" s="17" t="s">
        <v>541</v>
      </c>
      <c r="G1097" s="17" t="s">
        <v>3380</v>
      </c>
      <c r="H1097" s="17" t="s">
        <v>3381</v>
      </c>
      <c r="I1097" s="17" t="s">
        <v>125</v>
      </c>
      <c r="J1097" s="22" t="s">
        <v>144</v>
      </c>
      <c r="K1097" s="23" t="s">
        <v>108</v>
      </c>
      <c r="L1097" s="24" t="s">
        <v>91</v>
      </c>
      <c r="M1097" s="2">
        <v>32.0</v>
      </c>
      <c r="N1097" s="25">
        <v>31.0</v>
      </c>
      <c r="O1097" s="25"/>
      <c r="P1097" s="25"/>
    </row>
    <row r="1098">
      <c r="A1098" s="16">
        <v>1096.0</v>
      </c>
      <c r="B1098" s="17" t="s">
        <v>990</v>
      </c>
      <c r="C1098" s="18">
        <v>9.0</v>
      </c>
      <c r="D1098" s="19" t="s">
        <v>3267</v>
      </c>
      <c r="E1098" s="20" t="s">
        <v>91</v>
      </c>
      <c r="F1098" s="17" t="s">
        <v>884</v>
      </c>
      <c r="G1098" s="17" t="s">
        <v>3347</v>
      </c>
      <c r="H1098" s="17" t="s">
        <v>3382</v>
      </c>
      <c r="I1098" s="17" t="s">
        <v>125</v>
      </c>
      <c r="J1098" s="22" t="s">
        <v>144</v>
      </c>
      <c r="K1098" s="23" t="s">
        <v>108</v>
      </c>
      <c r="L1098" s="24" t="s">
        <v>91</v>
      </c>
      <c r="M1098" s="2">
        <v>32.0</v>
      </c>
      <c r="N1098" s="25">
        <v>31.0</v>
      </c>
      <c r="O1098" s="25"/>
      <c r="P1098" s="25"/>
    </row>
    <row r="1099">
      <c r="A1099" s="16">
        <v>1097.0</v>
      </c>
      <c r="B1099" s="17" t="s">
        <v>990</v>
      </c>
      <c r="C1099" s="18">
        <v>10.0</v>
      </c>
      <c r="D1099" s="19" t="s">
        <v>3267</v>
      </c>
      <c r="E1099" s="20" t="s">
        <v>91</v>
      </c>
      <c r="F1099" s="17" t="s">
        <v>318</v>
      </c>
      <c r="G1099" s="17" t="s">
        <v>3383</v>
      </c>
      <c r="H1099" s="17" t="s">
        <v>3384</v>
      </c>
      <c r="I1099" s="17" t="s">
        <v>125</v>
      </c>
      <c r="J1099" s="22" t="s">
        <v>144</v>
      </c>
      <c r="K1099" s="23" t="s">
        <v>108</v>
      </c>
      <c r="L1099" s="24" t="s">
        <v>91</v>
      </c>
      <c r="M1099" s="2">
        <v>32.0</v>
      </c>
      <c r="N1099" s="25">
        <v>31.0</v>
      </c>
      <c r="O1099" s="25"/>
      <c r="P1099" s="25"/>
    </row>
    <row r="1100">
      <c r="A1100" s="16">
        <v>1098.0</v>
      </c>
      <c r="B1100" s="17" t="s">
        <v>990</v>
      </c>
      <c r="C1100" s="18">
        <v>11.0</v>
      </c>
      <c r="D1100" s="19" t="s">
        <v>3267</v>
      </c>
      <c r="E1100" s="20" t="s">
        <v>91</v>
      </c>
      <c r="F1100" s="17" t="s">
        <v>734</v>
      </c>
      <c r="G1100" s="17" t="s">
        <v>3385</v>
      </c>
      <c r="H1100" s="17" t="s">
        <v>3387</v>
      </c>
      <c r="I1100" s="17" t="s">
        <v>125</v>
      </c>
      <c r="J1100" s="22" t="s">
        <v>144</v>
      </c>
      <c r="K1100" s="23" t="s">
        <v>108</v>
      </c>
      <c r="L1100" s="24" t="s">
        <v>91</v>
      </c>
      <c r="M1100" s="2">
        <v>32.0</v>
      </c>
      <c r="N1100" s="25">
        <v>31.0</v>
      </c>
      <c r="O1100" s="25"/>
      <c r="P1100" s="25"/>
    </row>
    <row r="1101">
      <c r="A1101" s="16">
        <v>1099.0</v>
      </c>
      <c r="B1101" s="17" t="s">
        <v>990</v>
      </c>
      <c r="C1101" s="18">
        <v>12.0</v>
      </c>
      <c r="D1101" s="19" t="s">
        <v>3267</v>
      </c>
      <c r="E1101" s="20" t="s">
        <v>91</v>
      </c>
      <c r="F1101" s="17" t="s">
        <v>325</v>
      </c>
      <c r="G1101" s="17" t="s">
        <v>3388</v>
      </c>
      <c r="H1101" s="17" t="s">
        <v>3389</v>
      </c>
      <c r="I1101" s="17" t="s">
        <v>125</v>
      </c>
      <c r="J1101" s="22" t="s">
        <v>144</v>
      </c>
      <c r="K1101" s="23" t="s">
        <v>108</v>
      </c>
      <c r="L1101" s="24" t="s">
        <v>91</v>
      </c>
      <c r="M1101" s="2">
        <v>32.0</v>
      </c>
      <c r="N1101" s="25">
        <v>31.0</v>
      </c>
      <c r="O1101" s="25"/>
      <c r="P1101" s="25"/>
    </row>
    <row r="1102">
      <c r="A1102" s="16">
        <v>1100.0</v>
      </c>
      <c r="B1102" s="17" t="s">
        <v>990</v>
      </c>
      <c r="C1102" s="18">
        <v>13.0</v>
      </c>
      <c r="D1102" s="19" t="s">
        <v>3267</v>
      </c>
      <c r="E1102" s="20" t="s">
        <v>91</v>
      </c>
      <c r="F1102" s="17" t="s">
        <v>880</v>
      </c>
      <c r="G1102" s="17" t="s">
        <v>3390</v>
      </c>
      <c r="H1102" s="17" t="s">
        <v>3391</v>
      </c>
      <c r="I1102" s="17" t="s">
        <v>125</v>
      </c>
      <c r="J1102" s="22" t="s">
        <v>144</v>
      </c>
      <c r="K1102" s="23" t="s">
        <v>108</v>
      </c>
      <c r="L1102" s="24" t="s">
        <v>91</v>
      </c>
      <c r="M1102" s="2">
        <v>32.0</v>
      </c>
      <c r="N1102" s="25">
        <v>31.0</v>
      </c>
      <c r="O1102" s="25"/>
      <c r="P1102" s="25"/>
    </row>
    <row r="1103">
      <c r="A1103" s="16">
        <v>1101.0</v>
      </c>
      <c r="B1103" s="17" t="s">
        <v>990</v>
      </c>
      <c r="C1103" s="18">
        <v>14.0</v>
      </c>
      <c r="D1103" s="19" t="s">
        <v>3267</v>
      </c>
      <c r="E1103" s="20" t="s">
        <v>91</v>
      </c>
      <c r="F1103" s="17" t="s">
        <v>47</v>
      </c>
      <c r="G1103" s="17" t="s">
        <v>3392</v>
      </c>
      <c r="H1103" s="17" t="s">
        <v>3393</v>
      </c>
      <c r="I1103" s="17" t="s">
        <v>125</v>
      </c>
      <c r="J1103" s="22" t="s">
        <v>144</v>
      </c>
      <c r="K1103" s="23" t="s">
        <v>108</v>
      </c>
      <c r="L1103" s="24" t="s">
        <v>91</v>
      </c>
      <c r="M1103" s="2">
        <v>32.0</v>
      </c>
      <c r="N1103" s="25">
        <v>31.0</v>
      </c>
      <c r="O1103" s="25"/>
      <c r="P1103" s="25"/>
    </row>
    <row r="1104">
      <c r="A1104" s="16">
        <v>1102.0</v>
      </c>
      <c r="B1104" s="17" t="s">
        <v>990</v>
      </c>
      <c r="C1104" s="18">
        <v>15.0</v>
      </c>
      <c r="D1104" s="19" t="s">
        <v>3267</v>
      </c>
      <c r="E1104" s="20" t="s">
        <v>91</v>
      </c>
      <c r="F1104" s="17" t="s">
        <v>280</v>
      </c>
      <c r="G1104" s="17" t="s">
        <v>123</v>
      </c>
      <c r="H1104" s="17" t="s">
        <v>3395</v>
      </c>
      <c r="I1104" s="17" t="s">
        <v>125</v>
      </c>
      <c r="J1104" s="22" t="s">
        <v>144</v>
      </c>
      <c r="K1104" s="23" t="s">
        <v>108</v>
      </c>
      <c r="L1104" s="24" t="s">
        <v>91</v>
      </c>
      <c r="M1104" s="2">
        <v>32.0</v>
      </c>
      <c r="N1104" s="25">
        <v>31.0</v>
      </c>
      <c r="O1104" s="25"/>
      <c r="P1104" s="25"/>
    </row>
    <row r="1105">
      <c r="A1105" s="16">
        <v>1103.0</v>
      </c>
      <c r="B1105" s="17" t="s">
        <v>990</v>
      </c>
      <c r="C1105" s="18">
        <v>16.0</v>
      </c>
      <c r="D1105" s="19" t="s">
        <v>3267</v>
      </c>
      <c r="E1105" s="20" t="s">
        <v>91</v>
      </c>
      <c r="F1105" s="17" t="s">
        <v>92</v>
      </c>
      <c r="G1105" s="17" t="s">
        <v>3396</v>
      </c>
      <c r="H1105" s="17" t="s">
        <v>3397</v>
      </c>
      <c r="I1105" s="17" t="s">
        <v>125</v>
      </c>
      <c r="J1105" s="22" t="s">
        <v>144</v>
      </c>
      <c r="K1105" s="23" t="s">
        <v>108</v>
      </c>
      <c r="L1105" s="24" t="s">
        <v>91</v>
      </c>
      <c r="M1105" s="2">
        <v>32.0</v>
      </c>
      <c r="N1105" s="25">
        <v>31.0</v>
      </c>
      <c r="O1105" s="25"/>
      <c r="P1105" s="25"/>
    </row>
    <row r="1106">
      <c r="A1106" s="16">
        <v>1104.0</v>
      </c>
      <c r="B1106" s="17" t="s">
        <v>990</v>
      </c>
      <c r="C1106" s="18">
        <v>17.0</v>
      </c>
      <c r="D1106" s="19" t="s">
        <v>3267</v>
      </c>
      <c r="E1106" s="20" t="s">
        <v>91</v>
      </c>
      <c r="F1106" s="17" t="s">
        <v>1371</v>
      </c>
      <c r="G1106" s="17" t="s">
        <v>3398</v>
      </c>
      <c r="H1106" s="17" t="s">
        <v>3399</v>
      </c>
      <c r="I1106" s="17" t="s">
        <v>125</v>
      </c>
      <c r="J1106" s="22" t="s">
        <v>144</v>
      </c>
      <c r="K1106" s="23" t="s">
        <v>108</v>
      </c>
      <c r="L1106" s="24" t="s">
        <v>91</v>
      </c>
      <c r="M1106" s="2">
        <v>32.0</v>
      </c>
      <c r="N1106" s="25">
        <v>31.0</v>
      </c>
      <c r="O1106" s="25"/>
      <c r="P1106" s="25"/>
    </row>
    <row r="1107">
      <c r="A1107" s="16">
        <v>1105.0</v>
      </c>
      <c r="B1107" s="17" t="s">
        <v>990</v>
      </c>
      <c r="C1107" s="18">
        <v>18.0</v>
      </c>
      <c r="D1107" s="19" t="s">
        <v>3267</v>
      </c>
      <c r="E1107" s="20" t="s">
        <v>91</v>
      </c>
      <c r="F1107" s="17" t="s">
        <v>867</v>
      </c>
      <c r="G1107" s="17" t="s">
        <v>2382</v>
      </c>
      <c r="H1107" s="17" t="s">
        <v>2383</v>
      </c>
      <c r="I1107" s="17" t="s">
        <v>125</v>
      </c>
      <c r="J1107" s="22" t="s">
        <v>144</v>
      </c>
      <c r="K1107" s="23" t="s">
        <v>108</v>
      </c>
      <c r="L1107" s="24" t="s">
        <v>91</v>
      </c>
      <c r="M1107" s="2">
        <v>32.0</v>
      </c>
      <c r="N1107" s="25">
        <v>31.0</v>
      </c>
      <c r="O1107" s="25"/>
      <c r="P1107" s="25"/>
    </row>
    <row r="1108">
      <c r="A1108" s="16">
        <v>1106.0</v>
      </c>
      <c r="B1108" s="27" t="s">
        <v>990</v>
      </c>
      <c r="C1108" s="18">
        <v>19.0</v>
      </c>
      <c r="D1108" s="19" t="s">
        <v>3267</v>
      </c>
      <c r="E1108" s="20" t="s">
        <v>91</v>
      </c>
      <c r="F1108" s="27" t="s">
        <v>3401</v>
      </c>
      <c r="G1108" s="17" t="s">
        <v>1754</v>
      </c>
      <c r="H1108" s="17" t="s">
        <v>3402</v>
      </c>
      <c r="I1108" s="17" t="s">
        <v>125</v>
      </c>
      <c r="J1108" s="22" t="s">
        <v>144</v>
      </c>
      <c r="K1108" s="23" t="s">
        <v>108</v>
      </c>
      <c r="L1108" s="24"/>
      <c r="M1108" s="2">
        <v>32.0</v>
      </c>
      <c r="N1108" s="25">
        <v>31.0</v>
      </c>
      <c r="O1108" s="25"/>
      <c r="P1108" s="25"/>
    </row>
    <row r="1109">
      <c r="A1109" s="16">
        <v>1107.0</v>
      </c>
      <c r="B1109" s="27" t="s">
        <v>990</v>
      </c>
      <c r="C1109" s="18">
        <v>20.0</v>
      </c>
      <c r="D1109" s="19" t="s">
        <v>3267</v>
      </c>
      <c r="E1109" s="20" t="s">
        <v>91</v>
      </c>
      <c r="F1109" s="27" t="s">
        <v>1167</v>
      </c>
      <c r="G1109" s="17" t="s">
        <v>3404</v>
      </c>
      <c r="H1109" s="17" t="s">
        <v>3405</v>
      </c>
      <c r="I1109" s="17" t="s">
        <v>125</v>
      </c>
      <c r="J1109" s="22" t="s">
        <v>144</v>
      </c>
      <c r="K1109" s="23" t="s">
        <v>108</v>
      </c>
      <c r="L1109" s="24"/>
      <c r="M1109" s="2">
        <v>32.0</v>
      </c>
      <c r="N1109" s="25">
        <v>31.0</v>
      </c>
      <c r="O1109" s="25"/>
      <c r="P1109" s="25"/>
    </row>
    <row r="1110">
      <c r="A1110" s="16">
        <v>1108.0</v>
      </c>
      <c r="B1110" s="27" t="s">
        <v>990</v>
      </c>
      <c r="C1110" s="18">
        <v>21.0</v>
      </c>
      <c r="D1110" s="19" t="s">
        <v>3267</v>
      </c>
      <c r="E1110" s="20" t="s">
        <v>91</v>
      </c>
      <c r="F1110" s="27" t="s">
        <v>1165</v>
      </c>
      <c r="G1110" s="17" t="s">
        <v>3408</v>
      </c>
      <c r="H1110" s="17" t="s">
        <v>3409</v>
      </c>
      <c r="I1110" s="17" t="s">
        <v>125</v>
      </c>
      <c r="J1110" s="22" t="s">
        <v>144</v>
      </c>
      <c r="K1110" s="23" t="s">
        <v>108</v>
      </c>
      <c r="L1110" s="24"/>
      <c r="M1110" s="2">
        <v>32.0</v>
      </c>
      <c r="N1110" s="25">
        <v>31.0</v>
      </c>
      <c r="O1110" s="25"/>
      <c r="P1110" s="25"/>
    </row>
    <row r="1111">
      <c r="A1111" s="16">
        <v>1109.0</v>
      </c>
      <c r="B1111" s="17" t="s">
        <v>990</v>
      </c>
      <c r="C1111" s="18">
        <v>22.0</v>
      </c>
      <c r="D1111" s="19" t="s">
        <v>2059</v>
      </c>
      <c r="E1111" s="20" t="s">
        <v>91</v>
      </c>
      <c r="F1111" s="17" t="s">
        <v>7</v>
      </c>
      <c r="G1111" s="17" t="s">
        <v>3410</v>
      </c>
      <c r="H1111" s="17" t="s">
        <v>3411</v>
      </c>
      <c r="I1111" s="17" t="s">
        <v>125</v>
      </c>
      <c r="J1111" s="22" t="s">
        <v>144</v>
      </c>
      <c r="K1111" s="23" t="s">
        <v>108</v>
      </c>
      <c r="L1111" s="24" t="s">
        <v>91</v>
      </c>
      <c r="M1111" s="2">
        <v>32.0</v>
      </c>
      <c r="N1111" s="25">
        <v>31.0</v>
      </c>
      <c r="O1111" s="25"/>
      <c r="P1111" s="25"/>
    </row>
    <row r="1112">
      <c r="A1112" s="16">
        <v>1110.0</v>
      </c>
      <c r="B1112" s="17" t="s">
        <v>990</v>
      </c>
      <c r="C1112" s="18">
        <v>23.0</v>
      </c>
      <c r="D1112" s="19" t="s">
        <v>2059</v>
      </c>
      <c r="E1112" s="20" t="s">
        <v>91</v>
      </c>
      <c r="F1112" s="17" t="s">
        <v>876</v>
      </c>
      <c r="G1112" s="17" t="s">
        <v>2794</v>
      </c>
      <c r="H1112" s="17" t="s">
        <v>3414</v>
      </c>
      <c r="I1112" s="17" t="s">
        <v>125</v>
      </c>
      <c r="J1112" s="22" t="s">
        <v>144</v>
      </c>
      <c r="K1112" s="23" t="s">
        <v>108</v>
      </c>
      <c r="L1112" s="24" t="s">
        <v>91</v>
      </c>
      <c r="M1112" s="2">
        <v>32.0</v>
      </c>
      <c r="N1112" s="25">
        <v>31.0</v>
      </c>
      <c r="O1112" s="25"/>
      <c r="P1112" s="25"/>
    </row>
    <row r="1113">
      <c r="A1113" s="16">
        <v>1111.0</v>
      </c>
      <c r="B1113" s="17" t="s">
        <v>990</v>
      </c>
      <c r="C1113" s="18">
        <v>24.0</v>
      </c>
      <c r="D1113" s="19" t="s">
        <v>2059</v>
      </c>
      <c r="E1113" s="20" t="s">
        <v>91</v>
      </c>
      <c r="F1113" s="17" t="s">
        <v>485</v>
      </c>
      <c r="G1113" s="17" t="s">
        <v>3415</v>
      </c>
      <c r="H1113" s="17" t="s">
        <v>3416</v>
      </c>
      <c r="I1113" s="17" t="s">
        <v>125</v>
      </c>
      <c r="J1113" s="22" t="s">
        <v>144</v>
      </c>
      <c r="K1113" s="23" t="s">
        <v>108</v>
      </c>
      <c r="L1113" s="24" t="s">
        <v>91</v>
      </c>
      <c r="M1113" s="2">
        <v>32.0</v>
      </c>
      <c r="N1113" s="25">
        <v>31.0</v>
      </c>
      <c r="O1113" s="25"/>
      <c r="P1113" s="25"/>
    </row>
    <row r="1114">
      <c r="A1114" s="16">
        <v>1112.0</v>
      </c>
      <c r="B1114" s="17" t="s">
        <v>990</v>
      </c>
      <c r="C1114" s="18">
        <v>25.0</v>
      </c>
      <c r="D1114" s="19" t="s">
        <v>2059</v>
      </c>
      <c r="E1114" s="20" t="s">
        <v>91</v>
      </c>
      <c r="F1114" s="17" t="s">
        <v>887</v>
      </c>
      <c r="G1114" s="17" t="s">
        <v>123</v>
      </c>
      <c r="H1114" s="17" t="s">
        <v>3349</v>
      </c>
      <c r="I1114" s="17" t="s">
        <v>125</v>
      </c>
      <c r="J1114" s="22" t="s">
        <v>144</v>
      </c>
      <c r="K1114" s="23" t="s">
        <v>108</v>
      </c>
      <c r="L1114" s="24" t="s">
        <v>91</v>
      </c>
      <c r="M1114" s="2">
        <v>32.0</v>
      </c>
      <c r="N1114" s="25">
        <v>31.0</v>
      </c>
      <c r="O1114" s="25"/>
      <c r="P1114" s="25"/>
    </row>
    <row r="1115">
      <c r="A1115" s="16">
        <v>1113.0</v>
      </c>
      <c r="B1115" s="17" t="s">
        <v>990</v>
      </c>
      <c r="C1115" s="18">
        <v>26.0</v>
      </c>
      <c r="D1115" s="19" t="s">
        <v>2059</v>
      </c>
      <c r="E1115" s="20" t="s">
        <v>91</v>
      </c>
      <c r="F1115" s="17" t="s">
        <v>503</v>
      </c>
      <c r="G1115" s="17" t="s">
        <v>3323</v>
      </c>
      <c r="H1115" s="17" t="s">
        <v>3250</v>
      </c>
      <c r="I1115" s="17" t="s">
        <v>125</v>
      </c>
      <c r="J1115" s="22" t="s">
        <v>144</v>
      </c>
      <c r="K1115" s="23" t="s">
        <v>108</v>
      </c>
      <c r="L1115" s="24" t="s">
        <v>91</v>
      </c>
      <c r="M1115" s="2">
        <v>32.0</v>
      </c>
      <c r="N1115" s="25">
        <v>31.0</v>
      </c>
      <c r="O1115" s="25"/>
      <c r="P1115" s="25"/>
    </row>
    <row r="1116">
      <c r="A1116" s="16">
        <v>1114.0</v>
      </c>
      <c r="B1116" s="17" t="s">
        <v>990</v>
      </c>
      <c r="C1116" s="18">
        <v>27.0</v>
      </c>
      <c r="D1116" s="19" t="s">
        <v>2059</v>
      </c>
      <c r="E1116" s="20" t="s">
        <v>91</v>
      </c>
      <c r="F1116" s="17" t="s">
        <v>888</v>
      </c>
      <c r="G1116" s="17" t="s">
        <v>3418</v>
      </c>
      <c r="H1116" s="17" t="s">
        <v>3419</v>
      </c>
      <c r="I1116" s="17" t="s">
        <v>125</v>
      </c>
      <c r="J1116" s="22" t="s">
        <v>144</v>
      </c>
      <c r="K1116" s="23" t="s">
        <v>108</v>
      </c>
      <c r="L1116" s="24" t="s">
        <v>91</v>
      </c>
      <c r="M1116" s="2">
        <v>32.0</v>
      </c>
      <c r="N1116" s="25">
        <v>31.0</v>
      </c>
      <c r="O1116" s="25"/>
      <c r="P1116" s="25"/>
    </row>
    <row r="1117">
      <c r="A1117" s="16">
        <v>1115.0</v>
      </c>
      <c r="B1117" s="17" t="s">
        <v>990</v>
      </c>
      <c r="C1117" s="18">
        <v>28.0</v>
      </c>
      <c r="D1117" s="19" t="s">
        <v>2059</v>
      </c>
      <c r="E1117" s="20" t="s">
        <v>91</v>
      </c>
      <c r="F1117" s="17" t="s">
        <v>761</v>
      </c>
      <c r="G1117" s="17" t="s">
        <v>3307</v>
      </c>
      <c r="H1117" s="17" t="s">
        <v>3420</v>
      </c>
      <c r="I1117" s="17" t="s">
        <v>125</v>
      </c>
      <c r="J1117" s="22" t="s">
        <v>144</v>
      </c>
      <c r="K1117" s="23" t="s">
        <v>108</v>
      </c>
      <c r="L1117" s="24" t="s">
        <v>91</v>
      </c>
      <c r="M1117" s="2">
        <v>32.0</v>
      </c>
      <c r="N1117" s="25">
        <v>31.0</v>
      </c>
      <c r="O1117" s="25"/>
      <c r="P1117" s="25"/>
    </row>
    <row r="1118">
      <c r="A1118" s="16">
        <v>1116.0</v>
      </c>
      <c r="B1118" s="17" t="s">
        <v>990</v>
      </c>
      <c r="C1118" s="18">
        <v>29.0</v>
      </c>
      <c r="D1118" s="19" t="s">
        <v>2059</v>
      </c>
      <c r="E1118" s="20" t="s">
        <v>91</v>
      </c>
      <c r="F1118" s="17" t="s">
        <v>51</v>
      </c>
      <c r="G1118" s="17" t="s">
        <v>3422</v>
      </c>
      <c r="H1118" s="17" t="s">
        <v>3423</v>
      </c>
      <c r="I1118" s="17" t="s">
        <v>125</v>
      </c>
      <c r="J1118" s="22" t="s">
        <v>144</v>
      </c>
      <c r="K1118" s="23" t="s">
        <v>108</v>
      </c>
      <c r="L1118" s="24" t="s">
        <v>91</v>
      </c>
      <c r="M1118" s="2">
        <v>32.0</v>
      </c>
      <c r="N1118" s="25">
        <v>31.0</v>
      </c>
      <c r="O1118" s="25"/>
      <c r="P1118" s="25"/>
    </row>
    <row r="1119">
      <c r="A1119" s="16">
        <v>1117.0</v>
      </c>
      <c r="B1119" s="27" t="s">
        <v>990</v>
      </c>
      <c r="C1119" s="18">
        <v>30.0</v>
      </c>
      <c r="D1119" s="19" t="s">
        <v>2059</v>
      </c>
      <c r="E1119" s="20" t="s">
        <v>91</v>
      </c>
      <c r="F1119" s="27" t="s">
        <v>1346</v>
      </c>
      <c r="G1119" s="17" t="s">
        <v>123</v>
      </c>
      <c r="H1119" s="17" t="s">
        <v>3424</v>
      </c>
      <c r="I1119" s="17" t="s">
        <v>125</v>
      </c>
      <c r="J1119" s="22" t="s">
        <v>144</v>
      </c>
      <c r="K1119" s="23" t="s">
        <v>108</v>
      </c>
      <c r="L1119" s="24"/>
      <c r="M1119" s="2">
        <v>32.0</v>
      </c>
      <c r="N1119" s="25">
        <v>31.0</v>
      </c>
      <c r="O1119" s="25"/>
      <c r="P1119" s="25"/>
    </row>
    <row r="1120">
      <c r="A1120" s="16">
        <v>1118.0</v>
      </c>
      <c r="B1120" s="17" t="s">
        <v>880</v>
      </c>
      <c r="C1120" s="18">
        <v>1.0</v>
      </c>
      <c r="D1120" s="19" t="s">
        <v>3294</v>
      </c>
      <c r="E1120" s="20" t="s">
        <v>91</v>
      </c>
      <c r="F1120" s="17" t="s">
        <v>988</v>
      </c>
      <c r="G1120" s="17" t="s">
        <v>123</v>
      </c>
      <c r="H1120" s="17" t="s">
        <v>3427</v>
      </c>
      <c r="I1120" s="17" t="s">
        <v>125</v>
      </c>
      <c r="J1120" s="22" t="s">
        <v>100</v>
      </c>
      <c r="K1120" s="23" t="s">
        <v>108</v>
      </c>
      <c r="L1120" s="24" t="s">
        <v>91</v>
      </c>
      <c r="M1120" s="2">
        <v>33.0</v>
      </c>
      <c r="N1120" s="25">
        <v>11.0</v>
      </c>
      <c r="O1120" s="25"/>
      <c r="P1120" s="25"/>
    </row>
    <row r="1121">
      <c r="A1121" s="16">
        <v>1119.0</v>
      </c>
      <c r="B1121" s="17" t="s">
        <v>880</v>
      </c>
      <c r="C1121" s="18">
        <v>2.0</v>
      </c>
      <c r="D1121" s="19" t="s">
        <v>3294</v>
      </c>
      <c r="E1121" s="20" t="s">
        <v>91</v>
      </c>
      <c r="F1121" s="17" t="s">
        <v>1249</v>
      </c>
      <c r="G1121" s="17" t="s">
        <v>3428</v>
      </c>
      <c r="H1121" s="17" t="s">
        <v>3429</v>
      </c>
      <c r="I1121" s="17" t="s">
        <v>125</v>
      </c>
      <c r="J1121" s="22" t="s">
        <v>100</v>
      </c>
      <c r="K1121" s="23" t="s">
        <v>108</v>
      </c>
      <c r="L1121" s="24" t="s">
        <v>91</v>
      </c>
      <c r="M1121" s="2">
        <v>33.0</v>
      </c>
      <c r="N1121" s="25">
        <v>11.0</v>
      </c>
      <c r="O1121" s="25"/>
      <c r="P1121" s="25"/>
    </row>
    <row r="1122">
      <c r="A1122" s="16">
        <v>1120.0</v>
      </c>
      <c r="B1122" s="17" t="s">
        <v>880</v>
      </c>
      <c r="C1122" s="18">
        <v>3.0</v>
      </c>
      <c r="D1122" s="19" t="s">
        <v>3294</v>
      </c>
      <c r="E1122" s="20" t="s">
        <v>91</v>
      </c>
      <c r="F1122" s="17" t="s">
        <v>1090</v>
      </c>
      <c r="G1122" s="17" t="s">
        <v>2681</v>
      </c>
      <c r="H1122" s="17" t="s">
        <v>3431</v>
      </c>
      <c r="I1122" s="17" t="s">
        <v>125</v>
      </c>
      <c r="J1122" s="22" t="s">
        <v>100</v>
      </c>
      <c r="K1122" s="23" t="s">
        <v>108</v>
      </c>
      <c r="L1122" s="24" t="s">
        <v>91</v>
      </c>
      <c r="M1122" s="2">
        <v>33.0</v>
      </c>
      <c r="N1122" s="25">
        <v>11.0</v>
      </c>
      <c r="O1122" s="25"/>
      <c r="P1122" s="25"/>
    </row>
    <row r="1123">
      <c r="A1123" s="16">
        <v>1121.0</v>
      </c>
      <c r="B1123" s="17" t="s">
        <v>880</v>
      </c>
      <c r="C1123" s="18">
        <v>4.0</v>
      </c>
      <c r="D1123" s="19" t="s">
        <v>3294</v>
      </c>
      <c r="E1123" s="20" t="s">
        <v>91</v>
      </c>
      <c r="F1123" s="17" t="s">
        <v>1116</v>
      </c>
      <c r="G1123" s="17" t="s">
        <v>3432</v>
      </c>
      <c r="H1123" s="17" t="s">
        <v>3433</v>
      </c>
      <c r="I1123" s="17" t="s">
        <v>98</v>
      </c>
      <c r="J1123" s="22" t="s">
        <v>135</v>
      </c>
      <c r="K1123" s="23" t="s">
        <v>108</v>
      </c>
      <c r="L1123" s="24" t="s">
        <v>91</v>
      </c>
      <c r="M1123" s="2">
        <v>33.0</v>
      </c>
      <c r="N1123" s="25">
        <v>20.0</v>
      </c>
      <c r="O1123" s="25"/>
      <c r="P1123" s="25"/>
    </row>
    <row r="1124">
      <c r="A1124" s="16">
        <v>1122.0</v>
      </c>
      <c r="B1124" s="17" t="s">
        <v>880</v>
      </c>
      <c r="C1124" s="18">
        <v>5.0</v>
      </c>
      <c r="D1124" s="19" t="s">
        <v>2078</v>
      </c>
      <c r="E1124" s="20" t="s">
        <v>91</v>
      </c>
      <c r="F1124" s="17" t="s">
        <v>1120</v>
      </c>
      <c r="G1124" s="17" t="s">
        <v>123</v>
      </c>
      <c r="H1124" s="17" t="s">
        <v>3435</v>
      </c>
      <c r="I1124" s="17" t="s">
        <v>125</v>
      </c>
      <c r="J1124" s="22" t="s">
        <v>135</v>
      </c>
      <c r="K1124" s="23" t="s">
        <v>108</v>
      </c>
      <c r="L1124" s="24" t="s">
        <v>91</v>
      </c>
      <c r="M1124" s="2">
        <v>33.0</v>
      </c>
      <c r="N1124" s="25">
        <v>21.0</v>
      </c>
      <c r="O1124" s="25"/>
      <c r="P1124" s="25"/>
    </row>
    <row r="1125">
      <c r="A1125" s="16">
        <v>1123.0</v>
      </c>
      <c r="B1125" s="17" t="s">
        <v>880</v>
      </c>
      <c r="C1125" s="18">
        <v>6.0</v>
      </c>
      <c r="D1125" s="19" t="s">
        <v>3294</v>
      </c>
      <c r="E1125" s="20" t="s">
        <v>91</v>
      </c>
      <c r="F1125" s="17" t="s">
        <v>888</v>
      </c>
      <c r="G1125" s="17" t="s">
        <v>3327</v>
      </c>
      <c r="H1125" s="17" t="s">
        <v>3436</v>
      </c>
      <c r="I1125" s="17" t="s">
        <v>125</v>
      </c>
      <c r="J1125" s="22" t="s">
        <v>135</v>
      </c>
      <c r="K1125" s="23" t="s">
        <v>108</v>
      </c>
      <c r="L1125" s="24" t="s">
        <v>91</v>
      </c>
      <c r="M1125" s="2">
        <v>33.0</v>
      </c>
      <c r="N1125" s="25">
        <v>21.0</v>
      </c>
      <c r="O1125" s="25"/>
      <c r="P1125" s="25"/>
    </row>
    <row r="1126">
      <c r="A1126" s="16">
        <v>1124.0</v>
      </c>
      <c r="B1126" s="17" t="s">
        <v>880</v>
      </c>
      <c r="C1126" s="18">
        <v>7.0</v>
      </c>
      <c r="D1126" s="19" t="s">
        <v>3294</v>
      </c>
      <c r="E1126" s="20" t="s">
        <v>91</v>
      </c>
      <c r="F1126" s="17" t="s">
        <v>510</v>
      </c>
      <c r="G1126" s="17" t="s">
        <v>3437</v>
      </c>
      <c r="H1126" s="17" t="s">
        <v>3438</v>
      </c>
      <c r="I1126" s="17" t="s">
        <v>98</v>
      </c>
      <c r="J1126" s="22" t="s">
        <v>144</v>
      </c>
      <c r="K1126" s="23" t="s">
        <v>108</v>
      </c>
      <c r="L1126" s="24" t="s">
        <v>91</v>
      </c>
      <c r="M1126" s="2">
        <v>33.0</v>
      </c>
      <c r="N1126" s="25">
        <v>30.0</v>
      </c>
      <c r="O1126" s="25"/>
      <c r="P1126" s="25"/>
    </row>
    <row r="1127">
      <c r="A1127" s="16">
        <v>1125.0</v>
      </c>
      <c r="B1127" s="17" t="s">
        <v>880</v>
      </c>
      <c r="C1127" s="18">
        <v>8.0</v>
      </c>
      <c r="D1127" s="19" t="s">
        <v>2078</v>
      </c>
      <c r="E1127" s="20" t="s">
        <v>91</v>
      </c>
      <c r="F1127" s="17" t="s">
        <v>439</v>
      </c>
      <c r="G1127" s="17" t="s">
        <v>3439</v>
      </c>
      <c r="H1127" s="17" t="s">
        <v>3440</v>
      </c>
      <c r="I1127" s="17" t="s">
        <v>125</v>
      </c>
      <c r="J1127" s="22" t="s">
        <v>144</v>
      </c>
      <c r="K1127" s="23" t="s">
        <v>108</v>
      </c>
      <c r="L1127" s="24" t="s">
        <v>91</v>
      </c>
      <c r="M1127" s="2">
        <v>33.0</v>
      </c>
      <c r="N1127" s="25">
        <v>31.0</v>
      </c>
      <c r="O1127" s="25"/>
      <c r="P1127" s="25"/>
    </row>
    <row r="1128">
      <c r="A1128" s="16">
        <v>1126.0</v>
      </c>
      <c r="B1128" s="17" t="s">
        <v>880</v>
      </c>
      <c r="C1128" s="18">
        <v>9.0</v>
      </c>
      <c r="D1128" s="19" t="s">
        <v>2078</v>
      </c>
      <c r="E1128" s="20" t="s">
        <v>91</v>
      </c>
      <c r="F1128" s="17" t="s">
        <v>876</v>
      </c>
      <c r="G1128" s="17" t="s">
        <v>123</v>
      </c>
      <c r="H1128" s="17" t="s">
        <v>3442</v>
      </c>
      <c r="I1128" s="17" t="s">
        <v>125</v>
      </c>
      <c r="J1128" s="22" t="s">
        <v>144</v>
      </c>
      <c r="K1128" s="23" t="s">
        <v>108</v>
      </c>
      <c r="L1128" s="24" t="s">
        <v>91</v>
      </c>
      <c r="M1128" s="2">
        <v>33.0</v>
      </c>
      <c r="N1128" s="25">
        <v>31.0</v>
      </c>
      <c r="O1128" s="25"/>
      <c r="P1128" s="25"/>
    </row>
    <row r="1129">
      <c r="A1129" s="16">
        <v>1127.0</v>
      </c>
      <c r="B1129" s="17" t="s">
        <v>880</v>
      </c>
      <c r="C1129" s="18">
        <v>10.0</v>
      </c>
      <c r="D1129" s="19" t="s">
        <v>2078</v>
      </c>
      <c r="E1129" s="20" t="s">
        <v>91</v>
      </c>
      <c r="F1129" s="17" t="s">
        <v>541</v>
      </c>
      <c r="G1129" s="17" t="s">
        <v>3443</v>
      </c>
      <c r="H1129" s="17" t="s">
        <v>3444</v>
      </c>
      <c r="I1129" s="17" t="s">
        <v>125</v>
      </c>
      <c r="J1129" s="22" t="s">
        <v>144</v>
      </c>
      <c r="K1129" s="23" t="s">
        <v>108</v>
      </c>
      <c r="L1129" s="24" t="s">
        <v>91</v>
      </c>
      <c r="M1129" s="2">
        <v>33.0</v>
      </c>
      <c r="N1129" s="25">
        <v>31.0</v>
      </c>
      <c r="O1129" s="25"/>
      <c r="P1129" s="25"/>
    </row>
    <row r="1130">
      <c r="A1130" s="16">
        <v>1128.0</v>
      </c>
      <c r="B1130" s="17" t="s">
        <v>880</v>
      </c>
      <c r="C1130" s="18">
        <v>11.0</v>
      </c>
      <c r="D1130" s="19" t="s">
        <v>2078</v>
      </c>
      <c r="E1130" s="20" t="s">
        <v>91</v>
      </c>
      <c r="F1130" s="17" t="s">
        <v>485</v>
      </c>
      <c r="G1130" s="17" t="s">
        <v>3445</v>
      </c>
      <c r="H1130" s="17" t="s">
        <v>3446</v>
      </c>
      <c r="I1130" s="17" t="s">
        <v>125</v>
      </c>
      <c r="J1130" s="22" t="s">
        <v>144</v>
      </c>
      <c r="K1130" s="23" t="s">
        <v>108</v>
      </c>
      <c r="L1130" s="24" t="s">
        <v>91</v>
      </c>
      <c r="M1130" s="2">
        <v>33.0</v>
      </c>
      <c r="N1130" s="25">
        <v>31.0</v>
      </c>
      <c r="O1130" s="25"/>
      <c r="P1130" s="25"/>
    </row>
    <row r="1131">
      <c r="A1131" s="16">
        <v>1129.0</v>
      </c>
      <c r="B1131" s="17" t="s">
        <v>880</v>
      </c>
      <c r="C1131" s="18">
        <v>12.0</v>
      </c>
      <c r="D1131" s="19" t="s">
        <v>2078</v>
      </c>
      <c r="E1131" s="20" t="s">
        <v>91</v>
      </c>
      <c r="F1131" s="17" t="s">
        <v>318</v>
      </c>
      <c r="G1131" s="17" t="s">
        <v>123</v>
      </c>
      <c r="H1131" s="17" t="s">
        <v>3315</v>
      </c>
      <c r="I1131" s="17" t="s">
        <v>125</v>
      </c>
      <c r="J1131" s="22" t="s">
        <v>144</v>
      </c>
      <c r="K1131" s="23" t="s">
        <v>108</v>
      </c>
      <c r="L1131" s="24" t="s">
        <v>91</v>
      </c>
      <c r="M1131" s="2">
        <v>33.0</v>
      </c>
      <c r="N1131" s="25">
        <v>31.0</v>
      </c>
      <c r="O1131" s="25"/>
      <c r="P1131" s="25"/>
    </row>
    <row r="1132">
      <c r="A1132" s="16">
        <v>1130.0</v>
      </c>
      <c r="B1132" s="17" t="s">
        <v>880</v>
      </c>
      <c r="C1132" s="18">
        <v>13.0</v>
      </c>
      <c r="D1132" s="19" t="s">
        <v>2078</v>
      </c>
      <c r="E1132" s="20" t="s">
        <v>91</v>
      </c>
      <c r="F1132" s="17" t="s">
        <v>887</v>
      </c>
      <c r="G1132" s="17" t="s">
        <v>3291</v>
      </c>
      <c r="H1132" s="17" t="s">
        <v>3449</v>
      </c>
      <c r="I1132" s="17" t="s">
        <v>125</v>
      </c>
      <c r="J1132" s="22" t="s">
        <v>144</v>
      </c>
      <c r="K1132" s="23" t="s">
        <v>108</v>
      </c>
      <c r="L1132" s="24" t="s">
        <v>91</v>
      </c>
      <c r="M1132" s="2">
        <v>33.0</v>
      </c>
      <c r="N1132" s="25">
        <v>31.0</v>
      </c>
      <c r="O1132" s="25"/>
      <c r="P1132" s="25"/>
    </row>
    <row r="1133">
      <c r="A1133" s="16">
        <v>1131.0</v>
      </c>
      <c r="B1133" s="17" t="s">
        <v>880</v>
      </c>
      <c r="C1133" s="18">
        <v>14.0</v>
      </c>
      <c r="D1133" s="19" t="s">
        <v>2078</v>
      </c>
      <c r="E1133" s="20" t="s">
        <v>91</v>
      </c>
      <c r="F1133" s="17" t="s">
        <v>503</v>
      </c>
      <c r="G1133" s="17" t="s">
        <v>3323</v>
      </c>
      <c r="H1133" s="17" t="s">
        <v>3324</v>
      </c>
      <c r="I1133" s="17" t="s">
        <v>125</v>
      </c>
      <c r="J1133" s="22" t="s">
        <v>144</v>
      </c>
      <c r="K1133" s="23" t="s">
        <v>108</v>
      </c>
      <c r="L1133" s="24" t="s">
        <v>91</v>
      </c>
      <c r="M1133" s="2">
        <v>33.0</v>
      </c>
      <c r="N1133" s="25">
        <v>31.0</v>
      </c>
      <c r="O1133" s="25"/>
      <c r="P1133" s="25"/>
    </row>
    <row r="1134">
      <c r="A1134" s="16">
        <v>1132.0</v>
      </c>
      <c r="B1134" s="17" t="s">
        <v>880</v>
      </c>
      <c r="C1134" s="18">
        <v>15.0</v>
      </c>
      <c r="D1134" s="19" t="s">
        <v>2078</v>
      </c>
      <c r="E1134" s="20" t="s">
        <v>91</v>
      </c>
      <c r="F1134" s="17" t="s">
        <v>152</v>
      </c>
      <c r="G1134" s="17" t="s">
        <v>123</v>
      </c>
      <c r="H1134" s="17" t="s">
        <v>3451</v>
      </c>
      <c r="I1134" s="17" t="s">
        <v>125</v>
      </c>
      <c r="J1134" s="22" t="s">
        <v>144</v>
      </c>
      <c r="K1134" s="23" t="s">
        <v>108</v>
      </c>
      <c r="L1134" s="24" t="s">
        <v>91</v>
      </c>
      <c r="M1134" s="2">
        <v>33.0</v>
      </c>
      <c r="N1134" s="25">
        <v>31.0</v>
      </c>
      <c r="O1134" s="25"/>
      <c r="P1134" s="25"/>
    </row>
    <row r="1135">
      <c r="A1135" s="16">
        <v>1133.0</v>
      </c>
      <c r="B1135" s="17" t="s">
        <v>880</v>
      </c>
      <c r="C1135" s="18">
        <v>16.0</v>
      </c>
      <c r="D1135" s="19" t="s">
        <v>2078</v>
      </c>
      <c r="E1135" s="20" t="s">
        <v>91</v>
      </c>
      <c r="F1135" s="17" t="s">
        <v>325</v>
      </c>
      <c r="G1135" s="17" t="s">
        <v>3453</v>
      </c>
      <c r="H1135" s="17" t="s">
        <v>3454</v>
      </c>
      <c r="I1135" s="17" t="s">
        <v>125</v>
      </c>
      <c r="J1135" s="22" t="s">
        <v>144</v>
      </c>
      <c r="K1135" s="23" t="s">
        <v>108</v>
      </c>
      <c r="L1135" s="24" t="s">
        <v>91</v>
      </c>
      <c r="M1135" s="2">
        <v>33.0</v>
      </c>
      <c r="N1135" s="25">
        <v>31.0</v>
      </c>
      <c r="O1135" s="25"/>
      <c r="P1135" s="25"/>
    </row>
    <row r="1136">
      <c r="A1136" s="16">
        <v>1134.0</v>
      </c>
      <c r="B1136" s="17" t="s">
        <v>880</v>
      </c>
      <c r="C1136" s="18">
        <v>17.0</v>
      </c>
      <c r="D1136" s="19" t="s">
        <v>2078</v>
      </c>
      <c r="E1136" s="20" t="s">
        <v>91</v>
      </c>
      <c r="F1136" s="17" t="s">
        <v>1250</v>
      </c>
      <c r="G1136" s="17" t="s">
        <v>3455</v>
      </c>
      <c r="H1136" s="17" t="s">
        <v>3456</v>
      </c>
      <c r="I1136" s="17" t="s">
        <v>125</v>
      </c>
      <c r="J1136" s="22" t="s">
        <v>144</v>
      </c>
      <c r="K1136" s="23" t="s">
        <v>108</v>
      </c>
      <c r="L1136" s="24" t="s">
        <v>91</v>
      </c>
      <c r="M1136" s="2">
        <v>33.0</v>
      </c>
      <c r="N1136" s="25">
        <v>31.0</v>
      </c>
      <c r="O1136" s="25"/>
      <c r="P1136" s="25"/>
    </row>
    <row r="1137">
      <c r="A1137" s="16">
        <v>1135.0</v>
      </c>
      <c r="B1137" s="17" t="s">
        <v>880</v>
      </c>
      <c r="C1137" s="18">
        <v>18.0</v>
      </c>
      <c r="D1137" s="19" t="s">
        <v>2078</v>
      </c>
      <c r="E1137" s="20" t="s">
        <v>91</v>
      </c>
      <c r="F1137" s="17" t="s">
        <v>1231</v>
      </c>
      <c r="G1137" s="17" t="s">
        <v>123</v>
      </c>
      <c r="H1137" s="17" t="s">
        <v>3457</v>
      </c>
      <c r="I1137" s="17" t="s">
        <v>125</v>
      </c>
      <c r="J1137" s="22" t="s">
        <v>144</v>
      </c>
      <c r="K1137" s="23" t="s">
        <v>108</v>
      </c>
      <c r="L1137" s="24" t="s">
        <v>91</v>
      </c>
      <c r="M1137" s="2">
        <v>33.0</v>
      </c>
      <c r="N1137" s="25">
        <v>31.0</v>
      </c>
      <c r="O1137" s="25"/>
      <c r="P1137" s="25"/>
    </row>
    <row r="1138">
      <c r="A1138" s="16">
        <v>1136.0</v>
      </c>
      <c r="B1138" s="17" t="s">
        <v>880</v>
      </c>
      <c r="C1138" s="18">
        <v>19.0</v>
      </c>
      <c r="D1138" s="19" t="s">
        <v>2078</v>
      </c>
      <c r="E1138" s="20" t="s">
        <v>91</v>
      </c>
      <c r="F1138" s="17" t="s">
        <v>679</v>
      </c>
      <c r="G1138" s="17" t="s">
        <v>3458</v>
      </c>
      <c r="H1138" s="17" t="s">
        <v>3459</v>
      </c>
      <c r="I1138" s="17" t="s">
        <v>125</v>
      </c>
      <c r="J1138" s="22" t="s">
        <v>144</v>
      </c>
      <c r="K1138" s="23" t="s">
        <v>108</v>
      </c>
      <c r="L1138" s="24" t="s">
        <v>91</v>
      </c>
      <c r="M1138" s="2">
        <v>33.0</v>
      </c>
      <c r="N1138" s="25">
        <v>31.0</v>
      </c>
      <c r="O1138" s="25"/>
      <c r="P1138" s="25"/>
    </row>
    <row r="1139">
      <c r="A1139" s="16">
        <v>1137.0</v>
      </c>
      <c r="B1139" s="17" t="s">
        <v>880</v>
      </c>
      <c r="C1139" s="18">
        <v>20.0</v>
      </c>
      <c r="D1139" s="19" t="s">
        <v>2078</v>
      </c>
      <c r="E1139" s="20" t="s">
        <v>91</v>
      </c>
      <c r="F1139" s="17" t="s">
        <v>1247</v>
      </c>
      <c r="G1139" s="17" t="s">
        <v>3461</v>
      </c>
      <c r="H1139" s="17" t="s">
        <v>3462</v>
      </c>
      <c r="I1139" s="17" t="s">
        <v>125</v>
      </c>
      <c r="J1139" s="22" t="s">
        <v>144</v>
      </c>
      <c r="K1139" s="23" t="s">
        <v>108</v>
      </c>
      <c r="L1139" s="24" t="s">
        <v>91</v>
      </c>
      <c r="M1139" s="2">
        <v>33.0</v>
      </c>
      <c r="N1139" s="25">
        <v>31.0</v>
      </c>
      <c r="O1139" s="25"/>
      <c r="P1139" s="25"/>
    </row>
    <row r="1140">
      <c r="A1140" s="16">
        <v>1138.0</v>
      </c>
      <c r="B1140" s="17" t="s">
        <v>880</v>
      </c>
      <c r="C1140" s="18">
        <v>21.0</v>
      </c>
      <c r="D1140" s="19" t="s">
        <v>2078</v>
      </c>
      <c r="E1140" s="20" t="s">
        <v>91</v>
      </c>
      <c r="F1140" s="17" t="s">
        <v>1223</v>
      </c>
      <c r="G1140" s="17" t="s">
        <v>2769</v>
      </c>
      <c r="H1140" s="17" t="s">
        <v>3463</v>
      </c>
      <c r="I1140" s="17" t="s">
        <v>125</v>
      </c>
      <c r="J1140" s="22" t="s">
        <v>144</v>
      </c>
      <c r="K1140" s="23" t="s">
        <v>108</v>
      </c>
      <c r="L1140" s="24" t="s">
        <v>91</v>
      </c>
      <c r="M1140" s="2">
        <v>33.0</v>
      </c>
      <c r="N1140" s="25">
        <v>31.0</v>
      </c>
      <c r="O1140" s="25"/>
      <c r="P1140" s="25"/>
    </row>
    <row r="1141">
      <c r="A1141" s="16">
        <v>1139.0</v>
      </c>
      <c r="B1141" s="17" t="s">
        <v>880</v>
      </c>
      <c r="C1141" s="18">
        <v>22.0</v>
      </c>
      <c r="D1141" s="19" t="s">
        <v>2078</v>
      </c>
      <c r="E1141" s="20" t="s">
        <v>91</v>
      </c>
      <c r="F1141" s="17" t="s">
        <v>996</v>
      </c>
      <c r="G1141" s="17" t="s">
        <v>123</v>
      </c>
      <c r="H1141" s="17" t="s">
        <v>3464</v>
      </c>
      <c r="I1141" s="17" t="s">
        <v>125</v>
      </c>
      <c r="J1141" s="22" t="s">
        <v>144</v>
      </c>
      <c r="K1141" s="23" t="s">
        <v>108</v>
      </c>
      <c r="L1141" s="24" t="s">
        <v>91</v>
      </c>
      <c r="M1141" s="2">
        <v>33.0</v>
      </c>
      <c r="N1141" s="25">
        <v>31.0</v>
      </c>
      <c r="O1141" s="25"/>
      <c r="P1141" s="25"/>
    </row>
    <row r="1142">
      <c r="A1142" s="16">
        <v>1140.0</v>
      </c>
      <c r="B1142" s="17" t="s">
        <v>880</v>
      </c>
      <c r="C1142" s="18">
        <v>23.0</v>
      </c>
      <c r="D1142" s="19" t="s">
        <v>2078</v>
      </c>
      <c r="E1142" s="20" t="s">
        <v>91</v>
      </c>
      <c r="F1142" s="17" t="s">
        <v>1103</v>
      </c>
      <c r="G1142" s="17" t="s">
        <v>3465</v>
      </c>
      <c r="H1142" s="17" t="s">
        <v>3466</v>
      </c>
      <c r="I1142" s="17" t="s">
        <v>125</v>
      </c>
      <c r="J1142" s="22" t="s">
        <v>144</v>
      </c>
      <c r="K1142" s="23" t="s">
        <v>108</v>
      </c>
      <c r="L1142" s="24" t="s">
        <v>91</v>
      </c>
      <c r="M1142" s="2">
        <v>33.0</v>
      </c>
      <c r="N1142" s="25">
        <v>31.0</v>
      </c>
      <c r="O1142" s="25"/>
      <c r="P1142" s="25"/>
    </row>
    <row r="1143">
      <c r="A1143" s="16">
        <v>1141.0</v>
      </c>
      <c r="B1143" s="17" t="s">
        <v>880</v>
      </c>
      <c r="C1143" s="18">
        <v>24.0</v>
      </c>
      <c r="D1143" s="19" t="s">
        <v>2078</v>
      </c>
      <c r="E1143" s="20" t="s">
        <v>91</v>
      </c>
      <c r="F1143" s="17" t="s">
        <v>764</v>
      </c>
      <c r="G1143" s="17" t="s">
        <v>123</v>
      </c>
      <c r="H1143" s="17" t="s">
        <v>3468</v>
      </c>
      <c r="I1143" s="17" t="s">
        <v>125</v>
      </c>
      <c r="J1143" s="22" t="s">
        <v>144</v>
      </c>
      <c r="K1143" s="23" t="s">
        <v>108</v>
      </c>
      <c r="L1143" s="24" t="s">
        <v>91</v>
      </c>
      <c r="M1143" s="2">
        <v>33.0</v>
      </c>
      <c r="N1143" s="25">
        <v>31.0</v>
      </c>
      <c r="O1143" s="25"/>
      <c r="P1143" s="25"/>
    </row>
    <row r="1144">
      <c r="A1144" s="16">
        <v>1142.0</v>
      </c>
      <c r="B1144" s="17" t="s">
        <v>880</v>
      </c>
      <c r="C1144" s="18">
        <v>25.0</v>
      </c>
      <c r="D1144" s="19" t="s">
        <v>2078</v>
      </c>
      <c r="E1144" s="20" t="s">
        <v>91</v>
      </c>
      <c r="F1144" s="17" t="s">
        <v>371</v>
      </c>
      <c r="G1144" s="17" t="s">
        <v>373</v>
      </c>
      <c r="H1144" s="17" t="s">
        <v>376</v>
      </c>
      <c r="I1144" s="17" t="s">
        <v>125</v>
      </c>
      <c r="J1144" s="22" t="s">
        <v>144</v>
      </c>
      <c r="K1144" s="23" t="s">
        <v>108</v>
      </c>
      <c r="L1144" s="24" t="s">
        <v>91</v>
      </c>
      <c r="M1144" s="2">
        <v>33.0</v>
      </c>
      <c r="N1144" s="25">
        <v>31.0</v>
      </c>
      <c r="O1144" s="25"/>
      <c r="P1144" s="25"/>
    </row>
    <row r="1145">
      <c r="A1145" s="16">
        <v>1143.0</v>
      </c>
      <c r="B1145" s="17" t="s">
        <v>880</v>
      </c>
      <c r="C1145" s="18">
        <v>26.0</v>
      </c>
      <c r="D1145" s="19" t="s">
        <v>2078</v>
      </c>
      <c r="E1145" s="20" t="s">
        <v>91</v>
      </c>
      <c r="F1145" s="17" t="s">
        <v>1109</v>
      </c>
      <c r="G1145" s="17" t="s">
        <v>123</v>
      </c>
      <c r="H1145" s="17" t="s">
        <v>3469</v>
      </c>
      <c r="I1145" s="17" t="s">
        <v>125</v>
      </c>
      <c r="J1145" s="22" t="s">
        <v>144</v>
      </c>
      <c r="K1145" s="23" t="s">
        <v>108</v>
      </c>
      <c r="L1145" s="24" t="s">
        <v>91</v>
      </c>
      <c r="M1145" s="2">
        <v>33.0</v>
      </c>
      <c r="N1145" s="25">
        <v>31.0</v>
      </c>
      <c r="O1145" s="25"/>
      <c r="P1145" s="25"/>
    </row>
    <row r="1146">
      <c r="A1146" s="16">
        <v>1144.0</v>
      </c>
      <c r="B1146" s="17" t="s">
        <v>880</v>
      </c>
      <c r="C1146" s="18">
        <v>27.0</v>
      </c>
      <c r="D1146" s="19" t="s">
        <v>2078</v>
      </c>
      <c r="E1146" s="20" t="s">
        <v>91</v>
      </c>
      <c r="F1146" s="17" t="s">
        <v>524</v>
      </c>
      <c r="G1146" s="17" t="s">
        <v>123</v>
      </c>
      <c r="H1146" s="17" t="s">
        <v>3470</v>
      </c>
      <c r="I1146" s="17" t="s">
        <v>125</v>
      </c>
      <c r="J1146" s="22" t="s">
        <v>144</v>
      </c>
      <c r="K1146" s="23" t="s">
        <v>108</v>
      </c>
      <c r="L1146" s="24" t="s">
        <v>91</v>
      </c>
      <c r="M1146" s="2">
        <v>33.0</v>
      </c>
      <c r="N1146" s="25">
        <v>31.0</v>
      </c>
      <c r="O1146" s="25"/>
      <c r="P1146" s="25"/>
    </row>
    <row r="1147">
      <c r="A1147" s="16">
        <v>1145.0</v>
      </c>
      <c r="B1147" s="17" t="s">
        <v>880</v>
      </c>
      <c r="C1147" s="18">
        <v>28.0</v>
      </c>
      <c r="D1147" s="19" t="s">
        <v>2078</v>
      </c>
      <c r="E1147" s="20" t="s">
        <v>91</v>
      </c>
      <c r="F1147" s="17" t="s">
        <v>725</v>
      </c>
      <c r="G1147" s="17" t="s">
        <v>123</v>
      </c>
      <c r="H1147" s="17" t="s">
        <v>3471</v>
      </c>
      <c r="I1147" s="17" t="s">
        <v>125</v>
      </c>
      <c r="J1147" s="22" t="s">
        <v>144</v>
      </c>
      <c r="K1147" s="23" t="s">
        <v>108</v>
      </c>
      <c r="L1147" s="24" t="s">
        <v>91</v>
      </c>
      <c r="M1147" s="2">
        <v>33.0</v>
      </c>
      <c r="N1147" s="25">
        <v>31.0</v>
      </c>
      <c r="O1147" s="25"/>
      <c r="P1147" s="25"/>
    </row>
    <row r="1148">
      <c r="A1148" s="16">
        <v>1146.0</v>
      </c>
      <c r="B1148" s="17" t="s">
        <v>880</v>
      </c>
      <c r="C1148" s="18">
        <v>29.0</v>
      </c>
      <c r="D1148" s="19" t="s">
        <v>2078</v>
      </c>
      <c r="E1148" s="20" t="s">
        <v>91</v>
      </c>
      <c r="F1148" s="17" t="s">
        <v>444</v>
      </c>
      <c r="G1148" s="17" t="s">
        <v>123</v>
      </c>
      <c r="H1148" s="17" t="s">
        <v>3370</v>
      </c>
      <c r="I1148" s="17" t="s">
        <v>125</v>
      </c>
      <c r="J1148" s="22" t="s">
        <v>144</v>
      </c>
      <c r="K1148" s="23" t="s">
        <v>108</v>
      </c>
      <c r="L1148" s="24" t="s">
        <v>91</v>
      </c>
      <c r="M1148" s="2">
        <v>33.0</v>
      </c>
      <c r="N1148" s="25">
        <v>31.0</v>
      </c>
      <c r="O1148" s="25"/>
      <c r="P1148" s="25"/>
    </row>
    <row r="1149">
      <c r="A1149" s="16">
        <v>1147.0</v>
      </c>
      <c r="B1149" s="17" t="s">
        <v>880</v>
      </c>
      <c r="C1149" s="18">
        <v>30.0</v>
      </c>
      <c r="D1149" s="19" t="s">
        <v>2078</v>
      </c>
      <c r="E1149" s="20" t="s">
        <v>91</v>
      </c>
      <c r="F1149" s="17" t="s">
        <v>728</v>
      </c>
      <c r="G1149" s="17" t="s">
        <v>123</v>
      </c>
      <c r="H1149" s="17" t="s">
        <v>3473</v>
      </c>
      <c r="I1149" s="17" t="s">
        <v>125</v>
      </c>
      <c r="J1149" s="22" t="s">
        <v>144</v>
      </c>
      <c r="K1149" s="23" t="s">
        <v>108</v>
      </c>
      <c r="L1149" s="24" t="s">
        <v>91</v>
      </c>
      <c r="M1149" s="2">
        <v>33.0</v>
      </c>
      <c r="N1149" s="25">
        <v>31.0</v>
      </c>
      <c r="O1149" s="25"/>
      <c r="P1149" s="25"/>
    </row>
    <row r="1150">
      <c r="A1150" s="16">
        <v>1148.0</v>
      </c>
      <c r="B1150" s="17" t="s">
        <v>880</v>
      </c>
      <c r="C1150" s="18">
        <v>31.0</v>
      </c>
      <c r="D1150" s="19" t="s">
        <v>2078</v>
      </c>
      <c r="E1150" s="20" t="s">
        <v>91</v>
      </c>
      <c r="F1150" s="17" t="s">
        <v>861</v>
      </c>
      <c r="G1150" s="17" t="s">
        <v>123</v>
      </c>
      <c r="H1150" s="17" t="s">
        <v>3474</v>
      </c>
      <c r="I1150" s="17" t="s">
        <v>125</v>
      </c>
      <c r="J1150" s="22" t="s">
        <v>144</v>
      </c>
      <c r="K1150" s="23" t="s">
        <v>108</v>
      </c>
      <c r="L1150" s="24" t="s">
        <v>91</v>
      </c>
      <c r="M1150" s="2">
        <v>33.0</v>
      </c>
      <c r="N1150" s="25">
        <v>31.0</v>
      </c>
      <c r="O1150" s="25"/>
      <c r="P1150" s="25"/>
    </row>
    <row r="1151">
      <c r="A1151" s="16">
        <v>1149.0</v>
      </c>
      <c r="B1151" s="17" t="s">
        <v>880</v>
      </c>
      <c r="C1151" s="18">
        <v>32.0</v>
      </c>
      <c r="D1151" s="19" t="s">
        <v>2078</v>
      </c>
      <c r="E1151" s="20" t="s">
        <v>91</v>
      </c>
      <c r="F1151" s="17" t="s">
        <v>868</v>
      </c>
      <c r="G1151" s="17" t="s">
        <v>3475</v>
      </c>
      <c r="H1151" s="17" t="s">
        <v>3476</v>
      </c>
      <c r="I1151" s="17" t="s">
        <v>125</v>
      </c>
      <c r="J1151" s="22" t="s">
        <v>144</v>
      </c>
      <c r="K1151" s="23" t="s">
        <v>108</v>
      </c>
      <c r="L1151" s="24" t="s">
        <v>91</v>
      </c>
      <c r="M1151" s="2">
        <v>33.0</v>
      </c>
      <c r="N1151" s="25">
        <v>31.0</v>
      </c>
      <c r="O1151" s="25"/>
      <c r="P1151" s="25"/>
    </row>
    <row r="1152">
      <c r="A1152" s="16">
        <v>1150.0</v>
      </c>
      <c r="B1152" s="17" t="s">
        <v>880</v>
      </c>
      <c r="C1152" s="18">
        <v>33.0</v>
      </c>
      <c r="D1152" s="19" t="s">
        <v>3294</v>
      </c>
      <c r="E1152" s="20" t="s">
        <v>91</v>
      </c>
      <c r="F1152" s="17" t="s">
        <v>481</v>
      </c>
      <c r="G1152" s="17" t="s">
        <v>2662</v>
      </c>
      <c r="H1152" s="17" t="s">
        <v>3310</v>
      </c>
      <c r="I1152" s="17" t="s">
        <v>125</v>
      </c>
      <c r="J1152" s="22" t="s">
        <v>144</v>
      </c>
      <c r="K1152" s="23" t="s">
        <v>108</v>
      </c>
      <c r="L1152" s="24" t="s">
        <v>91</v>
      </c>
      <c r="M1152" s="2">
        <v>33.0</v>
      </c>
      <c r="N1152" s="25">
        <v>31.0</v>
      </c>
      <c r="O1152" s="25"/>
      <c r="P1152" s="25"/>
    </row>
    <row r="1153">
      <c r="A1153" s="16">
        <v>1151.0</v>
      </c>
      <c r="B1153" s="17" t="s">
        <v>880</v>
      </c>
      <c r="C1153" s="18">
        <v>34.0</v>
      </c>
      <c r="D1153" s="19" t="s">
        <v>3294</v>
      </c>
      <c r="E1153" s="20" t="s">
        <v>91</v>
      </c>
      <c r="F1153" s="17" t="s">
        <v>875</v>
      </c>
      <c r="G1153" s="17" t="s">
        <v>123</v>
      </c>
      <c r="H1153" s="17" t="s">
        <v>3300</v>
      </c>
      <c r="I1153" s="17" t="s">
        <v>125</v>
      </c>
      <c r="J1153" s="22" t="s">
        <v>144</v>
      </c>
      <c r="K1153" s="23" t="s">
        <v>108</v>
      </c>
      <c r="L1153" s="24" t="s">
        <v>91</v>
      </c>
      <c r="M1153" s="2">
        <v>33.0</v>
      </c>
      <c r="N1153" s="25">
        <v>31.0</v>
      </c>
      <c r="O1153" s="25"/>
      <c r="P1153" s="25"/>
    </row>
    <row r="1154">
      <c r="A1154" s="16">
        <v>1152.0</v>
      </c>
      <c r="B1154" s="17" t="s">
        <v>880</v>
      </c>
      <c r="C1154" s="18">
        <v>35.0</v>
      </c>
      <c r="D1154" s="19" t="s">
        <v>3294</v>
      </c>
      <c r="E1154" s="20" t="s">
        <v>91</v>
      </c>
      <c r="F1154" s="17" t="s">
        <v>884</v>
      </c>
      <c r="G1154" s="17" t="s">
        <v>123</v>
      </c>
      <c r="H1154" s="17" t="s">
        <v>3479</v>
      </c>
      <c r="I1154" s="17" t="s">
        <v>125</v>
      </c>
      <c r="J1154" s="22" t="s">
        <v>144</v>
      </c>
      <c r="K1154" s="23" t="s">
        <v>108</v>
      </c>
      <c r="L1154" s="24" t="s">
        <v>91</v>
      </c>
      <c r="M1154" s="2">
        <v>33.0</v>
      </c>
      <c r="N1154" s="25">
        <v>31.0</v>
      </c>
      <c r="O1154" s="25"/>
      <c r="P1154" s="25"/>
    </row>
    <row r="1155">
      <c r="A1155" s="16">
        <v>1153.0</v>
      </c>
      <c r="B1155" s="17" t="s">
        <v>880</v>
      </c>
      <c r="C1155" s="18">
        <v>36.0</v>
      </c>
      <c r="D1155" s="19" t="s">
        <v>3294</v>
      </c>
      <c r="E1155" s="20" t="s">
        <v>91</v>
      </c>
      <c r="F1155" s="17" t="s">
        <v>734</v>
      </c>
      <c r="G1155" s="17" t="s">
        <v>3321</v>
      </c>
      <c r="H1155" s="17" t="s">
        <v>3322</v>
      </c>
      <c r="I1155" s="17" t="s">
        <v>125</v>
      </c>
      <c r="J1155" s="22" t="s">
        <v>144</v>
      </c>
      <c r="K1155" s="23" t="s">
        <v>108</v>
      </c>
      <c r="L1155" s="24" t="s">
        <v>91</v>
      </c>
      <c r="M1155" s="2">
        <v>33.0</v>
      </c>
      <c r="N1155" s="25">
        <v>31.0</v>
      </c>
      <c r="O1155" s="25"/>
      <c r="P1155" s="25"/>
    </row>
    <row r="1156">
      <c r="A1156" s="16">
        <v>1154.0</v>
      </c>
      <c r="B1156" s="17" t="s">
        <v>880</v>
      </c>
      <c r="C1156" s="18">
        <v>37.0</v>
      </c>
      <c r="D1156" s="19" t="s">
        <v>3294</v>
      </c>
      <c r="E1156" s="20" t="s">
        <v>91</v>
      </c>
      <c r="F1156" s="17" t="s">
        <v>761</v>
      </c>
      <c r="G1156" s="17" t="s">
        <v>123</v>
      </c>
      <c r="H1156" s="17" t="s">
        <v>3480</v>
      </c>
      <c r="I1156" s="17" t="s">
        <v>125</v>
      </c>
      <c r="J1156" s="22" t="s">
        <v>144</v>
      </c>
      <c r="K1156" s="23" t="s">
        <v>108</v>
      </c>
      <c r="L1156" s="24" t="s">
        <v>91</v>
      </c>
      <c r="M1156" s="2">
        <v>33.0</v>
      </c>
      <c r="N1156" s="25">
        <v>31.0</v>
      </c>
      <c r="O1156" s="25"/>
      <c r="P1156" s="25"/>
    </row>
    <row r="1157">
      <c r="A1157" s="16">
        <v>1155.0</v>
      </c>
      <c r="B1157" s="17" t="s">
        <v>880</v>
      </c>
      <c r="C1157" s="18">
        <v>38.0</v>
      </c>
      <c r="D1157" s="19" t="s">
        <v>3294</v>
      </c>
      <c r="E1157" s="20" t="s">
        <v>91</v>
      </c>
      <c r="F1157" s="17" t="s">
        <v>867</v>
      </c>
      <c r="G1157" s="17" t="s">
        <v>123</v>
      </c>
      <c r="H1157" s="17" t="s">
        <v>3481</v>
      </c>
      <c r="I1157" s="17" t="s">
        <v>125</v>
      </c>
      <c r="J1157" s="22" t="s">
        <v>144</v>
      </c>
      <c r="K1157" s="23" t="s">
        <v>108</v>
      </c>
      <c r="L1157" s="24" t="s">
        <v>91</v>
      </c>
      <c r="M1157" s="2">
        <v>33.0</v>
      </c>
      <c r="N1157" s="25">
        <v>31.0</v>
      </c>
      <c r="O1157" s="25"/>
      <c r="P1157" s="25"/>
    </row>
    <row r="1158">
      <c r="A1158" s="16">
        <v>1156.0</v>
      </c>
      <c r="B1158" s="17" t="s">
        <v>880</v>
      </c>
      <c r="C1158" s="18">
        <v>39.0</v>
      </c>
      <c r="D1158" s="19" t="s">
        <v>3294</v>
      </c>
      <c r="E1158" s="20" t="s">
        <v>91</v>
      </c>
      <c r="F1158" s="17" t="s">
        <v>1372</v>
      </c>
      <c r="G1158" s="17" t="s">
        <v>3483</v>
      </c>
      <c r="H1158" s="17" t="s">
        <v>3364</v>
      </c>
      <c r="I1158" s="17" t="s">
        <v>125</v>
      </c>
      <c r="J1158" s="22" t="s">
        <v>144</v>
      </c>
      <c r="K1158" s="23" t="s">
        <v>108</v>
      </c>
      <c r="L1158" s="24" t="s">
        <v>91</v>
      </c>
      <c r="M1158" s="2">
        <v>33.0</v>
      </c>
      <c r="N1158" s="25">
        <v>31.0</v>
      </c>
      <c r="O1158" s="25"/>
      <c r="P1158" s="25"/>
    </row>
    <row r="1159">
      <c r="A1159" s="16">
        <v>1157.0</v>
      </c>
      <c r="B1159" s="17" t="s">
        <v>880</v>
      </c>
      <c r="C1159" s="18">
        <v>40.0</v>
      </c>
      <c r="D1159" s="19" t="s">
        <v>3294</v>
      </c>
      <c r="E1159" s="20" t="s">
        <v>91</v>
      </c>
      <c r="F1159" s="17" t="s">
        <v>499</v>
      </c>
      <c r="G1159" s="17" t="s">
        <v>3484</v>
      </c>
      <c r="H1159" s="17" t="s">
        <v>3485</v>
      </c>
      <c r="I1159" s="17" t="s">
        <v>125</v>
      </c>
      <c r="J1159" s="22" t="s">
        <v>144</v>
      </c>
      <c r="K1159" s="23" t="s">
        <v>108</v>
      </c>
      <c r="L1159" s="24" t="s">
        <v>91</v>
      </c>
      <c r="M1159" s="2">
        <v>33.0</v>
      </c>
      <c r="N1159" s="25">
        <v>31.0</v>
      </c>
      <c r="O1159" s="25"/>
      <c r="P1159" s="25"/>
    </row>
    <row r="1160">
      <c r="A1160" s="16">
        <v>1158.0</v>
      </c>
      <c r="B1160" s="17" t="s">
        <v>880</v>
      </c>
      <c r="C1160" s="18">
        <v>41.0</v>
      </c>
      <c r="D1160" s="19" t="s">
        <v>3294</v>
      </c>
      <c r="E1160" s="20" t="s">
        <v>91</v>
      </c>
      <c r="F1160" s="17" t="s">
        <v>1110</v>
      </c>
      <c r="G1160" s="17" t="s">
        <v>123</v>
      </c>
      <c r="H1160" s="17" t="s">
        <v>3486</v>
      </c>
      <c r="I1160" s="17" t="s">
        <v>125</v>
      </c>
      <c r="J1160" s="22" t="s">
        <v>144</v>
      </c>
      <c r="K1160" s="23" t="s">
        <v>108</v>
      </c>
      <c r="L1160" s="24" t="s">
        <v>91</v>
      </c>
      <c r="M1160" s="2">
        <v>33.0</v>
      </c>
      <c r="N1160" s="25">
        <v>31.0</v>
      </c>
      <c r="O1160" s="25"/>
      <c r="P1160" s="25"/>
    </row>
    <row r="1161">
      <c r="A1161" s="16">
        <v>1159.0</v>
      </c>
      <c r="B1161" s="17" t="s">
        <v>880</v>
      </c>
      <c r="C1161" s="18">
        <v>42.0</v>
      </c>
      <c r="D1161" s="19" t="s">
        <v>3294</v>
      </c>
      <c r="E1161" s="20" t="s">
        <v>91</v>
      </c>
      <c r="F1161" s="17" t="s">
        <v>283</v>
      </c>
      <c r="G1161" s="17" t="s">
        <v>3487</v>
      </c>
      <c r="H1161" s="17" t="s">
        <v>3488</v>
      </c>
      <c r="I1161" s="17" t="s">
        <v>125</v>
      </c>
      <c r="J1161" s="22" t="s">
        <v>144</v>
      </c>
      <c r="K1161" s="23" t="s">
        <v>108</v>
      </c>
      <c r="L1161" s="24" t="s">
        <v>91</v>
      </c>
      <c r="M1161" s="2">
        <v>33.0</v>
      </c>
      <c r="N1161" s="25">
        <v>31.0</v>
      </c>
      <c r="O1161" s="25"/>
      <c r="P1161" s="25"/>
    </row>
    <row r="1162">
      <c r="A1162" s="16">
        <v>1160.0</v>
      </c>
      <c r="B1162" s="17" t="s">
        <v>880</v>
      </c>
      <c r="C1162" s="18">
        <v>43.0</v>
      </c>
      <c r="D1162" s="19" t="s">
        <v>3294</v>
      </c>
      <c r="E1162" s="20" t="s">
        <v>91</v>
      </c>
      <c r="F1162" s="17" t="s">
        <v>1117</v>
      </c>
      <c r="G1162" s="17" t="s">
        <v>123</v>
      </c>
      <c r="H1162" s="17" t="s">
        <v>3490</v>
      </c>
      <c r="I1162" s="17" t="s">
        <v>125</v>
      </c>
      <c r="J1162" s="22" t="s">
        <v>144</v>
      </c>
      <c r="K1162" s="23" t="s">
        <v>108</v>
      </c>
      <c r="L1162" s="24" t="s">
        <v>91</v>
      </c>
      <c r="M1162" s="2">
        <v>33.0</v>
      </c>
      <c r="N1162" s="25">
        <v>31.0</v>
      </c>
      <c r="O1162" s="25"/>
      <c r="P1162" s="25"/>
    </row>
    <row r="1163">
      <c r="A1163" s="16">
        <v>1161.0</v>
      </c>
      <c r="B1163" s="17" t="s">
        <v>880</v>
      </c>
      <c r="C1163" s="18">
        <v>44.0</v>
      </c>
      <c r="D1163" s="19" t="s">
        <v>3294</v>
      </c>
      <c r="E1163" s="20" t="s">
        <v>91</v>
      </c>
      <c r="F1163" s="17" t="s">
        <v>76</v>
      </c>
      <c r="G1163" s="17" t="s">
        <v>3491</v>
      </c>
      <c r="H1163" s="17" t="s">
        <v>3492</v>
      </c>
      <c r="I1163" s="17" t="s">
        <v>125</v>
      </c>
      <c r="J1163" s="22" t="s">
        <v>144</v>
      </c>
      <c r="K1163" s="23" t="s">
        <v>108</v>
      </c>
      <c r="L1163" s="24" t="s">
        <v>91</v>
      </c>
      <c r="M1163" s="2">
        <v>33.0</v>
      </c>
      <c r="N1163" s="25">
        <v>31.0</v>
      </c>
      <c r="O1163" s="25"/>
      <c r="P1163" s="25"/>
    </row>
    <row r="1164">
      <c r="A1164" s="16">
        <v>1162.0</v>
      </c>
      <c r="B1164" s="27" t="s">
        <v>880</v>
      </c>
      <c r="C1164" s="18">
        <v>45.0</v>
      </c>
      <c r="D1164" s="19" t="s">
        <v>3294</v>
      </c>
      <c r="E1164" s="20" t="s">
        <v>91</v>
      </c>
      <c r="F1164" s="27" t="s">
        <v>1233</v>
      </c>
      <c r="G1164" s="17" t="s">
        <v>3496</v>
      </c>
      <c r="H1164" s="17" t="s">
        <v>3497</v>
      </c>
      <c r="I1164" s="17" t="s">
        <v>125</v>
      </c>
      <c r="J1164" s="22" t="s">
        <v>144</v>
      </c>
      <c r="K1164" s="23" t="s">
        <v>108</v>
      </c>
      <c r="L1164" s="24"/>
      <c r="M1164" s="2">
        <v>33.0</v>
      </c>
      <c r="N1164" s="25">
        <v>31.0</v>
      </c>
      <c r="O1164" s="25"/>
      <c r="P1164" s="25"/>
    </row>
    <row r="1165">
      <c r="A1165" s="16">
        <v>1163.0</v>
      </c>
      <c r="B1165" s="17" t="s">
        <v>1225</v>
      </c>
      <c r="C1165" s="18">
        <v>1.0</v>
      </c>
      <c r="D1165" s="19" t="s">
        <v>3326</v>
      </c>
      <c r="E1165" s="20" t="s">
        <v>91</v>
      </c>
      <c r="F1165" s="17" t="s">
        <v>1104</v>
      </c>
      <c r="G1165" s="17" t="s">
        <v>123</v>
      </c>
      <c r="H1165" s="17" t="s">
        <v>3499</v>
      </c>
      <c r="I1165" s="17" t="s">
        <v>125</v>
      </c>
      <c r="J1165" s="22" t="s">
        <v>100</v>
      </c>
      <c r="K1165" s="23" t="s">
        <v>108</v>
      </c>
      <c r="L1165" s="24" t="s">
        <v>91</v>
      </c>
      <c r="M1165" s="2">
        <v>34.0</v>
      </c>
      <c r="N1165" s="25">
        <v>11.0</v>
      </c>
      <c r="O1165" s="25"/>
      <c r="P1165" s="25"/>
    </row>
    <row r="1166">
      <c r="A1166" s="16">
        <v>1164.0</v>
      </c>
      <c r="B1166" s="17" t="s">
        <v>1225</v>
      </c>
      <c r="C1166" s="18">
        <v>2.0</v>
      </c>
      <c r="D1166" s="19" t="s">
        <v>2103</v>
      </c>
      <c r="E1166" s="20" t="s">
        <v>91</v>
      </c>
      <c r="F1166" s="17" t="s">
        <v>120</v>
      </c>
      <c r="G1166" s="17" t="s">
        <v>423</v>
      </c>
      <c r="H1166" s="17" t="s">
        <v>3500</v>
      </c>
      <c r="I1166" s="17" t="s">
        <v>98</v>
      </c>
      <c r="J1166" s="22" t="s">
        <v>135</v>
      </c>
      <c r="K1166" s="23" t="s">
        <v>108</v>
      </c>
      <c r="L1166" s="24" t="s">
        <v>91</v>
      </c>
      <c r="M1166" s="2">
        <v>34.0</v>
      </c>
      <c r="N1166" s="25">
        <v>20.0</v>
      </c>
      <c r="O1166" s="25"/>
      <c r="P1166" s="25"/>
    </row>
    <row r="1167">
      <c r="A1167" s="16">
        <v>1165.0</v>
      </c>
      <c r="B1167" s="17" t="s">
        <v>1225</v>
      </c>
      <c r="C1167" s="18">
        <v>3.0</v>
      </c>
      <c r="D1167" s="19" t="s">
        <v>2103</v>
      </c>
      <c r="E1167" s="20" t="s">
        <v>91</v>
      </c>
      <c r="F1167" s="17" t="s">
        <v>311</v>
      </c>
      <c r="G1167" s="17" t="s">
        <v>2866</v>
      </c>
      <c r="H1167" s="17" t="s">
        <v>3501</v>
      </c>
      <c r="I1167" s="17" t="s">
        <v>98</v>
      </c>
      <c r="J1167" s="22" t="s">
        <v>135</v>
      </c>
      <c r="K1167" s="23" t="s">
        <v>108</v>
      </c>
      <c r="L1167" s="24" t="s">
        <v>91</v>
      </c>
      <c r="M1167" s="2">
        <v>34.0</v>
      </c>
      <c r="N1167" s="25">
        <v>20.0</v>
      </c>
      <c r="O1167" s="25"/>
      <c r="P1167" s="25"/>
    </row>
    <row r="1168">
      <c r="A1168" s="16">
        <v>1166.0</v>
      </c>
      <c r="B1168" s="17" t="s">
        <v>1225</v>
      </c>
      <c r="C1168" s="18">
        <v>4.0</v>
      </c>
      <c r="D1168" s="19" t="s">
        <v>2103</v>
      </c>
      <c r="E1168" s="20" t="s">
        <v>91</v>
      </c>
      <c r="F1168" s="17" t="s">
        <v>23</v>
      </c>
      <c r="G1168" s="17" t="s">
        <v>3503</v>
      </c>
      <c r="H1168" s="17" t="s">
        <v>3504</v>
      </c>
      <c r="I1168" s="17" t="s">
        <v>98</v>
      </c>
      <c r="J1168" s="22" t="s">
        <v>135</v>
      </c>
      <c r="K1168" s="23" t="s">
        <v>108</v>
      </c>
      <c r="L1168" s="24" t="s">
        <v>91</v>
      </c>
      <c r="M1168" s="2">
        <v>34.0</v>
      </c>
      <c r="N1168" s="25">
        <v>20.0</v>
      </c>
      <c r="O1168" s="25"/>
      <c r="P1168" s="25"/>
    </row>
    <row r="1169">
      <c r="A1169" s="16">
        <v>1167.0</v>
      </c>
      <c r="B1169" s="17" t="s">
        <v>1225</v>
      </c>
      <c r="C1169" s="18">
        <v>5.0</v>
      </c>
      <c r="D1169" s="19" t="s">
        <v>2103</v>
      </c>
      <c r="E1169" s="20" t="s">
        <v>91</v>
      </c>
      <c r="F1169" s="17" t="s">
        <v>168</v>
      </c>
      <c r="G1169" s="17" t="s">
        <v>3505</v>
      </c>
      <c r="H1169" s="17" t="s">
        <v>3506</v>
      </c>
      <c r="I1169" s="17" t="s">
        <v>98</v>
      </c>
      <c r="J1169" s="22" t="s">
        <v>135</v>
      </c>
      <c r="K1169" s="23" t="s">
        <v>108</v>
      </c>
      <c r="L1169" s="24" t="s">
        <v>91</v>
      </c>
      <c r="M1169" s="2">
        <v>34.0</v>
      </c>
      <c r="N1169" s="25">
        <v>20.0</v>
      </c>
      <c r="O1169" s="25"/>
      <c r="P1169" s="25"/>
    </row>
    <row r="1170">
      <c r="A1170" s="16">
        <v>1168.0</v>
      </c>
      <c r="B1170" s="17" t="s">
        <v>1225</v>
      </c>
      <c r="C1170" s="18">
        <v>6.0</v>
      </c>
      <c r="D1170" s="19" t="s">
        <v>2103</v>
      </c>
      <c r="E1170" s="20" t="s">
        <v>91</v>
      </c>
      <c r="F1170" s="17" t="s">
        <v>308</v>
      </c>
      <c r="G1170" s="17" t="s">
        <v>2860</v>
      </c>
      <c r="H1170" s="17" t="s">
        <v>3507</v>
      </c>
      <c r="I1170" s="17" t="s">
        <v>125</v>
      </c>
      <c r="J1170" s="22" t="s">
        <v>135</v>
      </c>
      <c r="K1170" s="23" t="s">
        <v>108</v>
      </c>
      <c r="L1170" s="24" t="s">
        <v>91</v>
      </c>
      <c r="M1170" s="2">
        <v>34.0</v>
      </c>
      <c r="N1170" s="25">
        <v>21.0</v>
      </c>
      <c r="O1170" s="25"/>
      <c r="P1170" s="25"/>
    </row>
    <row r="1171">
      <c r="A1171" s="16">
        <v>1169.0</v>
      </c>
      <c r="B1171" s="17" t="s">
        <v>1225</v>
      </c>
      <c r="C1171" s="18">
        <v>7.0</v>
      </c>
      <c r="D1171" s="19" t="s">
        <v>3326</v>
      </c>
      <c r="E1171" s="20" t="s">
        <v>91</v>
      </c>
      <c r="F1171" s="17" t="s">
        <v>885</v>
      </c>
      <c r="G1171" s="17" t="s">
        <v>123</v>
      </c>
      <c r="H1171" s="17" t="s">
        <v>3508</v>
      </c>
      <c r="I1171" s="17" t="s">
        <v>125</v>
      </c>
      <c r="J1171" s="22" t="s">
        <v>135</v>
      </c>
      <c r="K1171" s="23" t="s">
        <v>108</v>
      </c>
      <c r="L1171" s="24" t="s">
        <v>91</v>
      </c>
      <c r="M1171" s="2">
        <v>34.0</v>
      </c>
      <c r="N1171" s="25">
        <v>21.0</v>
      </c>
      <c r="O1171" s="25"/>
      <c r="P1171" s="25"/>
    </row>
    <row r="1172">
      <c r="A1172" s="16">
        <v>1170.0</v>
      </c>
      <c r="B1172" s="17" t="s">
        <v>1225</v>
      </c>
      <c r="C1172" s="18">
        <v>8.0</v>
      </c>
      <c r="D1172" s="19" t="s">
        <v>2103</v>
      </c>
      <c r="E1172" s="20" t="s">
        <v>91</v>
      </c>
      <c r="F1172" s="17" t="s">
        <v>717</v>
      </c>
      <c r="G1172" s="17" t="s">
        <v>3509</v>
      </c>
      <c r="H1172" s="17" t="s">
        <v>3510</v>
      </c>
      <c r="I1172" s="17" t="s">
        <v>125</v>
      </c>
      <c r="J1172" s="22" t="s">
        <v>144</v>
      </c>
      <c r="K1172" s="23" t="s">
        <v>108</v>
      </c>
      <c r="L1172" s="24" t="s">
        <v>91</v>
      </c>
      <c r="M1172" s="2">
        <v>34.0</v>
      </c>
      <c r="N1172" s="25">
        <v>31.0</v>
      </c>
      <c r="O1172" s="25"/>
      <c r="P1172" s="25"/>
    </row>
    <row r="1173">
      <c r="A1173" s="16">
        <v>1171.0</v>
      </c>
      <c r="B1173" s="17" t="s">
        <v>1225</v>
      </c>
      <c r="C1173" s="18">
        <v>9.0</v>
      </c>
      <c r="D1173" s="19" t="s">
        <v>2103</v>
      </c>
      <c r="E1173" s="20" t="s">
        <v>91</v>
      </c>
      <c r="F1173" s="17" t="s">
        <v>722</v>
      </c>
      <c r="G1173" s="17" t="s">
        <v>3509</v>
      </c>
      <c r="H1173" s="17" t="s">
        <v>3510</v>
      </c>
      <c r="I1173" s="17" t="s">
        <v>125</v>
      </c>
      <c r="J1173" s="22" t="s">
        <v>144</v>
      </c>
      <c r="K1173" s="23" t="s">
        <v>108</v>
      </c>
      <c r="L1173" s="24" t="s">
        <v>91</v>
      </c>
      <c r="M1173" s="2">
        <v>34.0</v>
      </c>
      <c r="N1173" s="25">
        <v>31.0</v>
      </c>
      <c r="O1173" s="25"/>
      <c r="P1173" s="25"/>
    </row>
    <row r="1174">
      <c r="A1174" s="16">
        <v>1172.0</v>
      </c>
      <c r="B1174" s="17" t="s">
        <v>1225</v>
      </c>
      <c r="C1174" s="18">
        <v>10.0</v>
      </c>
      <c r="D1174" s="19" t="s">
        <v>2103</v>
      </c>
      <c r="E1174" s="20" t="s">
        <v>91</v>
      </c>
      <c r="F1174" s="17" t="s">
        <v>767</v>
      </c>
      <c r="G1174" s="17" t="s">
        <v>3512</v>
      </c>
      <c r="H1174" s="17" t="s">
        <v>3513</v>
      </c>
      <c r="I1174" s="17" t="s">
        <v>125</v>
      </c>
      <c r="J1174" s="22" t="s">
        <v>144</v>
      </c>
      <c r="K1174" s="23" t="s">
        <v>108</v>
      </c>
      <c r="L1174" s="24" t="s">
        <v>91</v>
      </c>
      <c r="M1174" s="2">
        <v>34.0</v>
      </c>
      <c r="N1174" s="25">
        <v>31.0</v>
      </c>
      <c r="O1174" s="25"/>
      <c r="P1174" s="25"/>
    </row>
    <row r="1175">
      <c r="A1175" s="16">
        <v>1173.0</v>
      </c>
      <c r="B1175" s="17" t="s">
        <v>1225</v>
      </c>
      <c r="C1175" s="18">
        <v>11.0</v>
      </c>
      <c r="D1175" s="19" t="s">
        <v>2103</v>
      </c>
      <c r="E1175" s="20" t="s">
        <v>91</v>
      </c>
      <c r="F1175" s="17" t="s">
        <v>621</v>
      </c>
      <c r="G1175" s="17" t="s">
        <v>2833</v>
      </c>
      <c r="H1175" s="17" t="s">
        <v>3514</v>
      </c>
      <c r="I1175" s="17" t="s">
        <v>125</v>
      </c>
      <c r="J1175" s="22" t="s">
        <v>144</v>
      </c>
      <c r="K1175" s="23" t="s">
        <v>108</v>
      </c>
      <c r="L1175" s="24" t="s">
        <v>91</v>
      </c>
      <c r="M1175" s="2">
        <v>34.0</v>
      </c>
      <c r="N1175" s="25">
        <v>31.0</v>
      </c>
      <c r="O1175" s="25"/>
      <c r="P1175" s="25"/>
    </row>
    <row r="1176">
      <c r="A1176" s="16">
        <v>1174.0</v>
      </c>
      <c r="B1176" s="17" t="s">
        <v>1225</v>
      </c>
      <c r="C1176" s="18">
        <v>12.0</v>
      </c>
      <c r="D1176" s="19" t="s">
        <v>2103</v>
      </c>
      <c r="E1176" s="20" t="s">
        <v>91</v>
      </c>
      <c r="F1176" s="17" t="s">
        <v>303</v>
      </c>
      <c r="G1176" s="17" t="s">
        <v>123</v>
      </c>
      <c r="H1176" s="17" t="s">
        <v>3515</v>
      </c>
      <c r="I1176" s="17" t="s">
        <v>125</v>
      </c>
      <c r="J1176" s="22" t="s">
        <v>144</v>
      </c>
      <c r="K1176" s="23" t="s">
        <v>108</v>
      </c>
      <c r="L1176" s="24" t="s">
        <v>91</v>
      </c>
      <c r="M1176" s="2">
        <v>34.0</v>
      </c>
      <c r="N1176" s="25">
        <v>31.0</v>
      </c>
      <c r="O1176" s="25"/>
      <c r="P1176" s="25"/>
    </row>
    <row r="1177">
      <c r="A1177" s="16">
        <v>1175.0</v>
      </c>
      <c r="B1177" s="17" t="s">
        <v>1225</v>
      </c>
      <c r="C1177" s="18">
        <v>13.0</v>
      </c>
      <c r="D1177" s="19" t="s">
        <v>2103</v>
      </c>
      <c r="E1177" s="20" t="s">
        <v>91</v>
      </c>
      <c r="F1177" s="17" t="s">
        <v>877</v>
      </c>
      <c r="G1177" s="17" t="s">
        <v>3516</v>
      </c>
      <c r="H1177" s="17" t="s">
        <v>3517</v>
      </c>
      <c r="I1177" s="17" t="s">
        <v>125</v>
      </c>
      <c r="J1177" s="22" t="s">
        <v>144</v>
      </c>
      <c r="K1177" s="23" t="s">
        <v>108</v>
      </c>
      <c r="L1177" s="24" t="s">
        <v>91</v>
      </c>
      <c r="M1177" s="2">
        <v>34.0</v>
      </c>
      <c r="N1177" s="25">
        <v>31.0</v>
      </c>
      <c r="O1177" s="25"/>
      <c r="P1177" s="25"/>
    </row>
    <row r="1178">
      <c r="A1178" s="16">
        <v>1176.0</v>
      </c>
      <c r="B1178" s="17" t="s">
        <v>1225</v>
      </c>
      <c r="C1178" s="18">
        <v>14.0</v>
      </c>
      <c r="D1178" s="19" t="s">
        <v>2103</v>
      </c>
      <c r="E1178" s="20" t="s">
        <v>91</v>
      </c>
      <c r="F1178" s="17" t="s">
        <v>997</v>
      </c>
      <c r="G1178" s="17" t="s">
        <v>3519</v>
      </c>
      <c r="H1178" s="17" t="s">
        <v>3520</v>
      </c>
      <c r="I1178" s="17" t="s">
        <v>125</v>
      </c>
      <c r="J1178" s="22" t="s">
        <v>144</v>
      </c>
      <c r="K1178" s="23" t="s">
        <v>108</v>
      </c>
      <c r="L1178" s="24" t="s">
        <v>91</v>
      </c>
      <c r="M1178" s="2">
        <v>34.0</v>
      </c>
      <c r="N1178" s="25">
        <v>31.0</v>
      </c>
      <c r="O1178" s="25"/>
      <c r="P1178" s="25"/>
    </row>
    <row r="1179">
      <c r="A1179" s="16">
        <v>1177.0</v>
      </c>
      <c r="B1179" s="27" t="s">
        <v>1225</v>
      </c>
      <c r="C1179" s="18">
        <v>15.0</v>
      </c>
      <c r="D1179" s="19" t="s">
        <v>2103</v>
      </c>
      <c r="E1179" s="20" t="s">
        <v>91</v>
      </c>
      <c r="F1179" s="27" t="s">
        <v>3522</v>
      </c>
      <c r="G1179" s="17" t="s">
        <v>123</v>
      </c>
      <c r="H1179" s="17" t="s">
        <v>3523</v>
      </c>
      <c r="I1179" s="17" t="s">
        <v>125</v>
      </c>
      <c r="J1179" s="22" t="s">
        <v>144</v>
      </c>
      <c r="K1179" s="23" t="s">
        <v>108</v>
      </c>
      <c r="L1179" s="24"/>
      <c r="M1179" s="2">
        <v>34.0</v>
      </c>
      <c r="N1179" s="25">
        <v>31.0</v>
      </c>
      <c r="O1179" s="25"/>
      <c r="P1179" s="25"/>
    </row>
    <row r="1180">
      <c r="A1180" s="16">
        <v>1178.0</v>
      </c>
      <c r="B1180" s="27" t="s">
        <v>1225</v>
      </c>
      <c r="C1180" s="18">
        <v>16.0</v>
      </c>
      <c r="D1180" s="19" t="s">
        <v>2103</v>
      </c>
      <c r="E1180" s="20" t="s">
        <v>91</v>
      </c>
      <c r="F1180" s="27" t="s">
        <v>837</v>
      </c>
      <c r="G1180" s="17" t="s">
        <v>3525</v>
      </c>
      <c r="H1180" s="17" t="s">
        <v>3526</v>
      </c>
      <c r="I1180" s="17" t="s">
        <v>125</v>
      </c>
      <c r="J1180" s="22" t="s">
        <v>144</v>
      </c>
      <c r="K1180" s="23" t="s">
        <v>108</v>
      </c>
      <c r="L1180" s="24"/>
      <c r="M1180" s="2">
        <v>34.0</v>
      </c>
      <c r="N1180" s="25">
        <v>31.0</v>
      </c>
      <c r="O1180" s="25"/>
      <c r="P1180" s="25"/>
    </row>
    <row r="1181">
      <c r="A1181" s="16">
        <v>1179.0</v>
      </c>
      <c r="B1181" s="27" t="s">
        <v>1225</v>
      </c>
      <c r="C1181" s="18">
        <v>17.0</v>
      </c>
      <c r="D1181" s="19" t="s">
        <v>2103</v>
      </c>
      <c r="E1181" s="20" t="s">
        <v>91</v>
      </c>
      <c r="F1181" s="27" t="s">
        <v>3527</v>
      </c>
      <c r="G1181" s="17" t="s">
        <v>3528</v>
      </c>
      <c r="H1181" s="17" t="s">
        <v>3529</v>
      </c>
      <c r="I1181" s="17" t="s">
        <v>125</v>
      </c>
      <c r="J1181" s="22" t="s">
        <v>144</v>
      </c>
      <c r="K1181" s="23" t="s">
        <v>108</v>
      </c>
      <c r="L1181" s="24"/>
      <c r="M1181" s="2">
        <v>34.0</v>
      </c>
      <c r="N1181" s="25">
        <v>31.0</v>
      </c>
      <c r="O1181" s="25"/>
      <c r="P1181" s="25"/>
    </row>
    <row r="1182">
      <c r="A1182" s="16">
        <v>1180.0</v>
      </c>
      <c r="B1182" s="27" t="s">
        <v>1225</v>
      </c>
      <c r="C1182" s="18">
        <v>18.0</v>
      </c>
      <c r="D1182" s="19" t="s">
        <v>2103</v>
      </c>
      <c r="E1182" s="20" t="s">
        <v>91</v>
      </c>
      <c r="F1182" s="27" t="s">
        <v>1413</v>
      </c>
      <c r="G1182" s="17" t="s">
        <v>3531</v>
      </c>
      <c r="H1182" s="17" t="s">
        <v>3532</v>
      </c>
      <c r="I1182" s="17" t="s">
        <v>125</v>
      </c>
      <c r="J1182" s="22" t="s">
        <v>144</v>
      </c>
      <c r="K1182" s="23" t="s">
        <v>108</v>
      </c>
      <c r="L1182" s="24"/>
      <c r="M1182" s="2">
        <v>34.0</v>
      </c>
      <c r="N1182" s="25">
        <v>31.0</v>
      </c>
      <c r="O1182" s="25"/>
      <c r="P1182" s="25"/>
    </row>
    <row r="1183">
      <c r="A1183" s="16">
        <v>1181.0</v>
      </c>
      <c r="B1183" s="27" t="s">
        <v>1225</v>
      </c>
      <c r="C1183" s="18">
        <v>19.0</v>
      </c>
      <c r="D1183" s="19" t="s">
        <v>2103</v>
      </c>
      <c r="E1183" s="20" t="s">
        <v>91</v>
      </c>
      <c r="F1183" s="27" t="s">
        <v>1420</v>
      </c>
      <c r="G1183" s="17" t="s">
        <v>3534</v>
      </c>
      <c r="H1183" s="17" t="s">
        <v>3535</v>
      </c>
      <c r="I1183" s="17" t="s">
        <v>125</v>
      </c>
      <c r="J1183" s="22" t="s">
        <v>144</v>
      </c>
      <c r="K1183" s="23" t="s">
        <v>108</v>
      </c>
      <c r="L1183" s="24"/>
      <c r="M1183" s="2">
        <v>34.0</v>
      </c>
      <c r="N1183" s="25">
        <v>31.0</v>
      </c>
      <c r="O1183" s="25"/>
      <c r="P1183" s="25"/>
    </row>
    <row r="1184">
      <c r="A1184" s="16">
        <v>1182.0</v>
      </c>
      <c r="B1184" s="27" t="s">
        <v>1225</v>
      </c>
      <c r="C1184" s="18">
        <v>20.0</v>
      </c>
      <c r="D1184" s="19" t="s">
        <v>2103</v>
      </c>
      <c r="E1184" s="20" t="s">
        <v>91</v>
      </c>
      <c r="F1184" s="27" t="s">
        <v>1195</v>
      </c>
      <c r="G1184" s="17" t="s">
        <v>3536</v>
      </c>
      <c r="H1184" s="17" t="s">
        <v>3537</v>
      </c>
      <c r="I1184" s="17" t="s">
        <v>125</v>
      </c>
      <c r="J1184" s="22" t="s">
        <v>144</v>
      </c>
      <c r="K1184" s="23" t="s">
        <v>108</v>
      </c>
      <c r="L1184" s="24"/>
      <c r="M1184" s="2">
        <v>34.0</v>
      </c>
      <c r="N1184" s="25">
        <v>31.0</v>
      </c>
      <c r="O1184" s="25"/>
      <c r="P1184" s="25"/>
    </row>
    <row r="1185">
      <c r="A1185" s="16">
        <v>1183.0</v>
      </c>
      <c r="B1185" s="27" t="s">
        <v>1225</v>
      </c>
      <c r="C1185" s="18">
        <v>21.0</v>
      </c>
      <c r="D1185" s="19" t="s">
        <v>2103</v>
      </c>
      <c r="E1185" s="20" t="s">
        <v>91</v>
      </c>
      <c r="F1185" s="27" t="s">
        <v>1056</v>
      </c>
      <c r="G1185" s="17" t="s">
        <v>2066</v>
      </c>
      <c r="H1185" s="17" t="s">
        <v>3538</v>
      </c>
      <c r="I1185" s="17" t="s">
        <v>125</v>
      </c>
      <c r="J1185" s="22" t="s">
        <v>144</v>
      </c>
      <c r="K1185" s="23" t="s">
        <v>108</v>
      </c>
      <c r="L1185" s="24"/>
      <c r="M1185" s="2">
        <v>34.0</v>
      </c>
      <c r="N1185" s="25">
        <v>31.0</v>
      </c>
      <c r="O1185" s="25"/>
      <c r="P1185" s="25"/>
    </row>
    <row r="1186">
      <c r="A1186" s="16">
        <v>1184.0</v>
      </c>
      <c r="B1186" s="27" t="s">
        <v>1225</v>
      </c>
      <c r="C1186" s="18">
        <v>22.0</v>
      </c>
      <c r="D1186" s="19" t="s">
        <v>2103</v>
      </c>
      <c r="E1186" s="20" t="s">
        <v>91</v>
      </c>
      <c r="F1186" s="27" t="s">
        <v>1241</v>
      </c>
      <c r="G1186" s="17" t="s">
        <v>123</v>
      </c>
      <c r="H1186" s="17" t="s">
        <v>3539</v>
      </c>
      <c r="I1186" s="17" t="s">
        <v>125</v>
      </c>
      <c r="J1186" s="22" t="s">
        <v>144</v>
      </c>
      <c r="K1186" s="23" t="s">
        <v>108</v>
      </c>
      <c r="L1186" s="24"/>
      <c r="M1186" s="2">
        <v>34.0</v>
      </c>
      <c r="N1186" s="25">
        <v>31.0</v>
      </c>
      <c r="O1186" s="25"/>
      <c r="P1186" s="25"/>
    </row>
    <row r="1187">
      <c r="A1187" s="16">
        <v>1185.0</v>
      </c>
      <c r="B1187" s="27" t="s">
        <v>1225</v>
      </c>
      <c r="C1187" s="18">
        <v>23.0</v>
      </c>
      <c r="D1187" s="19" t="s">
        <v>2103</v>
      </c>
      <c r="E1187" s="20" t="s">
        <v>91</v>
      </c>
      <c r="F1187" s="27" t="s">
        <v>3541</v>
      </c>
      <c r="G1187" s="17" t="s">
        <v>3542</v>
      </c>
      <c r="H1187" s="17" t="s">
        <v>3543</v>
      </c>
      <c r="I1187" s="17" t="s">
        <v>125</v>
      </c>
      <c r="J1187" s="22" t="s">
        <v>144</v>
      </c>
      <c r="K1187" s="23" t="s">
        <v>108</v>
      </c>
      <c r="L1187" s="24"/>
      <c r="M1187" s="2">
        <v>34.0</v>
      </c>
      <c r="N1187" s="25">
        <v>31.0</v>
      </c>
      <c r="O1187" s="25"/>
      <c r="P1187" s="25"/>
    </row>
    <row r="1188">
      <c r="A1188" s="16">
        <v>1186.0</v>
      </c>
      <c r="B1188" s="17" t="s">
        <v>1225</v>
      </c>
      <c r="C1188" s="18">
        <v>24.0</v>
      </c>
      <c r="D1188" s="19" t="s">
        <v>3326</v>
      </c>
      <c r="E1188" s="20" t="s">
        <v>91</v>
      </c>
      <c r="F1188" s="17" t="s">
        <v>549</v>
      </c>
      <c r="G1188" s="17" t="s">
        <v>3544</v>
      </c>
      <c r="H1188" s="17" t="s">
        <v>3545</v>
      </c>
      <c r="I1188" s="17" t="s">
        <v>125</v>
      </c>
      <c r="J1188" s="22" t="s">
        <v>144</v>
      </c>
      <c r="K1188" s="23" t="s">
        <v>108</v>
      </c>
      <c r="L1188" s="24" t="s">
        <v>91</v>
      </c>
      <c r="M1188" s="2">
        <v>34.0</v>
      </c>
      <c r="N1188" s="25">
        <v>31.0</v>
      </c>
      <c r="O1188" s="25"/>
      <c r="P1188" s="25"/>
    </row>
    <row r="1189">
      <c r="A1189" s="16">
        <v>1187.0</v>
      </c>
      <c r="B1189" s="17" t="s">
        <v>1225</v>
      </c>
      <c r="C1189" s="18">
        <v>25.0</v>
      </c>
      <c r="D1189" s="19" t="s">
        <v>3326</v>
      </c>
      <c r="E1189" s="20" t="s">
        <v>91</v>
      </c>
      <c r="F1189" s="17" t="s">
        <v>306</v>
      </c>
      <c r="G1189" s="17" t="s">
        <v>2836</v>
      </c>
      <c r="H1189" s="17" t="s">
        <v>3547</v>
      </c>
      <c r="I1189" s="17" t="s">
        <v>125</v>
      </c>
      <c r="J1189" s="22" t="s">
        <v>144</v>
      </c>
      <c r="K1189" s="23" t="s">
        <v>108</v>
      </c>
      <c r="L1189" s="24" t="s">
        <v>91</v>
      </c>
      <c r="M1189" s="2">
        <v>34.0</v>
      </c>
      <c r="N1189" s="25">
        <v>31.0</v>
      </c>
      <c r="O1189" s="25"/>
      <c r="P1189" s="25"/>
    </row>
    <row r="1190">
      <c r="A1190" s="16">
        <v>1188.0</v>
      </c>
      <c r="B1190" s="17" t="s">
        <v>1225</v>
      </c>
      <c r="C1190" s="18">
        <v>26.0</v>
      </c>
      <c r="D1190" s="19" t="s">
        <v>3326</v>
      </c>
      <c r="E1190" s="20" t="s">
        <v>91</v>
      </c>
      <c r="F1190" s="17" t="s">
        <v>999</v>
      </c>
      <c r="G1190" s="17" t="s">
        <v>3549</v>
      </c>
      <c r="H1190" s="17" t="s">
        <v>3550</v>
      </c>
      <c r="I1190" s="17" t="s">
        <v>125</v>
      </c>
      <c r="J1190" s="22" t="s">
        <v>144</v>
      </c>
      <c r="K1190" s="23" t="s">
        <v>108</v>
      </c>
      <c r="L1190" s="24" t="s">
        <v>91</v>
      </c>
      <c r="M1190" s="2">
        <v>34.0</v>
      </c>
      <c r="N1190" s="25">
        <v>31.0</v>
      </c>
      <c r="O1190" s="25"/>
      <c r="P1190" s="25"/>
    </row>
    <row r="1191">
      <c r="A1191" s="16">
        <v>1189.0</v>
      </c>
      <c r="B1191" s="17" t="s">
        <v>1225</v>
      </c>
      <c r="C1191" s="18">
        <v>27.0</v>
      </c>
      <c r="D1191" s="19" t="s">
        <v>3326</v>
      </c>
      <c r="E1191" s="20" t="s">
        <v>91</v>
      </c>
      <c r="F1191" s="17" t="s">
        <v>977</v>
      </c>
      <c r="G1191" s="17" t="s">
        <v>3552</v>
      </c>
      <c r="H1191" s="17" t="s">
        <v>3553</v>
      </c>
      <c r="I1191" s="17" t="s">
        <v>125</v>
      </c>
      <c r="J1191" s="22" t="s">
        <v>144</v>
      </c>
      <c r="K1191" s="23" t="s">
        <v>108</v>
      </c>
      <c r="L1191" s="24" t="s">
        <v>91</v>
      </c>
      <c r="M1191" s="2">
        <v>34.0</v>
      </c>
      <c r="N1191" s="25">
        <v>31.0</v>
      </c>
      <c r="O1191" s="25"/>
      <c r="P1191" s="25"/>
    </row>
    <row r="1192">
      <c r="A1192" s="16">
        <v>1190.0</v>
      </c>
      <c r="B1192" s="17" t="s">
        <v>1225</v>
      </c>
      <c r="C1192" s="18">
        <v>28.0</v>
      </c>
      <c r="D1192" s="19" t="s">
        <v>3326</v>
      </c>
      <c r="E1192" s="20" t="s">
        <v>91</v>
      </c>
      <c r="F1192" s="17" t="s">
        <v>986</v>
      </c>
      <c r="G1192" s="17" t="s">
        <v>2849</v>
      </c>
      <c r="H1192" s="17" t="s">
        <v>2850</v>
      </c>
      <c r="I1192" s="17" t="s">
        <v>125</v>
      </c>
      <c r="J1192" s="22" t="s">
        <v>144</v>
      </c>
      <c r="K1192" s="23" t="s">
        <v>108</v>
      </c>
      <c r="L1192" s="24" t="s">
        <v>91</v>
      </c>
      <c r="M1192" s="2">
        <v>34.0</v>
      </c>
      <c r="N1192" s="25">
        <v>31.0</v>
      </c>
      <c r="O1192" s="25"/>
      <c r="P1192" s="25"/>
    </row>
    <row r="1193">
      <c r="A1193" s="16">
        <v>1191.0</v>
      </c>
      <c r="B1193" s="17" t="s">
        <v>1225</v>
      </c>
      <c r="C1193" s="18">
        <v>29.0</v>
      </c>
      <c r="D1193" s="19" t="s">
        <v>3326</v>
      </c>
      <c r="E1193" s="20" t="s">
        <v>91</v>
      </c>
      <c r="F1193" s="17" t="s">
        <v>1226</v>
      </c>
      <c r="G1193" s="17" t="s">
        <v>123</v>
      </c>
      <c r="H1193" s="17" t="s">
        <v>3555</v>
      </c>
      <c r="I1193" s="17" t="s">
        <v>125</v>
      </c>
      <c r="J1193" s="22" t="s">
        <v>144</v>
      </c>
      <c r="K1193" s="23" t="s">
        <v>108</v>
      </c>
      <c r="L1193" s="24" t="s">
        <v>91</v>
      </c>
      <c r="M1193" s="2">
        <v>34.0</v>
      </c>
      <c r="N1193" s="25">
        <v>31.0</v>
      </c>
      <c r="O1193" s="25"/>
      <c r="P1193" s="25"/>
    </row>
    <row r="1194">
      <c r="A1194" s="16">
        <v>1192.0</v>
      </c>
      <c r="B1194" s="17" t="s">
        <v>1225</v>
      </c>
      <c r="C1194" s="18">
        <v>30.0</v>
      </c>
      <c r="D1194" s="19" t="s">
        <v>3326</v>
      </c>
      <c r="E1194" s="20" t="s">
        <v>91</v>
      </c>
      <c r="F1194" s="17" t="s">
        <v>158</v>
      </c>
      <c r="G1194" s="17" t="s">
        <v>2887</v>
      </c>
      <c r="H1194" s="17" t="s">
        <v>3556</v>
      </c>
      <c r="I1194" s="17" t="s">
        <v>125</v>
      </c>
      <c r="J1194" s="22" t="s">
        <v>144</v>
      </c>
      <c r="K1194" s="23" t="s">
        <v>108</v>
      </c>
      <c r="L1194" s="24" t="s">
        <v>91</v>
      </c>
      <c r="M1194" s="2">
        <v>34.0</v>
      </c>
      <c r="N1194" s="25">
        <v>31.0</v>
      </c>
      <c r="O1194" s="25"/>
      <c r="P1194" s="25"/>
    </row>
    <row r="1195">
      <c r="A1195" s="16">
        <v>1193.0</v>
      </c>
      <c r="B1195" s="17" t="s">
        <v>51</v>
      </c>
      <c r="C1195" s="18">
        <v>1.0</v>
      </c>
      <c r="D1195" s="19" t="s">
        <v>3345</v>
      </c>
      <c r="E1195" s="20" t="s">
        <v>91</v>
      </c>
      <c r="F1195" s="17" t="s">
        <v>1063</v>
      </c>
      <c r="G1195" s="17" t="s">
        <v>2938</v>
      </c>
      <c r="H1195" s="17" t="s">
        <v>3558</v>
      </c>
      <c r="I1195" s="17" t="s">
        <v>98</v>
      </c>
      <c r="J1195" s="22" t="s">
        <v>100</v>
      </c>
      <c r="K1195" s="23" t="s">
        <v>108</v>
      </c>
      <c r="L1195" s="24" t="s">
        <v>91</v>
      </c>
      <c r="M1195" s="2">
        <v>35.0</v>
      </c>
      <c r="N1195" s="25">
        <v>10.0</v>
      </c>
      <c r="O1195" s="25"/>
      <c r="P1195" s="25"/>
    </row>
    <row r="1196">
      <c r="A1196" s="16">
        <v>1194.0</v>
      </c>
      <c r="B1196" s="17" t="s">
        <v>51</v>
      </c>
      <c r="C1196" s="18">
        <v>2.0</v>
      </c>
      <c r="D1196" s="19" t="s">
        <v>3345</v>
      </c>
      <c r="E1196" s="20" t="s">
        <v>91</v>
      </c>
      <c r="F1196" s="17" t="s">
        <v>23</v>
      </c>
      <c r="G1196" s="17" t="s">
        <v>3503</v>
      </c>
      <c r="H1196" s="17" t="s">
        <v>3559</v>
      </c>
      <c r="I1196" s="17" t="s">
        <v>98</v>
      </c>
      <c r="J1196" s="22" t="s">
        <v>135</v>
      </c>
      <c r="K1196" s="23" t="s">
        <v>108</v>
      </c>
      <c r="L1196" s="24" t="s">
        <v>91</v>
      </c>
      <c r="M1196" s="2">
        <v>35.0</v>
      </c>
      <c r="N1196" s="25">
        <v>20.0</v>
      </c>
      <c r="O1196" s="25"/>
      <c r="P1196" s="25"/>
    </row>
    <row r="1197">
      <c r="A1197" s="16">
        <v>1195.0</v>
      </c>
      <c r="B1197" s="17" t="s">
        <v>51</v>
      </c>
      <c r="C1197" s="18">
        <v>3.0</v>
      </c>
      <c r="D1197" s="19" t="s">
        <v>3345</v>
      </c>
      <c r="E1197" s="20" t="s">
        <v>91</v>
      </c>
      <c r="F1197" s="17" t="s">
        <v>87</v>
      </c>
      <c r="G1197" s="17" t="s">
        <v>3560</v>
      </c>
      <c r="H1197" s="17" t="s">
        <v>3561</v>
      </c>
      <c r="I1197" s="17" t="s">
        <v>98</v>
      </c>
      <c r="J1197" s="22" t="s">
        <v>135</v>
      </c>
      <c r="K1197" s="23" t="s">
        <v>108</v>
      </c>
      <c r="L1197" s="24" t="s">
        <v>91</v>
      </c>
      <c r="M1197" s="2">
        <v>35.0</v>
      </c>
      <c r="N1197" s="25">
        <v>20.0</v>
      </c>
      <c r="O1197" s="25"/>
      <c r="P1197" s="25"/>
    </row>
    <row r="1198">
      <c r="A1198" s="16">
        <v>1196.0</v>
      </c>
      <c r="B1198" s="17" t="s">
        <v>51</v>
      </c>
      <c r="C1198" s="18">
        <v>4.0</v>
      </c>
      <c r="D1198" s="19" t="s">
        <v>3345</v>
      </c>
      <c r="E1198" s="20" t="s">
        <v>91</v>
      </c>
      <c r="F1198" s="17" t="s">
        <v>266</v>
      </c>
      <c r="G1198" s="17" t="s">
        <v>3563</v>
      </c>
      <c r="H1198" s="17" t="s">
        <v>3564</v>
      </c>
      <c r="I1198" s="17" t="s">
        <v>98</v>
      </c>
      <c r="J1198" s="22" t="s">
        <v>135</v>
      </c>
      <c r="K1198" s="23" t="s">
        <v>108</v>
      </c>
      <c r="L1198" s="24" t="s">
        <v>91</v>
      </c>
      <c r="M1198" s="2">
        <v>35.0</v>
      </c>
      <c r="N1198" s="25">
        <v>20.0</v>
      </c>
      <c r="O1198" s="25"/>
      <c r="P1198" s="25"/>
    </row>
    <row r="1199">
      <c r="A1199" s="16">
        <v>1197.0</v>
      </c>
      <c r="B1199" s="17" t="s">
        <v>51</v>
      </c>
      <c r="C1199" s="18">
        <v>5.0</v>
      </c>
      <c r="D1199" s="19" t="s">
        <v>3345</v>
      </c>
      <c r="E1199" s="20" t="s">
        <v>91</v>
      </c>
      <c r="F1199" s="17" t="s">
        <v>1373</v>
      </c>
      <c r="G1199" s="17" t="s">
        <v>3567</v>
      </c>
      <c r="H1199" s="17" t="s">
        <v>3568</v>
      </c>
      <c r="I1199" s="17" t="s">
        <v>98</v>
      </c>
      <c r="J1199" s="22" t="s">
        <v>135</v>
      </c>
      <c r="K1199" s="23" t="s">
        <v>108</v>
      </c>
      <c r="L1199" s="24" t="s">
        <v>91</v>
      </c>
      <c r="M1199" s="2">
        <v>35.0</v>
      </c>
      <c r="N1199" s="25">
        <v>20.0</v>
      </c>
      <c r="O1199" s="25"/>
      <c r="P1199" s="25"/>
    </row>
    <row r="1200">
      <c r="A1200" s="16">
        <v>1198.0</v>
      </c>
      <c r="B1200" s="17" t="s">
        <v>51</v>
      </c>
      <c r="C1200" s="18">
        <v>6.0</v>
      </c>
      <c r="D1200" s="19" t="s">
        <v>3351</v>
      </c>
      <c r="E1200" s="20" t="s">
        <v>91</v>
      </c>
      <c r="F1200" s="17" t="s">
        <v>292</v>
      </c>
      <c r="G1200" s="17" t="s">
        <v>3569</v>
      </c>
      <c r="H1200" s="17" t="s">
        <v>3570</v>
      </c>
      <c r="I1200" s="17" t="s">
        <v>98</v>
      </c>
      <c r="J1200" s="22" t="s">
        <v>135</v>
      </c>
      <c r="K1200" s="23" t="s">
        <v>108</v>
      </c>
      <c r="L1200" s="24" t="s">
        <v>91</v>
      </c>
      <c r="M1200" s="2">
        <v>35.0</v>
      </c>
      <c r="N1200" s="25">
        <v>20.0</v>
      </c>
      <c r="O1200" s="25"/>
      <c r="P1200" s="25"/>
    </row>
    <row r="1201">
      <c r="A1201" s="16">
        <v>1199.0</v>
      </c>
      <c r="B1201" s="17" t="s">
        <v>51</v>
      </c>
      <c r="C1201" s="18">
        <v>7.0</v>
      </c>
      <c r="D1201" s="19" t="s">
        <v>3345</v>
      </c>
      <c r="E1201" s="20" t="s">
        <v>91</v>
      </c>
      <c r="F1201" s="17" t="s">
        <v>880</v>
      </c>
      <c r="G1201" s="17" t="s">
        <v>2945</v>
      </c>
      <c r="H1201" s="17" t="s">
        <v>2946</v>
      </c>
      <c r="I1201" s="17" t="s">
        <v>98</v>
      </c>
      <c r="J1201" s="22" t="s">
        <v>144</v>
      </c>
      <c r="K1201" s="23" t="s">
        <v>108</v>
      </c>
      <c r="L1201" s="24" t="s">
        <v>91</v>
      </c>
      <c r="M1201" s="2">
        <v>35.0</v>
      </c>
      <c r="N1201" s="25">
        <v>30.0</v>
      </c>
      <c r="O1201" s="25"/>
      <c r="P1201" s="25"/>
    </row>
    <row r="1202">
      <c r="A1202" s="16">
        <v>1200.0</v>
      </c>
      <c r="B1202" s="17" t="s">
        <v>51</v>
      </c>
      <c r="C1202" s="18">
        <v>8.0</v>
      </c>
      <c r="D1202" s="19" t="s">
        <v>2134</v>
      </c>
      <c r="E1202" s="20" t="s">
        <v>91</v>
      </c>
      <c r="F1202" s="17" t="s">
        <v>1025</v>
      </c>
      <c r="G1202" s="17" t="s">
        <v>123</v>
      </c>
      <c r="H1202" s="17" t="s">
        <v>3572</v>
      </c>
      <c r="I1202" s="17" t="s">
        <v>125</v>
      </c>
      <c r="J1202" s="22" t="s">
        <v>144</v>
      </c>
      <c r="K1202" s="23" t="s">
        <v>108</v>
      </c>
      <c r="L1202" s="24" t="s">
        <v>91</v>
      </c>
      <c r="M1202" s="2">
        <v>35.0</v>
      </c>
      <c r="N1202" s="25">
        <v>31.0</v>
      </c>
      <c r="O1202" s="25"/>
      <c r="P1202" s="25"/>
    </row>
    <row r="1203">
      <c r="A1203" s="16">
        <v>1201.0</v>
      </c>
      <c r="B1203" s="17" t="s">
        <v>51</v>
      </c>
      <c r="C1203" s="18">
        <v>9.0</v>
      </c>
      <c r="D1203" s="19" t="s">
        <v>2134</v>
      </c>
      <c r="E1203" s="20" t="s">
        <v>91</v>
      </c>
      <c r="F1203" s="17" t="s">
        <v>876</v>
      </c>
      <c r="G1203" s="17" t="s">
        <v>3574</v>
      </c>
      <c r="H1203" s="17" t="s">
        <v>3575</v>
      </c>
      <c r="I1203" s="17" t="s">
        <v>125</v>
      </c>
      <c r="J1203" s="22" t="s">
        <v>144</v>
      </c>
      <c r="K1203" s="23" t="s">
        <v>108</v>
      </c>
      <c r="L1203" s="24" t="s">
        <v>91</v>
      </c>
      <c r="M1203" s="2">
        <v>35.0</v>
      </c>
      <c r="N1203" s="25">
        <v>31.0</v>
      </c>
      <c r="O1203" s="25"/>
      <c r="P1203" s="25"/>
    </row>
    <row r="1204">
      <c r="A1204" s="16">
        <v>1202.0</v>
      </c>
      <c r="B1204" s="17" t="s">
        <v>51</v>
      </c>
      <c r="C1204" s="18">
        <v>10.0</v>
      </c>
      <c r="D1204" s="19" t="s">
        <v>2134</v>
      </c>
      <c r="E1204" s="20" t="s">
        <v>91</v>
      </c>
      <c r="F1204" s="17" t="s">
        <v>875</v>
      </c>
      <c r="G1204" s="17" t="s">
        <v>3577</v>
      </c>
      <c r="H1204" s="17" t="s">
        <v>3578</v>
      </c>
      <c r="I1204" s="17" t="s">
        <v>125</v>
      </c>
      <c r="J1204" s="22" t="s">
        <v>144</v>
      </c>
      <c r="K1204" s="23" t="s">
        <v>108</v>
      </c>
      <c r="L1204" s="24" t="s">
        <v>91</v>
      </c>
      <c r="M1204" s="2">
        <v>35.0</v>
      </c>
      <c r="N1204" s="25">
        <v>31.0</v>
      </c>
      <c r="O1204" s="25"/>
      <c r="P1204" s="25"/>
    </row>
    <row r="1205">
      <c r="A1205" s="16">
        <v>1203.0</v>
      </c>
      <c r="B1205" s="17" t="s">
        <v>51</v>
      </c>
      <c r="C1205" s="18">
        <v>11.0</v>
      </c>
      <c r="D1205" s="19" t="s">
        <v>2134</v>
      </c>
      <c r="E1205" s="20" t="s">
        <v>91</v>
      </c>
      <c r="F1205" s="17" t="s">
        <v>541</v>
      </c>
      <c r="G1205" s="17" t="s">
        <v>3579</v>
      </c>
      <c r="H1205" s="17" t="s">
        <v>3580</v>
      </c>
      <c r="I1205" s="17" t="s">
        <v>125</v>
      </c>
      <c r="J1205" s="22" t="s">
        <v>144</v>
      </c>
      <c r="K1205" s="23" t="s">
        <v>108</v>
      </c>
      <c r="L1205" s="24" t="s">
        <v>91</v>
      </c>
      <c r="M1205" s="2">
        <v>35.0</v>
      </c>
      <c r="N1205" s="25">
        <v>31.0</v>
      </c>
      <c r="O1205" s="25"/>
      <c r="P1205" s="25"/>
    </row>
    <row r="1206">
      <c r="A1206" s="16">
        <v>1204.0</v>
      </c>
      <c r="B1206" s="17" t="s">
        <v>51</v>
      </c>
      <c r="C1206" s="18">
        <v>12.0</v>
      </c>
      <c r="D1206" s="19" t="s">
        <v>2134</v>
      </c>
      <c r="E1206" s="20" t="s">
        <v>91</v>
      </c>
      <c r="F1206" s="17" t="s">
        <v>510</v>
      </c>
      <c r="G1206" s="17" t="s">
        <v>3183</v>
      </c>
      <c r="H1206" s="17" t="s">
        <v>3581</v>
      </c>
      <c r="I1206" s="17" t="s">
        <v>125</v>
      </c>
      <c r="J1206" s="22" t="s">
        <v>144</v>
      </c>
      <c r="K1206" s="23" t="s">
        <v>108</v>
      </c>
      <c r="L1206" s="24" t="s">
        <v>91</v>
      </c>
      <c r="M1206" s="2">
        <v>35.0</v>
      </c>
      <c r="N1206" s="25">
        <v>31.0</v>
      </c>
      <c r="O1206" s="25"/>
      <c r="P1206" s="25"/>
    </row>
    <row r="1207">
      <c r="A1207" s="16">
        <v>1205.0</v>
      </c>
      <c r="B1207" s="17" t="s">
        <v>51</v>
      </c>
      <c r="C1207" s="18">
        <v>13.0</v>
      </c>
      <c r="D1207" s="19" t="s">
        <v>2134</v>
      </c>
      <c r="E1207" s="20" t="s">
        <v>91</v>
      </c>
      <c r="F1207" s="17" t="s">
        <v>485</v>
      </c>
      <c r="G1207" s="17" t="s">
        <v>3445</v>
      </c>
      <c r="H1207" s="17" t="s">
        <v>3446</v>
      </c>
      <c r="I1207" s="17" t="s">
        <v>125</v>
      </c>
      <c r="J1207" s="22" t="s">
        <v>144</v>
      </c>
      <c r="K1207" s="23" t="s">
        <v>108</v>
      </c>
      <c r="L1207" s="24" t="s">
        <v>91</v>
      </c>
      <c r="M1207" s="2">
        <v>35.0</v>
      </c>
      <c r="N1207" s="25">
        <v>31.0</v>
      </c>
      <c r="O1207" s="25"/>
      <c r="P1207" s="25"/>
    </row>
    <row r="1208">
      <c r="A1208" s="16">
        <v>1206.0</v>
      </c>
      <c r="B1208" s="17" t="s">
        <v>51</v>
      </c>
      <c r="C1208" s="18">
        <v>14.0</v>
      </c>
      <c r="D1208" s="19" t="s">
        <v>2134</v>
      </c>
      <c r="E1208" s="20" t="s">
        <v>91</v>
      </c>
      <c r="F1208" s="17" t="s">
        <v>318</v>
      </c>
      <c r="G1208" s="17" t="s">
        <v>123</v>
      </c>
      <c r="H1208" s="17" t="s">
        <v>3315</v>
      </c>
      <c r="I1208" s="17" t="s">
        <v>125</v>
      </c>
      <c r="J1208" s="22" t="s">
        <v>144</v>
      </c>
      <c r="K1208" s="23" t="s">
        <v>108</v>
      </c>
      <c r="L1208" s="24" t="s">
        <v>91</v>
      </c>
      <c r="M1208" s="2">
        <v>35.0</v>
      </c>
      <c r="N1208" s="25">
        <v>31.0</v>
      </c>
      <c r="O1208" s="25"/>
      <c r="P1208" s="25"/>
    </row>
    <row r="1209">
      <c r="A1209" s="16">
        <v>1207.0</v>
      </c>
      <c r="B1209" s="17" t="s">
        <v>51</v>
      </c>
      <c r="C1209" s="18">
        <v>15.0</v>
      </c>
      <c r="D1209" s="19" t="s">
        <v>2134</v>
      </c>
      <c r="E1209" s="20" t="s">
        <v>91</v>
      </c>
      <c r="F1209" s="17" t="s">
        <v>887</v>
      </c>
      <c r="G1209" s="17" t="s">
        <v>123</v>
      </c>
      <c r="H1209" s="17" t="s">
        <v>3349</v>
      </c>
      <c r="I1209" s="17" t="s">
        <v>125</v>
      </c>
      <c r="J1209" s="22" t="s">
        <v>144</v>
      </c>
      <c r="K1209" s="23" t="s">
        <v>108</v>
      </c>
      <c r="L1209" s="24" t="s">
        <v>91</v>
      </c>
      <c r="M1209" s="2">
        <v>35.0</v>
      </c>
      <c r="N1209" s="25">
        <v>31.0</v>
      </c>
      <c r="O1209" s="25"/>
      <c r="P1209" s="25"/>
    </row>
    <row r="1210">
      <c r="A1210" s="16">
        <v>1208.0</v>
      </c>
      <c r="B1210" s="17" t="s">
        <v>51</v>
      </c>
      <c r="C1210" s="18">
        <v>16.0</v>
      </c>
      <c r="D1210" s="19" t="s">
        <v>2134</v>
      </c>
      <c r="E1210" s="20" t="s">
        <v>91</v>
      </c>
      <c r="F1210" s="17" t="s">
        <v>734</v>
      </c>
      <c r="G1210" s="17" t="s">
        <v>3321</v>
      </c>
      <c r="H1210" s="17" t="s">
        <v>3322</v>
      </c>
      <c r="I1210" s="17" t="s">
        <v>125</v>
      </c>
      <c r="J1210" s="22" t="s">
        <v>144</v>
      </c>
      <c r="K1210" s="23" t="s">
        <v>108</v>
      </c>
      <c r="L1210" s="24" t="s">
        <v>91</v>
      </c>
      <c r="M1210" s="2">
        <v>35.0</v>
      </c>
      <c r="N1210" s="25">
        <v>31.0</v>
      </c>
      <c r="O1210" s="25"/>
      <c r="P1210" s="25"/>
    </row>
    <row r="1211">
      <c r="A1211" s="16">
        <v>1209.0</v>
      </c>
      <c r="B1211" s="17" t="s">
        <v>51</v>
      </c>
      <c r="C1211" s="18">
        <v>17.0</v>
      </c>
      <c r="D1211" s="19" t="s">
        <v>2134</v>
      </c>
      <c r="E1211" s="20" t="s">
        <v>91</v>
      </c>
      <c r="F1211" s="17" t="s">
        <v>503</v>
      </c>
      <c r="G1211" s="17" t="s">
        <v>3323</v>
      </c>
      <c r="H1211" s="17" t="s">
        <v>3324</v>
      </c>
      <c r="I1211" s="17" t="s">
        <v>125</v>
      </c>
      <c r="J1211" s="22" t="s">
        <v>144</v>
      </c>
      <c r="K1211" s="23" t="s">
        <v>108</v>
      </c>
      <c r="L1211" s="24" t="s">
        <v>91</v>
      </c>
      <c r="M1211" s="2">
        <v>35.0</v>
      </c>
      <c r="N1211" s="25">
        <v>31.0</v>
      </c>
      <c r="O1211" s="25"/>
      <c r="P1211" s="25"/>
    </row>
    <row r="1212">
      <c r="A1212" s="16">
        <v>1210.0</v>
      </c>
      <c r="B1212" s="17" t="s">
        <v>51</v>
      </c>
      <c r="C1212" s="18">
        <v>18.0</v>
      </c>
      <c r="D1212" s="19" t="s">
        <v>2134</v>
      </c>
      <c r="E1212" s="20" t="s">
        <v>91</v>
      </c>
      <c r="F1212" s="17" t="s">
        <v>761</v>
      </c>
      <c r="G1212" s="17" t="s">
        <v>123</v>
      </c>
      <c r="H1212" s="17" t="s">
        <v>3480</v>
      </c>
      <c r="I1212" s="17" t="s">
        <v>125</v>
      </c>
      <c r="J1212" s="22" t="s">
        <v>144</v>
      </c>
      <c r="K1212" s="23" t="s">
        <v>108</v>
      </c>
      <c r="L1212" s="24" t="s">
        <v>91</v>
      </c>
      <c r="M1212" s="2">
        <v>35.0</v>
      </c>
      <c r="N1212" s="25">
        <v>31.0</v>
      </c>
      <c r="O1212" s="25"/>
      <c r="P1212" s="25"/>
    </row>
    <row r="1213">
      <c r="A1213" s="16">
        <v>1211.0</v>
      </c>
      <c r="B1213" s="17" t="s">
        <v>51</v>
      </c>
      <c r="C1213" s="18">
        <v>19.0</v>
      </c>
      <c r="D1213" s="19" t="s">
        <v>2134</v>
      </c>
      <c r="E1213" s="20" t="s">
        <v>91</v>
      </c>
      <c r="F1213" s="17" t="s">
        <v>1119</v>
      </c>
      <c r="G1213" s="17" t="s">
        <v>3339</v>
      </c>
      <c r="H1213" s="17" t="s">
        <v>3583</v>
      </c>
      <c r="I1213" s="17" t="s">
        <v>125</v>
      </c>
      <c r="J1213" s="22" t="s">
        <v>144</v>
      </c>
      <c r="K1213" s="23" t="s">
        <v>108</v>
      </c>
      <c r="L1213" s="24" t="s">
        <v>91</v>
      </c>
      <c r="M1213" s="2">
        <v>35.0</v>
      </c>
      <c r="N1213" s="25">
        <v>31.0</v>
      </c>
      <c r="O1213" s="25"/>
      <c r="P1213" s="25"/>
    </row>
    <row r="1214">
      <c r="A1214" s="16">
        <v>1212.0</v>
      </c>
      <c r="B1214" s="17" t="s">
        <v>51</v>
      </c>
      <c r="C1214" s="18">
        <v>20.0</v>
      </c>
      <c r="D1214" s="19" t="s">
        <v>2134</v>
      </c>
      <c r="E1214" s="20" t="s">
        <v>91</v>
      </c>
      <c r="F1214" s="17" t="s">
        <v>867</v>
      </c>
      <c r="G1214" s="17" t="s">
        <v>2382</v>
      </c>
      <c r="H1214" s="17" t="s">
        <v>3584</v>
      </c>
      <c r="I1214" s="17" t="s">
        <v>125</v>
      </c>
      <c r="J1214" s="22" t="s">
        <v>144</v>
      </c>
      <c r="K1214" s="23" t="s">
        <v>108</v>
      </c>
      <c r="L1214" s="24" t="s">
        <v>91</v>
      </c>
      <c r="M1214" s="2">
        <v>35.0</v>
      </c>
      <c r="N1214" s="25">
        <v>31.0</v>
      </c>
      <c r="O1214" s="25"/>
      <c r="P1214" s="25"/>
    </row>
    <row r="1215">
      <c r="A1215" s="16">
        <v>1213.0</v>
      </c>
      <c r="B1215" s="27" t="s">
        <v>51</v>
      </c>
      <c r="C1215" s="18">
        <v>21.0</v>
      </c>
      <c r="D1215" s="19" t="s">
        <v>2134</v>
      </c>
      <c r="E1215" s="20" t="s">
        <v>91</v>
      </c>
      <c r="F1215" s="27" t="s">
        <v>1346</v>
      </c>
      <c r="G1215" s="17" t="s">
        <v>3588</v>
      </c>
      <c r="H1215" s="17" t="s">
        <v>3589</v>
      </c>
      <c r="I1215" s="17" t="s">
        <v>125</v>
      </c>
      <c r="J1215" s="22" t="s">
        <v>144</v>
      </c>
      <c r="K1215" s="23" t="s">
        <v>108</v>
      </c>
      <c r="L1215" s="24"/>
      <c r="M1215" s="2">
        <v>35.0</v>
      </c>
      <c r="N1215" s="25">
        <v>31.0</v>
      </c>
      <c r="O1215" s="25"/>
      <c r="P1215" s="25"/>
    </row>
    <row r="1216">
      <c r="A1216" s="16">
        <v>1214.0</v>
      </c>
      <c r="B1216" s="27" t="s">
        <v>51</v>
      </c>
      <c r="C1216" s="18">
        <v>22.0</v>
      </c>
      <c r="D1216" s="19" t="s">
        <v>2134</v>
      </c>
      <c r="E1216" s="20" t="s">
        <v>91</v>
      </c>
      <c r="F1216" s="27" t="s">
        <v>1053</v>
      </c>
      <c r="G1216" s="17" t="s">
        <v>3591</v>
      </c>
      <c r="H1216" s="17" t="s">
        <v>3592</v>
      </c>
      <c r="I1216" s="17" t="s">
        <v>125</v>
      </c>
      <c r="J1216" s="22" t="s">
        <v>144</v>
      </c>
      <c r="K1216" s="23" t="s">
        <v>108</v>
      </c>
      <c r="L1216" s="24"/>
      <c r="M1216" s="2">
        <v>35.0</v>
      </c>
      <c r="N1216" s="25">
        <v>31.0</v>
      </c>
      <c r="O1216" s="25"/>
      <c r="P1216" s="25"/>
    </row>
    <row r="1217">
      <c r="A1217" s="16">
        <v>1215.0</v>
      </c>
      <c r="B1217" s="17" t="s">
        <v>51</v>
      </c>
      <c r="C1217" s="18">
        <v>23.0</v>
      </c>
      <c r="D1217" s="19" t="s">
        <v>3345</v>
      </c>
      <c r="E1217" s="20" t="s">
        <v>91</v>
      </c>
      <c r="F1217" s="17" t="s">
        <v>7</v>
      </c>
      <c r="G1217" s="17" t="s">
        <v>3593</v>
      </c>
      <c r="H1217" s="17" t="s">
        <v>3594</v>
      </c>
      <c r="I1217" s="17" t="s">
        <v>125</v>
      </c>
      <c r="J1217" s="22" t="s">
        <v>144</v>
      </c>
      <c r="K1217" s="23" t="s">
        <v>108</v>
      </c>
      <c r="L1217" s="24" t="s">
        <v>91</v>
      </c>
      <c r="M1217" s="2">
        <v>35.0</v>
      </c>
      <c r="N1217" s="25">
        <v>31.0</v>
      </c>
      <c r="O1217" s="25"/>
      <c r="P1217" s="25"/>
    </row>
    <row r="1218">
      <c r="A1218" s="16">
        <v>1216.0</v>
      </c>
      <c r="B1218" s="17" t="s">
        <v>51</v>
      </c>
      <c r="C1218" s="18">
        <v>24.0</v>
      </c>
      <c r="D1218" s="19" t="s">
        <v>3345</v>
      </c>
      <c r="E1218" s="20" t="s">
        <v>91</v>
      </c>
      <c r="F1218" s="17" t="s">
        <v>884</v>
      </c>
      <c r="G1218" s="17" t="s">
        <v>3596</v>
      </c>
      <c r="H1218" s="17" t="s">
        <v>3597</v>
      </c>
      <c r="I1218" s="17" t="s">
        <v>125</v>
      </c>
      <c r="J1218" s="22" t="s">
        <v>144</v>
      </c>
      <c r="K1218" s="23" t="s">
        <v>108</v>
      </c>
      <c r="L1218" s="24" t="s">
        <v>91</v>
      </c>
      <c r="M1218" s="2">
        <v>35.0</v>
      </c>
      <c r="N1218" s="25">
        <v>31.0</v>
      </c>
      <c r="O1218" s="25"/>
      <c r="P1218" s="25"/>
    </row>
    <row r="1219">
      <c r="A1219" s="16">
        <v>1217.0</v>
      </c>
      <c r="B1219" s="17" t="s">
        <v>51</v>
      </c>
      <c r="C1219" s="18">
        <v>25.0</v>
      </c>
      <c r="D1219" s="19" t="s">
        <v>3345</v>
      </c>
      <c r="E1219" s="20" t="s">
        <v>91</v>
      </c>
      <c r="F1219" s="17" t="s">
        <v>325</v>
      </c>
      <c r="G1219" s="17" t="s">
        <v>123</v>
      </c>
      <c r="H1219" s="17" t="s">
        <v>3598</v>
      </c>
      <c r="I1219" s="17" t="s">
        <v>125</v>
      </c>
      <c r="J1219" s="22" t="s">
        <v>144</v>
      </c>
      <c r="K1219" s="23" t="s">
        <v>108</v>
      </c>
      <c r="L1219" s="24" t="s">
        <v>91</v>
      </c>
      <c r="M1219" s="2">
        <v>35.0</v>
      </c>
      <c r="N1219" s="25">
        <v>31.0</v>
      </c>
      <c r="O1219" s="25"/>
      <c r="P1219" s="25"/>
    </row>
    <row r="1220">
      <c r="A1220" s="16">
        <v>1218.0</v>
      </c>
      <c r="B1220" s="17" t="s">
        <v>51</v>
      </c>
      <c r="C1220" s="18">
        <v>26.0</v>
      </c>
      <c r="D1220" s="19" t="s">
        <v>3351</v>
      </c>
      <c r="E1220" s="20" t="s">
        <v>91</v>
      </c>
      <c r="F1220" s="17" t="s">
        <v>315</v>
      </c>
      <c r="G1220" s="17" t="s">
        <v>3599</v>
      </c>
      <c r="H1220" s="17" t="s">
        <v>3600</v>
      </c>
      <c r="I1220" s="17" t="s">
        <v>125</v>
      </c>
      <c r="J1220" s="22" t="s">
        <v>144</v>
      </c>
      <c r="K1220" s="23" t="s">
        <v>108</v>
      </c>
      <c r="L1220" s="24" t="s">
        <v>91</v>
      </c>
      <c r="M1220" s="2">
        <v>35.0</v>
      </c>
      <c r="N1220" s="25">
        <v>31.0</v>
      </c>
      <c r="O1220" s="25"/>
      <c r="P1220" s="25"/>
    </row>
    <row r="1221">
      <c r="A1221" s="16">
        <v>1219.0</v>
      </c>
      <c r="B1221" s="17" t="s">
        <v>51</v>
      </c>
      <c r="C1221" s="18">
        <v>27.0</v>
      </c>
      <c r="D1221" s="19" t="s">
        <v>3351</v>
      </c>
      <c r="E1221" s="20" t="s">
        <v>91</v>
      </c>
      <c r="F1221" s="17" t="s">
        <v>439</v>
      </c>
      <c r="G1221" s="17" t="s">
        <v>123</v>
      </c>
      <c r="H1221" s="17" t="s">
        <v>3601</v>
      </c>
      <c r="I1221" s="17" t="s">
        <v>125</v>
      </c>
      <c r="J1221" s="22" t="s">
        <v>144</v>
      </c>
      <c r="K1221" s="23" t="s">
        <v>108</v>
      </c>
      <c r="L1221" s="24" t="s">
        <v>91</v>
      </c>
      <c r="M1221" s="2">
        <v>35.0</v>
      </c>
      <c r="N1221" s="25">
        <v>31.0</v>
      </c>
      <c r="O1221" s="25"/>
      <c r="P1221" s="25"/>
    </row>
    <row r="1222">
      <c r="A1222" s="16">
        <v>1220.0</v>
      </c>
      <c r="B1222" s="17" t="s">
        <v>51</v>
      </c>
      <c r="C1222" s="18">
        <v>28.0</v>
      </c>
      <c r="D1222" s="19" t="s">
        <v>3351</v>
      </c>
      <c r="E1222" s="20" t="s">
        <v>91</v>
      </c>
      <c r="F1222" s="17" t="s">
        <v>888</v>
      </c>
      <c r="G1222" s="17" t="s">
        <v>3327</v>
      </c>
      <c r="H1222" s="17" t="s">
        <v>3602</v>
      </c>
      <c r="I1222" s="17" t="s">
        <v>125</v>
      </c>
      <c r="J1222" s="22" t="s">
        <v>144</v>
      </c>
      <c r="K1222" s="23" t="s">
        <v>108</v>
      </c>
      <c r="L1222" s="24" t="s">
        <v>91</v>
      </c>
      <c r="M1222" s="2">
        <v>35.0</v>
      </c>
      <c r="N1222" s="25">
        <v>31.0</v>
      </c>
      <c r="O1222" s="25"/>
      <c r="P1222" s="25"/>
    </row>
    <row r="1223">
      <c r="A1223" s="16">
        <v>1221.0</v>
      </c>
      <c r="B1223" s="17" t="s">
        <v>51</v>
      </c>
      <c r="C1223" s="18">
        <v>29.0</v>
      </c>
      <c r="D1223" s="19" t="s">
        <v>3351</v>
      </c>
      <c r="E1223" s="20" t="s">
        <v>91</v>
      </c>
      <c r="F1223" s="17" t="s">
        <v>47</v>
      </c>
      <c r="G1223" s="17" t="s">
        <v>3604</v>
      </c>
      <c r="H1223" s="17" t="s">
        <v>3605</v>
      </c>
      <c r="I1223" s="17" t="s">
        <v>125</v>
      </c>
      <c r="J1223" s="22" t="s">
        <v>144</v>
      </c>
      <c r="K1223" s="23" t="s">
        <v>108</v>
      </c>
      <c r="L1223" s="24" t="s">
        <v>91</v>
      </c>
      <c r="M1223" s="2">
        <v>35.0</v>
      </c>
      <c r="N1223" s="25">
        <v>31.0</v>
      </c>
      <c r="O1223" s="25"/>
      <c r="P1223" s="25"/>
    </row>
    <row r="1224">
      <c r="A1224" s="16">
        <v>1222.0</v>
      </c>
      <c r="B1224" s="27" t="s">
        <v>51</v>
      </c>
      <c r="C1224" s="18">
        <v>30.0</v>
      </c>
      <c r="D1224" s="19" t="s">
        <v>3351</v>
      </c>
      <c r="E1224" s="20" t="s">
        <v>91</v>
      </c>
      <c r="F1224" s="27" t="s">
        <v>1229</v>
      </c>
      <c r="G1224" s="17" t="s">
        <v>3606</v>
      </c>
      <c r="H1224" s="17" t="s">
        <v>3607</v>
      </c>
      <c r="I1224" s="17" t="s">
        <v>125</v>
      </c>
      <c r="J1224" s="22" t="s">
        <v>144</v>
      </c>
      <c r="K1224" s="23" t="s">
        <v>108</v>
      </c>
      <c r="L1224" s="24"/>
      <c r="M1224" s="2">
        <v>35.0</v>
      </c>
      <c r="N1224" s="25">
        <v>31.0</v>
      </c>
      <c r="O1224" s="25"/>
      <c r="P1224" s="25"/>
    </row>
    <row r="1225">
      <c r="A1225" s="16">
        <v>1223.0</v>
      </c>
      <c r="B1225" s="17" t="s">
        <v>1126</v>
      </c>
      <c r="C1225" s="18">
        <v>1.0</v>
      </c>
      <c r="D1225" s="19" t="s">
        <v>3379</v>
      </c>
      <c r="E1225" s="20" t="s">
        <v>91</v>
      </c>
      <c r="F1225" s="17" t="s">
        <v>889</v>
      </c>
      <c r="G1225" s="17" t="s">
        <v>123</v>
      </c>
      <c r="H1225" s="17" t="s">
        <v>3608</v>
      </c>
      <c r="I1225" s="17" t="s">
        <v>98</v>
      </c>
      <c r="J1225" s="22" t="s">
        <v>100</v>
      </c>
      <c r="K1225" s="23" t="s">
        <v>108</v>
      </c>
      <c r="L1225" s="24" t="s">
        <v>91</v>
      </c>
      <c r="M1225" s="2">
        <v>36.0</v>
      </c>
      <c r="N1225" s="25">
        <v>10.0</v>
      </c>
      <c r="O1225" s="25"/>
      <c r="P1225" s="25"/>
    </row>
    <row r="1226">
      <c r="A1226" s="16">
        <v>1224.0</v>
      </c>
      <c r="B1226" s="17" t="s">
        <v>1126</v>
      </c>
      <c r="C1226" s="18">
        <v>2.0</v>
      </c>
      <c r="D1226" s="19" t="s">
        <v>3379</v>
      </c>
      <c r="E1226" s="20" t="s">
        <v>91</v>
      </c>
      <c r="F1226" s="17" t="s">
        <v>1001</v>
      </c>
      <c r="G1226" s="17" t="s">
        <v>123</v>
      </c>
      <c r="H1226" s="17" t="s">
        <v>3610</v>
      </c>
      <c r="I1226" s="17" t="s">
        <v>98</v>
      </c>
      <c r="J1226" s="22" t="s">
        <v>100</v>
      </c>
      <c r="K1226" s="23" t="s">
        <v>108</v>
      </c>
      <c r="L1226" s="24" t="s">
        <v>91</v>
      </c>
      <c r="M1226" s="2">
        <v>36.0</v>
      </c>
      <c r="N1226" s="25">
        <v>10.0</v>
      </c>
      <c r="O1226" s="25"/>
      <c r="P1226" s="25"/>
    </row>
    <row r="1227">
      <c r="A1227" s="16">
        <v>1225.0</v>
      </c>
      <c r="B1227" s="17" t="s">
        <v>1126</v>
      </c>
      <c r="C1227" s="18">
        <v>3.0</v>
      </c>
      <c r="D1227" s="19" t="s">
        <v>3379</v>
      </c>
      <c r="E1227" s="20" t="s">
        <v>91</v>
      </c>
      <c r="F1227" s="17" t="s">
        <v>1121</v>
      </c>
      <c r="G1227" s="17" t="s">
        <v>123</v>
      </c>
      <c r="H1227" s="17" t="s">
        <v>3612</v>
      </c>
      <c r="I1227" s="17" t="s">
        <v>98</v>
      </c>
      <c r="J1227" s="22" t="s">
        <v>135</v>
      </c>
      <c r="K1227" s="23" t="s">
        <v>108</v>
      </c>
      <c r="L1227" s="24" t="s">
        <v>91</v>
      </c>
      <c r="M1227" s="2">
        <v>36.0</v>
      </c>
      <c r="N1227" s="25">
        <v>20.0</v>
      </c>
      <c r="O1227" s="25"/>
      <c r="P1227" s="25"/>
    </row>
    <row r="1228">
      <c r="A1228" s="16">
        <v>1226.0</v>
      </c>
      <c r="B1228" s="17" t="s">
        <v>1126</v>
      </c>
      <c r="C1228" s="18">
        <v>4.0</v>
      </c>
      <c r="D1228" s="19" t="s">
        <v>3379</v>
      </c>
      <c r="E1228" s="20" t="s">
        <v>91</v>
      </c>
      <c r="F1228" s="17" t="s">
        <v>855</v>
      </c>
      <c r="G1228" s="17" t="s">
        <v>123</v>
      </c>
      <c r="H1228" s="17" t="s">
        <v>3613</v>
      </c>
      <c r="I1228" s="17" t="s">
        <v>98</v>
      </c>
      <c r="J1228" s="22" t="s">
        <v>135</v>
      </c>
      <c r="K1228" s="23" t="s">
        <v>108</v>
      </c>
      <c r="L1228" s="24" t="s">
        <v>91</v>
      </c>
      <c r="M1228" s="2">
        <v>36.0</v>
      </c>
      <c r="N1228" s="25">
        <v>20.0</v>
      </c>
      <c r="O1228" s="25"/>
      <c r="P1228" s="25"/>
    </row>
    <row r="1229">
      <c r="A1229" s="16">
        <v>1227.0</v>
      </c>
      <c r="B1229" s="17" t="s">
        <v>1126</v>
      </c>
      <c r="C1229" s="18">
        <v>5.0</v>
      </c>
      <c r="D1229" s="19" t="s">
        <v>3379</v>
      </c>
      <c r="E1229" s="20" t="s">
        <v>91</v>
      </c>
      <c r="F1229" s="17" t="s">
        <v>160</v>
      </c>
      <c r="G1229" s="17" t="s">
        <v>3614</v>
      </c>
      <c r="H1229" s="17" t="s">
        <v>3615</v>
      </c>
      <c r="I1229" s="17" t="s">
        <v>98</v>
      </c>
      <c r="J1229" s="22" t="s">
        <v>135</v>
      </c>
      <c r="K1229" s="23" t="s">
        <v>108</v>
      </c>
      <c r="L1229" s="24" t="s">
        <v>91</v>
      </c>
      <c r="M1229" s="2">
        <v>36.0</v>
      </c>
      <c r="N1229" s="25">
        <v>20.0</v>
      </c>
      <c r="O1229" s="25"/>
      <c r="P1229" s="25"/>
    </row>
    <row r="1230">
      <c r="A1230" s="16">
        <v>1228.0</v>
      </c>
      <c r="B1230" s="17" t="s">
        <v>1126</v>
      </c>
      <c r="C1230" s="18">
        <v>6.0</v>
      </c>
      <c r="D1230" s="19" t="s">
        <v>3379</v>
      </c>
      <c r="E1230" s="20" t="s">
        <v>91</v>
      </c>
      <c r="F1230" s="17" t="s">
        <v>1122</v>
      </c>
      <c r="G1230" s="17" t="s">
        <v>3617</v>
      </c>
      <c r="H1230" s="17" t="s">
        <v>3618</v>
      </c>
      <c r="I1230" s="17" t="s">
        <v>98</v>
      </c>
      <c r="J1230" s="22" t="s">
        <v>135</v>
      </c>
      <c r="K1230" s="23" t="s">
        <v>108</v>
      </c>
      <c r="L1230" s="24" t="s">
        <v>91</v>
      </c>
      <c r="M1230" s="2">
        <v>36.0</v>
      </c>
      <c r="N1230" s="25">
        <v>20.0</v>
      </c>
      <c r="O1230" s="25"/>
      <c r="P1230" s="25"/>
    </row>
    <row r="1231">
      <c r="A1231" s="16">
        <v>1229.0</v>
      </c>
      <c r="B1231" s="17" t="s">
        <v>1126</v>
      </c>
      <c r="C1231" s="18">
        <v>7.0</v>
      </c>
      <c r="D1231" s="19" t="s">
        <v>3379</v>
      </c>
      <c r="E1231" s="20" t="s">
        <v>91</v>
      </c>
      <c r="F1231" s="17" t="s">
        <v>1123</v>
      </c>
      <c r="G1231" s="17" t="s">
        <v>3619</v>
      </c>
      <c r="H1231" s="17" t="s">
        <v>3620</v>
      </c>
      <c r="I1231" s="17" t="s">
        <v>98</v>
      </c>
      <c r="J1231" s="22" t="s">
        <v>135</v>
      </c>
      <c r="K1231" s="23" t="s">
        <v>108</v>
      </c>
      <c r="L1231" s="24" t="s">
        <v>91</v>
      </c>
      <c r="M1231" s="2">
        <v>36.0</v>
      </c>
      <c r="N1231" s="25">
        <v>20.0</v>
      </c>
      <c r="O1231" s="25"/>
      <c r="P1231" s="25"/>
    </row>
    <row r="1232">
      <c r="A1232" s="16">
        <v>1230.0</v>
      </c>
      <c r="B1232" s="17" t="s">
        <v>1126</v>
      </c>
      <c r="C1232" s="18">
        <v>8.0</v>
      </c>
      <c r="D1232" s="19" t="s">
        <v>3379</v>
      </c>
      <c r="E1232" s="20" t="s">
        <v>91</v>
      </c>
      <c r="F1232" s="17" t="s">
        <v>56</v>
      </c>
      <c r="G1232" s="17" t="s">
        <v>3622</v>
      </c>
      <c r="H1232" s="17" t="s">
        <v>3623</v>
      </c>
      <c r="I1232" s="17" t="s">
        <v>98</v>
      </c>
      <c r="J1232" s="22" t="s">
        <v>135</v>
      </c>
      <c r="K1232" s="23" t="s">
        <v>108</v>
      </c>
      <c r="L1232" s="24" t="s">
        <v>91</v>
      </c>
      <c r="M1232" s="2">
        <v>36.0</v>
      </c>
      <c r="N1232" s="25">
        <v>20.0</v>
      </c>
      <c r="O1232" s="25"/>
      <c r="P1232" s="25"/>
    </row>
    <row r="1233">
      <c r="A1233" s="16">
        <v>1231.0</v>
      </c>
      <c r="B1233" s="17" t="s">
        <v>1126</v>
      </c>
      <c r="C1233" s="18">
        <v>9.0</v>
      </c>
      <c r="D1233" s="19" t="s">
        <v>3379</v>
      </c>
      <c r="E1233" s="20" t="s">
        <v>91</v>
      </c>
      <c r="F1233" s="17" t="s">
        <v>1175</v>
      </c>
      <c r="G1233" s="17" t="s">
        <v>1893</v>
      </c>
      <c r="H1233" s="17" t="s">
        <v>3624</v>
      </c>
      <c r="I1233" s="17" t="s">
        <v>98</v>
      </c>
      <c r="J1233" s="22" t="s">
        <v>135</v>
      </c>
      <c r="K1233" s="23" t="s">
        <v>108</v>
      </c>
      <c r="L1233" s="24" t="s">
        <v>91</v>
      </c>
      <c r="M1233" s="2">
        <v>36.0</v>
      </c>
      <c r="N1233" s="25">
        <v>20.0</v>
      </c>
      <c r="O1233" s="25"/>
      <c r="P1233" s="25"/>
    </row>
    <row r="1234">
      <c r="A1234" s="16">
        <v>1232.0</v>
      </c>
      <c r="B1234" s="17" t="s">
        <v>1126</v>
      </c>
      <c r="C1234" s="18">
        <v>10.0</v>
      </c>
      <c r="D1234" s="19" t="s">
        <v>3379</v>
      </c>
      <c r="E1234" s="20" t="s">
        <v>91</v>
      </c>
      <c r="F1234" s="17" t="s">
        <v>950</v>
      </c>
      <c r="G1234" s="17" t="s">
        <v>3626</v>
      </c>
      <c r="H1234" s="17" t="s">
        <v>3627</v>
      </c>
      <c r="I1234" s="17" t="s">
        <v>98</v>
      </c>
      <c r="J1234" s="22" t="s">
        <v>135</v>
      </c>
      <c r="K1234" s="23" t="s">
        <v>108</v>
      </c>
      <c r="L1234" s="24" t="s">
        <v>91</v>
      </c>
      <c r="M1234" s="2">
        <v>36.0</v>
      </c>
      <c r="N1234" s="25">
        <v>20.0</v>
      </c>
      <c r="O1234" s="25"/>
      <c r="P1234" s="25"/>
    </row>
    <row r="1235">
      <c r="A1235" s="16">
        <v>1233.0</v>
      </c>
      <c r="B1235" s="17" t="s">
        <v>1126</v>
      </c>
      <c r="C1235" s="18">
        <v>11.0</v>
      </c>
      <c r="D1235" s="19" t="s">
        <v>3379</v>
      </c>
      <c r="E1235" s="20" t="s">
        <v>91</v>
      </c>
      <c r="F1235" s="17" t="s">
        <v>544</v>
      </c>
      <c r="G1235" s="17" t="s">
        <v>3628</v>
      </c>
      <c r="H1235" s="17" t="s">
        <v>3629</v>
      </c>
      <c r="I1235" s="17" t="s">
        <v>98</v>
      </c>
      <c r="J1235" s="22" t="s">
        <v>135</v>
      </c>
      <c r="K1235" s="23" t="s">
        <v>108</v>
      </c>
      <c r="L1235" s="24" t="s">
        <v>91</v>
      </c>
      <c r="M1235" s="2">
        <v>36.0</v>
      </c>
      <c r="N1235" s="25">
        <v>20.0</v>
      </c>
      <c r="O1235" s="25"/>
      <c r="P1235" s="25"/>
    </row>
    <row r="1236">
      <c r="A1236" s="16">
        <v>1234.0</v>
      </c>
      <c r="B1236" s="17" t="s">
        <v>1126</v>
      </c>
      <c r="C1236" s="18">
        <v>12.0</v>
      </c>
      <c r="D1236" s="19" t="s">
        <v>3379</v>
      </c>
      <c r="E1236" s="20" t="s">
        <v>91</v>
      </c>
      <c r="F1236" s="17" t="s">
        <v>870</v>
      </c>
      <c r="G1236" s="17" t="s">
        <v>3632</v>
      </c>
      <c r="H1236" s="17" t="s">
        <v>3633</v>
      </c>
      <c r="I1236" s="17" t="s">
        <v>98</v>
      </c>
      <c r="J1236" s="22" t="s">
        <v>135</v>
      </c>
      <c r="K1236" s="23" t="s">
        <v>108</v>
      </c>
      <c r="L1236" s="24" t="s">
        <v>91</v>
      </c>
      <c r="M1236" s="2">
        <v>36.0</v>
      </c>
      <c r="N1236" s="25">
        <v>20.0</v>
      </c>
      <c r="O1236" s="25"/>
      <c r="P1236" s="25"/>
    </row>
    <row r="1237">
      <c r="A1237" s="16">
        <v>1235.0</v>
      </c>
      <c r="B1237" s="17" t="s">
        <v>1126</v>
      </c>
      <c r="C1237" s="18">
        <v>13.0</v>
      </c>
      <c r="D1237" s="19" t="s">
        <v>3379</v>
      </c>
      <c r="E1237" s="20" t="s">
        <v>91</v>
      </c>
      <c r="F1237" s="17" t="s">
        <v>1251</v>
      </c>
      <c r="G1237" s="17" t="s">
        <v>3634</v>
      </c>
      <c r="H1237" s="17" t="s">
        <v>3635</v>
      </c>
      <c r="I1237" s="17" t="s">
        <v>98</v>
      </c>
      <c r="J1237" s="22" t="s">
        <v>135</v>
      </c>
      <c r="K1237" s="23" t="s">
        <v>108</v>
      </c>
      <c r="L1237" s="24" t="s">
        <v>91</v>
      </c>
      <c r="M1237" s="2">
        <v>36.0</v>
      </c>
      <c r="N1237" s="25">
        <v>20.0</v>
      </c>
      <c r="O1237" s="25"/>
      <c r="P1237" s="25"/>
    </row>
    <row r="1238">
      <c r="A1238" s="16">
        <v>1236.0</v>
      </c>
      <c r="B1238" s="17" t="s">
        <v>1126</v>
      </c>
      <c r="C1238" s="18">
        <v>14.0</v>
      </c>
      <c r="D1238" s="19" t="s">
        <v>3379</v>
      </c>
      <c r="E1238" s="20" t="s">
        <v>91</v>
      </c>
      <c r="F1238" s="17" t="s">
        <v>891</v>
      </c>
      <c r="G1238" s="17" t="s">
        <v>3637</v>
      </c>
      <c r="H1238" s="17" t="s">
        <v>3638</v>
      </c>
      <c r="I1238" s="17" t="s">
        <v>98</v>
      </c>
      <c r="J1238" s="22" t="s">
        <v>135</v>
      </c>
      <c r="K1238" s="23" t="s">
        <v>108</v>
      </c>
      <c r="L1238" s="24" t="s">
        <v>91</v>
      </c>
      <c r="M1238" s="2">
        <v>36.0</v>
      </c>
      <c r="N1238" s="25">
        <v>20.0</v>
      </c>
      <c r="O1238" s="25"/>
      <c r="P1238" s="25"/>
    </row>
    <row r="1239">
      <c r="A1239" s="16">
        <v>1237.0</v>
      </c>
      <c r="B1239" s="17" t="s">
        <v>1126</v>
      </c>
      <c r="C1239" s="18">
        <v>15.0</v>
      </c>
      <c r="D1239" s="19" t="s">
        <v>3379</v>
      </c>
      <c r="E1239" s="20" t="s">
        <v>91</v>
      </c>
      <c r="F1239" s="17" t="s">
        <v>994</v>
      </c>
      <c r="G1239" s="17" t="s">
        <v>3639</v>
      </c>
      <c r="H1239" s="17" t="s">
        <v>3640</v>
      </c>
      <c r="I1239" s="17" t="s">
        <v>98</v>
      </c>
      <c r="J1239" s="22" t="s">
        <v>135</v>
      </c>
      <c r="K1239" s="23" t="s">
        <v>108</v>
      </c>
      <c r="L1239" s="24" t="s">
        <v>91</v>
      </c>
      <c r="M1239" s="2">
        <v>36.0</v>
      </c>
      <c r="N1239" s="25">
        <v>20.0</v>
      </c>
      <c r="O1239" s="25"/>
      <c r="P1239" s="25"/>
    </row>
    <row r="1240">
      <c r="A1240" s="16">
        <v>1238.0</v>
      </c>
      <c r="B1240" s="17" t="s">
        <v>1126</v>
      </c>
      <c r="C1240" s="18">
        <v>16.0</v>
      </c>
      <c r="D1240" s="19" t="s">
        <v>3379</v>
      </c>
      <c r="E1240" s="20" t="s">
        <v>91</v>
      </c>
      <c r="F1240" s="17" t="s">
        <v>89</v>
      </c>
      <c r="G1240" s="17" t="s">
        <v>2068</v>
      </c>
      <c r="H1240" s="17" t="s">
        <v>3642</v>
      </c>
      <c r="I1240" s="17" t="s">
        <v>98</v>
      </c>
      <c r="J1240" s="22" t="s">
        <v>135</v>
      </c>
      <c r="K1240" s="23" t="s">
        <v>108</v>
      </c>
      <c r="L1240" s="24" t="s">
        <v>91</v>
      </c>
      <c r="M1240" s="2">
        <v>36.0</v>
      </c>
      <c r="N1240" s="25">
        <v>20.0</v>
      </c>
      <c r="O1240" s="25"/>
      <c r="P1240" s="25"/>
    </row>
    <row r="1241">
      <c r="A1241" s="16">
        <v>1239.0</v>
      </c>
      <c r="B1241" s="17" t="s">
        <v>1126</v>
      </c>
      <c r="C1241" s="18">
        <v>17.0</v>
      </c>
      <c r="D1241" s="19" t="s">
        <v>3379</v>
      </c>
      <c r="E1241" s="20" t="s">
        <v>91</v>
      </c>
      <c r="F1241" s="17" t="s">
        <v>554</v>
      </c>
      <c r="G1241" s="17" t="s">
        <v>3643</v>
      </c>
      <c r="H1241" s="17" t="s">
        <v>3644</v>
      </c>
      <c r="I1241" s="17" t="s">
        <v>98</v>
      </c>
      <c r="J1241" s="22" t="s">
        <v>135</v>
      </c>
      <c r="K1241" s="23" t="s">
        <v>108</v>
      </c>
      <c r="L1241" s="24" t="s">
        <v>91</v>
      </c>
      <c r="M1241" s="2">
        <v>36.0</v>
      </c>
      <c r="N1241" s="25">
        <v>20.0</v>
      </c>
      <c r="O1241" s="25"/>
      <c r="P1241" s="25"/>
    </row>
    <row r="1242">
      <c r="A1242" s="16">
        <v>1240.0</v>
      </c>
      <c r="B1242" s="17" t="s">
        <v>1126</v>
      </c>
      <c r="C1242" s="18">
        <v>18.0</v>
      </c>
      <c r="D1242" s="19" t="s">
        <v>3379</v>
      </c>
      <c r="E1242" s="20" t="s">
        <v>91</v>
      </c>
      <c r="F1242" s="17" t="s">
        <v>87</v>
      </c>
      <c r="G1242" s="17" t="s">
        <v>2378</v>
      </c>
      <c r="H1242" s="17" t="s">
        <v>3645</v>
      </c>
      <c r="I1242" s="17" t="s">
        <v>98</v>
      </c>
      <c r="J1242" s="22" t="s">
        <v>135</v>
      </c>
      <c r="K1242" s="23" t="s">
        <v>108</v>
      </c>
      <c r="L1242" s="24" t="s">
        <v>91</v>
      </c>
      <c r="M1242" s="2">
        <v>36.0</v>
      </c>
      <c r="N1242" s="25">
        <v>20.0</v>
      </c>
      <c r="O1242" s="25"/>
      <c r="P1242" s="25"/>
    </row>
    <row r="1243">
      <c r="A1243" s="16">
        <v>1241.0</v>
      </c>
      <c r="B1243" s="17" t="s">
        <v>1126</v>
      </c>
      <c r="C1243" s="18">
        <v>19.0</v>
      </c>
      <c r="D1243" s="19" t="s">
        <v>3379</v>
      </c>
      <c r="E1243" s="20" t="s">
        <v>91</v>
      </c>
      <c r="F1243" s="17" t="s">
        <v>97</v>
      </c>
      <c r="G1243" s="17" t="s">
        <v>3646</v>
      </c>
      <c r="H1243" s="17" t="s">
        <v>3647</v>
      </c>
      <c r="I1243" s="17" t="s">
        <v>98</v>
      </c>
      <c r="J1243" s="22" t="s">
        <v>135</v>
      </c>
      <c r="K1243" s="23" t="s">
        <v>108</v>
      </c>
      <c r="L1243" s="24" t="s">
        <v>91</v>
      </c>
      <c r="M1243" s="2">
        <v>36.0</v>
      </c>
      <c r="N1243" s="25">
        <v>20.0</v>
      </c>
      <c r="O1243" s="25"/>
      <c r="P1243" s="25"/>
    </row>
    <row r="1244">
      <c r="A1244" s="16">
        <v>1242.0</v>
      </c>
      <c r="B1244" s="27" t="s">
        <v>1126</v>
      </c>
      <c r="C1244" s="18">
        <v>20.0</v>
      </c>
      <c r="D1244" s="19" t="s">
        <v>3379</v>
      </c>
      <c r="E1244" s="20" t="s">
        <v>91</v>
      </c>
      <c r="F1244" s="27" t="s">
        <v>1308</v>
      </c>
      <c r="G1244" s="17" t="s">
        <v>3648</v>
      </c>
      <c r="H1244" s="17" t="s">
        <v>3649</v>
      </c>
      <c r="I1244" s="17" t="s">
        <v>98</v>
      </c>
      <c r="J1244" s="22" t="s">
        <v>135</v>
      </c>
      <c r="K1244" s="23" t="s">
        <v>108</v>
      </c>
      <c r="L1244" s="24"/>
      <c r="M1244" s="2">
        <v>36.0</v>
      </c>
      <c r="N1244" s="25">
        <v>20.0</v>
      </c>
      <c r="O1244" s="25"/>
      <c r="P1244" s="25"/>
    </row>
    <row r="1245">
      <c r="A1245" s="16">
        <v>1243.0</v>
      </c>
      <c r="B1245" s="27" t="s">
        <v>1126</v>
      </c>
      <c r="C1245" s="18">
        <v>21.0</v>
      </c>
      <c r="D1245" s="19" t="s">
        <v>3379</v>
      </c>
      <c r="E1245" s="20" t="s">
        <v>91</v>
      </c>
      <c r="F1245" s="27" t="s">
        <v>1373</v>
      </c>
      <c r="G1245" s="17" t="s">
        <v>3651</v>
      </c>
      <c r="H1245" s="17" t="s">
        <v>3652</v>
      </c>
      <c r="I1245" s="17" t="s">
        <v>98</v>
      </c>
      <c r="J1245" s="22" t="s">
        <v>135</v>
      </c>
      <c r="K1245" s="23" t="s">
        <v>108</v>
      </c>
      <c r="L1245" s="24"/>
      <c r="M1245" s="2">
        <v>36.0</v>
      </c>
      <c r="N1245" s="25">
        <v>20.0</v>
      </c>
      <c r="O1245" s="25"/>
      <c r="P1245" s="25"/>
    </row>
    <row r="1246">
      <c r="A1246" s="16">
        <v>1244.0</v>
      </c>
      <c r="B1246" s="17" t="s">
        <v>1126</v>
      </c>
      <c r="C1246" s="18">
        <v>22.0</v>
      </c>
      <c r="D1246" s="19" t="s">
        <v>3379</v>
      </c>
      <c r="E1246" s="20" t="s">
        <v>91</v>
      </c>
      <c r="F1246" s="17" t="s">
        <v>558</v>
      </c>
      <c r="G1246" s="17" t="s">
        <v>3653</v>
      </c>
      <c r="H1246" s="17" t="s">
        <v>3654</v>
      </c>
      <c r="I1246" s="17" t="s">
        <v>98</v>
      </c>
      <c r="J1246" s="22" t="s">
        <v>144</v>
      </c>
      <c r="K1246" s="23" t="s">
        <v>108</v>
      </c>
      <c r="L1246" s="24" t="s">
        <v>91</v>
      </c>
      <c r="M1246" s="2">
        <v>36.0</v>
      </c>
      <c r="N1246" s="25">
        <v>30.0</v>
      </c>
      <c r="O1246" s="25"/>
      <c r="P1246" s="25"/>
    </row>
    <row r="1247">
      <c r="A1247" s="16">
        <v>1245.0</v>
      </c>
      <c r="B1247" s="17" t="s">
        <v>1126</v>
      </c>
      <c r="C1247" s="18">
        <v>23.0</v>
      </c>
      <c r="D1247" s="19" t="s">
        <v>3379</v>
      </c>
      <c r="E1247" s="20" t="s">
        <v>91</v>
      </c>
      <c r="F1247" s="17" t="s">
        <v>1002</v>
      </c>
      <c r="G1247" s="17" t="s">
        <v>123</v>
      </c>
      <c r="H1247" s="17" t="s">
        <v>3657</v>
      </c>
      <c r="I1247" s="17" t="s">
        <v>98</v>
      </c>
      <c r="J1247" s="22" t="s">
        <v>144</v>
      </c>
      <c r="K1247" s="23" t="s">
        <v>108</v>
      </c>
      <c r="L1247" s="24" t="s">
        <v>91</v>
      </c>
      <c r="M1247" s="2">
        <v>36.0</v>
      </c>
      <c r="N1247" s="25">
        <v>30.0</v>
      </c>
      <c r="O1247" s="25"/>
      <c r="P1247" s="25"/>
    </row>
    <row r="1248">
      <c r="A1248" s="16">
        <v>1246.0</v>
      </c>
      <c r="B1248" s="17" t="s">
        <v>1126</v>
      </c>
      <c r="C1248" s="18">
        <v>24.0</v>
      </c>
      <c r="D1248" s="19" t="s">
        <v>3379</v>
      </c>
      <c r="E1248" s="20" t="s">
        <v>91</v>
      </c>
      <c r="F1248" s="17" t="s">
        <v>452</v>
      </c>
      <c r="G1248" s="17" t="s">
        <v>3658</v>
      </c>
      <c r="H1248" s="17" t="s">
        <v>3659</v>
      </c>
      <c r="I1248" s="17" t="s">
        <v>98</v>
      </c>
      <c r="J1248" s="22" t="s">
        <v>144</v>
      </c>
      <c r="K1248" s="23" t="s">
        <v>108</v>
      </c>
      <c r="L1248" s="24" t="s">
        <v>91</v>
      </c>
      <c r="M1248" s="2">
        <v>36.0</v>
      </c>
      <c r="N1248" s="25">
        <v>30.0</v>
      </c>
      <c r="O1248" s="25"/>
      <c r="P1248" s="25"/>
    </row>
    <row r="1249">
      <c r="A1249" s="16">
        <v>1247.0</v>
      </c>
      <c r="B1249" s="17" t="s">
        <v>1126</v>
      </c>
      <c r="C1249" s="18">
        <v>25.0</v>
      </c>
      <c r="D1249" s="19" t="s">
        <v>3379</v>
      </c>
      <c r="E1249" s="20" t="s">
        <v>91</v>
      </c>
      <c r="F1249" s="17" t="s">
        <v>458</v>
      </c>
      <c r="G1249" s="17" t="s">
        <v>2050</v>
      </c>
      <c r="H1249" s="17" t="s">
        <v>3660</v>
      </c>
      <c r="I1249" s="17" t="s">
        <v>98</v>
      </c>
      <c r="J1249" s="22" t="s">
        <v>144</v>
      </c>
      <c r="K1249" s="23" t="s">
        <v>108</v>
      </c>
      <c r="L1249" s="24" t="s">
        <v>91</v>
      </c>
      <c r="M1249" s="2">
        <v>36.0</v>
      </c>
      <c r="N1249" s="25">
        <v>30.0</v>
      </c>
      <c r="O1249" s="25"/>
      <c r="P1249" s="25"/>
    </row>
    <row r="1250">
      <c r="A1250" s="16">
        <v>1248.0</v>
      </c>
      <c r="B1250" s="17" t="s">
        <v>1126</v>
      </c>
      <c r="C1250" s="18">
        <v>26.0</v>
      </c>
      <c r="D1250" s="19" t="s">
        <v>3379</v>
      </c>
      <c r="E1250" s="20" t="s">
        <v>91</v>
      </c>
      <c r="F1250" s="17" t="s">
        <v>1124</v>
      </c>
      <c r="G1250" s="17" t="s">
        <v>123</v>
      </c>
      <c r="H1250" s="17" t="s">
        <v>3661</v>
      </c>
      <c r="I1250" s="17" t="s">
        <v>98</v>
      </c>
      <c r="J1250" s="22" t="s">
        <v>144</v>
      </c>
      <c r="K1250" s="23" t="s">
        <v>108</v>
      </c>
      <c r="L1250" s="24" t="s">
        <v>91</v>
      </c>
      <c r="M1250" s="2">
        <v>36.0</v>
      </c>
      <c r="N1250" s="25">
        <v>30.0</v>
      </c>
      <c r="O1250" s="25"/>
      <c r="P1250" s="25"/>
    </row>
    <row r="1251">
      <c r="A1251" s="16">
        <v>1249.0</v>
      </c>
      <c r="B1251" s="17" t="s">
        <v>1126</v>
      </c>
      <c r="C1251" s="18">
        <v>27.0</v>
      </c>
      <c r="D1251" s="19" t="s">
        <v>2161</v>
      </c>
      <c r="E1251" s="20" t="s">
        <v>91</v>
      </c>
      <c r="F1251" s="17" t="s">
        <v>561</v>
      </c>
      <c r="G1251" s="17" t="s">
        <v>3664</v>
      </c>
      <c r="H1251" s="17" t="s">
        <v>3665</v>
      </c>
      <c r="I1251" s="17" t="s">
        <v>125</v>
      </c>
      <c r="J1251" s="22" t="s">
        <v>144</v>
      </c>
      <c r="K1251" s="23" t="s">
        <v>108</v>
      </c>
      <c r="L1251" s="24" t="s">
        <v>91</v>
      </c>
      <c r="M1251" s="2">
        <v>36.0</v>
      </c>
      <c r="N1251" s="25">
        <v>31.0</v>
      </c>
      <c r="O1251" s="25"/>
      <c r="P1251" s="25"/>
    </row>
    <row r="1252">
      <c r="A1252" s="16">
        <v>1250.0</v>
      </c>
      <c r="B1252" s="17" t="s">
        <v>1126</v>
      </c>
      <c r="C1252" s="18">
        <v>28.0</v>
      </c>
      <c r="D1252" s="19" t="s">
        <v>2161</v>
      </c>
      <c r="E1252" s="20" t="s">
        <v>91</v>
      </c>
      <c r="F1252" s="17" t="s">
        <v>893</v>
      </c>
      <c r="G1252" s="17" t="s">
        <v>3667</v>
      </c>
      <c r="H1252" s="17" t="s">
        <v>3668</v>
      </c>
      <c r="I1252" s="17" t="s">
        <v>125</v>
      </c>
      <c r="J1252" s="22" t="s">
        <v>144</v>
      </c>
      <c r="K1252" s="23" t="s">
        <v>108</v>
      </c>
      <c r="L1252" s="24" t="s">
        <v>91</v>
      </c>
      <c r="M1252" s="2">
        <v>36.0</v>
      </c>
      <c r="N1252" s="25">
        <v>31.0</v>
      </c>
      <c r="O1252" s="25"/>
      <c r="P1252" s="25"/>
    </row>
    <row r="1253">
      <c r="A1253" s="16">
        <v>1251.0</v>
      </c>
      <c r="B1253" s="17" t="s">
        <v>1126</v>
      </c>
      <c r="C1253" s="18">
        <v>29.0</v>
      </c>
      <c r="D1253" s="19" t="s">
        <v>2161</v>
      </c>
      <c r="E1253" s="20" t="s">
        <v>91</v>
      </c>
      <c r="F1253" s="17" t="s">
        <v>769</v>
      </c>
      <c r="G1253" s="17" t="s">
        <v>3669</v>
      </c>
      <c r="H1253" s="17" t="s">
        <v>3670</v>
      </c>
      <c r="I1253" s="17" t="s">
        <v>125</v>
      </c>
      <c r="J1253" s="22" t="s">
        <v>144</v>
      </c>
      <c r="K1253" s="23" t="s">
        <v>108</v>
      </c>
      <c r="L1253" s="24" t="s">
        <v>91</v>
      </c>
      <c r="M1253" s="2">
        <v>36.0</v>
      </c>
      <c r="N1253" s="25">
        <v>31.0</v>
      </c>
      <c r="O1253" s="25"/>
      <c r="P1253" s="25"/>
    </row>
    <row r="1254">
      <c r="A1254" s="16">
        <v>1252.0</v>
      </c>
      <c r="B1254" s="17" t="s">
        <v>1126</v>
      </c>
      <c r="C1254" s="18">
        <v>30.0</v>
      </c>
      <c r="D1254" s="19" t="s">
        <v>2161</v>
      </c>
      <c r="E1254" s="20" t="s">
        <v>91</v>
      </c>
      <c r="F1254" s="17" t="s">
        <v>895</v>
      </c>
      <c r="G1254" s="17" t="s">
        <v>123</v>
      </c>
      <c r="H1254" s="17" t="s">
        <v>3671</v>
      </c>
      <c r="I1254" s="17" t="s">
        <v>125</v>
      </c>
      <c r="J1254" s="22" t="s">
        <v>144</v>
      </c>
      <c r="K1254" s="23" t="s">
        <v>108</v>
      </c>
      <c r="L1254" s="24" t="s">
        <v>91</v>
      </c>
      <c r="M1254" s="2">
        <v>36.0</v>
      </c>
      <c r="N1254" s="25">
        <v>31.0</v>
      </c>
      <c r="O1254" s="25"/>
      <c r="P1254" s="25"/>
    </row>
    <row r="1255">
      <c r="A1255" s="16">
        <v>1253.0</v>
      </c>
      <c r="B1255" s="17" t="s">
        <v>855</v>
      </c>
      <c r="C1255" s="18">
        <v>1.0</v>
      </c>
      <c r="D1255" s="19" t="s">
        <v>3413</v>
      </c>
      <c r="E1255" s="20" t="s">
        <v>91</v>
      </c>
      <c r="F1255" s="17" t="s">
        <v>1121</v>
      </c>
      <c r="G1255" s="17" t="s">
        <v>3673</v>
      </c>
      <c r="H1255" s="17" t="s">
        <v>3674</v>
      </c>
      <c r="I1255" s="17" t="s">
        <v>98</v>
      </c>
      <c r="J1255" s="22" t="s">
        <v>100</v>
      </c>
      <c r="K1255" s="23" t="s">
        <v>108</v>
      </c>
      <c r="L1255" s="24" t="s">
        <v>91</v>
      </c>
      <c r="M1255" s="2">
        <v>37.0</v>
      </c>
      <c r="N1255" s="25">
        <v>10.0</v>
      </c>
      <c r="O1255" s="25"/>
      <c r="P1255" s="25"/>
    </row>
    <row r="1256">
      <c r="A1256" s="16">
        <v>1254.0</v>
      </c>
      <c r="B1256" s="17" t="s">
        <v>855</v>
      </c>
      <c r="C1256" s="18">
        <v>2.0</v>
      </c>
      <c r="D1256" s="19" t="s">
        <v>3407</v>
      </c>
      <c r="E1256" s="20" t="s">
        <v>91</v>
      </c>
      <c r="F1256" s="17" t="s">
        <v>1124</v>
      </c>
      <c r="G1256" s="17" t="s">
        <v>3675</v>
      </c>
      <c r="H1256" s="17" t="s">
        <v>3676</v>
      </c>
      <c r="I1256" s="17" t="s">
        <v>98</v>
      </c>
      <c r="J1256" s="22" t="s">
        <v>135</v>
      </c>
      <c r="K1256" s="23" t="s">
        <v>108</v>
      </c>
      <c r="L1256" s="24" t="s">
        <v>91</v>
      </c>
      <c r="M1256" s="2">
        <v>37.0</v>
      </c>
      <c r="N1256" s="25">
        <v>20.0</v>
      </c>
      <c r="O1256" s="25"/>
      <c r="P1256" s="25"/>
    </row>
    <row r="1257">
      <c r="A1257" s="16">
        <v>1255.0</v>
      </c>
      <c r="B1257" s="17" t="s">
        <v>855</v>
      </c>
      <c r="C1257" s="18">
        <v>3.0</v>
      </c>
      <c r="D1257" s="19" t="s">
        <v>3407</v>
      </c>
      <c r="E1257" s="20" t="s">
        <v>91</v>
      </c>
      <c r="F1257" s="17" t="s">
        <v>828</v>
      </c>
      <c r="G1257" s="17" t="s">
        <v>3678</v>
      </c>
      <c r="H1257" s="17" t="s">
        <v>3679</v>
      </c>
      <c r="I1257" s="17" t="s">
        <v>125</v>
      </c>
      <c r="J1257" s="22" t="s">
        <v>135</v>
      </c>
      <c r="K1257" s="23" t="s">
        <v>108</v>
      </c>
      <c r="L1257" s="24" t="s">
        <v>91</v>
      </c>
      <c r="M1257" s="2">
        <v>37.0</v>
      </c>
      <c r="N1257" s="25">
        <v>21.0</v>
      </c>
      <c r="O1257" s="25"/>
      <c r="P1257" s="25"/>
    </row>
    <row r="1258">
      <c r="A1258" s="16">
        <v>1256.0</v>
      </c>
      <c r="B1258" s="17" t="s">
        <v>855</v>
      </c>
      <c r="C1258" s="18">
        <v>4.0</v>
      </c>
      <c r="D1258" s="19" t="s">
        <v>3407</v>
      </c>
      <c r="E1258" s="20" t="s">
        <v>91</v>
      </c>
      <c r="F1258" s="17" t="s">
        <v>606</v>
      </c>
      <c r="G1258" s="17" t="s">
        <v>3680</v>
      </c>
      <c r="H1258" s="17" t="s">
        <v>3681</v>
      </c>
      <c r="I1258" s="17" t="s">
        <v>125</v>
      </c>
      <c r="J1258" s="22" t="s">
        <v>135</v>
      </c>
      <c r="K1258" s="23" t="s">
        <v>108</v>
      </c>
      <c r="L1258" s="24" t="s">
        <v>91</v>
      </c>
      <c r="M1258" s="2">
        <v>37.0</v>
      </c>
      <c r="N1258" s="25">
        <v>21.0</v>
      </c>
      <c r="O1258" s="25"/>
      <c r="P1258" s="25"/>
    </row>
    <row r="1259">
      <c r="A1259" s="16">
        <v>1257.0</v>
      </c>
      <c r="B1259" s="17" t="s">
        <v>855</v>
      </c>
      <c r="C1259" s="18">
        <v>5.0</v>
      </c>
      <c r="D1259" s="19" t="s">
        <v>3413</v>
      </c>
      <c r="E1259" s="20" t="s">
        <v>91</v>
      </c>
      <c r="F1259" s="17" t="s">
        <v>1002</v>
      </c>
      <c r="G1259" s="17" t="s">
        <v>123</v>
      </c>
      <c r="H1259" s="17" t="s">
        <v>3684</v>
      </c>
      <c r="I1259" s="17" t="s">
        <v>125</v>
      </c>
      <c r="J1259" s="22" t="s">
        <v>135</v>
      </c>
      <c r="K1259" s="23" t="s">
        <v>108</v>
      </c>
      <c r="L1259" s="24" t="s">
        <v>91</v>
      </c>
      <c r="M1259" s="2">
        <v>37.0</v>
      </c>
      <c r="N1259" s="25">
        <v>21.0</v>
      </c>
      <c r="O1259" s="25"/>
      <c r="P1259" s="25"/>
    </row>
    <row r="1260">
      <c r="A1260" s="16">
        <v>1258.0</v>
      </c>
      <c r="B1260" s="17" t="s">
        <v>855</v>
      </c>
      <c r="C1260" s="18">
        <v>6.0</v>
      </c>
      <c r="D1260" s="19" t="s">
        <v>3413</v>
      </c>
      <c r="E1260" s="20" t="s">
        <v>91</v>
      </c>
      <c r="F1260" s="17" t="s">
        <v>1001</v>
      </c>
      <c r="G1260" s="17" t="s">
        <v>3686</v>
      </c>
      <c r="H1260" s="17" t="s">
        <v>3687</v>
      </c>
      <c r="I1260" s="17" t="s">
        <v>98</v>
      </c>
      <c r="J1260" s="22" t="s">
        <v>144</v>
      </c>
      <c r="K1260" s="23" t="s">
        <v>108</v>
      </c>
      <c r="L1260" s="24" t="s">
        <v>91</v>
      </c>
      <c r="M1260" s="2">
        <v>37.0</v>
      </c>
      <c r="N1260" s="25">
        <v>30.0</v>
      </c>
      <c r="O1260" s="25"/>
      <c r="P1260" s="25"/>
    </row>
    <row r="1261">
      <c r="A1261" s="16">
        <v>1259.0</v>
      </c>
      <c r="B1261" s="17" t="s">
        <v>855</v>
      </c>
      <c r="C1261" s="18">
        <v>7.0</v>
      </c>
      <c r="D1261" s="19" t="s">
        <v>3407</v>
      </c>
      <c r="E1261" s="20" t="s">
        <v>91</v>
      </c>
      <c r="F1261" s="17" t="s">
        <v>895</v>
      </c>
      <c r="G1261" s="17" t="s">
        <v>123</v>
      </c>
      <c r="H1261" s="17" t="s">
        <v>3671</v>
      </c>
      <c r="I1261" s="17" t="s">
        <v>125</v>
      </c>
      <c r="J1261" s="22" t="s">
        <v>144</v>
      </c>
      <c r="K1261" s="23" t="s">
        <v>108</v>
      </c>
      <c r="L1261" s="24" t="s">
        <v>91</v>
      </c>
      <c r="M1261" s="2">
        <v>37.0</v>
      </c>
      <c r="N1261" s="25">
        <v>31.0</v>
      </c>
      <c r="O1261" s="25"/>
      <c r="P1261" s="25"/>
    </row>
    <row r="1262">
      <c r="A1262" s="16">
        <v>1260.0</v>
      </c>
      <c r="B1262" s="17" t="s">
        <v>855</v>
      </c>
      <c r="C1262" s="18">
        <v>8.0</v>
      </c>
      <c r="D1262" s="19" t="s">
        <v>3407</v>
      </c>
      <c r="E1262" s="20" t="s">
        <v>91</v>
      </c>
      <c r="F1262" s="17" t="s">
        <v>1125</v>
      </c>
      <c r="G1262" s="17" t="s">
        <v>3689</v>
      </c>
      <c r="H1262" s="17" t="s">
        <v>3690</v>
      </c>
      <c r="I1262" s="17" t="s">
        <v>125</v>
      </c>
      <c r="J1262" s="22" t="s">
        <v>144</v>
      </c>
      <c r="K1262" s="23" t="s">
        <v>108</v>
      </c>
      <c r="L1262" s="24" t="s">
        <v>91</v>
      </c>
      <c r="M1262" s="2">
        <v>37.0</v>
      </c>
      <c r="N1262" s="25">
        <v>31.0</v>
      </c>
      <c r="O1262" s="25"/>
      <c r="P1262" s="25"/>
    </row>
    <row r="1263">
      <c r="A1263" s="16">
        <v>1261.0</v>
      </c>
      <c r="B1263" s="17" t="s">
        <v>855</v>
      </c>
      <c r="C1263" s="18">
        <v>9.0</v>
      </c>
      <c r="D1263" s="19" t="s">
        <v>3407</v>
      </c>
      <c r="E1263" s="20" t="s">
        <v>91</v>
      </c>
      <c r="F1263" s="17" t="s">
        <v>773</v>
      </c>
      <c r="G1263" s="17" t="s">
        <v>3692</v>
      </c>
      <c r="H1263" s="17" t="s">
        <v>3693</v>
      </c>
      <c r="I1263" s="17" t="s">
        <v>125</v>
      </c>
      <c r="J1263" s="22" t="s">
        <v>144</v>
      </c>
      <c r="K1263" s="23" t="s">
        <v>108</v>
      </c>
      <c r="L1263" s="24" t="s">
        <v>91</v>
      </c>
      <c r="M1263" s="2">
        <v>37.0</v>
      </c>
      <c r="N1263" s="25">
        <v>31.0</v>
      </c>
      <c r="O1263" s="25"/>
      <c r="P1263" s="25"/>
    </row>
    <row r="1264">
      <c r="A1264" s="16">
        <v>1262.0</v>
      </c>
      <c r="B1264" s="17" t="s">
        <v>855</v>
      </c>
      <c r="C1264" s="18">
        <v>10.0</v>
      </c>
      <c r="D1264" s="19" t="s">
        <v>3407</v>
      </c>
      <c r="E1264" s="20" t="s">
        <v>91</v>
      </c>
      <c r="F1264" s="17" t="s">
        <v>777</v>
      </c>
      <c r="G1264" s="17" t="s">
        <v>3694</v>
      </c>
      <c r="H1264" s="17" t="s">
        <v>3695</v>
      </c>
      <c r="I1264" s="17" t="s">
        <v>125</v>
      </c>
      <c r="J1264" s="22" t="s">
        <v>144</v>
      </c>
      <c r="K1264" s="23" t="s">
        <v>108</v>
      </c>
      <c r="L1264" s="24" t="s">
        <v>91</v>
      </c>
      <c r="M1264" s="2">
        <v>37.0</v>
      </c>
      <c r="N1264" s="25">
        <v>31.0</v>
      </c>
      <c r="O1264" s="25"/>
      <c r="P1264" s="25"/>
    </row>
    <row r="1265">
      <c r="A1265" s="16">
        <v>1263.0</v>
      </c>
      <c r="B1265" s="17" t="s">
        <v>855</v>
      </c>
      <c r="C1265" s="18">
        <v>11.0</v>
      </c>
      <c r="D1265" s="19" t="s">
        <v>3407</v>
      </c>
      <c r="E1265" s="20" t="s">
        <v>91</v>
      </c>
      <c r="F1265" s="17" t="s">
        <v>1003</v>
      </c>
      <c r="G1265" s="17" t="s">
        <v>123</v>
      </c>
      <c r="H1265" s="17" t="s">
        <v>3696</v>
      </c>
      <c r="I1265" s="17" t="s">
        <v>125</v>
      </c>
      <c r="J1265" s="22" t="s">
        <v>144</v>
      </c>
      <c r="K1265" s="23" t="s">
        <v>108</v>
      </c>
      <c r="L1265" s="24" t="s">
        <v>91</v>
      </c>
      <c r="M1265" s="2">
        <v>37.0</v>
      </c>
      <c r="N1265" s="25">
        <v>31.0</v>
      </c>
      <c r="O1265" s="25"/>
      <c r="P1265" s="25"/>
    </row>
    <row r="1266">
      <c r="A1266" s="16">
        <v>1264.0</v>
      </c>
      <c r="B1266" s="17" t="s">
        <v>855</v>
      </c>
      <c r="C1266" s="18">
        <v>12.0</v>
      </c>
      <c r="D1266" s="19" t="s">
        <v>3407</v>
      </c>
      <c r="E1266" s="20" t="s">
        <v>91</v>
      </c>
      <c r="F1266" s="17" t="s">
        <v>321</v>
      </c>
      <c r="G1266" s="17" t="s">
        <v>3697</v>
      </c>
      <c r="H1266" s="17" t="s">
        <v>3698</v>
      </c>
      <c r="I1266" s="17" t="s">
        <v>125</v>
      </c>
      <c r="J1266" s="22" t="s">
        <v>144</v>
      </c>
      <c r="K1266" s="23" t="s">
        <v>108</v>
      </c>
      <c r="L1266" s="24" t="s">
        <v>91</v>
      </c>
      <c r="M1266" s="2">
        <v>37.0</v>
      </c>
      <c r="N1266" s="25">
        <v>31.0</v>
      </c>
      <c r="O1266" s="25"/>
      <c r="P1266" s="25"/>
    </row>
    <row r="1267">
      <c r="A1267" s="16">
        <v>1265.0</v>
      </c>
      <c r="B1267" s="17" t="s">
        <v>855</v>
      </c>
      <c r="C1267" s="18">
        <v>13.0</v>
      </c>
      <c r="D1267" s="19" t="s">
        <v>3407</v>
      </c>
      <c r="E1267" s="20" t="s">
        <v>91</v>
      </c>
      <c r="F1267" s="17" t="s">
        <v>138</v>
      </c>
      <c r="G1267" s="17" t="s">
        <v>3700</v>
      </c>
      <c r="H1267" s="17" t="s">
        <v>3701</v>
      </c>
      <c r="I1267" s="17" t="s">
        <v>125</v>
      </c>
      <c r="J1267" s="22" t="s">
        <v>144</v>
      </c>
      <c r="K1267" s="23" t="s">
        <v>108</v>
      </c>
      <c r="L1267" s="24" t="s">
        <v>91</v>
      </c>
      <c r="M1267" s="2">
        <v>37.0</v>
      </c>
      <c r="N1267" s="25">
        <v>31.0</v>
      </c>
      <c r="O1267" s="25"/>
      <c r="P1267" s="25"/>
    </row>
    <row r="1268">
      <c r="A1268" s="16">
        <v>1266.0</v>
      </c>
      <c r="B1268" s="27" t="s">
        <v>855</v>
      </c>
      <c r="C1268" s="18">
        <v>14.0</v>
      </c>
      <c r="D1268" s="19" t="s">
        <v>3407</v>
      </c>
      <c r="E1268" s="20" t="s">
        <v>91</v>
      </c>
      <c r="F1268" s="27" t="s">
        <v>930</v>
      </c>
      <c r="G1268" s="17" t="s">
        <v>3706</v>
      </c>
      <c r="H1268" s="17" t="s">
        <v>3707</v>
      </c>
      <c r="I1268" s="17" t="s">
        <v>125</v>
      </c>
      <c r="J1268" s="22" t="s">
        <v>144</v>
      </c>
      <c r="K1268" s="23" t="s">
        <v>108</v>
      </c>
      <c r="L1268" s="24"/>
      <c r="M1268" s="2">
        <v>37.0</v>
      </c>
      <c r="N1268" s="25">
        <v>31.0</v>
      </c>
      <c r="O1268" s="25"/>
      <c r="P1268" s="25"/>
    </row>
    <row r="1269">
      <c r="A1269" s="16">
        <v>1267.0</v>
      </c>
      <c r="B1269" s="27" t="s">
        <v>855</v>
      </c>
      <c r="C1269" s="18">
        <v>15.0</v>
      </c>
      <c r="D1269" s="19" t="s">
        <v>3407</v>
      </c>
      <c r="E1269" s="20" t="s">
        <v>91</v>
      </c>
      <c r="F1269" s="27" t="s">
        <v>1109</v>
      </c>
      <c r="G1269" s="17" t="s">
        <v>2924</v>
      </c>
      <c r="H1269" s="17" t="s">
        <v>3709</v>
      </c>
      <c r="I1269" s="17" t="s">
        <v>125</v>
      </c>
      <c r="J1269" s="22" t="s">
        <v>144</v>
      </c>
      <c r="K1269" s="23" t="s">
        <v>108</v>
      </c>
      <c r="L1269" s="24"/>
      <c r="M1269" s="2">
        <v>37.0</v>
      </c>
      <c r="N1269" s="25">
        <v>31.0</v>
      </c>
      <c r="O1269" s="25"/>
      <c r="P1269" s="25"/>
    </row>
    <row r="1270">
      <c r="A1270" s="16">
        <v>1268.0</v>
      </c>
      <c r="B1270" s="17" t="s">
        <v>855</v>
      </c>
      <c r="C1270" s="18">
        <v>16.0</v>
      </c>
      <c r="D1270" s="19" t="s">
        <v>2189</v>
      </c>
      <c r="E1270" s="20" t="s">
        <v>91</v>
      </c>
      <c r="F1270" s="17" t="s">
        <v>1126</v>
      </c>
      <c r="G1270" s="17" t="s">
        <v>3712</v>
      </c>
      <c r="H1270" s="17" t="s">
        <v>3713</v>
      </c>
      <c r="I1270" s="17" t="s">
        <v>125</v>
      </c>
      <c r="J1270" s="22" t="s">
        <v>144</v>
      </c>
      <c r="K1270" s="23" t="s">
        <v>108</v>
      </c>
      <c r="L1270" s="24" t="s">
        <v>91</v>
      </c>
      <c r="M1270" s="2">
        <v>37.0</v>
      </c>
      <c r="N1270" s="25">
        <v>31.0</v>
      </c>
      <c r="O1270" s="25"/>
      <c r="P1270" s="25"/>
    </row>
    <row r="1271">
      <c r="A1271" s="16">
        <v>1269.0</v>
      </c>
      <c r="B1271" s="17" t="s">
        <v>855</v>
      </c>
      <c r="C1271" s="18">
        <v>17.0</v>
      </c>
      <c r="D1271" s="19" t="s">
        <v>2189</v>
      </c>
      <c r="E1271" s="20" t="s">
        <v>91</v>
      </c>
      <c r="F1271" s="17" t="s">
        <v>1004</v>
      </c>
      <c r="G1271" s="17" t="s">
        <v>3714</v>
      </c>
      <c r="H1271" s="17" t="s">
        <v>3715</v>
      </c>
      <c r="I1271" s="17" t="s">
        <v>125</v>
      </c>
      <c r="J1271" s="22" t="s">
        <v>144</v>
      </c>
      <c r="K1271" s="23" t="s">
        <v>108</v>
      </c>
      <c r="L1271" s="24" t="s">
        <v>91</v>
      </c>
      <c r="M1271" s="2">
        <v>37.0</v>
      </c>
      <c r="N1271" s="25">
        <v>31.0</v>
      </c>
      <c r="O1271" s="25"/>
      <c r="P1271" s="25"/>
    </row>
    <row r="1272">
      <c r="A1272" s="16">
        <v>1270.0</v>
      </c>
      <c r="B1272" s="17" t="s">
        <v>855</v>
      </c>
      <c r="C1272" s="18">
        <v>18.0</v>
      </c>
      <c r="D1272" s="19" t="s">
        <v>2189</v>
      </c>
      <c r="E1272" s="20" t="s">
        <v>91</v>
      </c>
      <c r="F1272" s="17" t="s">
        <v>1005</v>
      </c>
      <c r="G1272" s="17" t="s">
        <v>3716</v>
      </c>
      <c r="H1272" s="17" t="s">
        <v>3717</v>
      </c>
      <c r="I1272" s="17" t="s">
        <v>125</v>
      </c>
      <c r="J1272" s="22" t="s">
        <v>144</v>
      </c>
      <c r="K1272" s="23" t="s">
        <v>108</v>
      </c>
      <c r="L1272" s="24" t="s">
        <v>91</v>
      </c>
      <c r="M1272" s="2">
        <v>37.0</v>
      </c>
      <c r="N1272" s="25">
        <v>31.0</v>
      </c>
      <c r="O1272" s="25"/>
      <c r="P1272" s="25"/>
    </row>
    <row r="1273">
      <c r="A1273" s="16">
        <v>1271.0</v>
      </c>
      <c r="B1273" s="17" t="s">
        <v>855</v>
      </c>
      <c r="C1273" s="18">
        <v>19.0</v>
      </c>
      <c r="D1273" s="19" t="s">
        <v>2189</v>
      </c>
      <c r="E1273" s="20" t="s">
        <v>91</v>
      </c>
      <c r="F1273" s="17" t="s">
        <v>537</v>
      </c>
      <c r="G1273" s="17" t="s">
        <v>3719</v>
      </c>
      <c r="H1273" s="17" t="s">
        <v>3720</v>
      </c>
      <c r="I1273" s="17" t="s">
        <v>125</v>
      </c>
      <c r="J1273" s="22" t="s">
        <v>144</v>
      </c>
      <c r="K1273" s="23" t="s">
        <v>108</v>
      </c>
      <c r="L1273" s="24" t="s">
        <v>91</v>
      </c>
      <c r="M1273" s="2">
        <v>37.0</v>
      </c>
      <c r="N1273" s="25">
        <v>31.0</v>
      </c>
      <c r="O1273" s="25"/>
      <c r="P1273" s="25"/>
    </row>
    <row r="1274">
      <c r="A1274" s="16">
        <v>1272.0</v>
      </c>
      <c r="B1274" s="17" t="s">
        <v>855</v>
      </c>
      <c r="C1274" s="18">
        <v>20.0</v>
      </c>
      <c r="D1274" s="19" t="s">
        <v>2189</v>
      </c>
      <c r="E1274" s="20" t="s">
        <v>91</v>
      </c>
      <c r="F1274" s="17" t="s">
        <v>767</v>
      </c>
      <c r="G1274" s="17" t="s">
        <v>3721</v>
      </c>
      <c r="H1274" s="17" t="s">
        <v>3722</v>
      </c>
      <c r="I1274" s="17" t="s">
        <v>125</v>
      </c>
      <c r="J1274" s="22" t="s">
        <v>144</v>
      </c>
      <c r="K1274" s="23" t="s">
        <v>108</v>
      </c>
      <c r="L1274" s="24" t="s">
        <v>91</v>
      </c>
      <c r="M1274" s="2">
        <v>37.0</v>
      </c>
      <c r="N1274" s="25">
        <v>31.0</v>
      </c>
      <c r="O1274" s="25"/>
      <c r="P1274" s="25"/>
    </row>
    <row r="1275">
      <c r="A1275" s="16">
        <v>1273.0</v>
      </c>
      <c r="B1275" s="27" t="s">
        <v>855</v>
      </c>
      <c r="C1275" s="18">
        <v>21.0</v>
      </c>
      <c r="D1275" s="19" t="s">
        <v>2189</v>
      </c>
      <c r="E1275" s="20" t="s">
        <v>91</v>
      </c>
      <c r="F1275" s="27" t="s">
        <v>1423</v>
      </c>
      <c r="G1275" s="17" t="s">
        <v>3723</v>
      </c>
      <c r="H1275" s="17" t="s">
        <v>3724</v>
      </c>
      <c r="I1275" s="17" t="s">
        <v>125</v>
      </c>
      <c r="J1275" s="22" t="s">
        <v>144</v>
      </c>
      <c r="K1275" s="23" t="s">
        <v>108</v>
      </c>
      <c r="L1275" s="24"/>
      <c r="M1275" s="2">
        <v>37.0</v>
      </c>
      <c r="N1275" s="25">
        <v>31.0</v>
      </c>
      <c r="O1275" s="25"/>
      <c r="P1275" s="25"/>
    </row>
    <row r="1276">
      <c r="A1276" s="16">
        <v>1274.0</v>
      </c>
      <c r="B1276" s="27" t="s">
        <v>855</v>
      </c>
      <c r="C1276" s="18">
        <v>22.0</v>
      </c>
      <c r="D1276" s="19" t="s">
        <v>2189</v>
      </c>
      <c r="E1276" s="20" t="s">
        <v>91</v>
      </c>
      <c r="F1276" s="27" t="s">
        <v>1333</v>
      </c>
      <c r="G1276" s="17" t="s">
        <v>3728</v>
      </c>
      <c r="H1276" s="17" t="s">
        <v>3729</v>
      </c>
      <c r="I1276" s="17" t="s">
        <v>125</v>
      </c>
      <c r="J1276" s="22" t="s">
        <v>144</v>
      </c>
      <c r="K1276" s="23" t="s">
        <v>108</v>
      </c>
      <c r="L1276" s="24"/>
      <c r="M1276" s="2">
        <v>37.0</v>
      </c>
      <c r="N1276" s="25">
        <v>31.0</v>
      </c>
      <c r="O1276" s="25"/>
      <c r="P1276" s="25"/>
    </row>
    <row r="1277">
      <c r="A1277" s="16">
        <v>1275.0</v>
      </c>
      <c r="B1277" s="27" t="s">
        <v>855</v>
      </c>
      <c r="C1277" s="18">
        <v>23.0</v>
      </c>
      <c r="D1277" s="19" t="s">
        <v>2189</v>
      </c>
      <c r="E1277" s="20" t="s">
        <v>91</v>
      </c>
      <c r="F1277" s="27" t="s">
        <v>1141</v>
      </c>
      <c r="G1277" s="17" t="s">
        <v>3731</v>
      </c>
      <c r="H1277" s="17" t="s">
        <v>3732</v>
      </c>
      <c r="I1277" s="17" t="s">
        <v>125</v>
      </c>
      <c r="J1277" s="22" t="s">
        <v>144</v>
      </c>
      <c r="K1277" s="23" t="s">
        <v>108</v>
      </c>
      <c r="L1277" s="24"/>
      <c r="M1277" s="2">
        <v>37.0</v>
      </c>
      <c r="N1277" s="25">
        <v>31.0</v>
      </c>
      <c r="O1277" s="25"/>
      <c r="P1277" s="25"/>
    </row>
    <row r="1278">
      <c r="A1278" s="16">
        <v>1276.0</v>
      </c>
      <c r="B1278" s="27" t="s">
        <v>855</v>
      </c>
      <c r="C1278" s="18">
        <v>24.0</v>
      </c>
      <c r="D1278" s="19" t="s">
        <v>2189</v>
      </c>
      <c r="E1278" s="20" t="s">
        <v>91</v>
      </c>
      <c r="F1278" s="27" t="s">
        <v>1265</v>
      </c>
      <c r="G1278" s="17" t="s">
        <v>3735</v>
      </c>
      <c r="H1278" s="17" t="s">
        <v>3736</v>
      </c>
      <c r="I1278" s="17" t="s">
        <v>125</v>
      </c>
      <c r="J1278" s="22" t="s">
        <v>144</v>
      </c>
      <c r="K1278" s="23" t="s">
        <v>108</v>
      </c>
      <c r="L1278" s="24"/>
      <c r="M1278" s="2">
        <v>37.0</v>
      </c>
      <c r="N1278" s="25">
        <v>31.0</v>
      </c>
      <c r="O1278" s="25"/>
      <c r="P1278" s="25"/>
    </row>
    <row r="1279">
      <c r="A1279" s="16">
        <v>1277.0</v>
      </c>
      <c r="B1279" s="17" t="s">
        <v>855</v>
      </c>
      <c r="C1279" s="18">
        <v>25.0</v>
      </c>
      <c r="D1279" s="19" t="s">
        <v>3413</v>
      </c>
      <c r="E1279" s="20" t="s">
        <v>91</v>
      </c>
      <c r="F1279" s="17" t="s">
        <v>160</v>
      </c>
      <c r="G1279" s="17" t="s">
        <v>3614</v>
      </c>
      <c r="H1279" s="17" t="s">
        <v>3737</v>
      </c>
      <c r="I1279" s="17" t="s">
        <v>125</v>
      </c>
      <c r="J1279" s="22" t="s">
        <v>144</v>
      </c>
      <c r="K1279" s="23" t="s">
        <v>108</v>
      </c>
      <c r="L1279" s="24" t="s">
        <v>91</v>
      </c>
      <c r="M1279" s="2">
        <v>37.0</v>
      </c>
      <c r="N1279" s="25">
        <v>31.0</v>
      </c>
      <c r="O1279" s="25"/>
      <c r="P1279" s="25"/>
    </row>
    <row r="1280">
      <c r="A1280" s="16">
        <v>1278.0</v>
      </c>
      <c r="B1280" s="17" t="s">
        <v>855</v>
      </c>
      <c r="C1280" s="18">
        <v>26.0</v>
      </c>
      <c r="D1280" s="19" t="s">
        <v>3413</v>
      </c>
      <c r="E1280" s="20" t="s">
        <v>91</v>
      </c>
      <c r="F1280" s="17" t="s">
        <v>1122</v>
      </c>
      <c r="G1280" s="17" t="s">
        <v>3617</v>
      </c>
      <c r="H1280" s="17" t="s">
        <v>3738</v>
      </c>
      <c r="I1280" s="17" t="s">
        <v>125</v>
      </c>
      <c r="J1280" s="22" t="s">
        <v>144</v>
      </c>
      <c r="K1280" s="23" t="s">
        <v>108</v>
      </c>
      <c r="L1280" s="24" t="s">
        <v>91</v>
      </c>
      <c r="M1280" s="2">
        <v>37.0</v>
      </c>
      <c r="N1280" s="25">
        <v>31.0</v>
      </c>
      <c r="O1280" s="25"/>
      <c r="P1280" s="25"/>
    </row>
    <row r="1281">
      <c r="A1281" s="16">
        <v>1279.0</v>
      </c>
      <c r="B1281" s="17" t="s">
        <v>855</v>
      </c>
      <c r="C1281" s="18">
        <v>27.0</v>
      </c>
      <c r="D1281" s="19" t="s">
        <v>3413</v>
      </c>
      <c r="E1281" s="20" t="s">
        <v>91</v>
      </c>
      <c r="F1281" s="17" t="s">
        <v>1123</v>
      </c>
      <c r="G1281" s="17" t="s">
        <v>3739</v>
      </c>
      <c r="H1281" s="17" t="s">
        <v>3740</v>
      </c>
      <c r="I1281" s="17" t="s">
        <v>125</v>
      </c>
      <c r="J1281" s="22" t="s">
        <v>144</v>
      </c>
      <c r="K1281" s="23" t="s">
        <v>108</v>
      </c>
      <c r="L1281" s="24" t="s">
        <v>91</v>
      </c>
      <c r="M1281" s="2">
        <v>37.0</v>
      </c>
      <c r="N1281" s="25">
        <v>31.0</v>
      </c>
      <c r="O1281" s="25"/>
      <c r="P1281" s="25"/>
    </row>
    <row r="1282">
      <c r="A1282" s="16">
        <v>1280.0</v>
      </c>
      <c r="B1282" s="27" t="s">
        <v>855</v>
      </c>
      <c r="C1282" s="18">
        <v>28.0</v>
      </c>
      <c r="D1282" s="19" t="s">
        <v>3413</v>
      </c>
      <c r="E1282" s="20" t="s">
        <v>91</v>
      </c>
      <c r="F1282" s="27" t="s">
        <v>1059</v>
      </c>
      <c r="G1282" s="17" t="s">
        <v>3742</v>
      </c>
      <c r="H1282" s="17" t="s">
        <v>3743</v>
      </c>
      <c r="I1282" s="17" t="s">
        <v>125</v>
      </c>
      <c r="J1282" s="22" t="s">
        <v>144</v>
      </c>
      <c r="K1282" s="23" t="s">
        <v>108</v>
      </c>
      <c r="L1282" s="24"/>
      <c r="M1282" s="2">
        <v>37.0</v>
      </c>
      <c r="N1282" s="25">
        <v>31.0</v>
      </c>
      <c r="O1282" s="25"/>
      <c r="P1282" s="25"/>
    </row>
    <row r="1283">
      <c r="A1283" s="16">
        <v>1281.0</v>
      </c>
      <c r="B1283" s="17" t="s">
        <v>95</v>
      </c>
      <c r="C1283" s="18">
        <v>1.0</v>
      </c>
      <c r="D1283" s="19" t="s">
        <v>3426</v>
      </c>
      <c r="E1283" s="20" t="s">
        <v>91</v>
      </c>
      <c r="F1283" s="17" t="s">
        <v>66</v>
      </c>
      <c r="G1283" s="17" t="s">
        <v>123</v>
      </c>
      <c r="H1283" s="17" t="s">
        <v>3744</v>
      </c>
      <c r="I1283" s="17" t="s">
        <v>98</v>
      </c>
      <c r="J1283" s="22" t="s">
        <v>100</v>
      </c>
      <c r="K1283" s="23" t="s">
        <v>108</v>
      </c>
      <c r="L1283" s="24" t="s">
        <v>91</v>
      </c>
      <c r="M1283" s="2">
        <v>38.0</v>
      </c>
      <c r="N1283" s="25">
        <v>10.0</v>
      </c>
      <c r="O1283" s="25"/>
      <c r="P1283" s="25"/>
    </row>
    <row r="1284">
      <c r="A1284" s="16">
        <v>1282.0</v>
      </c>
      <c r="B1284" s="17" t="s">
        <v>95</v>
      </c>
      <c r="C1284" s="18">
        <v>2.0</v>
      </c>
      <c r="D1284" s="19" t="s">
        <v>3426</v>
      </c>
      <c r="E1284" s="20" t="s">
        <v>91</v>
      </c>
      <c r="F1284" s="17" t="s">
        <v>61</v>
      </c>
      <c r="G1284" s="17" t="s">
        <v>123</v>
      </c>
      <c r="H1284" s="17" t="s">
        <v>3745</v>
      </c>
      <c r="I1284" s="17" t="s">
        <v>98</v>
      </c>
      <c r="J1284" s="22" t="s">
        <v>100</v>
      </c>
      <c r="K1284" s="23" t="s">
        <v>108</v>
      </c>
      <c r="L1284" s="24" t="s">
        <v>91</v>
      </c>
      <c r="M1284" s="2">
        <v>38.0</v>
      </c>
      <c r="N1284" s="25">
        <v>10.0</v>
      </c>
      <c r="O1284" s="25"/>
      <c r="P1284" s="25"/>
    </row>
    <row r="1285">
      <c r="A1285" s="16">
        <v>1283.0</v>
      </c>
      <c r="B1285" s="17" t="s">
        <v>95</v>
      </c>
      <c r="C1285" s="18">
        <v>3.0</v>
      </c>
      <c r="D1285" s="19" t="s">
        <v>2230</v>
      </c>
      <c r="E1285" s="20" t="s">
        <v>91</v>
      </c>
      <c r="F1285" s="17" t="s">
        <v>99</v>
      </c>
      <c r="G1285" s="17" t="s">
        <v>123</v>
      </c>
      <c r="H1285" s="17" t="s">
        <v>3748</v>
      </c>
      <c r="I1285" s="17" t="s">
        <v>125</v>
      </c>
      <c r="J1285" s="22" t="s">
        <v>100</v>
      </c>
      <c r="K1285" s="23" t="s">
        <v>108</v>
      </c>
      <c r="L1285" s="24" t="s">
        <v>91</v>
      </c>
      <c r="M1285" s="2">
        <v>38.0</v>
      </c>
      <c r="N1285" s="25">
        <v>11.0</v>
      </c>
      <c r="O1285" s="25"/>
      <c r="P1285" s="25"/>
    </row>
    <row r="1286">
      <c r="A1286" s="16">
        <v>1284.0</v>
      </c>
      <c r="B1286" s="17" t="s">
        <v>95</v>
      </c>
      <c r="C1286" s="18">
        <v>4.0</v>
      </c>
      <c r="D1286" s="19" t="s">
        <v>3426</v>
      </c>
      <c r="E1286" s="20" t="s">
        <v>91</v>
      </c>
      <c r="F1286" s="17" t="s">
        <v>1374</v>
      </c>
      <c r="G1286" s="17" t="s">
        <v>3749</v>
      </c>
      <c r="H1286" s="17" t="s">
        <v>3750</v>
      </c>
      <c r="I1286" s="17" t="s">
        <v>125</v>
      </c>
      <c r="J1286" s="22" t="s">
        <v>100</v>
      </c>
      <c r="K1286" s="23" t="s">
        <v>108</v>
      </c>
      <c r="L1286" s="24" t="s">
        <v>91</v>
      </c>
      <c r="M1286" s="2">
        <v>38.0</v>
      </c>
      <c r="N1286" s="25">
        <v>11.0</v>
      </c>
      <c r="O1286" s="25"/>
      <c r="P1286" s="25"/>
    </row>
    <row r="1287">
      <c r="A1287" s="16">
        <v>1285.0</v>
      </c>
      <c r="B1287" s="17" t="s">
        <v>95</v>
      </c>
      <c r="C1287" s="18">
        <v>5.0</v>
      </c>
      <c r="D1287" s="19" t="s">
        <v>2230</v>
      </c>
      <c r="E1287" s="20" t="s">
        <v>91</v>
      </c>
      <c r="F1287" s="17" t="s">
        <v>779</v>
      </c>
      <c r="G1287" s="17" t="s">
        <v>3751</v>
      </c>
      <c r="H1287" s="17" t="s">
        <v>3752</v>
      </c>
      <c r="I1287" s="17" t="s">
        <v>125</v>
      </c>
      <c r="J1287" s="22" t="s">
        <v>144</v>
      </c>
      <c r="K1287" s="23" t="s">
        <v>108</v>
      </c>
      <c r="L1287" s="24" t="s">
        <v>91</v>
      </c>
      <c r="M1287" s="2">
        <v>38.0</v>
      </c>
      <c r="N1287" s="25">
        <v>31.0</v>
      </c>
      <c r="O1287" s="25"/>
      <c r="P1287" s="25"/>
    </row>
    <row r="1288">
      <c r="A1288" s="16">
        <v>1286.0</v>
      </c>
      <c r="B1288" s="17" t="s">
        <v>95</v>
      </c>
      <c r="C1288" s="18">
        <v>6.0</v>
      </c>
      <c r="D1288" s="19" t="s">
        <v>2230</v>
      </c>
      <c r="E1288" s="20" t="s">
        <v>91</v>
      </c>
      <c r="F1288" s="17" t="s">
        <v>171</v>
      </c>
      <c r="G1288" s="17" t="s">
        <v>3754</v>
      </c>
      <c r="H1288" s="17" t="s">
        <v>3755</v>
      </c>
      <c r="I1288" s="17" t="s">
        <v>125</v>
      </c>
      <c r="J1288" s="22" t="s">
        <v>144</v>
      </c>
      <c r="K1288" s="23" t="s">
        <v>108</v>
      </c>
      <c r="L1288" s="24" t="s">
        <v>91</v>
      </c>
      <c r="M1288" s="2">
        <v>38.0</v>
      </c>
      <c r="N1288" s="25">
        <v>31.0</v>
      </c>
      <c r="O1288" s="25"/>
      <c r="P1288" s="25"/>
    </row>
    <row r="1289">
      <c r="A1289" s="16">
        <v>1287.0</v>
      </c>
      <c r="B1289" s="17" t="s">
        <v>95</v>
      </c>
      <c r="C1289" s="18">
        <v>7.0</v>
      </c>
      <c r="D1289" s="19" t="s">
        <v>2230</v>
      </c>
      <c r="E1289" s="20" t="s">
        <v>91</v>
      </c>
      <c r="F1289" s="17" t="s">
        <v>169</v>
      </c>
      <c r="G1289" s="17" t="s">
        <v>3756</v>
      </c>
      <c r="H1289" s="17" t="s">
        <v>3757</v>
      </c>
      <c r="I1289" s="17" t="s">
        <v>125</v>
      </c>
      <c r="J1289" s="22" t="s">
        <v>144</v>
      </c>
      <c r="K1289" s="23" t="s">
        <v>108</v>
      </c>
      <c r="L1289" s="24" t="s">
        <v>91</v>
      </c>
      <c r="M1289" s="2">
        <v>38.0</v>
      </c>
      <c r="N1289" s="25">
        <v>31.0</v>
      </c>
      <c r="O1289" s="25"/>
      <c r="P1289" s="25"/>
    </row>
    <row r="1290">
      <c r="A1290" s="16">
        <v>1288.0</v>
      </c>
      <c r="B1290" s="17" t="s">
        <v>95</v>
      </c>
      <c r="C1290" s="18">
        <v>8.0</v>
      </c>
      <c r="D1290" s="19" t="s">
        <v>2230</v>
      </c>
      <c r="E1290" s="20" t="s">
        <v>91</v>
      </c>
      <c r="F1290" s="17" t="s">
        <v>1114</v>
      </c>
      <c r="G1290" s="17" t="s">
        <v>3131</v>
      </c>
      <c r="H1290" s="17" t="s">
        <v>3758</v>
      </c>
      <c r="I1290" s="17" t="s">
        <v>125</v>
      </c>
      <c r="J1290" s="22" t="s">
        <v>144</v>
      </c>
      <c r="K1290" s="23" t="s">
        <v>108</v>
      </c>
      <c r="L1290" s="24" t="s">
        <v>91</v>
      </c>
      <c r="M1290" s="2">
        <v>38.0</v>
      </c>
      <c r="N1290" s="25">
        <v>31.0</v>
      </c>
      <c r="O1290" s="25"/>
      <c r="P1290" s="25"/>
    </row>
    <row r="1291">
      <c r="A1291" s="16">
        <v>1289.0</v>
      </c>
      <c r="B1291" s="17" t="s">
        <v>95</v>
      </c>
      <c r="C1291" s="18">
        <v>9.0</v>
      </c>
      <c r="D1291" s="19" t="s">
        <v>2230</v>
      </c>
      <c r="E1291" s="20" t="s">
        <v>91</v>
      </c>
      <c r="F1291" s="17" t="s">
        <v>1128</v>
      </c>
      <c r="G1291" s="17" t="s">
        <v>3759</v>
      </c>
      <c r="H1291" s="17" t="s">
        <v>3760</v>
      </c>
      <c r="I1291" s="17" t="s">
        <v>125</v>
      </c>
      <c r="J1291" s="22" t="s">
        <v>144</v>
      </c>
      <c r="K1291" s="23" t="s">
        <v>108</v>
      </c>
      <c r="L1291" s="24" t="s">
        <v>91</v>
      </c>
      <c r="M1291" s="2">
        <v>38.0</v>
      </c>
      <c r="N1291" s="25">
        <v>31.0</v>
      </c>
      <c r="O1291" s="25"/>
      <c r="P1291" s="25"/>
    </row>
    <row r="1292">
      <c r="A1292" s="16">
        <v>1290.0</v>
      </c>
      <c r="B1292" s="17" t="s">
        <v>95</v>
      </c>
      <c r="C1292" s="18">
        <v>10.0</v>
      </c>
      <c r="D1292" s="19" t="s">
        <v>2230</v>
      </c>
      <c r="E1292" s="20" t="s">
        <v>91</v>
      </c>
      <c r="F1292" s="17" t="s">
        <v>1252</v>
      </c>
      <c r="G1292" s="17" t="s">
        <v>3763</v>
      </c>
      <c r="H1292" s="17" t="s">
        <v>3764</v>
      </c>
      <c r="I1292" s="17" t="s">
        <v>125</v>
      </c>
      <c r="J1292" s="22" t="s">
        <v>144</v>
      </c>
      <c r="K1292" s="23" t="s">
        <v>108</v>
      </c>
      <c r="L1292" s="24" t="s">
        <v>91</v>
      </c>
      <c r="M1292" s="2">
        <v>38.0</v>
      </c>
      <c r="N1292" s="25">
        <v>31.0</v>
      </c>
      <c r="O1292" s="25"/>
      <c r="P1292" s="25"/>
    </row>
    <row r="1293">
      <c r="A1293" s="16">
        <v>1291.0</v>
      </c>
      <c r="B1293" s="17" t="s">
        <v>95</v>
      </c>
      <c r="C1293" s="18">
        <v>11.0</v>
      </c>
      <c r="D1293" s="19" t="s">
        <v>2230</v>
      </c>
      <c r="E1293" s="20" t="s">
        <v>91</v>
      </c>
      <c r="F1293" s="17" t="s">
        <v>337</v>
      </c>
      <c r="G1293" s="17" t="s">
        <v>3765</v>
      </c>
      <c r="H1293" s="17" t="s">
        <v>3766</v>
      </c>
      <c r="I1293" s="17" t="s">
        <v>125</v>
      </c>
      <c r="J1293" s="22" t="s">
        <v>144</v>
      </c>
      <c r="K1293" s="23" t="s">
        <v>108</v>
      </c>
      <c r="L1293" s="24" t="s">
        <v>91</v>
      </c>
      <c r="M1293" s="2">
        <v>38.0</v>
      </c>
      <c r="N1293" s="25">
        <v>31.0</v>
      </c>
      <c r="O1293" s="25"/>
      <c r="P1293" s="25"/>
    </row>
    <row r="1294">
      <c r="A1294" s="16">
        <v>1292.0</v>
      </c>
      <c r="B1294" s="17" t="s">
        <v>95</v>
      </c>
      <c r="C1294" s="18">
        <v>12.0</v>
      </c>
      <c r="D1294" s="19" t="s">
        <v>2230</v>
      </c>
      <c r="E1294" s="20" t="s">
        <v>91</v>
      </c>
      <c r="F1294" s="17" t="s">
        <v>143</v>
      </c>
      <c r="G1294" s="17" t="s">
        <v>3768</v>
      </c>
      <c r="H1294" s="17" t="s">
        <v>3769</v>
      </c>
      <c r="I1294" s="17" t="s">
        <v>125</v>
      </c>
      <c r="J1294" s="22" t="s">
        <v>144</v>
      </c>
      <c r="K1294" s="23" t="s">
        <v>108</v>
      </c>
      <c r="L1294" s="24" t="s">
        <v>91</v>
      </c>
      <c r="M1294" s="2">
        <v>38.0</v>
      </c>
      <c r="N1294" s="25">
        <v>31.0</v>
      </c>
      <c r="O1294" s="25"/>
      <c r="P1294" s="25"/>
    </row>
    <row r="1295">
      <c r="A1295" s="16">
        <v>1293.0</v>
      </c>
      <c r="B1295" s="17" t="s">
        <v>95</v>
      </c>
      <c r="C1295" s="18">
        <v>13.0</v>
      </c>
      <c r="D1295" s="19" t="s">
        <v>2230</v>
      </c>
      <c r="E1295" s="20" t="s">
        <v>91</v>
      </c>
      <c r="F1295" s="17" t="s">
        <v>173</v>
      </c>
      <c r="G1295" s="17" t="s">
        <v>123</v>
      </c>
      <c r="H1295" s="17" t="s">
        <v>3770</v>
      </c>
      <c r="I1295" s="17" t="s">
        <v>125</v>
      </c>
      <c r="J1295" s="22" t="s">
        <v>144</v>
      </c>
      <c r="K1295" s="23" t="s">
        <v>108</v>
      </c>
      <c r="L1295" s="24" t="s">
        <v>91</v>
      </c>
      <c r="M1295" s="2">
        <v>38.0</v>
      </c>
      <c r="N1295" s="25">
        <v>31.0</v>
      </c>
      <c r="O1295" s="25"/>
      <c r="P1295" s="25"/>
    </row>
    <row r="1296">
      <c r="A1296" s="16">
        <v>1294.0</v>
      </c>
      <c r="B1296" s="17" t="s">
        <v>95</v>
      </c>
      <c r="C1296" s="18">
        <v>14.0</v>
      </c>
      <c r="D1296" s="19" t="s">
        <v>2230</v>
      </c>
      <c r="E1296" s="20" t="s">
        <v>91</v>
      </c>
      <c r="F1296" s="17" t="s">
        <v>176</v>
      </c>
      <c r="G1296" s="17" t="s">
        <v>123</v>
      </c>
      <c r="H1296" s="17" t="s">
        <v>3771</v>
      </c>
      <c r="I1296" s="17" t="s">
        <v>125</v>
      </c>
      <c r="J1296" s="22" t="s">
        <v>144</v>
      </c>
      <c r="K1296" s="23" t="s">
        <v>108</v>
      </c>
      <c r="L1296" s="24" t="s">
        <v>91</v>
      </c>
      <c r="M1296" s="2">
        <v>38.0</v>
      </c>
      <c r="N1296" s="25">
        <v>31.0</v>
      </c>
      <c r="O1296" s="25"/>
      <c r="P1296" s="25"/>
    </row>
    <row r="1297">
      <c r="A1297" s="16">
        <v>1295.0</v>
      </c>
      <c r="B1297" s="17" t="s">
        <v>95</v>
      </c>
      <c r="C1297" s="18">
        <v>15.0</v>
      </c>
      <c r="D1297" s="19" t="s">
        <v>2230</v>
      </c>
      <c r="E1297" s="20" t="s">
        <v>91</v>
      </c>
      <c r="F1297" s="17" t="s">
        <v>340</v>
      </c>
      <c r="G1297" s="17" t="s">
        <v>123</v>
      </c>
      <c r="H1297" s="17" t="s">
        <v>3772</v>
      </c>
      <c r="I1297" s="17" t="s">
        <v>125</v>
      </c>
      <c r="J1297" s="22" t="s">
        <v>144</v>
      </c>
      <c r="K1297" s="23" t="s">
        <v>108</v>
      </c>
      <c r="L1297" s="24" t="s">
        <v>91</v>
      </c>
      <c r="M1297" s="2">
        <v>38.0</v>
      </c>
      <c r="N1297" s="25">
        <v>31.0</v>
      </c>
      <c r="O1297" s="25"/>
      <c r="P1297" s="25"/>
    </row>
    <row r="1298">
      <c r="A1298" s="16">
        <v>1296.0</v>
      </c>
      <c r="B1298" s="17" t="s">
        <v>95</v>
      </c>
      <c r="C1298" s="18">
        <v>16.0</v>
      </c>
      <c r="D1298" s="19" t="s">
        <v>2230</v>
      </c>
      <c r="E1298" s="20" t="s">
        <v>91</v>
      </c>
      <c r="F1298" s="17" t="s">
        <v>69</v>
      </c>
      <c r="G1298" s="17" t="s">
        <v>123</v>
      </c>
      <c r="H1298" s="17" t="s">
        <v>3773</v>
      </c>
      <c r="I1298" s="17" t="s">
        <v>125</v>
      </c>
      <c r="J1298" s="22" t="s">
        <v>144</v>
      </c>
      <c r="K1298" s="23" t="s">
        <v>108</v>
      </c>
      <c r="L1298" s="24" t="s">
        <v>91</v>
      </c>
      <c r="M1298" s="2">
        <v>38.0</v>
      </c>
      <c r="N1298" s="25">
        <v>31.0</v>
      </c>
      <c r="O1298" s="25"/>
      <c r="P1298" s="25"/>
    </row>
    <row r="1299">
      <c r="A1299" s="16">
        <v>1297.0</v>
      </c>
      <c r="B1299" s="17" t="s">
        <v>95</v>
      </c>
      <c r="C1299" s="18">
        <v>17.0</v>
      </c>
      <c r="D1299" s="19" t="s">
        <v>2230</v>
      </c>
      <c r="E1299" s="20" t="s">
        <v>91</v>
      </c>
      <c r="F1299" s="17" t="s">
        <v>179</v>
      </c>
      <c r="G1299" s="17" t="s">
        <v>123</v>
      </c>
      <c r="H1299" s="17" t="s">
        <v>3774</v>
      </c>
      <c r="I1299" s="17" t="s">
        <v>125</v>
      </c>
      <c r="J1299" s="22" t="s">
        <v>144</v>
      </c>
      <c r="K1299" s="23" t="s">
        <v>108</v>
      </c>
      <c r="L1299" s="24" t="s">
        <v>91</v>
      </c>
      <c r="M1299" s="2">
        <v>38.0</v>
      </c>
      <c r="N1299" s="25">
        <v>31.0</v>
      </c>
      <c r="O1299" s="25"/>
      <c r="P1299" s="25"/>
    </row>
    <row r="1300">
      <c r="A1300" s="16">
        <v>1298.0</v>
      </c>
      <c r="B1300" s="27" t="s">
        <v>95</v>
      </c>
      <c r="C1300" s="18">
        <v>18.0</v>
      </c>
      <c r="D1300" s="19" t="s">
        <v>2230</v>
      </c>
      <c r="E1300" s="20" t="s">
        <v>91</v>
      </c>
      <c r="F1300" s="27" t="s">
        <v>1133</v>
      </c>
      <c r="G1300" s="17" t="s">
        <v>3776</v>
      </c>
      <c r="H1300" s="17" t="s">
        <v>3777</v>
      </c>
      <c r="I1300" s="17" t="s">
        <v>125</v>
      </c>
      <c r="J1300" s="22" t="s">
        <v>144</v>
      </c>
      <c r="K1300" s="23" t="s">
        <v>108</v>
      </c>
      <c r="L1300" s="24"/>
      <c r="M1300" s="2">
        <v>38.0</v>
      </c>
      <c r="N1300" s="25">
        <v>31.0</v>
      </c>
      <c r="O1300" s="25"/>
      <c r="P1300" s="25"/>
    </row>
    <row r="1301">
      <c r="A1301" s="16">
        <v>1299.0</v>
      </c>
      <c r="B1301" s="27" t="s">
        <v>95</v>
      </c>
      <c r="C1301" s="18">
        <v>19.0</v>
      </c>
      <c r="D1301" s="19" t="s">
        <v>2230</v>
      </c>
      <c r="E1301" s="20" t="s">
        <v>91</v>
      </c>
      <c r="F1301" s="27" t="s">
        <v>1011</v>
      </c>
      <c r="G1301" s="17" t="s">
        <v>3780</v>
      </c>
      <c r="H1301" s="17" t="s">
        <v>3781</v>
      </c>
      <c r="I1301" s="17" t="s">
        <v>125</v>
      </c>
      <c r="J1301" s="22" t="s">
        <v>144</v>
      </c>
      <c r="K1301" s="23" t="s">
        <v>108</v>
      </c>
      <c r="L1301" s="24"/>
      <c r="M1301" s="2">
        <v>38.0</v>
      </c>
      <c r="N1301" s="25">
        <v>31.0</v>
      </c>
      <c r="O1301" s="25"/>
      <c r="P1301" s="25"/>
    </row>
    <row r="1302">
      <c r="A1302" s="16">
        <v>1300.0</v>
      </c>
      <c r="B1302" s="27" t="s">
        <v>95</v>
      </c>
      <c r="C1302" s="18">
        <v>20.0</v>
      </c>
      <c r="D1302" s="19" t="s">
        <v>2230</v>
      </c>
      <c r="E1302" s="20" t="s">
        <v>91</v>
      </c>
      <c r="F1302" s="27" t="s">
        <v>1129</v>
      </c>
      <c r="G1302" s="17" t="s">
        <v>3783</v>
      </c>
      <c r="H1302" s="17" t="s">
        <v>3784</v>
      </c>
      <c r="I1302" s="17" t="s">
        <v>125</v>
      </c>
      <c r="J1302" s="22" t="s">
        <v>144</v>
      </c>
      <c r="K1302" s="23" t="s">
        <v>108</v>
      </c>
      <c r="L1302" s="24"/>
      <c r="M1302" s="2">
        <v>38.0</v>
      </c>
      <c r="N1302" s="25">
        <v>31.0</v>
      </c>
      <c r="O1302" s="25"/>
      <c r="P1302" s="25"/>
    </row>
    <row r="1303">
      <c r="A1303" s="16">
        <v>1301.0</v>
      </c>
      <c r="B1303" s="27" t="s">
        <v>95</v>
      </c>
      <c r="C1303" s="18">
        <v>21.0</v>
      </c>
      <c r="D1303" s="19" t="s">
        <v>2230</v>
      </c>
      <c r="E1303" s="20" t="s">
        <v>91</v>
      </c>
      <c r="F1303" s="27" t="s">
        <v>1131</v>
      </c>
      <c r="G1303" s="17" t="s">
        <v>3785</v>
      </c>
      <c r="H1303" s="17" t="s">
        <v>3787</v>
      </c>
      <c r="I1303" s="17" t="s">
        <v>125</v>
      </c>
      <c r="J1303" s="22" t="s">
        <v>144</v>
      </c>
      <c r="K1303" s="23" t="s">
        <v>108</v>
      </c>
      <c r="L1303" s="24"/>
      <c r="M1303" s="2">
        <v>38.0</v>
      </c>
      <c r="N1303" s="25">
        <v>31.0</v>
      </c>
      <c r="O1303" s="25"/>
      <c r="P1303" s="25"/>
    </row>
    <row r="1304">
      <c r="A1304" s="16">
        <v>1302.0</v>
      </c>
      <c r="B1304" s="17" t="s">
        <v>95</v>
      </c>
      <c r="C1304" s="18">
        <v>22.0</v>
      </c>
      <c r="D1304" s="19" t="s">
        <v>3426</v>
      </c>
      <c r="E1304" s="20" t="s">
        <v>91</v>
      </c>
      <c r="F1304" s="17" t="s">
        <v>896</v>
      </c>
      <c r="G1304" s="17" t="s">
        <v>3788</v>
      </c>
      <c r="H1304" s="17" t="s">
        <v>3789</v>
      </c>
      <c r="I1304" s="17" t="s">
        <v>125</v>
      </c>
      <c r="J1304" s="22" t="s">
        <v>144</v>
      </c>
      <c r="K1304" s="23" t="s">
        <v>108</v>
      </c>
      <c r="L1304" s="24" t="s">
        <v>91</v>
      </c>
      <c r="M1304" s="2">
        <v>38.0</v>
      </c>
      <c r="N1304" s="25">
        <v>31.0</v>
      </c>
      <c r="O1304" s="25"/>
      <c r="P1304" s="25"/>
    </row>
    <row r="1305">
      <c r="A1305" s="16">
        <v>1303.0</v>
      </c>
      <c r="B1305" s="17" t="s">
        <v>95</v>
      </c>
      <c r="C1305" s="18">
        <v>23.0</v>
      </c>
      <c r="D1305" s="19" t="s">
        <v>3426</v>
      </c>
      <c r="E1305" s="20" t="s">
        <v>91</v>
      </c>
      <c r="F1305" s="17" t="s">
        <v>738</v>
      </c>
      <c r="G1305" s="17" t="s">
        <v>3790</v>
      </c>
      <c r="H1305" s="17" t="s">
        <v>3791</v>
      </c>
      <c r="I1305" s="17" t="s">
        <v>125</v>
      </c>
      <c r="J1305" s="22" t="s">
        <v>144</v>
      </c>
      <c r="K1305" s="23" t="s">
        <v>108</v>
      </c>
      <c r="L1305" s="24" t="s">
        <v>91</v>
      </c>
      <c r="M1305" s="2">
        <v>38.0</v>
      </c>
      <c r="N1305" s="25">
        <v>31.0</v>
      </c>
      <c r="O1305" s="25"/>
      <c r="P1305" s="25"/>
    </row>
    <row r="1306">
      <c r="A1306" s="16">
        <v>1304.0</v>
      </c>
      <c r="B1306" s="17" t="s">
        <v>95</v>
      </c>
      <c r="C1306" s="18">
        <v>24.0</v>
      </c>
      <c r="D1306" s="19" t="s">
        <v>3426</v>
      </c>
      <c r="E1306" s="20" t="s">
        <v>91</v>
      </c>
      <c r="F1306" s="17" t="s">
        <v>1375</v>
      </c>
      <c r="G1306" s="17" t="s">
        <v>3792</v>
      </c>
      <c r="H1306" s="17" t="s">
        <v>3793</v>
      </c>
      <c r="I1306" s="17" t="s">
        <v>125</v>
      </c>
      <c r="J1306" s="22" t="s">
        <v>144</v>
      </c>
      <c r="K1306" s="23" t="s">
        <v>108</v>
      </c>
      <c r="L1306" s="24" t="s">
        <v>91</v>
      </c>
      <c r="M1306" s="2">
        <v>38.0</v>
      </c>
      <c r="N1306" s="25">
        <v>31.0</v>
      </c>
      <c r="O1306" s="25"/>
      <c r="P1306" s="25"/>
    </row>
    <row r="1307">
      <c r="A1307" s="16">
        <v>1305.0</v>
      </c>
      <c r="B1307" s="17" t="s">
        <v>95</v>
      </c>
      <c r="C1307" s="18">
        <v>25.0</v>
      </c>
      <c r="D1307" s="19" t="s">
        <v>3426</v>
      </c>
      <c r="E1307" s="20" t="s">
        <v>91</v>
      </c>
      <c r="F1307" s="17" t="s">
        <v>1253</v>
      </c>
      <c r="G1307" s="17" t="s">
        <v>3796</v>
      </c>
      <c r="H1307" s="17" t="s">
        <v>3797</v>
      </c>
      <c r="I1307" s="17" t="s">
        <v>125</v>
      </c>
      <c r="J1307" s="22" t="s">
        <v>144</v>
      </c>
      <c r="K1307" s="23" t="s">
        <v>108</v>
      </c>
      <c r="L1307" s="24" t="s">
        <v>91</v>
      </c>
      <c r="M1307" s="2">
        <v>38.0</v>
      </c>
      <c r="N1307" s="25">
        <v>31.0</v>
      </c>
      <c r="O1307" s="25"/>
      <c r="P1307" s="25"/>
    </row>
    <row r="1308">
      <c r="A1308" s="16">
        <v>1306.0</v>
      </c>
      <c r="B1308" s="17" t="s">
        <v>95</v>
      </c>
      <c r="C1308" s="18">
        <v>26.0</v>
      </c>
      <c r="D1308" s="19" t="s">
        <v>3426</v>
      </c>
      <c r="E1308" s="20" t="s">
        <v>91</v>
      </c>
      <c r="F1308" s="17" t="s">
        <v>960</v>
      </c>
      <c r="G1308" s="17" t="s">
        <v>123</v>
      </c>
      <c r="H1308" s="17" t="s">
        <v>3798</v>
      </c>
      <c r="I1308" s="17" t="s">
        <v>125</v>
      </c>
      <c r="J1308" s="22" t="s">
        <v>144</v>
      </c>
      <c r="K1308" s="23" t="s">
        <v>108</v>
      </c>
      <c r="L1308" s="24" t="s">
        <v>91</v>
      </c>
      <c r="M1308" s="2">
        <v>38.0</v>
      </c>
      <c r="N1308" s="25">
        <v>31.0</v>
      </c>
      <c r="O1308" s="25"/>
      <c r="P1308" s="25"/>
    </row>
    <row r="1309">
      <c r="A1309" s="16">
        <v>1307.0</v>
      </c>
      <c r="B1309" s="17" t="s">
        <v>95</v>
      </c>
      <c r="C1309" s="18">
        <v>27.0</v>
      </c>
      <c r="D1309" s="19" t="s">
        <v>3426</v>
      </c>
      <c r="E1309" s="20" t="s">
        <v>91</v>
      </c>
      <c r="F1309" s="17" t="s">
        <v>1062</v>
      </c>
      <c r="G1309" s="17" t="s">
        <v>123</v>
      </c>
      <c r="H1309" s="17" t="s">
        <v>3800</v>
      </c>
      <c r="I1309" s="17" t="s">
        <v>125</v>
      </c>
      <c r="J1309" s="22" t="s">
        <v>144</v>
      </c>
      <c r="K1309" s="23" t="s">
        <v>108</v>
      </c>
      <c r="L1309" s="24" t="s">
        <v>91</v>
      </c>
      <c r="M1309" s="2">
        <v>38.0</v>
      </c>
      <c r="N1309" s="25">
        <v>31.0</v>
      </c>
      <c r="O1309" s="25"/>
      <c r="P1309" s="25"/>
    </row>
    <row r="1310">
      <c r="A1310" s="16">
        <v>1308.0</v>
      </c>
      <c r="B1310" s="17" t="s">
        <v>95</v>
      </c>
      <c r="C1310" s="18">
        <v>28.0</v>
      </c>
      <c r="D1310" s="19" t="s">
        <v>3426</v>
      </c>
      <c r="E1310" s="20" t="s">
        <v>91</v>
      </c>
      <c r="F1310" s="17" t="s">
        <v>897</v>
      </c>
      <c r="G1310" s="17" t="s">
        <v>3780</v>
      </c>
      <c r="H1310" s="17" t="s">
        <v>3801</v>
      </c>
      <c r="I1310" s="17" t="s">
        <v>125</v>
      </c>
      <c r="J1310" s="22" t="s">
        <v>144</v>
      </c>
      <c r="K1310" s="23" t="s">
        <v>108</v>
      </c>
      <c r="L1310" s="24" t="s">
        <v>91</v>
      </c>
      <c r="M1310" s="2">
        <v>38.0</v>
      </c>
      <c r="N1310" s="25">
        <v>31.0</v>
      </c>
      <c r="O1310" s="25"/>
      <c r="P1310" s="25"/>
    </row>
    <row r="1311">
      <c r="A1311" s="16">
        <v>1309.0</v>
      </c>
      <c r="B1311" s="27" t="s">
        <v>95</v>
      </c>
      <c r="C1311" s="18">
        <v>29.0</v>
      </c>
      <c r="D1311" s="19" t="s">
        <v>3426</v>
      </c>
      <c r="E1311" s="20" t="s">
        <v>91</v>
      </c>
      <c r="F1311" s="27" t="s">
        <v>1431</v>
      </c>
      <c r="G1311" s="17" t="s">
        <v>3803</v>
      </c>
      <c r="H1311" s="17" t="s">
        <v>3804</v>
      </c>
      <c r="I1311" s="17" t="s">
        <v>125</v>
      </c>
      <c r="J1311" s="22" t="s">
        <v>144</v>
      </c>
      <c r="K1311" s="23" t="s">
        <v>108</v>
      </c>
      <c r="L1311" s="24"/>
      <c r="M1311" s="2">
        <v>38.0</v>
      </c>
      <c r="N1311" s="25">
        <v>31.0</v>
      </c>
      <c r="O1311" s="25"/>
      <c r="P1311" s="25"/>
    </row>
    <row r="1312">
      <c r="A1312" s="16">
        <v>1310.0</v>
      </c>
      <c r="B1312" s="27" t="s">
        <v>95</v>
      </c>
      <c r="C1312" s="18">
        <v>30.0</v>
      </c>
      <c r="D1312" s="19" t="s">
        <v>3426</v>
      </c>
      <c r="E1312" s="20" t="s">
        <v>91</v>
      </c>
      <c r="F1312" s="27" t="s">
        <v>1239</v>
      </c>
      <c r="G1312" s="17" t="s">
        <v>3029</v>
      </c>
      <c r="H1312" s="17" t="s">
        <v>3806</v>
      </c>
      <c r="I1312" s="17" t="s">
        <v>125</v>
      </c>
      <c r="J1312" s="22" t="s">
        <v>144</v>
      </c>
      <c r="K1312" s="23" t="s">
        <v>108</v>
      </c>
      <c r="L1312" s="24"/>
      <c r="M1312" s="2">
        <v>38.0</v>
      </c>
      <c r="N1312" s="25">
        <v>31.0</v>
      </c>
      <c r="O1312" s="25"/>
      <c r="P1312" s="25"/>
    </row>
    <row r="1313">
      <c r="A1313" s="16">
        <v>1311.0</v>
      </c>
      <c r="B1313" s="17" t="s">
        <v>173</v>
      </c>
      <c r="C1313" s="18">
        <v>1.0</v>
      </c>
      <c r="D1313" s="19" t="s">
        <v>3452</v>
      </c>
      <c r="E1313" s="20" t="s">
        <v>91</v>
      </c>
      <c r="F1313" s="17" t="s">
        <v>1254</v>
      </c>
      <c r="G1313" s="17" t="s">
        <v>123</v>
      </c>
      <c r="H1313" s="17" t="s">
        <v>3807</v>
      </c>
      <c r="I1313" s="17" t="s">
        <v>98</v>
      </c>
      <c r="J1313" s="22" t="s">
        <v>100</v>
      </c>
      <c r="K1313" s="23" t="s">
        <v>108</v>
      </c>
      <c r="L1313" s="24" t="s">
        <v>91</v>
      </c>
      <c r="M1313" s="2">
        <v>39.0</v>
      </c>
      <c r="N1313" s="25">
        <v>10.0</v>
      </c>
      <c r="O1313" s="25"/>
      <c r="P1313" s="25"/>
    </row>
    <row r="1314">
      <c r="A1314" s="16">
        <v>1312.0</v>
      </c>
      <c r="B1314" s="17" t="s">
        <v>173</v>
      </c>
      <c r="C1314" s="18">
        <v>2.0</v>
      </c>
      <c r="D1314" s="19" t="s">
        <v>3452</v>
      </c>
      <c r="E1314" s="20" t="s">
        <v>91</v>
      </c>
      <c r="F1314" s="17" t="s">
        <v>993</v>
      </c>
      <c r="G1314" s="17" t="s">
        <v>3031</v>
      </c>
      <c r="H1314" s="17" t="s">
        <v>3032</v>
      </c>
      <c r="I1314" s="17" t="s">
        <v>98</v>
      </c>
      <c r="J1314" s="22" t="s">
        <v>100</v>
      </c>
      <c r="K1314" s="23" t="s">
        <v>108</v>
      </c>
      <c r="L1314" s="24" t="s">
        <v>91</v>
      </c>
      <c r="M1314" s="2">
        <v>39.0</v>
      </c>
      <c r="N1314" s="25">
        <v>10.0</v>
      </c>
      <c r="O1314" s="25"/>
      <c r="P1314" s="25"/>
    </row>
    <row r="1315">
      <c r="A1315" s="16">
        <v>1313.0</v>
      </c>
      <c r="B1315" s="17" t="s">
        <v>173</v>
      </c>
      <c r="C1315" s="18">
        <v>3.0</v>
      </c>
      <c r="D1315" s="19" t="s">
        <v>3452</v>
      </c>
      <c r="E1315" s="20" t="s">
        <v>91</v>
      </c>
      <c r="F1315" s="17" t="s">
        <v>179</v>
      </c>
      <c r="G1315" s="17" t="s">
        <v>3809</v>
      </c>
      <c r="H1315" s="17" t="s">
        <v>3810</v>
      </c>
      <c r="I1315" s="17" t="s">
        <v>98</v>
      </c>
      <c r="J1315" s="22" t="s">
        <v>100</v>
      </c>
      <c r="K1315" s="23" t="s">
        <v>108</v>
      </c>
      <c r="L1315" s="24" t="s">
        <v>91</v>
      </c>
      <c r="M1315" s="2">
        <v>39.0</v>
      </c>
      <c r="N1315" s="25">
        <v>10.0</v>
      </c>
      <c r="O1315" s="25"/>
      <c r="P1315" s="25"/>
    </row>
    <row r="1316">
      <c r="A1316" s="16">
        <v>1314.0</v>
      </c>
      <c r="B1316" s="17" t="s">
        <v>173</v>
      </c>
      <c r="C1316" s="18">
        <v>4.0</v>
      </c>
      <c r="D1316" s="19" t="s">
        <v>3452</v>
      </c>
      <c r="E1316" s="20" t="s">
        <v>91</v>
      </c>
      <c r="F1316" s="17" t="s">
        <v>824</v>
      </c>
      <c r="G1316" s="17" t="s">
        <v>3813</v>
      </c>
      <c r="H1316" s="17" t="s">
        <v>3814</v>
      </c>
      <c r="I1316" s="17" t="s">
        <v>98</v>
      </c>
      <c r="J1316" s="22" t="s">
        <v>135</v>
      </c>
      <c r="K1316" s="23" t="s">
        <v>108</v>
      </c>
      <c r="L1316" s="24" t="s">
        <v>91</v>
      </c>
      <c r="M1316" s="2">
        <v>39.0</v>
      </c>
      <c r="N1316" s="25">
        <v>20.0</v>
      </c>
      <c r="O1316" s="25"/>
      <c r="P1316" s="25"/>
    </row>
    <row r="1317">
      <c r="A1317" s="16">
        <v>1315.0</v>
      </c>
      <c r="B1317" s="17" t="s">
        <v>173</v>
      </c>
      <c r="C1317" s="18">
        <v>5.0</v>
      </c>
      <c r="D1317" s="19" t="s">
        <v>3452</v>
      </c>
      <c r="E1317" s="20" t="s">
        <v>91</v>
      </c>
      <c r="F1317" s="17" t="s">
        <v>1377</v>
      </c>
      <c r="G1317" s="17" t="s">
        <v>3815</v>
      </c>
      <c r="H1317" s="17" t="s">
        <v>3816</v>
      </c>
      <c r="I1317" s="17" t="s">
        <v>98</v>
      </c>
      <c r="J1317" s="22" t="s">
        <v>135</v>
      </c>
      <c r="K1317" s="23" t="s">
        <v>108</v>
      </c>
      <c r="L1317" s="24" t="s">
        <v>91</v>
      </c>
      <c r="M1317" s="2">
        <v>39.0</v>
      </c>
      <c r="N1317" s="25">
        <v>20.0</v>
      </c>
      <c r="O1317" s="25"/>
      <c r="P1317" s="25"/>
    </row>
    <row r="1318">
      <c r="A1318" s="16">
        <v>1316.0</v>
      </c>
      <c r="B1318" s="17" t="s">
        <v>173</v>
      </c>
      <c r="C1318" s="18">
        <v>6.0</v>
      </c>
      <c r="D1318" s="19" t="s">
        <v>3452</v>
      </c>
      <c r="E1318" s="20" t="s">
        <v>91</v>
      </c>
      <c r="F1318" s="17" t="s">
        <v>1234</v>
      </c>
      <c r="G1318" s="17" t="s">
        <v>3819</v>
      </c>
      <c r="H1318" s="17" t="s">
        <v>3820</v>
      </c>
      <c r="I1318" s="17" t="s">
        <v>98</v>
      </c>
      <c r="J1318" s="22" t="s">
        <v>135</v>
      </c>
      <c r="K1318" s="23" t="s">
        <v>108</v>
      </c>
      <c r="L1318" s="24" t="s">
        <v>91</v>
      </c>
      <c r="M1318" s="2">
        <v>39.0</v>
      </c>
      <c r="N1318" s="25">
        <v>20.0</v>
      </c>
      <c r="O1318" s="25"/>
      <c r="P1318" s="25"/>
    </row>
    <row r="1319">
      <c r="A1319" s="16">
        <v>1317.0</v>
      </c>
      <c r="B1319" s="17" t="s">
        <v>173</v>
      </c>
      <c r="C1319" s="18">
        <v>7.0</v>
      </c>
      <c r="D1319" s="19" t="s">
        <v>3452</v>
      </c>
      <c r="E1319" s="20" t="s">
        <v>91</v>
      </c>
      <c r="F1319" s="17" t="s">
        <v>1255</v>
      </c>
      <c r="G1319" s="17" t="s">
        <v>3821</v>
      </c>
      <c r="H1319" s="17" t="s">
        <v>3822</v>
      </c>
      <c r="I1319" s="17" t="s">
        <v>98</v>
      </c>
      <c r="J1319" s="22" t="s">
        <v>135</v>
      </c>
      <c r="K1319" s="23" t="s">
        <v>108</v>
      </c>
      <c r="L1319" s="24" t="s">
        <v>91</v>
      </c>
      <c r="M1319" s="2">
        <v>39.0</v>
      </c>
      <c r="N1319" s="25">
        <v>20.0</v>
      </c>
      <c r="O1319" s="25"/>
      <c r="P1319" s="25"/>
    </row>
    <row r="1320">
      <c r="A1320" s="16">
        <v>1318.0</v>
      </c>
      <c r="B1320" s="17" t="s">
        <v>173</v>
      </c>
      <c r="C1320" s="18">
        <v>8.0</v>
      </c>
      <c r="D1320" s="19" t="s">
        <v>3452</v>
      </c>
      <c r="E1320" s="20" t="s">
        <v>91</v>
      </c>
      <c r="F1320" s="17" t="s">
        <v>1379</v>
      </c>
      <c r="G1320" s="17" t="s">
        <v>3824</v>
      </c>
      <c r="H1320" s="17" t="s">
        <v>3825</v>
      </c>
      <c r="I1320" s="17" t="s">
        <v>98</v>
      </c>
      <c r="J1320" s="22" t="s">
        <v>135</v>
      </c>
      <c r="K1320" s="23" t="s">
        <v>108</v>
      </c>
      <c r="L1320" s="24" t="s">
        <v>91</v>
      </c>
      <c r="M1320" s="2">
        <v>39.0</v>
      </c>
      <c r="N1320" s="25">
        <v>20.0</v>
      </c>
      <c r="O1320" s="25"/>
      <c r="P1320" s="25"/>
    </row>
    <row r="1321">
      <c r="A1321" s="16">
        <v>1319.0</v>
      </c>
      <c r="B1321" s="17" t="s">
        <v>173</v>
      </c>
      <c r="C1321" s="18">
        <v>9.0</v>
      </c>
      <c r="D1321" s="19" t="s">
        <v>3452</v>
      </c>
      <c r="E1321" s="20" t="s">
        <v>91</v>
      </c>
      <c r="F1321" s="17" t="s">
        <v>898</v>
      </c>
      <c r="G1321" s="17" t="s">
        <v>3826</v>
      </c>
      <c r="H1321" s="17" t="s">
        <v>3827</v>
      </c>
      <c r="I1321" s="17" t="s">
        <v>125</v>
      </c>
      <c r="J1321" s="22" t="s">
        <v>135</v>
      </c>
      <c r="K1321" s="23" t="s">
        <v>108</v>
      </c>
      <c r="L1321" s="24" t="s">
        <v>91</v>
      </c>
      <c r="M1321" s="2">
        <v>39.0</v>
      </c>
      <c r="N1321" s="25">
        <v>21.0</v>
      </c>
      <c r="O1321" s="25"/>
      <c r="P1321" s="25"/>
    </row>
    <row r="1322">
      <c r="A1322" s="16">
        <v>1320.0</v>
      </c>
      <c r="B1322" s="17" t="s">
        <v>173</v>
      </c>
      <c r="C1322" s="18">
        <v>10.0</v>
      </c>
      <c r="D1322" s="19" t="s">
        <v>3452</v>
      </c>
      <c r="E1322" s="20" t="s">
        <v>91</v>
      </c>
      <c r="F1322" s="17" t="s">
        <v>1008</v>
      </c>
      <c r="G1322" s="17" t="s">
        <v>3829</v>
      </c>
      <c r="H1322" s="17" t="s">
        <v>3830</v>
      </c>
      <c r="I1322" s="17" t="s">
        <v>98</v>
      </c>
      <c r="J1322" s="22" t="s">
        <v>144</v>
      </c>
      <c r="K1322" s="23" t="s">
        <v>108</v>
      </c>
      <c r="L1322" s="24" t="s">
        <v>91</v>
      </c>
      <c r="M1322" s="2">
        <v>39.0</v>
      </c>
      <c r="N1322" s="25">
        <v>30.0</v>
      </c>
      <c r="O1322" s="25"/>
      <c r="P1322" s="25"/>
    </row>
    <row r="1323">
      <c r="A1323" s="16">
        <v>1321.0</v>
      </c>
      <c r="B1323" s="17" t="s">
        <v>173</v>
      </c>
      <c r="C1323" s="18">
        <v>11.0</v>
      </c>
      <c r="D1323" s="19" t="s">
        <v>3452</v>
      </c>
      <c r="E1323" s="20" t="s">
        <v>91</v>
      </c>
      <c r="F1323" s="17" t="s">
        <v>576</v>
      </c>
      <c r="G1323" s="17" t="s">
        <v>3831</v>
      </c>
      <c r="H1323" s="17" t="s">
        <v>3814</v>
      </c>
      <c r="I1323" s="17" t="s">
        <v>98</v>
      </c>
      <c r="J1323" s="22" t="s">
        <v>144</v>
      </c>
      <c r="K1323" s="23" t="s">
        <v>108</v>
      </c>
      <c r="L1323" s="24" t="s">
        <v>91</v>
      </c>
      <c r="M1323" s="2">
        <v>39.0</v>
      </c>
      <c r="N1323" s="25">
        <v>30.0</v>
      </c>
      <c r="O1323" s="25"/>
      <c r="P1323" s="25"/>
    </row>
    <row r="1324">
      <c r="A1324" s="16">
        <v>1322.0</v>
      </c>
      <c r="B1324" s="17" t="s">
        <v>173</v>
      </c>
      <c r="C1324" s="18">
        <v>12.0</v>
      </c>
      <c r="D1324" s="19" t="s">
        <v>3448</v>
      </c>
      <c r="E1324" s="20" t="s">
        <v>91</v>
      </c>
      <c r="F1324" s="17" t="s">
        <v>95</v>
      </c>
      <c r="G1324" s="17" t="s">
        <v>123</v>
      </c>
      <c r="H1324" s="17" t="s">
        <v>3833</v>
      </c>
      <c r="I1324" s="17" t="s">
        <v>125</v>
      </c>
      <c r="J1324" s="22" t="s">
        <v>144</v>
      </c>
      <c r="K1324" s="23" t="s">
        <v>108</v>
      </c>
      <c r="L1324" s="24" t="s">
        <v>91</v>
      </c>
      <c r="M1324" s="2">
        <v>39.0</v>
      </c>
      <c r="N1324" s="25">
        <v>31.0</v>
      </c>
      <c r="O1324" s="25"/>
      <c r="P1324" s="25"/>
    </row>
    <row r="1325">
      <c r="A1325" s="16">
        <v>1323.0</v>
      </c>
      <c r="B1325" s="17" t="s">
        <v>173</v>
      </c>
      <c r="C1325" s="18">
        <v>13.0</v>
      </c>
      <c r="D1325" s="19" t="s">
        <v>3448</v>
      </c>
      <c r="E1325" s="20" t="s">
        <v>91</v>
      </c>
      <c r="F1325" s="17" t="s">
        <v>66</v>
      </c>
      <c r="G1325" s="17" t="s">
        <v>3834</v>
      </c>
      <c r="H1325" s="17" t="s">
        <v>3835</v>
      </c>
      <c r="I1325" s="17" t="s">
        <v>125</v>
      </c>
      <c r="J1325" s="22" t="s">
        <v>144</v>
      </c>
      <c r="K1325" s="23" t="s">
        <v>108</v>
      </c>
      <c r="L1325" s="24" t="s">
        <v>91</v>
      </c>
      <c r="M1325" s="2">
        <v>39.0</v>
      </c>
      <c r="N1325" s="25">
        <v>31.0</v>
      </c>
      <c r="O1325" s="25"/>
      <c r="P1325" s="25"/>
    </row>
    <row r="1326">
      <c r="A1326" s="16">
        <v>1324.0</v>
      </c>
      <c r="B1326" s="17" t="s">
        <v>173</v>
      </c>
      <c r="C1326" s="18">
        <v>14.0</v>
      </c>
      <c r="D1326" s="19" t="s">
        <v>3448</v>
      </c>
      <c r="E1326" s="20" t="s">
        <v>91</v>
      </c>
      <c r="F1326" s="17" t="s">
        <v>99</v>
      </c>
      <c r="G1326" s="17" t="s">
        <v>123</v>
      </c>
      <c r="H1326" s="17" t="s">
        <v>3748</v>
      </c>
      <c r="I1326" s="17" t="s">
        <v>125</v>
      </c>
      <c r="J1326" s="22" t="s">
        <v>144</v>
      </c>
      <c r="K1326" s="23" t="s">
        <v>108</v>
      </c>
      <c r="L1326" s="24" t="s">
        <v>91</v>
      </c>
      <c r="M1326" s="2">
        <v>39.0</v>
      </c>
      <c r="N1326" s="25">
        <v>31.0</v>
      </c>
      <c r="O1326" s="25"/>
      <c r="P1326" s="25"/>
    </row>
    <row r="1327">
      <c r="A1327" s="16">
        <v>1325.0</v>
      </c>
      <c r="B1327" s="17" t="s">
        <v>173</v>
      </c>
      <c r="C1327" s="18">
        <v>15.0</v>
      </c>
      <c r="D1327" s="19" t="s">
        <v>3448</v>
      </c>
      <c r="E1327" s="20" t="s">
        <v>91</v>
      </c>
      <c r="F1327" s="17" t="s">
        <v>143</v>
      </c>
      <c r="G1327" s="17" t="s">
        <v>3768</v>
      </c>
      <c r="H1327" s="17" t="s">
        <v>3769</v>
      </c>
      <c r="I1327" s="17" t="s">
        <v>125</v>
      </c>
      <c r="J1327" s="22" t="s">
        <v>144</v>
      </c>
      <c r="K1327" s="23" t="s">
        <v>108</v>
      </c>
      <c r="L1327" s="24" t="s">
        <v>91</v>
      </c>
      <c r="M1327" s="2">
        <v>39.0</v>
      </c>
      <c r="N1327" s="25">
        <v>31.0</v>
      </c>
      <c r="O1327" s="25"/>
      <c r="P1327" s="25"/>
    </row>
    <row r="1328">
      <c r="A1328" s="16">
        <v>1326.0</v>
      </c>
      <c r="B1328" s="17" t="s">
        <v>173</v>
      </c>
      <c r="C1328" s="18">
        <v>16.0</v>
      </c>
      <c r="D1328" s="19" t="s">
        <v>3448</v>
      </c>
      <c r="E1328" s="20" t="s">
        <v>91</v>
      </c>
      <c r="F1328" s="17" t="s">
        <v>340</v>
      </c>
      <c r="G1328" s="17" t="s">
        <v>123</v>
      </c>
      <c r="H1328" s="17" t="s">
        <v>3772</v>
      </c>
      <c r="I1328" s="17" t="s">
        <v>125</v>
      </c>
      <c r="J1328" s="22" t="s">
        <v>144</v>
      </c>
      <c r="K1328" s="23" t="s">
        <v>108</v>
      </c>
      <c r="L1328" s="24" t="s">
        <v>91</v>
      </c>
      <c r="M1328" s="2">
        <v>39.0</v>
      </c>
      <c r="N1328" s="25">
        <v>31.0</v>
      </c>
      <c r="O1328" s="25"/>
      <c r="P1328" s="25"/>
    </row>
    <row r="1329">
      <c r="A1329" s="16">
        <v>1327.0</v>
      </c>
      <c r="B1329" s="17" t="s">
        <v>173</v>
      </c>
      <c r="C1329" s="18">
        <v>17.0</v>
      </c>
      <c r="D1329" s="19" t="s">
        <v>3452</v>
      </c>
      <c r="E1329" s="20" t="s">
        <v>91</v>
      </c>
      <c r="F1329" s="17" t="s">
        <v>351</v>
      </c>
      <c r="G1329" s="17" t="s">
        <v>3841</v>
      </c>
      <c r="H1329" s="17" t="s">
        <v>3842</v>
      </c>
      <c r="I1329" s="17" t="s">
        <v>125</v>
      </c>
      <c r="J1329" s="22" t="s">
        <v>144</v>
      </c>
      <c r="K1329" s="23" t="s">
        <v>108</v>
      </c>
      <c r="L1329" s="24" t="s">
        <v>91</v>
      </c>
      <c r="M1329" s="2">
        <v>39.0</v>
      </c>
      <c r="N1329" s="25">
        <v>31.0</v>
      </c>
      <c r="O1329" s="25"/>
      <c r="P1329" s="25"/>
    </row>
    <row r="1330">
      <c r="A1330" s="16">
        <v>1328.0</v>
      </c>
      <c r="B1330" s="17" t="s">
        <v>173</v>
      </c>
      <c r="C1330" s="18">
        <v>18.0</v>
      </c>
      <c r="D1330" s="19" t="s">
        <v>3452</v>
      </c>
      <c r="E1330" s="20" t="s">
        <v>91</v>
      </c>
      <c r="F1330" s="17" t="s">
        <v>25</v>
      </c>
      <c r="G1330" s="17" t="s">
        <v>123</v>
      </c>
      <c r="H1330" s="17" t="s">
        <v>3843</v>
      </c>
      <c r="I1330" s="17" t="s">
        <v>125</v>
      </c>
      <c r="J1330" s="22" t="s">
        <v>144</v>
      </c>
      <c r="K1330" s="23" t="s">
        <v>108</v>
      </c>
      <c r="L1330" s="24" t="s">
        <v>91</v>
      </c>
      <c r="M1330" s="2">
        <v>39.0</v>
      </c>
      <c r="N1330" s="25">
        <v>31.0</v>
      </c>
      <c r="O1330" s="25"/>
      <c r="P1330" s="25"/>
    </row>
    <row r="1331">
      <c r="A1331" s="16">
        <v>1329.0</v>
      </c>
      <c r="B1331" s="17" t="s">
        <v>173</v>
      </c>
      <c r="C1331" s="18">
        <v>19.0</v>
      </c>
      <c r="D1331" s="19" t="s">
        <v>3452</v>
      </c>
      <c r="E1331" s="20" t="s">
        <v>91</v>
      </c>
      <c r="F1331" s="17" t="s">
        <v>337</v>
      </c>
      <c r="G1331" s="17" t="s">
        <v>123</v>
      </c>
      <c r="H1331" s="17" t="s">
        <v>3845</v>
      </c>
      <c r="I1331" s="17" t="s">
        <v>125</v>
      </c>
      <c r="J1331" s="22" t="s">
        <v>144</v>
      </c>
      <c r="K1331" s="23" t="s">
        <v>108</v>
      </c>
      <c r="L1331" s="24" t="s">
        <v>91</v>
      </c>
      <c r="M1331" s="2">
        <v>39.0</v>
      </c>
      <c r="N1331" s="25">
        <v>31.0</v>
      </c>
      <c r="O1331" s="25"/>
      <c r="P1331" s="25"/>
    </row>
    <row r="1332">
      <c r="A1332" s="16">
        <v>1330.0</v>
      </c>
      <c r="B1332" s="17" t="s">
        <v>173</v>
      </c>
      <c r="C1332" s="18">
        <v>20.0</v>
      </c>
      <c r="D1332" s="19" t="s">
        <v>3452</v>
      </c>
      <c r="E1332" s="20" t="s">
        <v>91</v>
      </c>
      <c r="F1332" s="17" t="s">
        <v>344</v>
      </c>
      <c r="G1332" s="17" t="s">
        <v>123</v>
      </c>
      <c r="H1332" s="17" t="s">
        <v>3846</v>
      </c>
      <c r="I1332" s="17" t="s">
        <v>125</v>
      </c>
      <c r="J1332" s="22" t="s">
        <v>144</v>
      </c>
      <c r="K1332" s="23" t="s">
        <v>108</v>
      </c>
      <c r="L1332" s="24" t="s">
        <v>91</v>
      </c>
      <c r="M1332" s="2">
        <v>39.0</v>
      </c>
      <c r="N1332" s="25">
        <v>31.0</v>
      </c>
      <c r="O1332" s="25"/>
      <c r="P1332" s="25"/>
    </row>
    <row r="1333">
      <c r="A1333" s="16">
        <v>1331.0</v>
      </c>
      <c r="B1333" s="17" t="s">
        <v>173</v>
      </c>
      <c r="C1333" s="18">
        <v>21.0</v>
      </c>
      <c r="D1333" s="19" t="s">
        <v>3452</v>
      </c>
      <c r="E1333" s="20" t="s">
        <v>91</v>
      </c>
      <c r="F1333" s="17" t="s">
        <v>61</v>
      </c>
      <c r="G1333" s="17" t="s">
        <v>123</v>
      </c>
      <c r="H1333" s="17" t="s">
        <v>3848</v>
      </c>
      <c r="I1333" s="17" t="s">
        <v>125</v>
      </c>
      <c r="J1333" s="22" t="s">
        <v>144</v>
      </c>
      <c r="K1333" s="23" t="s">
        <v>108</v>
      </c>
      <c r="L1333" s="24" t="s">
        <v>91</v>
      </c>
      <c r="M1333" s="2">
        <v>39.0</v>
      </c>
      <c r="N1333" s="25">
        <v>31.0</v>
      </c>
      <c r="O1333" s="25"/>
      <c r="P1333" s="25"/>
    </row>
    <row r="1334">
      <c r="A1334" s="16">
        <v>1332.0</v>
      </c>
      <c r="B1334" s="17" t="s">
        <v>173</v>
      </c>
      <c r="C1334" s="18">
        <v>22.0</v>
      </c>
      <c r="D1334" s="19" t="s">
        <v>3452</v>
      </c>
      <c r="E1334" s="20" t="s">
        <v>91</v>
      </c>
      <c r="F1334" s="17" t="s">
        <v>182</v>
      </c>
      <c r="G1334" s="17" t="s">
        <v>3849</v>
      </c>
      <c r="H1334" s="17" t="s">
        <v>3850</v>
      </c>
      <c r="I1334" s="17" t="s">
        <v>125</v>
      </c>
      <c r="J1334" s="22" t="s">
        <v>144</v>
      </c>
      <c r="K1334" s="23" t="s">
        <v>108</v>
      </c>
      <c r="L1334" s="24" t="s">
        <v>91</v>
      </c>
      <c r="M1334" s="2">
        <v>39.0</v>
      </c>
      <c r="N1334" s="25">
        <v>31.0</v>
      </c>
      <c r="O1334" s="25"/>
      <c r="P1334" s="25"/>
    </row>
    <row r="1335">
      <c r="A1335" s="16">
        <v>1333.0</v>
      </c>
      <c r="B1335" s="17" t="s">
        <v>173</v>
      </c>
      <c r="C1335" s="18">
        <v>23.0</v>
      </c>
      <c r="D1335" s="19" t="s">
        <v>3452</v>
      </c>
      <c r="E1335" s="20" t="s">
        <v>91</v>
      </c>
      <c r="F1335" s="17" t="s">
        <v>347</v>
      </c>
      <c r="G1335" s="17" t="s">
        <v>3851</v>
      </c>
      <c r="H1335" s="17" t="s">
        <v>3852</v>
      </c>
      <c r="I1335" s="17" t="s">
        <v>125</v>
      </c>
      <c r="J1335" s="22" t="s">
        <v>144</v>
      </c>
      <c r="K1335" s="23" t="s">
        <v>108</v>
      </c>
      <c r="L1335" s="24" t="s">
        <v>91</v>
      </c>
      <c r="M1335" s="2">
        <v>39.0</v>
      </c>
      <c r="N1335" s="25">
        <v>31.0</v>
      </c>
      <c r="O1335" s="25"/>
      <c r="P1335" s="25"/>
    </row>
    <row r="1336">
      <c r="A1336" s="16">
        <v>1334.0</v>
      </c>
      <c r="B1336" s="17" t="s">
        <v>173</v>
      </c>
      <c r="C1336" s="18">
        <v>24.0</v>
      </c>
      <c r="D1336" s="19" t="s">
        <v>3452</v>
      </c>
      <c r="E1336" s="20" t="s">
        <v>91</v>
      </c>
      <c r="F1336" s="17" t="s">
        <v>149</v>
      </c>
      <c r="G1336" s="17" t="s">
        <v>3855</v>
      </c>
      <c r="H1336" s="17" t="s">
        <v>3856</v>
      </c>
      <c r="I1336" s="17" t="s">
        <v>125</v>
      </c>
      <c r="J1336" s="22" t="s">
        <v>144</v>
      </c>
      <c r="K1336" s="23" t="s">
        <v>108</v>
      </c>
      <c r="L1336" s="24" t="s">
        <v>91</v>
      </c>
      <c r="M1336" s="2">
        <v>39.0</v>
      </c>
      <c r="N1336" s="25">
        <v>31.0</v>
      </c>
      <c r="O1336" s="25"/>
      <c r="P1336" s="25"/>
    </row>
    <row r="1337">
      <c r="A1337" s="16">
        <v>1335.0</v>
      </c>
      <c r="B1337" s="17" t="s">
        <v>173</v>
      </c>
      <c r="C1337" s="18">
        <v>25.0</v>
      </c>
      <c r="D1337" s="19" t="s">
        <v>3452</v>
      </c>
      <c r="E1337" s="20" t="s">
        <v>91</v>
      </c>
      <c r="F1337" s="17" t="s">
        <v>783</v>
      </c>
      <c r="G1337" s="17" t="s">
        <v>3857</v>
      </c>
      <c r="H1337" s="17" t="s">
        <v>3858</v>
      </c>
      <c r="I1337" s="17" t="s">
        <v>125</v>
      </c>
      <c r="J1337" s="22" t="s">
        <v>144</v>
      </c>
      <c r="K1337" s="23" t="s">
        <v>108</v>
      </c>
      <c r="L1337" s="24" t="s">
        <v>91</v>
      </c>
      <c r="M1337" s="2">
        <v>39.0</v>
      </c>
      <c r="N1337" s="25">
        <v>31.0</v>
      </c>
      <c r="O1337" s="25"/>
      <c r="P1337" s="25"/>
    </row>
    <row r="1338">
      <c r="A1338" s="16">
        <v>1336.0</v>
      </c>
      <c r="B1338" s="17" t="s">
        <v>173</v>
      </c>
      <c r="C1338" s="18">
        <v>26.0</v>
      </c>
      <c r="D1338" s="19" t="s">
        <v>3452</v>
      </c>
      <c r="E1338" s="20" t="s">
        <v>91</v>
      </c>
      <c r="F1338" s="17" t="s">
        <v>154</v>
      </c>
      <c r="G1338" s="17" t="s">
        <v>3860</v>
      </c>
      <c r="H1338" s="17" t="s">
        <v>3861</v>
      </c>
      <c r="I1338" s="17" t="s">
        <v>125</v>
      </c>
      <c r="J1338" s="22" t="s">
        <v>144</v>
      </c>
      <c r="K1338" s="23" t="s">
        <v>108</v>
      </c>
      <c r="L1338" s="24" t="s">
        <v>91</v>
      </c>
      <c r="M1338" s="2">
        <v>39.0</v>
      </c>
      <c r="N1338" s="25">
        <v>31.0</v>
      </c>
      <c r="O1338" s="25"/>
      <c r="P1338" s="25"/>
    </row>
    <row r="1339">
      <c r="A1339" s="16">
        <v>1337.0</v>
      </c>
      <c r="B1339" s="17" t="s">
        <v>173</v>
      </c>
      <c r="C1339" s="18">
        <v>27.0</v>
      </c>
      <c r="D1339" s="19" t="s">
        <v>3452</v>
      </c>
      <c r="E1339" s="20" t="s">
        <v>91</v>
      </c>
      <c r="F1339" s="17" t="s">
        <v>1009</v>
      </c>
      <c r="G1339" s="17" t="s">
        <v>123</v>
      </c>
      <c r="H1339" s="17" t="s">
        <v>3863</v>
      </c>
      <c r="I1339" s="17" t="s">
        <v>125</v>
      </c>
      <c r="J1339" s="22" t="s">
        <v>144</v>
      </c>
      <c r="K1339" s="23" t="s">
        <v>108</v>
      </c>
      <c r="L1339" s="24" t="s">
        <v>91</v>
      </c>
      <c r="M1339" s="2">
        <v>39.0</v>
      </c>
      <c r="N1339" s="25">
        <v>31.0</v>
      </c>
      <c r="O1339" s="25"/>
      <c r="P1339" s="25"/>
    </row>
    <row r="1340">
      <c r="A1340" s="16">
        <v>1338.0</v>
      </c>
      <c r="B1340" s="27" t="s">
        <v>173</v>
      </c>
      <c r="C1340" s="18">
        <v>28.0</v>
      </c>
      <c r="D1340" s="19" t="s">
        <v>3452</v>
      </c>
      <c r="E1340" s="20" t="s">
        <v>91</v>
      </c>
      <c r="F1340" s="27" t="s">
        <v>3865</v>
      </c>
      <c r="G1340" s="17" t="s">
        <v>3866</v>
      </c>
      <c r="H1340" s="17" t="s">
        <v>3867</v>
      </c>
      <c r="I1340" s="17" t="s">
        <v>125</v>
      </c>
      <c r="J1340" s="22" t="s">
        <v>144</v>
      </c>
      <c r="K1340" s="23" t="s">
        <v>108</v>
      </c>
      <c r="L1340" s="24"/>
      <c r="M1340" s="2">
        <v>39.0</v>
      </c>
      <c r="N1340" s="25">
        <v>31.0</v>
      </c>
      <c r="O1340" s="25"/>
      <c r="P1340" s="25"/>
    </row>
    <row r="1341">
      <c r="A1341" s="16">
        <v>1339.0</v>
      </c>
      <c r="B1341" s="27" t="s">
        <v>173</v>
      </c>
      <c r="C1341" s="18">
        <v>29.0</v>
      </c>
      <c r="D1341" s="19" t="s">
        <v>3452</v>
      </c>
      <c r="E1341" s="20" t="s">
        <v>91</v>
      </c>
      <c r="F1341" s="27" t="s">
        <v>1129</v>
      </c>
      <c r="G1341" s="17" t="s">
        <v>3869</v>
      </c>
      <c r="H1341" s="17" t="s">
        <v>3870</v>
      </c>
      <c r="I1341" s="17" t="s">
        <v>125</v>
      </c>
      <c r="J1341" s="22" t="s">
        <v>144</v>
      </c>
      <c r="K1341" s="23" t="s">
        <v>108</v>
      </c>
      <c r="L1341" s="24"/>
      <c r="M1341" s="2">
        <v>39.0</v>
      </c>
      <c r="N1341" s="25">
        <v>31.0</v>
      </c>
      <c r="O1341" s="25"/>
      <c r="P1341" s="25"/>
    </row>
    <row r="1342">
      <c r="A1342" s="16">
        <v>1340.0</v>
      </c>
      <c r="B1342" s="27" t="s">
        <v>173</v>
      </c>
      <c r="C1342" s="18">
        <v>30.0</v>
      </c>
      <c r="D1342" s="19" t="s">
        <v>3452</v>
      </c>
      <c r="E1342" s="20" t="s">
        <v>91</v>
      </c>
      <c r="F1342" s="27" t="s">
        <v>1039</v>
      </c>
      <c r="G1342" s="17" t="s">
        <v>3872</v>
      </c>
      <c r="H1342" s="17" t="s">
        <v>3873</v>
      </c>
      <c r="I1342" s="17" t="s">
        <v>125</v>
      </c>
      <c r="J1342" s="22" t="s">
        <v>144</v>
      </c>
      <c r="K1342" s="23" t="s">
        <v>108</v>
      </c>
      <c r="L1342" s="24"/>
      <c r="M1342" s="2">
        <v>39.0</v>
      </c>
      <c r="N1342" s="25">
        <v>31.0</v>
      </c>
      <c r="O1342" s="25"/>
      <c r="P1342" s="25"/>
    </row>
    <row r="1343">
      <c r="A1343" s="16">
        <v>1341.0</v>
      </c>
      <c r="B1343" s="17" t="s">
        <v>783</v>
      </c>
      <c r="C1343" s="18">
        <v>1.0</v>
      </c>
      <c r="D1343" s="19" t="s">
        <v>2288</v>
      </c>
      <c r="E1343" s="20" t="s">
        <v>91</v>
      </c>
      <c r="F1343" s="17" t="s">
        <v>779</v>
      </c>
      <c r="G1343" s="17" t="s">
        <v>123</v>
      </c>
      <c r="H1343" s="17" t="s">
        <v>3875</v>
      </c>
      <c r="I1343" s="17" t="s">
        <v>98</v>
      </c>
      <c r="J1343" s="22" t="s">
        <v>100</v>
      </c>
      <c r="K1343" s="23" t="s">
        <v>108</v>
      </c>
      <c r="L1343" s="24" t="s">
        <v>91</v>
      </c>
      <c r="M1343" s="2">
        <v>40.0</v>
      </c>
      <c r="N1343" s="25">
        <v>10.0</v>
      </c>
      <c r="O1343" s="25"/>
      <c r="P1343" s="25"/>
    </row>
    <row r="1344">
      <c r="A1344" s="16">
        <v>1342.0</v>
      </c>
      <c r="B1344" s="17" t="s">
        <v>783</v>
      </c>
      <c r="C1344" s="18">
        <v>2.0</v>
      </c>
      <c r="D1344" s="19" t="s">
        <v>3478</v>
      </c>
      <c r="E1344" s="20" t="s">
        <v>91</v>
      </c>
      <c r="F1344" s="17" t="s">
        <v>344</v>
      </c>
      <c r="G1344" s="17" t="s">
        <v>3876</v>
      </c>
      <c r="H1344" s="17" t="s">
        <v>3877</v>
      </c>
      <c r="I1344" s="17" t="s">
        <v>98</v>
      </c>
      <c r="J1344" s="22" t="s">
        <v>100</v>
      </c>
      <c r="K1344" s="23" t="s">
        <v>108</v>
      </c>
      <c r="L1344" s="24" t="s">
        <v>91</v>
      </c>
      <c r="M1344" s="2">
        <v>40.0</v>
      </c>
      <c r="N1344" s="25">
        <v>10.0</v>
      </c>
      <c r="O1344" s="25"/>
      <c r="P1344" s="25"/>
    </row>
    <row r="1345">
      <c r="A1345" s="16">
        <v>1343.0</v>
      </c>
      <c r="B1345" s="17" t="s">
        <v>783</v>
      </c>
      <c r="C1345" s="18">
        <v>3.0</v>
      </c>
      <c r="D1345" s="19" t="s">
        <v>2288</v>
      </c>
      <c r="E1345" s="20" t="s">
        <v>91</v>
      </c>
      <c r="F1345" s="17" t="s">
        <v>1257</v>
      </c>
      <c r="G1345" s="17" t="s">
        <v>123</v>
      </c>
      <c r="H1345" s="17" t="s">
        <v>3879</v>
      </c>
      <c r="I1345" s="17" t="s">
        <v>125</v>
      </c>
      <c r="J1345" s="22" t="s">
        <v>100</v>
      </c>
      <c r="K1345" s="23" t="s">
        <v>108</v>
      </c>
      <c r="L1345" s="24" t="s">
        <v>91</v>
      </c>
      <c r="M1345" s="2">
        <v>40.0</v>
      </c>
      <c r="N1345" s="25">
        <v>11.0</v>
      </c>
      <c r="O1345" s="25"/>
      <c r="P1345" s="25"/>
    </row>
    <row r="1346">
      <c r="A1346" s="16">
        <v>1344.0</v>
      </c>
      <c r="B1346" s="17" t="s">
        <v>783</v>
      </c>
      <c r="C1346" s="18">
        <v>4.0</v>
      </c>
      <c r="D1346" s="19" t="s">
        <v>2288</v>
      </c>
      <c r="E1346" s="20" t="s">
        <v>91</v>
      </c>
      <c r="F1346" s="17" t="s">
        <v>668</v>
      </c>
      <c r="G1346" s="17" t="s">
        <v>123</v>
      </c>
      <c r="H1346" s="17" t="s">
        <v>3881</v>
      </c>
      <c r="I1346" s="17" t="s">
        <v>125</v>
      </c>
      <c r="J1346" s="22" t="s">
        <v>135</v>
      </c>
      <c r="K1346" s="23" t="s">
        <v>108</v>
      </c>
      <c r="L1346" s="24" t="s">
        <v>91</v>
      </c>
      <c r="M1346" s="2">
        <v>40.0</v>
      </c>
      <c r="N1346" s="25">
        <v>21.0</v>
      </c>
      <c r="O1346" s="25"/>
      <c r="P1346" s="25"/>
    </row>
    <row r="1347">
      <c r="A1347" s="16">
        <v>1345.0</v>
      </c>
      <c r="B1347" s="17" t="s">
        <v>783</v>
      </c>
      <c r="C1347" s="18">
        <v>5.0</v>
      </c>
      <c r="D1347" s="19" t="s">
        <v>3478</v>
      </c>
      <c r="E1347" s="20" t="s">
        <v>91</v>
      </c>
      <c r="F1347" s="17" t="s">
        <v>176</v>
      </c>
      <c r="G1347" s="17" t="s">
        <v>3882</v>
      </c>
      <c r="H1347" s="17" t="s">
        <v>3883</v>
      </c>
      <c r="I1347" s="17" t="s">
        <v>98</v>
      </c>
      <c r="J1347" s="22" t="s">
        <v>144</v>
      </c>
      <c r="K1347" s="23" t="s">
        <v>108</v>
      </c>
      <c r="L1347" s="24" t="s">
        <v>91</v>
      </c>
      <c r="M1347" s="2">
        <v>40.0</v>
      </c>
      <c r="N1347" s="25">
        <v>30.0</v>
      </c>
      <c r="O1347" s="25"/>
      <c r="P1347" s="25"/>
    </row>
    <row r="1348">
      <c r="A1348" s="16">
        <v>1346.0</v>
      </c>
      <c r="B1348" s="17" t="s">
        <v>783</v>
      </c>
      <c r="C1348" s="18">
        <v>6.0</v>
      </c>
      <c r="D1348" s="19" t="s">
        <v>2288</v>
      </c>
      <c r="E1348" s="20" t="s">
        <v>91</v>
      </c>
      <c r="F1348" s="17" t="s">
        <v>90</v>
      </c>
      <c r="G1348" s="17" t="s">
        <v>3884</v>
      </c>
      <c r="H1348" s="17" t="s">
        <v>3885</v>
      </c>
      <c r="I1348" s="17" t="s">
        <v>125</v>
      </c>
      <c r="J1348" s="22" t="s">
        <v>144</v>
      </c>
      <c r="K1348" s="23" t="s">
        <v>108</v>
      </c>
      <c r="L1348" s="24" t="s">
        <v>91</v>
      </c>
      <c r="M1348" s="2">
        <v>40.0</v>
      </c>
      <c r="N1348" s="25">
        <v>31.0</v>
      </c>
      <c r="O1348" s="25"/>
      <c r="P1348" s="25"/>
    </row>
    <row r="1349">
      <c r="A1349" s="16">
        <v>1347.0</v>
      </c>
      <c r="B1349" s="17" t="s">
        <v>783</v>
      </c>
      <c r="C1349" s="18">
        <v>7.0</v>
      </c>
      <c r="D1349" s="19" t="s">
        <v>2288</v>
      </c>
      <c r="E1349" s="20" t="s">
        <v>91</v>
      </c>
      <c r="F1349" s="17" t="s">
        <v>171</v>
      </c>
      <c r="G1349" s="17" t="s">
        <v>3886</v>
      </c>
      <c r="H1349" s="17" t="s">
        <v>3888</v>
      </c>
      <c r="I1349" s="17" t="s">
        <v>125</v>
      </c>
      <c r="J1349" s="22" t="s">
        <v>144</v>
      </c>
      <c r="K1349" s="23" t="s">
        <v>108</v>
      </c>
      <c r="L1349" s="24" t="s">
        <v>91</v>
      </c>
      <c r="M1349" s="2">
        <v>40.0</v>
      </c>
      <c r="N1349" s="25">
        <v>31.0</v>
      </c>
      <c r="O1349" s="25"/>
      <c r="P1349" s="25"/>
    </row>
    <row r="1350">
      <c r="A1350" s="16">
        <v>1348.0</v>
      </c>
      <c r="B1350" s="17" t="s">
        <v>783</v>
      </c>
      <c r="C1350" s="18">
        <v>8.0</v>
      </c>
      <c r="D1350" s="19" t="s">
        <v>2288</v>
      </c>
      <c r="E1350" s="20" t="s">
        <v>91</v>
      </c>
      <c r="F1350" s="17" t="s">
        <v>173</v>
      </c>
      <c r="G1350" s="17" t="s">
        <v>3890</v>
      </c>
      <c r="H1350" s="17" t="s">
        <v>3891</v>
      </c>
      <c r="I1350" s="17" t="s">
        <v>125</v>
      </c>
      <c r="J1350" s="22" t="s">
        <v>144</v>
      </c>
      <c r="K1350" s="23" t="s">
        <v>108</v>
      </c>
      <c r="L1350" s="24" t="s">
        <v>91</v>
      </c>
      <c r="M1350" s="2">
        <v>40.0</v>
      </c>
      <c r="N1350" s="25">
        <v>31.0</v>
      </c>
      <c r="O1350" s="25"/>
      <c r="P1350" s="25"/>
    </row>
    <row r="1351">
      <c r="A1351" s="16">
        <v>1349.0</v>
      </c>
      <c r="B1351" s="17" t="s">
        <v>783</v>
      </c>
      <c r="C1351" s="18">
        <v>9.0</v>
      </c>
      <c r="D1351" s="19" t="s">
        <v>2288</v>
      </c>
      <c r="E1351" s="20" t="s">
        <v>91</v>
      </c>
      <c r="F1351" s="17" t="s">
        <v>95</v>
      </c>
      <c r="G1351" s="17" t="s">
        <v>123</v>
      </c>
      <c r="H1351" s="17" t="s">
        <v>3892</v>
      </c>
      <c r="I1351" s="17" t="s">
        <v>125</v>
      </c>
      <c r="J1351" s="22" t="s">
        <v>144</v>
      </c>
      <c r="K1351" s="23" t="s">
        <v>108</v>
      </c>
      <c r="L1351" s="24" t="s">
        <v>91</v>
      </c>
      <c r="M1351" s="2">
        <v>40.0</v>
      </c>
      <c r="N1351" s="25">
        <v>31.0</v>
      </c>
      <c r="O1351" s="25"/>
      <c r="P1351" s="25"/>
    </row>
    <row r="1352">
      <c r="A1352" s="16">
        <v>1350.0</v>
      </c>
      <c r="B1352" s="17" t="s">
        <v>783</v>
      </c>
      <c r="C1352" s="18">
        <v>10.0</v>
      </c>
      <c r="D1352" s="19" t="s">
        <v>2288</v>
      </c>
      <c r="E1352" s="20" t="s">
        <v>91</v>
      </c>
      <c r="F1352" s="17" t="s">
        <v>66</v>
      </c>
      <c r="G1352" s="17" t="s">
        <v>123</v>
      </c>
      <c r="H1352" s="17" t="s">
        <v>3893</v>
      </c>
      <c r="I1352" s="17" t="s">
        <v>125</v>
      </c>
      <c r="J1352" s="22" t="s">
        <v>144</v>
      </c>
      <c r="K1352" s="23" t="s">
        <v>108</v>
      </c>
      <c r="L1352" s="24" t="s">
        <v>91</v>
      </c>
      <c r="M1352" s="2">
        <v>40.0</v>
      </c>
      <c r="N1352" s="25">
        <v>31.0</v>
      </c>
      <c r="O1352" s="25"/>
      <c r="P1352" s="25"/>
    </row>
    <row r="1353">
      <c r="A1353" s="16">
        <v>1351.0</v>
      </c>
      <c r="B1353" s="17" t="s">
        <v>783</v>
      </c>
      <c r="C1353" s="18">
        <v>11.0</v>
      </c>
      <c r="D1353" s="19" t="s">
        <v>2288</v>
      </c>
      <c r="E1353" s="20" t="s">
        <v>91</v>
      </c>
      <c r="F1353" s="17" t="s">
        <v>506</v>
      </c>
      <c r="G1353" s="17" t="s">
        <v>3894</v>
      </c>
      <c r="H1353" s="17" t="s">
        <v>3896</v>
      </c>
      <c r="I1353" s="17" t="s">
        <v>125</v>
      </c>
      <c r="J1353" s="22" t="s">
        <v>144</v>
      </c>
      <c r="K1353" s="23" t="s">
        <v>108</v>
      </c>
      <c r="L1353" s="24" t="s">
        <v>91</v>
      </c>
      <c r="M1353" s="2">
        <v>40.0</v>
      </c>
      <c r="N1353" s="25">
        <v>31.0</v>
      </c>
      <c r="O1353" s="25"/>
      <c r="P1353" s="25"/>
    </row>
    <row r="1354">
      <c r="A1354" s="16">
        <v>1352.0</v>
      </c>
      <c r="B1354" s="17" t="s">
        <v>783</v>
      </c>
      <c r="C1354" s="18">
        <v>12.0</v>
      </c>
      <c r="D1354" s="19" t="s">
        <v>2288</v>
      </c>
      <c r="E1354" s="20" t="s">
        <v>91</v>
      </c>
      <c r="F1354" s="17" t="s">
        <v>25</v>
      </c>
      <c r="G1354" s="17" t="s">
        <v>123</v>
      </c>
      <c r="H1354" s="17" t="s">
        <v>3843</v>
      </c>
      <c r="I1354" s="17" t="s">
        <v>125</v>
      </c>
      <c r="J1354" s="22" t="s">
        <v>144</v>
      </c>
      <c r="K1354" s="23" t="s">
        <v>108</v>
      </c>
      <c r="L1354" s="24" t="s">
        <v>91</v>
      </c>
      <c r="M1354" s="2">
        <v>40.0</v>
      </c>
      <c r="N1354" s="25">
        <v>31.0</v>
      </c>
      <c r="O1354" s="25"/>
      <c r="P1354" s="25"/>
    </row>
    <row r="1355">
      <c r="A1355" s="16">
        <v>1353.0</v>
      </c>
      <c r="B1355" s="17" t="s">
        <v>783</v>
      </c>
      <c r="C1355" s="18">
        <v>13.0</v>
      </c>
      <c r="D1355" s="19" t="s">
        <v>2288</v>
      </c>
      <c r="E1355" s="20" t="s">
        <v>91</v>
      </c>
      <c r="F1355" s="17" t="s">
        <v>337</v>
      </c>
      <c r="G1355" s="17" t="s">
        <v>123</v>
      </c>
      <c r="H1355" s="17" t="s">
        <v>3845</v>
      </c>
      <c r="I1355" s="17" t="s">
        <v>125</v>
      </c>
      <c r="J1355" s="22" t="s">
        <v>144</v>
      </c>
      <c r="K1355" s="23" t="s">
        <v>108</v>
      </c>
      <c r="L1355" s="24" t="s">
        <v>91</v>
      </c>
      <c r="M1355" s="2">
        <v>40.0</v>
      </c>
      <c r="N1355" s="25">
        <v>31.0</v>
      </c>
      <c r="O1355" s="25"/>
      <c r="P1355" s="25"/>
    </row>
    <row r="1356">
      <c r="A1356" s="16">
        <v>1354.0</v>
      </c>
      <c r="B1356" s="17" t="s">
        <v>783</v>
      </c>
      <c r="C1356" s="18">
        <v>14.0</v>
      </c>
      <c r="D1356" s="19" t="s">
        <v>2288</v>
      </c>
      <c r="E1356" s="20" t="s">
        <v>91</v>
      </c>
      <c r="F1356" s="17" t="s">
        <v>881</v>
      </c>
      <c r="G1356" s="17" t="s">
        <v>3897</v>
      </c>
      <c r="H1356" s="17" t="s">
        <v>3898</v>
      </c>
      <c r="I1356" s="17" t="s">
        <v>125</v>
      </c>
      <c r="J1356" s="22" t="s">
        <v>144</v>
      </c>
      <c r="K1356" s="23" t="s">
        <v>108</v>
      </c>
      <c r="L1356" s="24" t="s">
        <v>91</v>
      </c>
      <c r="M1356" s="2">
        <v>40.0</v>
      </c>
      <c r="N1356" s="25">
        <v>31.0</v>
      </c>
      <c r="O1356" s="25"/>
      <c r="P1356" s="25"/>
    </row>
    <row r="1357">
      <c r="A1357" s="16">
        <v>1355.0</v>
      </c>
      <c r="B1357" s="17" t="s">
        <v>783</v>
      </c>
      <c r="C1357" s="18">
        <v>15.0</v>
      </c>
      <c r="D1357" s="19" t="s">
        <v>2288</v>
      </c>
      <c r="E1357" s="20" t="s">
        <v>91</v>
      </c>
      <c r="F1357" s="17" t="s">
        <v>99</v>
      </c>
      <c r="G1357" s="17" t="s">
        <v>3899</v>
      </c>
      <c r="H1357" s="17" t="s">
        <v>3900</v>
      </c>
      <c r="I1357" s="17" t="s">
        <v>125</v>
      </c>
      <c r="J1357" s="22" t="s">
        <v>144</v>
      </c>
      <c r="K1357" s="23" t="s">
        <v>108</v>
      </c>
      <c r="L1357" s="24" t="s">
        <v>91</v>
      </c>
      <c r="M1357" s="2">
        <v>40.0</v>
      </c>
      <c r="N1357" s="25">
        <v>31.0</v>
      </c>
      <c r="O1357" s="25"/>
      <c r="P1357" s="25"/>
    </row>
    <row r="1358">
      <c r="A1358" s="16">
        <v>1356.0</v>
      </c>
      <c r="B1358" s="17" t="s">
        <v>783</v>
      </c>
      <c r="C1358" s="18">
        <v>16.0</v>
      </c>
      <c r="D1358" s="19" t="s">
        <v>2288</v>
      </c>
      <c r="E1358" s="20" t="s">
        <v>91</v>
      </c>
      <c r="F1358" s="17" t="s">
        <v>61</v>
      </c>
      <c r="G1358" s="17" t="s">
        <v>123</v>
      </c>
      <c r="H1358" s="17" t="s">
        <v>3848</v>
      </c>
      <c r="I1358" s="17" t="s">
        <v>125</v>
      </c>
      <c r="J1358" s="22" t="s">
        <v>144</v>
      </c>
      <c r="K1358" s="23" t="s">
        <v>108</v>
      </c>
      <c r="L1358" s="24" t="s">
        <v>91</v>
      </c>
      <c r="M1358" s="2">
        <v>40.0</v>
      </c>
      <c r="N1358" s="25">
        <v>31.0</v>
      </c>
      <c r="O1358" s="25"/>
      <c r="P1358" s="25"/>
    </row>
    <row r="1359">
      <c r="A1359" s="16">
        <v>1357.0</v>
      </c>
      <c r="B1359" s="17" t="s">
        <v>783</v>
      </c>
      <c r="C1359" s="18">
        <v>17.0</v>
      </c>
      <c r="D1359" s="19" t="s">
        <v>2288</v>
      </c>
      <c r="E1359" s="20" t="s">
        <v>91</v>
      </c>
      <c r="F1359" s="17" t="s">
        <v>182</v>
      </c>
      <c r="G1359" s="17" t="s">
        <v>3902</v>
      </c>
      <c r="H1359" s="17" t="s">
        <v>3801</v>
      </c>
      <c r="I1359" s="17" t="s">
        <v>125</v>
      </c>
      <c r="J1359" s="22" t="s">
        <v>144</v>
      </c>
      <c r="K1359" s="23" t="s">
        <v>108</v>
      </c>
      <c r="L1359" s="24" t="s">
        <v>91</v>
      </c>
      <c r="M1359" s="2">
        <v>40.0</v>
      </c>
      <c r="N1359" s="25">
        <v>31.0</v>
      </c>
      <c r="O1359" s="25"/>
      <c r="P1359" s="25"/>
    </row>
    <row r="1360">
      <c r="A1360" s="16">
        <v>1358.0</v>
      </c>
      <c r="B1360" s="17" t="s">
        <v>783</v>
      </c>
      <c r="C1360" s="18">
        <v>18.0</v>
      </c>
      <c r="D1360" s="19" t="s">
        <v>2288</v>
      </c>
      <c r="E1360" s="20" t="s">
        <v>91</v>
      </c>
      <c r="F1360" s="17" t="s">
        <v>347</v>
      </c>
      <c r="G1360" s="17" t="s">
        <v>3903</v>
      </c>
      <c r="H1360" s="17" t="s">
        <v>3904</v>
      </c>
      <c r="I1360" s="17" t="s">
        <v>125</v>
      </c>
      <c r="J1360" s="22" t="s">
        <v>144</v>
      </c>
      <c r="K1360" s="23" t="s">
        <v>108</v>
      </c>
      <c r="L1360" s="24" t="s">
        <v>91</v>
      </c>
      <c r="M1360" s="2">
        <v>40.0</v>
      </c>
      <c r="N1360" s="25">
        <v>31.0</v>
      </c>
      <c r="O1360" s="25"/>
      <c r="P1360" s="25"/>
    </row>
    <row r="1361">
      <c r="A1361" s="16">
        <v>1359.0</v>
      </c>
      <c r="B1361" s="17" t="s">
        <v>783</v>
      </c>
      <c r="C1361" s="18">
        <v>19.0</v>
      </c>
      <c r="D1361" s="19" t="s">
        <v>2288</v>
      </c>
      <c r="E1361" s="20" t="s">
        <v>91</v>
      </c>
      <c r="F1361" s="17" t="s">
        <v>216</v>
      </c>
      <c r="G1361" s="17" t="s">
        <v>3905</v>
      </c>
      <c r="H1361" s="17" t="s">
        <v>3906</v>
      </c>
      <c r="I1361" s="17" t="s">
        <v>125</v>
      </c>
      <c r="J1361" s="22" t="s">
        <v>144</v>
      </c>
      <c r="K1361" s="23" t="s">
        <v>108</v>
      </c>
      <c r="L1361" s="24" t="s">
        <v>91</v>
      </c>
      <c r="M1361" s="2">
        <v>40.0</v>
      </c>
      <c r="N1361" s="25">
        <v>31.0</v>
      </c>
      <c r="O1361" s="25"/>
      <c r="P1361" s="25"/>
    </row>
    <row r="1362">
      <c r="A1362" s="16">
        <v>1360.0</v>
      </c>
      <c r="B1362" s="17" t="s">
        <v>783</v>
      </c>
      <c r="C1362" s="18">
        <v>20.0</v>
      </c>
      <c r="D1362" s="19" t="s">
        <v>2288</v>
      </c>
      <c r="E1362" s="20" t="s">
        <v>91</v>
      </c>
      <c r="F1362" s="17" t="s">
        <v>351</v>
      </c>
      <c r="G1362" s="17" t="s">
        <v>123</v>
      </c>
      <c r="H1362" s="17" t="s">
        <v>3909</v>
      </c>
      <c r="I1362" s="17" t="s">
        <v>125</v>
      </c>
      <c r="J1362" s="22" t="s">
        <v>144</v>
      </c>
      <c r="K1362" s="23" t="s">
        <v>108</v>
      </c>
      <c r="L1362" s="24" t="s">
        <v>91</v>
      </c>
      <c r="M1362" s="2">
        <v>40.0</v>
      </c>
      <c r="N1362" s="25">
        <v>31.0</v>
      </c>
      <c r="O1362" s="25"/>
      <c r="P1362" s="25"/>
    </row>
    <row r="1363">
      <c r="A1363" s="16">
        <v>1361.0</v>
      </c>
      <c r="B1363" s="17" t="s">
        <v>783</v>
      </c>
      <c r="C1363" s="18">
        <v>21.0</v>
      </c>
      <c r="D1363" s="19" t="s">
        <v>2288</v>
      </c>
      <c r="E1363" s="20" t="s">
        <v>91</v>
      </c>
      <c r="F1363" s="17" t="s">
        <v>143</v>
      </c>
      <c r="G1363" s="17" t="s">
        <v>3910</v>
      </c>
      <c r="H1363" s="17" t="s">
        <v>3911</v>
      </c>
      <c r="I1363" s="17" t="s">
        <v>125</v>
      </c>
      <c r="J1363" s="22" t="s">
        <v>144</v>
      </c>
      <c r="K1363" s="23" t="s">
        <v>108</v>
      </c>
      <c r="L1363" s="24" t="s">
        <v>91</v>
      </c>
      <c r="M1363" s="2">
        <v>40.0</v>
      </c>
      <c r="N1363" s="25">
        <v>31.0</v>
      </c>
      <c r="O1363" s="25"/>
      <c r="P1363" s="25"/>
    </row>
    <row r="1364">
      <c r="A1364" s="16">
        <v>1362.0</v>
      </c>
      <c r="B1364" s="17" t="s">
        <v>783</v>
      </c>
      <c r="C1364" s="18">
        <v>22.0</v>
      </c>
      <c r="D1364" s="19" t="s">
        <v>2288</v>
      </c>
      <c r="E1364" s="20" t="s">
        <v>91</v>
      </c>
      <c r="F1364" s="17" t="s">
        <v>44</v>
      </c>
      <c r="G1364" s="17" t="s">
        <v>3912</v>
      </c>
      <c r="H1364" s="17" t="s">
        <v>3913</v>
      </c>
      <c r="I1364" s="17" t="s">
        <v>125</v>
      </c>
      <c r="J1364" s="22" t="s">
        <v>144</v>
      </c>
      <c r="K1364" s="23" t="s">
        <v>108</v>
      </c>
      <c r="L1364" s="24" t="s">
        <v>91</v>
      </c>
      <c r="M1364" s="2">
        <v>40.0</v>
      </c>
      <c r="N1364" s="25">
        <v>31.0</v>
      </c>
      <c r="O1364" s="25"/>
      <c r="P1364" s="25"/>
    </row>
    <row r="1365">
      <c r="A1365" s="16">
        <v>1363.0</v>
      </c>
      <c r="B1365" s="17" t="s">
        <v>783</v>
      </c>
      <c r="C1365" s="18">
        <v>23.0</v>
      </c>
      <c r="D1365" s="19" t="s">
        <v>2288</v>
      </c>
      <c r="E1365" s="20" t="s">
        <v>91</v>
      </c>
      <c r="F1365" s="17" t="s">
        <v>340</v>
      </c>
      <c r="G1365" s="17" t="s">
        <v>3916</v>
      </c>
      <c r="H1365" s="17" t="s">
        <v>3917</v>
      </c>
      <c r="I1365" s="17" t="s">
        <v>125</v>
      </c>
      <c r="J1365" s="22" t="s">
        <v>144</v>
      </c>
      <c r="K1365" s="23" t="s">
        <v>108</v>
      </c>
      <c r="L1365" s="24" t="s">
        <v>91</v>
      </c>
      <c r="M1365" s="2">
        <v>40.0</v>
      </c>
      <c r="N1365" s="25">
        <v>31.0</v>
      </c>
      <c r="O1365" s="25"/>
      <c r="P1365" s="25"/>
    </row>
    <row r="1366">
      <c r="A1366" s="16">
        <v>1364.0</v>
      </c>
      <c r="B1366" s="17" t="s">
        <v>783</v>
      </c>
      <c r="C1366" s="18">
        <v>24.0</v>
      </c>
      <c r="D1366" s="19" t="s">
        <v>2288</v>
      </c>
      <c r="E1366" s="20" t="s">
        <v>91</v>
      </c>
      <c r="F1366" s="17" t="s">
        <v>69</v>
      </c>
      <c r="G1366" s="17" t="s">
        <v>123</v>
      </c>
      <c r="H1366" s="17" t="s">
        <v>3918</v>
      </c>
      <c r="I1366" s="17" t="s">
        <v>125</v>
      </c>
      <c r="J1366" s="22" t="s">
        <v>144</v>
      </c>
      <c r="K1366" s="23" t="s">
        <v>108</v>
      </c>
      <c r="L1366" s="24" t="s">
        <v>91</v>
      </c>
      <c r="M1366" s="2">
        <v>40.0</v>
      </c>
      <c r="N1366" s="25">
        <v>31.0</v>
      </c>
      <c r="O1366" s="25"/>
      <c r="P1366" s="25"/>
    </row>
    <row r="1367">
      <c r="A1367" s="16">
        <v>1365.0</v>
      </c>
      <c r="B1367" s="17" t="s">
        <v>783</v>
      </c>
      <c r="C1367" s="18">
        <v>25.0</v>
      </c>
      <c r="D1367" s="19" t="s">
        <v>2288</v>
      </c>
      <c r="E1367" s="20" t="s">
        <v>91</v>
      </c>
      <c r="F1367" s="17" t="s">
        <v>1113</v>
      </c>
      <c r="G1367" s="17" t="s">
        <v>3919</v>
      </c>
      <c r="H1367" s="17" t="s">
        <v>3898</v>
      </c>
      <c r="I1367" s="17" t="s">
        <v>125</v>
      </c>
      <c r="J1367" s="22" t="s">
        <v>144</v>
      </c>
      <c r="K1367" s="23" t="s">
        <v>108</v>
      </c>
      <c r="L1367" s="24" t="s">
        <v>91</v>
      </c>
      <c r="M1367" s="2">
        <v>40.0</v>
      </c>
      <c r="N1367" s="25">
        <v>31.0</v>
      </c>
      <c r="O1367" s="25"/>
      <c r="P1367" s="25"/>
    </row>
    <row r="1368">
      <c r="A1368" s="16">
        <v>1366.0</v>
      </c>
      <c r="B1368" s="17" t="s">
        <v>783</v>
      </c>
      <c r="C1368" s="18">
        <v>26.0</v>
      </c>
      <c r="D1368" s="19" t="s">
        <v>2288</v>
      </c>
      <c r="E1368" s="20" t="s">
        <v>91</v>
      </c>
      <c r="F1368" s="17" t="s">
        <v>329</v>
      </c>
      <c r="G1368" s="17" t="s">
        <v>3920</v>
      </c>
      <c r="H1368" s="17" t="s">
        <v>3921</v>
      </c>
      <c r="I1368" s="17" t="s">
        <v>125</v>
      </c>
      <c r="J1368" s="22" t="s">
        <v>144</v>
      </c>
      <c r="K1368" s="23" t="s">
        <v>108</v>
      </c>
      <c r="L1368" s="24" t="s">
        <v>91</v>
      </c>
      <c r="M1368" s="2">
        <v>40.0</v>
      </c>
      <c r="N1368" s="25">
        <v>31.0</v>
      </c>
      <c r="O1368" s="25"/>
      <c r="P1368" s="25"/>
    </row>
    <row r="1369">
      <c r="A1369" s="16">
        <v>1367.0</v>
      </c>
      <c r="B1369" s="17" t="s">
        <v>783</v>
      </c>
      <c r="C1369" s="18">
        <v>27.0</v>
      </c>
      <c r="D1369" s="19" t="s">
        <v>2288</v>
      </c>
      <c r="E1369" s="20" t="s">
        <v>91</v>
      </c>
      <c r="F1369" s="17" t="s">
        <v>899</v>
      </c>
      <c r="G1369" s="17" t="s">
        <v>123</v>
      </c>
      <c r="H1369" s="17" t="s">
        <v>3923</v>
      </c>
      <c r="I1369" s="17" t="s">
        <v>125</v>
      </c>
      <c r="J1369" s="22" t="s">
        <v>144</v>
      </c>
      <c r="K1369" s="23" t="s">
        <v>108</v>
      </c>
      <c r="L1369" s="24" t="s">
        <v>91</v>
      </c>
      <c r="M1369" s="2">
        <v>40.0</v>
      </c>
      <c r="N1369" s="25">
        <v>31.0</v>
      </c>
      <c r="O1369" s="25"/>
      <c r="P1369" s="25"/>
    </row>
    <row r="1370">
      <c r="A1370" s="16">
        <v>1368.0</v>
      </c>
      <c r="B1370" s="17" t="s">
        <v>783</v>
      </c>
      <c r="C1370" s="18">
        <v>28.0</v>
      </c>
      <c r="D1370" s="19" t="s">
        <v>2288</v>
      </c>
      <c r="E1370" s="20" t="s">
        <v>91</v>
      </c>
      <c r="F1370" s="17" t="s">
        <v>991</v>
      </c>
      <c r="G1370" s="17" t="s">
        <v>123</v>
      </c>
      <c r="H1370" s="17" t="s">
        <v>3924</v>
      </c>
      <c r="I1370" s="17" t="s">
        <v>125</v>
      </c>
      <c r="J1370" s="22" t="s">
        <v>144</v>
      </c>
      <c r="K1370" s="23" t="s">
        <v>108</v>
      </c>
      <c r="L1370" s="24" t="s">
        <v>91</v>
      </c>
      <c r="M1370" s="2">
        <v>40.0</v>
      </c>
      <c r="N1370" s="25">
        <v>31.0</v>
      </c>
      <c r="O1370" s="25"/>
      <c r="P1370" s="25"/>
    </row>
    <row r="1371">
      <c r="A1371" s="16">
        <v>1369.0</v>
      </c>
      <c r="B1371" s="17" t="s">
        <v>783</v>
      </c>
      <c r="C1371" s="18">
        <v>29.0</v>
      </c>
      <c r="D1371" s="19" t="s">
        <v>2288</v>
      </c>
      <c r="E1371" s="20" t="s">
        <v>91</v>
      </c>
      <c r="F1371" s="17" t="s">
        <v>1128</v>
      </c>
      <c r="G1371" s="17" t="s">
        <v>123</v>
      </c>
      <c r="H1371" s="17" t="s">
        <v>3925</v>
      </c>
      <c r="I1371" s="17" t="s">
        <v>125</v>
      </c>
      <c r="J1371" s="22" t="s">
        <v>144</v>
      </c>
      <c r="K1371" s="23" t="s">
        <v>108</v>
      </c>
      <c r="L1371" s="24" t="s">
        <v>91</v>
      </c>
      <c r="M1371" s="2">
        <v>40.0</v>
      </c>
      <c r="N1371" s="25">
        <v>31.0</v>
      </c>
      <c r="O1371" s="25"/>
      <c r="P1371" s="25"/>
    </row>
    <row r="1372">
      <c r="A1372" s="16">
        <v>1370.0</v>
      </c>
      <c r="B1372" s="27" t="s">
        <v>783</v>
      </c>
      <c r="C1372" s="18">
        <v>30.0</v>
      </c>
      <c r="D1372" s="19" t="s">
        <v>2288</v>
      </c>
      <c r="E1372" s="20" t="s">
        <v>91</v>
      </c>
      <c r="F1372" s="27" t="s">
        <v>3865</v>
      </c>
      <c r="G1372" s="17" t="s">
        <v>123</v>
      </c>
      <c r="H1372" s="17" t="s">
        <v>3930</v>
      </c>
      <c r="I1372" s="17" t="s">
        <v>125</v>
      </c>
      <c r="J1372" s="22" t="s">
        <v>144</v>
      </c>
      <c r="K1372" s="23" t="s">
        <v>108</v>
      </c>
      <c r="L1372" s="24"/>
      <c r="M1372" s="2">
        <v>40.0</v>
      </c>
      <c r="N1372" s="25">
        <v>31.0</v>
      </c>
      <c r="O1372" s="25"/>
      <c r="P1372" s="25"/>
    </row>
    <row r="1373">
      <c r="A1373" s="16">
        <v>1371.0</v>
      </c>
      <c r="B1373" s="17" t="s">
        <v>1115</v>
      </c>
      <c r="C1373" s="18">
        <v>1.0</v>
      </c>
      <c r="D1373" s="19" t="s">
        <v>3495</v>
      </c>
      <c r="E1373" s="20" t="s">
        <v>91</v>
      </c>
      <c r="F1373" s="17" t="s">
        <v>783</v>
      </c>
      <c r="G1373" s="17" t="s">
        <v>3931</v>
      </c>
      <c r="H1373" s="17" t="s">
        <v>3932</v>
      </c>
      <c r="I1373" s="17" t="s">
        <v>98</v>
      </c>
      <c r="J1373" s="22" t="s">
        <v>100</v>
      </c>
      <c r="K1373" s="23" t="s">
        <v>108</v>
      </c>
      <c r="L1373" s="24" t="s">
        <v>91</v>
      </c>
      <c r="M1373" s="2">
        <v>41.0</v>
      </c>
      <c r="N1373" s="25">
        <v>10.0</v>
      </c>
      <c r="O1373" s="25"/>
      <c r="P1373" s="25"/>
    </row>
    <row r="1374">
      <c r="A1374" s="16">
        <v>1372.0</v>
      </c>
      <c r="B1374" s="17" t="s">
        <v>1115</v>
      </c>
      <c r="C1374" s="18">
        <v>2.0</v>
      </c>
      <c r="D1374" s="19" t="s">
        <v>2310</v>
      </c>
      <c r="E1374" s="20" t="s">
        <v>91</v>
      </c>
      <c r="F1374" s="17" t="s">
        <v>779</v>
      </c>
      <c r="G1374" s="17" t="s">
        <v>123</v>
      </c>
      <c r="H1374" s="17" t="s">
        <v>3934</v>
      </c>
      <c r="I1374" s="17" t="s">
        <v>125</v>
      </c>
      <c r="J1374" s="22" t="s">
        <v>100</v>
      </c>
      <c r="K1374" s="23" t="s">
        <v>108</v>
      </c>
      <c r="L1374" s="24" t="s">
        <v>91</v>
      </c>
      <c r="M1374" s="2">
        <v>41.0</v>
      </c>
      <c r="N1374" s="25">
        <v>11.0</v>
      </c>
      <c r="O1374" s="25"/>
      <c r="P1374" s="25"/>
    </row>
    <row r="1375">
      <c r="A1375" s="16">
        <v>1373.0</v>
      </c>
      <c r="B1375" s="17" t="s">
        <v>1115</v>
      </c>
      <c r="C1375" s="18">
        <v>3.0</v>
      </c>
      <c r="D1375" s="19" t="s">
        <v>3495</v>
      </c>
      <c r="E1375" s="20" t="s">
        <v>91</v>
      </c>
      <c r="F1375" s="17" t="s">
        <v>176</v>
      </c>
      <c r="G1375" s="17" t="s">
        <v>3935</v>
      </c>
      <c r="H1375" s="17" t="s">
        <v>3936</v>
      </c>
      <c r="I1375" s="17" t="s">
        <v>125</v>
      </c>
      <c r="J1375" s="22" t="s">
        <v>100</v>
      </c>
      <c r="K1375" s="23" t="s">
        <v>108</v>
      </c>
      <c r="L1375" s="24" t="s">
        <v>91</v>
      </c>
      <c r="M1375" s="2">
        <v>41.0</v>
      </c>
      <c r="N1375" s="25">
        <v>11.0</v>
      </c>
      <c r="O1375" s="25"/>
      <c r="P1375" s="25"/>
    </row>
    <row r="1376">
      <c r="A1376" s="16">
        <v>1374.0</v>
      </c>
      <c r="B1376" s="17" t="s">
        <v>1115</v>
      </c>
      <c r="C1376" s="18">
        <v>4.0</v>
      </c>
      <c r="D1376" s="19" t="s">
        <v>3495</v>
      </c>
      <c r="E1376" s="20" t="s">
        <v>91</v>
      </c>
      <c r="F1376" s="17" t="s">
        <v>344</v>
      </c>
      <c r="G1376" s="17" t="s">
        <v>3876</v>
      </c>
      <c r="H1376" s="17" t="s">
        <v>3938</v>
      </c>
      <c r="I1376" s="17" t="s">
        <v>98</v>
      </c>
      <c r="J1376" s="22" t="s">
        <v>135</v>
      </c>
      <c r="K1376" s="23" t="s">
        <v>108</v>
      </c>
      <c r="L1376" s="24" t="s">
        <v>91</v>
      </c>
      <c r="M1376" s="2">
        <v>41.0</v>
      </c>
      <c r="N1376" s="25">
        <v>20.0</v>
      </c>
      <c r="O1376" s="25"/>
      <c r="P1376" s="25"/>
    </row>
    <row r="1377">
      <c r="A1377" s="16">
        <v>1375.0</v>
      </c>
      <c r="B1377" s="17" t="s">
        <v>1115</v>
      </c>
      <c r="C1377" s="18">
        <v>5.0</v>
      </c>
      <c r="D1377" s="19" t="s">
        <v>2310</v>
      </c>
      <c r="E1377" s="20" t="s">
        <v>91</v>
      </c>
      <c r="F1377" s="17" t="s">
        <v>475</v>
      </c>
      <c r="G1377" s="17" t="s">
        <v>3215</v>
      </c>
      <c r="H1377" s="17" t="s">
        <v>3939</v>
      </c>
      <c r="I1377" s="17" t="s">
        <v>125</v>
      </c>
      <c r="J1377" s="22" t="s">
        <v>144</v>
      </c>
      <c r="K1377" s="23" t="s">
        <v>108</v>
      </c>
      <c r="L1377" s="24" t="s">
        <v>91</v>
      </c>
      <c r="M1377" s="2">
        <v>41.0</v>
      </c>
      <c r="N1377" s="25">
        <v>31.0</v>
      </c>
      <c r="O1377" s="25"/>
      <c r="P1377" s="25"/>
    </row>
    <row r="1378">
      <c r="A1378" s="16">
        <v>1376.0</v>
      </c>
      <c r="B1378" s="17" t="s">
        <v>1115</v>
      </c>
      <c r="C1378" s="18">
        <v>6.0</v>
      </c>
      <c r="D1378" s="19" t="s">
        <v>2310</v>
      </c>
      <c r="E1378" s="20" t="s">
        <v>91</v>
      </c>
      <c r="F1378" s="17" t="s">
        <v>173</v>
      </c>
      <c r="G1378" s="17" t="s">
        <v>123</v>
      </c>
      <c r="H1378" s="17" t="s">
        <v>3770</v>
      </c>
      <c r="I1378" s="17" t="s">
        <v>125</v>
      </c>
      <c r="J1378" s="22" t="s">
        <v>144</v>
      </c>
      <c r="K1378" s="23" t="s">
        <v>108</v>
      </c>
      <c r="L1378" s="24" t="s">
        <v>91</v>
      </c>
      <c r="M1378" s="2">
        <v>41.0</v>
      </c>
      <c r="N1378" s="25">
        <v>31.0</v>
      </c>
      <c r="O1378" s="25"/>
      <c r="P1378" s="25"/>
    </row>
    <row r="1379">
      <c r="A1379" s="16">
        <v>1377.0</v>
      </c>
      <c r="B1379" s="17" t="s">
        <v>1115</v>
      </c>
      <c r="C1379" s="18">
        <v>7.0</v>
      </c>
      <c r="D1379" s="19" t="s">
        <v>2310</v>
      </c>
      <c r="E1379" s="20" t="s">
        <v>91</v>
      </c>
      <c r="F1379" s="17" t="s">
        <v>95</v>
      </c>
      <c r="G1379" s="17" t="s">
        <v>123</v>
      </c>
      <c r="H1379" s="17" t="s">
        <v>3833</v>
      </c>
      <c r="I1379" s="17" t="s">
        <v>125</v>
      </c>
      <c r="J1379" s="22" t="s">
        <v>144</v>
      </c>
      <c r="K1379" s="23" t="s">
        <v>108</v>
      </c>
      <c r="L1379" s="24" t="s">
        <v>91</v>
      </c>
      <c r="M1379" s="2">
        <v>41.0</v>
      </c>
      <c r="N1379" s="25">
        <v>31.0</v>
      </c>
      <c r="O1379" s="25"/>
      <c r="P1379" s="25"/>
    </row>
    <row r="1380">
      <c r="A1380" s="16">
        <v>1378.0</v>
      </c>
      <c r="B1380" s="17" t="s">
        <v>1115</v>
      </c>
      <c r="C1380" s="18">
        <v>8.0</v>
      </c>
      <c r="D1380" s="19" t="s">
        <v>2310</v>
      </c>
      <c r="E1380" s="20" t="s">
        <v>91</v>
      </c>
      <c r="F1380" s="17" t="s">
        <v>66</v>
      </c>
      <c r="G1380" s="17" t="s">
        <v>3834</v>
      </c>
      <c r="H1380" s="17" t="s">
        <v>3835</v>
      </c>
      <c r="I1380" s="17" t="s">
        <v>125</v>
      </c>
      <c r="J1380" s="22" t="s">
        <v>144</v>
      </c>
      <c r="K1380" s="23" t="s">
        <v>108</v>
      </c>
      <c r="L1380" s="24" t="s">
        <v>91</v>
      </c>
      <c r="M1380" s="2">
        <v>41.0</v>
      </c>
      <c r="N1380" s="25">
        <v>31.0</v>
      </c>
      <c r="O1380" s="25"/>
      <c r="P1380" s="25"/>
    </row>
    <row r="1381">
      <c r="A1381" s="16">
        <v>1379.0</v>
      </c>
      <c r="B1381" s="17" t="s">
        <v>1115</v>
      </c>
      <c r="C1381" s="18">
        <v>9.0</v>
      </c>
      <c r="D1381" s="19" t="s">
        <v>2310</v>
      </c>
      <c r="E1381" s="20" t="s">
        <v>91</v>
      </c>
      <c r="F1381" s="17" t="s">
        <v>900</v>
      </c>
      <c r="G1381" s="17" t="s">
        <v>123</v>
      </c>
      <c r="H1381" s="17" t="s">
        <v>3941</v>
      </c>
      <c r="I1381" s="17" t="s">
        <v>125</v>
      </c>
      <c r="J1381" s="22" t="s">
        <v>144</v>
      </c>
      <c r="K1381" s="23" t="s">
        <v>108</v>
      </c>
      <c r="L1381" s="24" t="s">
        <v>91</v>
      </c>
      <c r="M1381" s="2">
        <v>41.0</v>
      </c>
      <c r="N1381" s="25">
        <v>31.0</v>
      </c>
      <c r="O1381" s="25"/>
      <c r="P1381" s="25"/>
    </row>
    <row r="1382">
      <c r="A1382" s="16">
        <v>1380.0</v>
      </c>
      <c r="B1382" s="17" t="s">
        <v>1115</v>
      </c>
      <c r="C1382" s="18">
        <v>10.0</v>
      </c>
      <c r="D1382" s="19" t="s">
        <v>2310</v>
      </c>
      <c r="E1382" s="20" t="s">
        <v>91</v>
      </c>
      <c r="F1382" s="17" t="s">
        <v>99</v>
      </c>
      <c r="G1382" s="17" t="s">
        <v>123</v>
      </c>
      <c r="H1382" s="17" t="s">
        <v>3748</v>
      </c>
      <c r="I1382" s="17" t="s">
        <v>125</v>
      </c>
      <c r="J1382" s="22" t="s">
        <v>144</v>
      </c>
      <c r="K1382" s="23" t="s">
        <v>108</v>
      </c>
      <c r="L1382" s="24" t="s">
        <v>91</v>
      </c>
      <c r="M1382" s="2">
        <v>41.0</v>
      </c>
      <c r="N1382" s="25">
        <v>31.0</v>
      </c>
      <c r="O1382" s="25"/>
      <c r="P1382" s="25"/>
    </row>
    <row r="1383">
      <c r="A1383" s="16">
        <v>1381.0</v>
      </c>
      <c r="B1383" s="17" t="s">
        <v>1115</v>
      </c>
      <c r="C1383" s="18">
        <v>11.0</v>
      </c>
      <c r="D1383" s="19" t="s">
        <v>2310</v>
      </c>
      <c r="E1383" s="20" t="s">
        <v>91</v>
      </c>
      <c r="F1383" s="17" t="s">
        <v>576</v>
      </c>
      <c r="G1383" s="17" t="s">
        <v>123</v>
      </c>
      <c r="H1383" s="17" t="s">
        <v>3944</v>
      </c>
      <c r="I1383" s="17" t="s">
        <v>125</v>
      </c>
      <c r="J1383" s="22" t="s">
        <v>144</v>
      </c>
      <c r="K1383" s="23" t="s">
        <v>108</v>
      </c>
      <c r="L1383" s="24" t="s">
        <v>91</v>
      </c>
      <c r="M1383" s="2">
        <v>41.0</v>
      </c>
      <c r="N1383" s="25">
        <v>31.0</v>
      </c>
      <c r="O1383" s="25"/>
      <c r="P1383" s="25"/>
    </row>
    <row r="1384">
      <c r="A1384" s="16">
        <v>1382.0</v>
      </c>
      <c r="B1384" s="17" t="s">
        <v>1115</v>
      </c>
      <c r="C1384" s="18">
        <v>12.0</v>
      </c>
      <c r="D1384" s="19" t="s">
        <v>2310</v>
      </c>
      <c r="E1384" s="20" t="s">
        <v>91</v>
      </c>
      <c r="F1384" s="17" t="s">
        <v>143</v>
      </c>
      <c r="G1384" s="17" t="s">
        <v>3768</v>
      </c>
      <c r="H1384" s="17" t="s">
        <v>3769</v>
      </c>
      <c r="I1384" s="17" t="s">
        <v>125</v>
      </c>
      <c r="J1384" s="22" t="s">
        <v>144</v>
      </c>
      <c r="K1384" s="23" t="s">
        <v>108</v>
      </c>
      <c r="L1384" s="24" t="s">
        <v>91</v>
      </c>
      <c r="M1384" s="2">
        <v>41.0</v>
      </c>
      <c r="N1384" s="25">
        <v>31.0</v>
      </c>
      <c r="O1384" s="25"/>
      <c r="P1384" s="25"/>
    </row>
    <row r="1385">
      <c r="A1385" s="16">
        <v>1383.0</v>
      </c>
      <c r="B1385" s="17" t="s">
        <v>1115</v>
      </c>
      <c r="C1385" s="18">
        <v>13.0</v>
      </c>
      <c r="D1385" s="19" t="s">
        <v>2310</v>
      </c>
      <c r="E1385" s="20" t="s">
        <v>91</v>
      </c>
      <c r="F1385" s="17" t="s">
        <v>179</v>
      </c>
      <c r="G1385" s="17" t="s">
        <v>3946</v>
      </c>
      <c r="H1385" s="17" t="s">
        <v>3947</v>
      </c>
      <c r="I1385" s="17" t="s">
        <v>125</v>
      </c>
      <c r="J1385" s="22" t="s">
        <v>144</v>
      </c>
      <c r="K1385" s="23" t="s">
        <v>108</v>
      </c>
      <c r="L1385" s="24" t="s">
        <v>91</v>
      </c>
      <c r="M1385" s="2">
        <v>41.0</v>
      </c>
      <c r="N1385" s="25">
        <v>31.0</v>
      </c>
      <c r="O1385" s="25"/>
      <c r="P1385" s="25"/>
    </row>
    <row r="1386">
      <c r="A1386" s="16">
        <v>1384.0</v>
      </c>
      <c r="B1386" s="17" t="s">
        <v>1115</v>
      </c>
      <c r="C1386" s="18">
        <v>14.0</v>
      </c>
      <c r="D1386" s="19" t="s">
        <v>2310</v>
      </c>
      <c r="E1386" s="20" t="s">
        <v>91</v>
      </c>
      <c r="F1386" s="17" t="s">
        <v>340</v>
      </c>
      <c r="G1386" s="17" t="s">
        <v>123</v>
      </c>
      <c r="H1386" s="17" t="s">
        <v>3772</v>
      </c>
      <c r="I1386" s="17" t="s">
        <v>125</v>
      </c>
      <c r="J1386" s="22" t="s">
        <v>144</v>
      </c>
      <c r="K1386" s="23" t="s">
        <v>108</v>
      </c>
      <c r="L1386" s="24" t="s">
        <v>91</v>
      </c>
      <c r="M1386" s="2">
        <v>41.0</v>
      </c>
      <c r="N1386" s="25">
        <v>31.0</v>
      </c>
      <c r="O1386" s="25"/>
      <c r="P1386" s="25"/>
    </row>
    <row r="1387">
      <c r="A1387" s="16">
        <v>1385.0</v>
      </c>
      <c r="B1387" s="17" t="s">
        <v>1115</v>
      </c>
      <c r="C1387" s="18">
        <v>15.0</v>
      </c>
      <c r="D1387" s="19" t="s">
        <v>2310</v>
      </c>
      <c r="E1387" s="20" t="s">
        <v>91</v>
      </c>
      <c r="F1387" s="17" t="s">
        <v>69</v>
      </c>
      <c r="G1387" s="17" t="s">
        <v>123</v>
      </c>
      <c r="H1387" s="17" t="s">
        <v>3773</v>
      </c>
      <c r="I1387" s="17" t="s">
        <v>125</v>
      </c>
      <c r="J1387" s="22" t="s">
        <v>144</v>
      </c>
      <c r="K1387" s="23" t="s">
        <v>108</v>
      </c>
      <c r="L1387" s="24" t="s">
        <v>91</v>
      </c>
      <c r="M1387" s="2">
        <v>41.0</v>
      </c>
      <c r="N1387" s="25">
        <v>31.0</v>
      </c>
      <c r="O1387" s="25"/>
      <c r="P1387" s="25"/>
    </row>
    <row r="1388">
      <c r="A1388" s="16">
        <v>1386.0</v>
      </c>
      <c r="B1388" s="17" t="s">
        <v>1115</v>
      </c>
      <c r="C1388" s="18">
        <v>16.0</v>
      </c>
      <c r="D1388" s="19" t="s">
        <v>2310</v>
      </c>
      <c r="E1388" s="20" t="s">
        <v>91</v>
      </c>
      <c r="F1388" s="17" t="s">
        <v>844</v>
      </c>
      <c r="G1388" s="17" t="s">
        <v>1741</v>
      </c>
      <c r="H1388" s="17" t="s">
        <v>1742</v>
      </c>
      <c r="I1388" s="17" t="s">
        <v>125</v>
      </c>
      <c r="J1388" s="22" t="s">
        <v>144</v>
      </c>
      <c r="K1388" s="23" t="s">
        <v>108</v>
      </c>
      <c r="L1388" s="24" t="s">
        <v>91</v>
      </c>
      <c r="M1388" s="2">
        <v>41.0</v>
      </c>
      <c r="N1388" s="25">
        <v>31.0</v>
      </c>
      <c r="O1388" s="25"/>
      <c r="P1388" s="25"/>
    </row>
    <row r="1389">
      <c r="A1389" s="16">
        <v>1387.0</v>
      </c>
      <c r="B1389" s="17" t="s">
        <v>1115</v>
      </c>
      <c r="C1389" s="18">
        <v>17.0</v>
      </c>
      <c r="D1389" s="19" t="s">
        <v>2310</v>
      </c>
      <c r="E1389" s="20" t="s">
        <v>91</v>
      </c>
      <c r="F1389" s="17" t="s">
        <v>655</v>
      </c>
      <c r="G1389" s="17" t="s">
        <v>1745</v>
      </c>
      <c r="H1389" s="17" t="s">
        <v>1746</v>
      </c>
      <c r="I1389" s="17" t="s">
        <v>125</v>
      </c>
      <c r="J1389" s="22" t="s">
        <v>144</v>
      </c>
      <c r="K1389" s="23" t="s">
        <v>108</v>
      </c>
      <c r="L1389" s="24" t="s">
        <v>91</v>
      </c>
      <c r="M1389" s="2">
        <v>41.0</v>
      </c>
      <c r="N1389" s="25">
        <v>31.0</v>
      </c>
      <c r="O1389" s="25"/>
      <c r="P1389" s="25"/>
    </row>
    <row r="1390">
      <c r="A1390" s="16">
        <v>1388.0</v>
      </c>
      <c r="B1390" s="17" t="s">
        <v>1115</v>
      </c>
      <c r="C1390" s="18">
        <v>18.0</v>
      </c>
      <c r="D1390" s="19" t="s">
        <v>2310</v>
      </c>
      <c r="E1390" s="20" t="s">
        <v>91</v>
      </c>
      <c r="F1390" s="17" t="s">
        <v>1129</v>
      </c>
      <c r="G1390" s="17" t="s">
        <v>123</v>
      </c>
      <c r="H1390" s="17" t="s">
        <v>3950</v>
      </c>
      <c r="I1390" s="17" t="s">
        <v>125</v>
      </c>
      <c r="J1390" s="22" t="s">
        <v>144</v>
      </c>
      <c r="K1390" s="23" t="s">
        <v>108</v>
      </c>
      <c r="L1390" s="24" t="s">
        <v>91</v>
      </c>
      <c r="M1390" s="2">
        <v>41.0</v>
      </c>
      <c r="N1390" s="25">
        <v>31.0</v>
      </c>
      <c r="O1390" s="25"/>
      <c r="P1390" s="25"/>
    </row>
    <row r="1391">
      <c r="A1391" s="16">
        <v>1389.0</v>
      </c>
      <c r="B1391" s="17" t="s">
        <v>1115</v>
      </c>
      <c r="C1391" s="18">
        <v>19.0</v>
      </c>
      <c r="D1391" s="19" t="s">
        <v>3495</v>
      </c>
      <c r="E1391" s="20" t="s">
        <v>91</v>
      </c>
      <c r="F1391" s="17" t="s">
        <v>1257</v>
      </c>
      <c r="G1391" s="17" t="s">
        <v>3951</v>
      </c>
      <c r="H1391" s="17" t="s">
        <v>3952</v>
      </c>
      <c r="I1391" s="17" t="s">
        <v>125</v>
      </c>
      <c r="J1391" s="22" t="s">
        <v>144</v>
      </c>
      <c r="K1391" s="23" t="s">
        <v>108</v>
      </c>
      <c r="L1391" s="24" t="s">
        <v>91</v>
      </c>
      <c r="M1391" s="2">
        <v>41.0</v>
      </c>
      <c r="N1391" s="25">
        <v>31.0</v>
      </c>
      <c r="O1391" s="25"/>
      <c r="P1391" s="25"/>
    </row>
    <row r="1392">
      <c r="A1392" s="16">
        <v>1390.0</v>
      </c>
      <c r="B1392" s="17" t="s">
        <v>1115</v>
      </c>
      <c r="C1392" s="18">
        <v>20.0</v>
      </c>
      <c r="D1392" s="19" t="s">
        <v>3495</v>
      </c>
      <c r="E1392" s="20" t="s">
        <v>91</v>
      </c>
      <c r="F1392" s="17" t="s">
        <v>897</v>
      </c>
      <c r="G1392" s="17" t="s">
        <v>3953</v>
      </c>
      <c r="H1392" s="17" t="s">
        <v>3954</v>
      </c>
      <c r="I1392" s="17" t="s">
        <v>125</v>
      </c>
      <c r="J1392" s="22" t="s">
        <v>144</v>
      </c>
      <c r="K1392" s="23" t="s">
        <v>108</v>
      </c>
      <c r="L1392" s="24" t="s">
        <v>91</v>
      </c>
      <c r="M1392" s="2">
        <v>41.0</v>
      </c>
      <c r="N1392" s="25">
        <v>31.0</v>
      </c>
      <c r="O1392" s="25"/>
      <c r="P1392" s="25"/>
    </row>
    <row r="1393">
      <c r="A1393" s="16">
        <v>1391.0</v>
      </c>
      <c r="B1393" s="17" t="s">
        <v>1115</v>
      </c>
      <c r="C1393" s="18">
        <v>21.0</v>
      </c>
      <c r="D1393" s="19" t="s">
        <v>3495</v>
      </c>
      <c r="E1393" s="20" t="s">
        <v>91</v>
      </c>
      <c r="F1393" s="17" t="s">
        <v>337</v>
      </c>
      <c r="G1393" s="17" t="s">
        <v>123</v>
      </c>
      <c r="H1393" s="17" t="s">
        <v>3845</v>
      </c>
      <c r="I1393" s="17" t="s">
        <v>125</v>
      </c>
      <c r="J1393" s="22" t="s">
        <v>144</v>
      </c>
      <c r="K1393" s="23" t="s">
        <v>108</v>
      </c>
      <c r="L1393" s="24" t="s">
        <v>91</v>
      </c>
      <c r="M1393" s="2">
        <v>41.0</v>
      </c>
      <c r="N1393" s="25">
        <v>31.0</v>
      </c>
      <c r="O1393" s="25"/>
      <c r="P1393" s="25"/>
    </row>
    <row r="1394">
      <c r="A1394" s="16">
        <v>1392.0</v>
      </c>
      <c r="B1394" s="17" t="s">
        <v>1115</v>
      </c>
      <c r="C1394" s="18">
        <v>22.0</v>
      </c>
      <c r="D1394" s="19" t="s">
        <v>3495</v>
      </c>
      <c r="E1394" s="20" t="s">
        <v>91</v>
      </c>
      <c r="F1394" s="17" t="s">
        <v>182</v>
      </c>
      <c r="G1394" s="17" t="s">
        <v>3902</v>
      </c>
      <c r="H1394" s="17" t="s">
        <v>3801</v>
      </c>
      <c r="I1394" s="17" t="s">
        <v>125</v>
      </c>
      <c r="J1394" s="22" t="s">
        <v>144</v>
      </c>
      <c r="K1394" s="23" t="s">
        <v>108</v>
      </c>
      <c r="L1394" s="24" t="s">
        <v>91</v>
      </c>
      <c r="M1394" s="2">
        <v>41.0</v>
      </c>
      <c r="N1394" s="25">
        <v>31.0</v>
      </c>
      <c r="O1394" s="25"/>
      <c r="P1394" s="25"/>
    </row>
    <row r="1395">
      <c r="A1395" s="16">
        <v>1393.0</v>
      </c>
      <c r="B1395" s="17" t="s">
        <v>1115</v>
      </c>
      <c r="C1395" s="18">
        <v>23.0</v>
      </c>
      <c r="D1395" s="19" t="s">
        <v>3495</v>
      </c>
      <c r="E1395" s="20" t="s">
        <v>91</v>
      </c>
      <c r="F1395" s="17" t="s">
        <v>347</v>
      </c>
      <c r="G1395" s="17" t="s">
        <v>3851</v>
      </c>
      <c r="H1395" s="17" t="s">
        <v>3958</v>
      </c>
      <c r="I1395" s="17" t="s">
        <v>125</v>
      </c>
      <c r="J1395" s="22" t="s">
        <v>144</v>
      </c>
      <c r="K1395" s="23" t="s">
        <v>108</v>
      </c>
      <c r="L1395" s="24" t="s">
        <v>91</v>
      </c>
      <c r="M1395" s="2">
        <v>41.0</v>
      </c>
      <c r="N1395" s="25">
        <v>31.0</v>
      </c>
      <c r="O1395" s="25"/>
      <c r="P1395" s="25"/>
    </row>
    <row r="1396">
      <c r="A1396" s="16">
        <v>1394.0</v>
      </c>
      <c r="B1396" s="17" t="s">
        <v>1115</v>
      </c>
      <c r="C1396" s="18">
        <v>24.0</v>
      </c>
      <c r="D1396" s="19" t="s">
        <v>3495</v>
      </c>
      <c r="E1396" s="20" t="s">
        <v>91</v>
      </c>
      <c r="F1396" s="17" t="s">
        <v>351</v>
      </c>
      <c r="G1396" s="17" t="s">
        <v>123</v>
      </c>
      <c r="H1396" s="17" t="s">
        <v>3909</v>
      </c>
      <c r="I1396" s="17" t="s">
        <v>125</v>
      </c>
      <c r="J1396" s="22" t="s">
        <v>144</v>
      </c>
      <c r="K1396" s="23" t="s">
        <v>108</v>
      </c>
      <c r="L1396" s="24" t="s">
        <v>91</v>
      </c>
      <c r="M1396" s="2">
        <v>41.0</v>
      </c>
      <c r="N1396" s="25">
        <v>31.0</v>
      </c>
      <c r="O1396" s="25"/>
      <c r="P1396" s="25"/>
    </row>
    <row r="1397">
      <c r="A1397" s="16">
        <v>1395.0</v>
      </c>
      <c r="B1397" s="17" t="s">
        <v>1115</v>
      </c>
      <c r="C1397" s="18">
        <v>25.0</v>
      </c>
      <c r="D1397" s="19" t="s">
        <v>3495</v>
      </c>
      <c r="E1397" s="20" t="s">
        <v>91</v>
      </c>
      <c r="F1397" s="17" t="s">
        <v>1130</v>
      </c>
      <c r="G1397" s="17" t="s">
        <v>3959</v>
      </c>
      <c r="H1397" s="17" t="s">
        <v>3960</v>
      </c>
      <c r="I1397" s="17" t="s">
        <v>125</v>
      </c>
      <c r="J1397" s="22" t="s">
        <v>144</v>
      </c>
      <c r="K1397" s="23" t="s">
        <v>108</v>
      </c>
      <c r="L1397" s="24" t="s">
        <v>91</v>
      </c>
      <c r="M1397" s="2">
        <v>41.0</v>
      </c>
      <c r="N1397" s="25">
        <v>31.0</v>
      </c>
      <c r="O1397" s="25"/>
      <c r="P1397" s="25"/>
    </row>
    <row r="1398">
      <c r="A1398" s="16">
        <v>1396.0</v>
      </c>
      <c r="B1398" s="17" t="s">
        <v>1115</v>
      </c>
      <c r="C1398" s="18">
        <v>26.0</v>
      </c>
      <c r="D1398" s="19" t="s">
        <v>3495</v>
      </c>
      <c r="E1398" s="20" t="s">
        <v>91</v>
      </c>
      <c r="F1398" s="17" t="s">
        <v>1009</v>
      </c>
      <c r="G1398" s="17" t="s">
        <v>123</v>
      </c>
      <c r="H1398" s="17" t="s">
        <v>3863</v>
      </c>
      <c r="I1398" s="17" t="s">
        <v>125</v>
      </c>
      <c r="J1398" s="22" t="s">
        <v>144</v>
      </c>
      <c r="K1398" s="23" t="s">
        <v>108</v>
      </c>
      <c r="L1398" s="24" t="s">
        <v>91</v>
      </c>
      <c r="M1398" s="2">
        <v>41.0</v>
      </c>
      <c r="N1398" s="25">
        <v>31.0</v>
      </c>
      <c r="O1398" s="25"/>
      <c r="P1398" s="25"/>
    </row>
    <row r="1399">
      <c r="A1399" s="16">
        <v>1397.0</v>
      </c>
      <c r="B1399" s="17" t="s">
        <v>1115</v>
      </c>
      <c r="C1399" s="18">
        <v>27.0</v>
      </c>
      <c r="D1399" s="19" t="s">
        <v>3495</v>
      </c>
      <c r="E1399" s="20" t="s">
        <v>91</v>
      </c>
      <c r="F1399" s="17" t="s">
        <v>899</v>
      </c>
      <c r="G1399" s="17" t="s">
        <v>123</v>
      </c>
      <c r="H1399" s="17" t="s">
        <v>3923</v>
      </c>
      <c r="I1399" s="17" t="s">
        <v>125</v>
      </c>
      <c r="J1399" s="22" t="s">
        <v>144</v>
      </c>
      <c r="K1399" s="23" t="s">
        <v>108</v>
      </c>
      <c r="L1399" s="24" t="s">
        <v>91</v>
      </c>
      <c r="M1399" s="2">
        <v>41.0</v>
      </c>
      <c r="N1399" s="25">
        <v>31.0</v>
      </c>
      <c r="O1399" s="25"/>
      <c r="P1399" s="25"/>
    </row>
    <row r="1400">
      <c r="A1400" s="16">
        <v>1398.0</v>
      </c>
      <c r="B1400" s="17" t="s">
        <v>340</v>
      </c>
      <c r="C1400" s="18">
        <v>1.0</v>
      </c>
      <c r="D1400" s="19" t="s">
        <v>3521</v>
      </c>
      <c r="E1400" s="20" t="s">
        <v>91</v>
      </c>
      <c r="F1400" s="17" t="s">
        <v>1011</v>
      </c>
      <c r="G1400" s="17" t="s">
        <v>3962</v>
      </c>
      <c r="H1400" s="17" t="s">
        <v>3964</v>
      </c>
      <c r="I1400" s="17" t="s">
        <v>98</v>
      </c>
      <c r="J1400" s="22" t="s">
        <v>100</v>
      </c>
      <c r="K1400" s="23" t="s">
        <v>108</v>
      </c>
      <c r="L1400" s="24" t="s">
        <v>91</v>
      </c>
      <c r="M1400" s="2">
        <v>42.0</v>
      </c>
      <c r="N1400" s="25">
        <v>10.0</v>
      </c>
      <c r="O1400" s="25"/>
      <c r="P1400" s="25"/>
    </row>
    <row r="1401">
      <c r="A1401" s="16">
        <v>1399.0</v>
      </c>
      <c r="B1401" s="17" t="s">
        <v>340</v>
      </c>
      <c r="C1401" s="18">
        <v>2.0</v>
      </c>
      <c r="D1401" s="19" t="s">
        <v>3521</v>
      </c>
      <c r="E1401" s="20" t="s">
        <v>91</v>
      </c>
      <c r="F1401" s="17" t="s">
        <v>337</v>
      </c>
      <c r="G1401" s="17" t="s">
        <v>3765</v>
      </c>
      <c r="H1401" s="17" t="s">
        <v>3766</v>
      </c>
      <c r="I1401" s="17" t="s">
        <v>125</v>
      </c>
      <c r="J1401" s="22" t="s">
        <v>100</v>
      </c>
      <c r="K1401" s="23" t="s">
        <v>108</v>
      </c>
      <c r="L1401" s="24" t="s">
        <v>91</v>
      </c>
      <c r="M1401" s="2">
        <v>42.0</v>
      </c>
      <c r="N1401" s="25">
        <v>11.0</v>
      </c>
      <c r="O1401" s="25"/>
      <c r="P1401" s="25"/>
    </row>
    <row r="1402">
      <c r="A1402" s="16">
        <v>1400.0</v>
      </c>
      <c r="B1402" s="17" t="s">
        <v>340</v>
      </c>
      <c r="C1402" s="18">
        <v>3.0</v>
      </c>
      <c r="D1402" s="19" t="s">
        <v>3521</v>
      </c>
      <c r="E1402" s="20" t="s">
        <v>91</v>
      </c>
      <c r="F1402" s="17" t="s">
        <v>757</v>
      </c>
      <c r="G1402" s="17" t="s">
        <v>3965</v>
      </c>
      <c r="H1402" s="17" t="s">
        <v>3966</v>
      </c>
      <c r="I1402" s="17" t="s">
        <v>125</v>
      </c>
      <c r="J1402" s="22" t="s">
        <v>100</v>
      </c>
      <c r="K1402" s="23" t="s">
        <v>108</v>
      </c>
      <c r="L1402" s="24" t="s">
        <v>91</v>
      </c>
      <c r="M1402" s="2">
        <v>42.0</v>
      </c>
      <c r="N1402" s="25">
        <v>11.0</v>
      </c>
      <c r="O1402" s="25"/>
      <c r="P1402" s="25"/>
    </row>
    <row r="1403">
      <c r="A1403" s="16">
        <v>1401.0</v>
      </c>
      <c r="B1403" s="17" t="s">
        <v>340</v>
      </c>
      <c r="C1403" s="18">
        <v>4.0</v>
      </c>
      <c r="D1403" s="19" t="s">
        <v>3521</v>
      </c>
      <c r="E1403" s="20" t="s">
        <v>91</v>
      </c>
      <c r="F1403" s="17" t="s">
        <v>881</v>
      </c>
      <c r="G1403" s="17" t="s">
        <v>123</v>
      </c>
      <c r="H1403" s="17" t="s">
        <v>3968</v>
      </c>
      <c r="I1403" s="17" t="s">
        <v>125</v>
      </c>
      <c r="J1403" s="22" t="s">
        <v>100</v>
      </c>
      <c r="K1403" s="23" t="s">
        <v>108</v>
      </c>
      <c r="L1403" s="24" t="s">
        <v>91</v>
      </c>
      <c r="M1403" s="2">
        <v>42.0</v>
      </c>
      <c r="N1403" s="25">
        <v>11.0</v>
      </c>
      <c r="O1403" s="25"/>
      <c r="P1403" s="25"/>
    </row>
    <row r="1404">
      <c r="A1404" s="16">
        <v>1402.0</v>
      </c>
      <c r="B1404" s="17" t="s">
        <v>340</v>
      </c>
      <c r="C1404" s="18">
        <v>5.0</v>
      </c>
      <c r="D1404" s="19" t="s">
        <v>3521</v>
      </c>
      <c r="E1404" s="20" t="s">
        <v>91</v>
      </c>
      <c r="F1404" s="17" t="s">
        <v>960</v>
      </c>
      <c r="G1404" s="17" t="s">
        <v>123</v>
      </c>
      <c r="H1404" s="17" t="s">
        <v>3798</v>
      </c>
      <c r="I1404" s="17" t="s">
        <v>125</v>
      </c>
      <c r="J1404" s="22" t="s">
        <v>135</v>
      </c>
      <c r="K1404" s="23" t="s">
        <v>108</v>
      </c>
      <c r="L1404" s="24" t="s">
        <v>91</v>
      </c>
      <c r="M1404" s="2">
        <v>42.0</v>
      </c>
      <c r="N1404" s="25">
        <v>21.0</v>
      </c>
      <c r="O1404" s="25"/>
      <c r="P1404" s="25"/>
    </row>
    <row r="1405">
      <c r="A1405" s="16">
        <v>1403.0</v>
      </c>
      <c r="B1405" s="17" t="s">
        <v>340</v>
      </c>
      <c r="C1405" s="18">
        <v>6.0</v>
      </c>
      <c r="D1405" s="19" t="s">
        <v>2331</v>
      </c>
      <c r="E1405" s="20" t="s">
        <v>91</v>
      </c>
      <c r="F1405" s="17" t="s">
        <v>173</v>
      </c>
      <c r="G1405" s="17" t="s">
        <v>123</v>
      </c>
      <c r="H1405" s="17" t="s">
        <v>3770</v>
      </c>
      <c r="I1405" s="17" t="s">
        <v>125</v>
      </c>
      <c r="J1405" s="22" t="s">
        <v>144</v>
      </c>
      <c r="K1405" s="23" t="s">
        <v>108</v>
      </c>
      <c r="L1405" s="24" t="s">
        <v>91</v>
      </c>
      <c r="M1405" s="2">
        <v>42.0</v>
      </c>
      <c r="N1405" s="25">
        <v>31.0</v>
      </c>
      <c r="O1405" s="25"/>
      <c r="P1405" s="25"/>
    </row>
    <row r="1406">
      <c r="A1406" s="16">
        <v>1404.0</v>
      </c>
      <c r="B1406" s="17" t="s">
        <v>340</v>
      </c>
      <c r="C1406" s="18">
        <v>7.0</v>
      </c>
      <c r="D1406" s="19" t="s">
        <v>2331</v>
      </c>
      <c r="E1406" s="20" t="s">
        <v>91</v>
      </c>
      <c r="F1406" s="17" t="s">
        <v>95</v>
      </c>
      <c r="G1406" s="17" t="s">
        <v>123</v>
      </c>
      <c r="H1406" s="17" t="s">
        <v>3833</v>
      </c>
      <c r="I1406" s="17" t="s">
        <v>125</v>
      </c>
      <c r="J1406" s="22" t="s">
        <v>144</v>
      </c>
      <c r="K1406" s="23" t="s">
        <v>108</v>
      </c>
      <c r="L1406" s="24" t="s">
        <v>91</v>
      </c>
      <c r="M1406" s="2">
        <v>42.0</v>
      </c>
      <c r="N1406" s="25">
        <v>31.0</v>
      </c>
      <c r="O1406" s="25"/>
      <c r="P1406" s="25"/>
    </row>
    <row r="1407">
      <c r="A1407" s="16">
        <v>1405.0</v>
      </c>
      <c r="B1407" s="17" t="s">
        <v>340</v>
      </c>
      <c r="C1407" s="18">
        <v>8.0</v>
      </c>
      <c r="D1407" s="19" t="s">
        <v>2331</v>
      </c>
      <c r="E1407" s="20" t="s">
        <v>91</v>
      </c>
      <c r="F1407" s="17" t="s">
        <v>179</v>
      </c>
      <c r="G1407" s="17" t="s">
        <v>3946</v>
      </c>
      <c r="H1407" s="17" t="s">
        <v>3947</v>
      </c>
      <c r="I1407" s="17" t="s">
        <v>125</v>
      </c>
      <c r="J1407" s="22" t="s">
        <v>144</v>
      </c>
      <c r="K1407" s="23" t="s">
        <v>108</v>
      </c>
      <c r="L1407" s="24" t="s">
        <v>91</v>
      </c>
      <c r="M1407" s="2">
        <v>42.0</v>
      </c>
      <c r="N1407" s="25">
        <v>31.0</v>
      </c>
      <c r="O1407" s="25"/>
      <c r="P1407" s="25"/>
    </row>
    <row r="1408">
      <c r="A1408" s="16">
        <v>1406.0</v>
      </c>
      <c r="B1408" s="17" t="s">
        <v>340</v>
      </c>
      <c r="C1408" s="18">
        <v>9.0</v>
      </c>
      <c r="D1408" s="19" t="s">
        <v>2331</v>
      </c>
      <c r="E1408" s="20" t="s">
        <v>91</v>
      </c>
      <c r="F1408" s="17" t="s">
        <v>900</v>
      </c>
      <c r="G1408" s="17" t="s">
        <v>123</v>
      </c>
      <c r="H1408" s="17" t="s">
        <v>3941</v>
      </c>
      <c r="I1408" s="17" t="s">
        <v>125</v>
      </c>
      <c r="J1408" s="22" t="s">
        <v>144</v>
      </c>
      <c r="K1408" s="23" t="s">
        <v>108</v>
      </c>
      <c r="L1408" s="24" t="s">
        <v>91</v>
      </c>
      <c r="M1408" s="2">
        <v>42.0</v>
      </c>
      <c r="N1408" s="25">
        <v>31.0</v>
      </c>
      <c r="O1408" s="25"/>
      <c r="P1408" s="25"/>
    </row>
    <row r="1409">
      <c r="A1409" s="16">
        <v>1407.0</v>
      </c>
      <c r="B1409" s="17" t="s">
        <v>340</v>
      </c>
      <c r="C1409" s="18">
        <v>10.0</v>
      </c>
      <c r="D1409" s="19" t="s">
        <v>2331</v>
      </c>
      <c r="E1409" s="20" t="s">
        <v>91</v>
      </c>
      <c r="F1409" s="17" t="s">
        <v>779</v>
      </c>
      <c r="G1409" s="17" t="s">
        <v>123</v>
      </c>
      <c r="H1409" s="17" t="s">
        <v>3934</v>
      </c>
      <c r="I1409" s="17" t="s">
        <v>125</v>
      </c>
      <c r="J1409" s="22" t="s">
        <v>144</v>
      </c>
      <c r="K1409" s="23" t="s">
        <v>108</v>
      </c>
      <c r="L1409" s="24" t="s">
        <v>91</v>
      </c>
      <c r="M1409" s="2">
        <v>42.0</v>
      </c>
      <c r="N1409" s="25">
        <v>31.0</v>
      </c>
      <c r="O1409" s="25"/>
      <c r="P1409" s="25"/>
    </row>
    <row r="1410">
      <c r="A1410" s="16">
        <v>1408.0</v>
      </c>
      <c r="B1410" s="17" t="s">
        <v>340</v>
      </c>
      <c r="C1410" s="18">
        <v>11.0</v>
      </c>
      <c r="D1410" s="19" t="s">
        <v>3521</v>
      </c>
      <c r="E1410" s="20" t="s">
        <v>91</v>
      </c>
      <c r="F1410" s="17" t="s">
        <v>897</v>
      </c>
      <c r="G1410" s="17" t="s">
        <v>123</v>
      </c>
      <c r="H1410" s="17" t="s">
        <v>3973</v>
      </c>
      <c r="I1410" s="17" t="s">
        <v>125</v>
      </c>
      <c r="J1410" s="22" t="s">
        <v>144</v>
      </c>
      <c r="K1410" s="23" t="s">
        <v>108</v>
      </c>
      <c r="L1410" s="24" t="s">
        <v>91</v>
      </c>
      <c r="M1410" s="2">
        <v>42.0</v>
      </c>
      <c r="N1410" s="25">
        <v>31.0</v>
      </c>
      <c r="O1410" s="25"/>
      <c r="P1410" s="25"/>
    </row>
    <row r="1411">
      <c r="A1411" s="16">
        <v>1409.0</v>
      </c>
      <c r="B1411" s="17" t="s">
        <v>340</v>
      </c>
      <c r="C1411" s="18">
        <v>12.0</v>
      </c>
      <c r="D1411" s="19" t="s">
        <v>3521</v>
      </c>
      <c r="E1411" s="20" t="s">
        <v>91</v>
      </c>
      <c r="F1411" s="17" t="s">
        <v>738</v>
      </c>
      <c r="G1411" s="17" t="s">
        <v>3974</v>
      </c>
      <c r="H1411" s="17" t="s">
        <v>3975</v>
      </c>
      <c r="I1411" s="17" t="s">
        <v>125</v>
      </c>
      <c r="J1411" s="22" t="s">
        <v>144</v>
      </c>
      <c r="K1411" s="23" t="s">
        <v>108</v>
      </c>
      <c r="L1411" s="24" t="s">
        <v>91</v>
      </c>
      <c r="M1411" s="2">
        <v>42.0</v>
      </c>
      <c r="N1411" s="25">
        <v>31.0</v>
      </c>
      <c r="O1411" s="25"/>
      <c r="P1411" s="25"/>
    </row>
    <row r="1412">
      <c r="A1412" s="16">
        <v>1410.0</v>
      </c>
      <c r="B1412" s="17" t="s">
        <v>340</v>
      </c>
      <c r="C1412" s="18">
        <v>13.0</v>
      </c>
      <c r="D1412" s="19" t="s">
        <v>3521</v>
      </c>
      <c r="E1412" s="20" t="s">
        <v>91</v>
      </c>
      <c r="F1412" s="17" t="s">
        <v>783</v>
      </c>
      <c r="G1412" s="17" t="s">
        <v>123</v>
      </c>
      <c r="H1412" s="17" t="s">
        <v>3977</v>
      </c>
      <c r="I1412" s="17" t="s">
        <v>125</v>
      </c>
      <c r="J1412" s="22" t="s">
        <v>144</v>
      </c>
      <c r="K1412" s="23" t="s">
        <v>108</v>
      </c>
      <c r="L1412" s="24" t="s">
        <v>91</v>
      </c>
      <c r="M1412" s="2">
        <v>42.0</v>
      </c>
      <c r="N1412" s="25">
        <v>31.0</v>
      </c>
      <c r="O1412" s="25"/>
      <c r="P1412" s="25"/>
    </row>
    <row r="1413">
      <c r="A1413" s="16">
        <v>1411.0</v>
      </c>
      <c r="B1413" s="17" t="s">
        <v>340</v>
      </c>
      <c r="C1413" s="18">
        <v>14.0</v>
      </c>
      <c r="D1413" s="19" t="s">
        <v>3521</v>
      </c>
      <c r="E1413" s="20" t="s">
        <v>91</v>
      </c>
      <c r="F1413" s="17" t="s">
        <v>182</v>
      </c>
      <c r="G1413" s="17" t="s">
        <v>123</v>
      </c>
      <c r="H1413" s="17" t="s">
        <v>3979</v>
      </c>
      <c r="I1413" s="17" t="s">
        <v>125</v>
      </c>
      <c r="J1413" s="22" t="s">
        <v>144</v>
      </c>
      <c r="K1413" s="23" t="s">
        <v>108</v>
      </c>
      <c r="L1413" s="24" t="s">
        <v>91</v>
      </c>
      <c r="M1413" s="2">
        <v>42.0</v>
      </c>
      <c r="N1413" s="25">
        <v>31.0</v>
      </c>
      <c r="O1413" s="25"/>
      <c r="P1413" s="25"/>
    </row>
    <row r="1414">
      <c r="A1414" s="16">
        <v>1412.0</v>
      </c>
      <c r="B1414" s="17" t="s">
        <v>340</v>
      </c>
      <c r="C1414" s="18">
        <v>15.0</v>
      </c>
      <c r="D1414" s="19" t="s">
        <v>3521</v>
      </c>
      <c r="E1414" s="20" t="s">
        <v>91</v>
      </c>
      <c r="F1414" s="17" t="s">
        <v>347</v>
      </c>
      <c r="G1414" s="17" t="s">
        <v>123</v>
      </c>
      <c r="H1414" s="17" t="s">
        <v>3980</v>
      </c>
      <c r="I1414" s="17" t="s">
        <v>125</v>
      </c>
      <c r="J1414" s="22" t="s">
        <v>144</v>
      </c>
      <c r="K1414" s="23" t="s">
        <v>108</v>
      </c>
      <c r="L1414" s="24" t="s">
        <v>91</v>
      </c>
      <c r="M1414" s="2">
        <v>42.0</v>
      </c>
      <c r="N1414" s="25">
        <v>31.0</v>
      </c>
      <c r="O1414" s="25"/>
      <c r="P1414" s="25"/>
    </row>
    <row r="1415">
      <c r="A1415" s="16">
        <v>1413.0</v>
      </c>
      <c r="B1415" s="17" t="s">
        <v>340</v>
      </c>
      <c r="C1415" s="18">
        <v>16.0</v>
      </c>
      <c r="D1415" s="19" t="s">
        <v>3521</v>
      </c>
      <c r="E1415" s="20" t="s">
        <v>91</v>
      </c>
      <c r="F1415" s="17" t="s">
        <v>993</v>
      </c>
      <c r="G1415" s="17" t="s">
        <v>3031</v>
      </c>
      <c r="H1415" s="17" t="s">
        <v>3032</v>
      </c>
      <c r="I1415" s="17" t="s">
        <v>125</v>
      </c>
      <c r="J1415" s="22" t="s">
        <v>144</v>
      </c>
      <c r="K1415" s="23" t="s">
        <v>108</v>
      </c>
      <c r="L1415" s="24" t="s">
        <v>91</v>
      </c>
      <c r="M1415" s="2">
        <v>42.0</v>
      </c>
      <c r="N1415" s="25">
        <v>31.0</v>
      </c>
      <c r="O1415" s="25"/>
      <c r="P1415" s="25"/>
    </row>
    <row r="1416">
      <c r="A1416" s="16">
        <v>1414.0</v>
      </c>
      <c r="B1416" s="17" t="s">
        <v>340</v>
      </c>
      <c r="C1416" s="18">
        <v>17.0</v>
      </c>
      <c r="D1416" s="19" t="s">
        <v>3521</v>
      </c>
      <c r="E1416" s="20" t="s">
        <v>91</v>
      </c>
      <c r="F1416" s="17" t="s">
        <v>351</v>
      </c>
      <c r="G1416" s="17" t="s">
        <v>123</v>
      </c>
      <c r="H1416" s="17" t="s">
        <v>3909</v>
      </c>
      <c r="I1416" s="17" t="s">
        <v>125</v>
      </c>
      <c r="J1416" s="22" t="s">
        <v>144</v>
      </c>
      <c r="K1416" s="23" t="s">
        <v>108</v>
      </c>
      <c r="L1416" s="24" t="s">
        <v>91</v>
      </c>
      <c r="M1416" s="2">
        <v>42.0</v>
      </c>
      <c r="N1416" s="25">
        <v>31.0</v>
      </c>
      <c r="O1416" s="25"/>
      <c r="P1416" s="25"/>
    </row>
    <row r="1417">
      <c r="A1417" s="16">
        <v>1415.0</v>
      </c>
      <c r="B1417" s="17" t="s">
        <v>340</v>
      </c>
      <c r="C1417" s="18">
        <v>18.0</v>
      </c>
      <c r="D1417" s="19" t="s">
        <v>3521</v>
      </c>
      <c r="E1417" s="20" t="s">
        <v>91</v>
      </c>
      <c r="F1417" s="17" t="s">
        <v>1071</v>
      </c>
      <c r="G1417" s="17" t="s">
        <v>3982</v>
      </c>
      <c r="H1417" s="17" t="s">
        <v>3983</v>
      </c>
      <c r="I1417" s="17" t="s">
        <v>125</v>
      </c>
      <c r="J1417" s="22" t="s">
        <v>144</v>
      </c>
      <c r="K1417" s="23" t="s">
        <v>108</v>
      </c>
      <c r="L1417" s="24" t="s">
        <v>91</v>
      </c>
      <c r="M1417" s="2">
        <v>42.0</v>
      </c>
      <c r="N1417" s="25">
        <v>31.0</v>
      </c>
      <c r="O1417" s="25"/>
      <c r="P1417" s="25"/>
    </row>
    <row r="1418">
      <c r="A1418" s="16">
        <v>1416.0</v>
      </c>
      <c r="B1418" s="17" t="s">
        <v>340</v>
      </c>
      <c r="C1418" s="18">
        <v>19.0</v>
      </c>
      <c r="D1418" s="19" t="s">
        <v>3521</v>
      </c>
      <c r="E1418" s="20" t="s">
        <v>91</v>
      </c>
      <c r="F1418" s="17" t="s">
        <v>171</v>
      </c>
      <c r="G1418" s="17" t="s">
        <v>3886</v>
      </c>
      <c r="H1418" s="17" t="s">
        <v>3984</v>
      </c>
      <c r="I1418" s="17" t="s">
        <v>125</v>
      </c>
      <c r="J1418" s="22" t="s">
        <v>144</v>
      </c>
      <c r="K1418" s="23" t="s">
        <v>108</v>
      </c>
      <c r="L1418" s="24" t="s">
        <v>91</v>
      </c>
      <c r="M1418" s="2">
        <v>42.0</v>
      </c>
      <c r="N1418" s="25">
        <v>31.0</v>
      </c>
      <c r="O1418" s="25"/>
      <c r="P1418" s="25"/>
    </row>
    <row r="1419">
      <c r="A1419" s="16">
        <v>1417.0</v>
      </c>
      <c r="B1419" s="17" t="s">
        <v>340</v>
      </c>
      <c r="C1419" s="18">
        <v>20.0</v>
      </c>
      <c r="D1419" s="19" t="s">
        <v>3521</v>
      </c>
      <c r="E1419" s="20" t="s">
        <v>91</v>
      </c>
      <c r="F1419" s="17" t="s">
        <v>1131</v>
      </c>
      <c r="G1419" s="17" t="s">
        <v>3987</v>
      </c>
      <c r="H1419" s="17" t="s">
        <v>3988</v>
      </c>
      <c r="I1419" s="17" t="s">
        <v>125</v>
      </c>
      <c r="J1419" s="22" t="s">
        <v>144</v>
      </c>
      <c r="K1419" s="23" t="s">
        <v>108</v>
      </c>
      <c r="L1419" s="24" t="s">
        <v>91</v>
      </c>
      <c r="M1419" s="2">
        <v>42.0</v>
      </c>
      <c r="N1419" s="25">
        <v>31.0</v>
      </c>
      <c r="O1419" s="25"/>
      <c r="P1419" s="25"/>
    </row>
    <row r="1420">
      <c r="A1420" s="16">
        <v>1418.0</v>
      </c>
      <c r="B1420" s="17" t="s">
        <v>340</v>
      </c>
      <c r="C1420" s="18">
        <v>21.0</v>
      </c>
      <c r="D1420" s="19" t="s">
        <v>3521</v>
      </c>
      <c r="E1420" s="20" t="s">
        <v>91</v>
      </c>
      <c r="F1420" s="17" t="s">
        <v>154</v>
      </c>
      <c r="G1420" s="17" t="s">
        <v>3860</v>
      </c>
      <c r="H1420" s="17" t="s">
        <v>3861</v>
      </c>
      <c r="I1420" s="17" t="s">
        <v>125</v>
      </c>
      <c r="J1420" s="22" t="s">
        <v>144</v>
      </c>
      <c r="K1420" s="23" t="s">
        <v>108</v>
      </c>
      <c r="L1420" s="24" t="s">
        <v>91</v>
      </c>
      <c r="M1420" s="2">
        <v>42.0</v>
      </c>
      <c r="N1420" s="25">
        <v>31.0</v>
      </c>
      <c r="O1420" s="25"/>
      <c r="P1420" s="25"/>
    </row>
    <row r="1421">
      <c r="A1421" s="16">
        <v>1419.0</v>
      </c>
      <c r="B1421" s="17" t="s">
        <v>143</v>
      </c>
      <c r="C1421" s="18">
        <v>1.0</v>
      </c>
      <c r="D1421" s="19" t="s">
        <v>3548</v>
      </c>
      <c r="E1421" s="20" t="s">
        <v>91</v>
      </c>
      <c r="F1421" s="17" t="s">
        <v>900</v>
      </c>
      <c r="G1421" s="17" t="s">
        <v>123</v>
      </c>
      <c r="H1421" s="17" t="s">
        <v>3990</v>
      </c>
      <c r="I1421" s="17" t="s">
        <v>98</v>
      </c>
      <c r="J1421" s="22" t="s">
        <v>100</v>
      </c>
      <c r="K1421" s="23" t="s">
        <v>108</v>
      </c>
      <c r="L1421" s="24" t="s">
        <v>91</v>
      </c>
      <c r="M1421" s="2">
        <v>43.0</v>
      </c>
      <c r="N1421" s="25">
        <v>10.0</v>
      </c>
      <c r="O1421" s="25"/>
      <c r="P1421" s="25"/>
    </row>
    <row r="1422">
      <c r="A1422" s="16">
        <v>1420.0</v>
      </c>
      <c r="B1422" s="17" t="s">
        <v>143</v>
      </c>
      <c r="C1422" s="18">
        <v>2.0</v>
      </c>
      <c r="D1422" s="19" t="s">
        <v>3554</v>
      </c>
      <c r="E1422" s="20" t="s">
        <v>91</v>
      </c>
      <c r="F1422" s="17" t="s">
        <v>896</v>
      </c>
      <c r="G1422" s="17" t="s">
        <v>3788</v>
      </c>
      <c r="H1422" s="17" t="s">
        <v>3789</v>
      </c>
      <c r="I1422" s="17" t="s">
        <v>125</v>
      </c>
      <c r="J1422" s="22" t="s">
        <v>135</v>
      </c>
      <c r="K1422" s="23" t="s">
        <v>108</v>
      </c>
      <c r="L1422" s="24" t="s">
        <v>91</v>
      </c>
      <c r="M1422" s="2">
        <v>43.0</v>
      </c>
      <c r="N1422" s="25">
        <v>21.0</v>
      </c>
      <c r="O1422" s="25"/>
      <c r="P1422" s="25"/>
    </row>
    <row r="1423">
      <c r="A1423" s="16">
        <v>1421.0</v>
      </c>
      <c r="B1423" s="17" t="s">
        <v>143</v>
      </c>
      <c r="C1423" s="18">
        <v>3.0</v>
      </c>
      <c r="D1423" s="19" t="s">
        <v>3554</v>
      </c>
      <c r="E1423" s="20" t="s">
        <v>91</v>
      </c>
      <c r="F1423" s="17" t="s">
        <v>960</v>
      </c>
      <c r="G1423" s="17" t="s">
        <v>123</v>
      </c>
      <c r="H1423" s="17" t="s">
        <v>3798</v>
      </c>
      <c r="I1423" s="17" t="s">
        <v>125</v>
      </c>
      <c r="J1423" s="22" t="s">
        <v>135</v>
      </c>
      <c r="K1423" s="23" t="s">
        <v>108</v>
      </c>
      <c r="L1423" s="24" t="s">
        <v>91</v>
      </c>
      <c r="M1423" s="2">
        <v>43.0</v>
      </c>
      <c r="N1423" s="25">
        <v>21.0</v>
      </c>
      <c r="O1423" s="25"/>
      <c r="P1423" s="25"/>
    </row>
    <row r="1424">
      <c r="A1424" s="16">
        <v>1422.0</v>
      </c>
      <c r="B1424" s="17" t="s">
        <v>143</v>
      </c>
      <c r="C1424" s="18">
        <v>4.0</v>
      </c>
      <c r="D1424" s="19" t="s">
        <v>3554</v>
      </c>
      <c r="E1424" s="20" t="s">
        <v>91</v>
      </c>
      <c r="F1424" s="17" t="s">
        <v>171</v>
      </c>
      <c r="G1424" s="17" t="s">
        <v>3886</v>
      </c>
      <c r="H1424" s="17" t="s">
        <v>3984</v>
      </c>
      <c r="I1424" s="17" t="s">
        <v>125</v>
      </c>
      <c r="J1424" s="22" t="s">
        <v>135</v>
      </c>
      <c r="K1424" s="23" t="s">
        <v>108</v>
      </c>
      <c r="L1424" s="24" t="s">
        <v>91</v>
      </c>
      <c r="M1424" s="2">
        <v>43.0</v>
      </c>
      <c r="N1424" s="25">
        <v>21.0</v>
      </c>
      <c r="O1424" s="25"/>
      <c r="P1424" s="25"/>
    </row>
    <row r="1425">
      <c r="A1425" s="16">
        <v>1423.0</v>
      </c>
      <c r="B1425" s="17" t="s">
        <v>143</v>
      </c>
      <c r="C1425" s="18">
        <v>5.0</v>
      </c>
      <c r="D1425" s="19" t="s">
        <v>2355</v>
      </c>
      <c r="E1425" s="20" t="s">
        <v>91</v>
      </c>
      <c r="F1425" s="17" t="s">
        <v>1380</v>
      </c>
      <c r="G1425" s="17" t="s">
        <v>123</v>
      </c>
      <c r="H1425" s="17" t="s">
        <v>3993</v>
      </c>
      <c r="I1425" s="17" t="s">
        <v>125</v>
      </c>
      <c r="J1425" s="22" t="s">
        <v>144</v>
      </c>
      <c r="K1425" s="23" t="s">
        <v>108</v>
      </c>
      <c r="L1425" s="24" t="s">
        <v>91</v>
      </c>
      <c r="M1425" s="2">
        <v>43.0</v>
      </c>
      <c r="N1425" s="25">
        <v>31.0</v>
      </c>
      <c r="O1425" s="25"/>
      <c r="P1425" s="25"/>
    </row>
    <row r="1426">
      <c r="A1426" s="16">
        <v>1424.0</v>
      </c>
      <c r="B1426" s="17" t="s">
        <v>143</v>
      </c>
      <c r="C1426" s="18">
        <v>6.0</v>
      </c>
      <c r="D1426" s="19" t="s">
        <v>3554</v>
      </c>
      <c r="E1426" s="20" t="s">
        <v>91</v>
      </c>
      <c r="F1426" s="17" t="s">
        <v>897</v>
      </c>
      <c r="G1426" s="17" t="s">
        <v>3780</v>
      </c>
      <c r="H1426" s="17" t="s">
        <v>3801</v>
      </c>
      <c r="I1426" s="17" t="s">
        <v>125</v>
      </c>
      <c r="J1426" s="22" t="s">
        <v>144</v>
      </c>
      <c r="K1426" s="23" t="s">
        <v>108</v>
      </c>
      <c r="L1426" s="24" t="s">
        <v>91</v>
      </c>
      <c r="M1426" s="2">
        <v>43.0</v>
      </c>
      <c r="N1426" s="25">
        <v>31.0</v>
      </c>
      <c r="O1426" s="25"/>
      <c r="P1426" s="25"/>
    </row>
    <row r="1427">
      <c r="A1427" s="16">
        <v>1425.0</v>
      </c>
      <c r="B1427" s="17" t="s">
        <v>143</v>
      </c>
      <c r="C1427" s="18">
        <v>7.0</v>
      </c>
      <c r="D1427" s="19" t="s">
        <v>3554</v>
      </c>
      <c r="E1427" s="20" t="s">
        <v>91</v>
      </c>
      <c r="F1427" s="17" t="s">
        <v>344</v>
      </c>
      <c r="G1427" s="17" t="s">
        <v>3780</v>
      </c>
      <c r="H1427" s="17" t="s">
        <v>3801</v>
      </c>
      <c r="I1427" s="17" t="s">
        <v>125</v>
      </c>
      <c r="J1427" s="22" t="s">
        <v>144</v>
      </c>
      <c r="K1427" s="23" t="s">
        <v>108</v>
      </c>
      <c r="L1427" s="24" t="s">
        <v>91</v>
      </c>
      <c r="M1427" s="2">
        <v>43.0</v>
      </c>
      <c r="N1427" s="25">
        <v>31.0</v>
      </c>
      <c r="O1427" s="25"/>
      <c r="P1427" s="25"/>
    </row>
    <row r="1428">
      <c r="A1428" s="16">
        <v>1426.0</v>
      </c>
      <c r="B1428" s="17" t="s">
        <v>143</v>
      </c>
      <c r="C1428" s="18">
        <v>8.0</v>
      </c>
      <c r="D1428" s="19" t="s">
        <v>3554</v>
      </c>
      <c r="E1428" s="20" t="s">
        <v>91</v>
      </c>
      <c r="F1428" s="17" t="s">
        <v>738</v>
      </c>
      <c r="G1428" s="17" t="s">
        <v>3790</v>
      </c>
      <c r="H1428" s="17" t="s">
        <v>3791</v>
      </c>
      <c r="I1428" s="17" t="s">
        <v>125</v>
      </c>
      <c r="J1428" s="22" t="s">
        <v>144</v>
      </c>
      <c r="K1428" s="23" t="s">
        <v>108</v>
      </c>
      <c r="L1428" s="24" t="s">
        <v>91</v>
      </c>
      <c r="M1428" s="2">
        <v>43.0</v>
      </c>
      <c r="N1428" s="25">
        <v>31.0</v>
      </c>
      <c r="O1428" s="25"/>
      <c r="P1428" s="25"/>
    </row>
    <row r="1429">
      <c r="A1429" s="16">
        <v>1427.0</v>
      </c>
      <c r="B1429" s="17" t="s">
        <v>143</v>
      </c>
      <c r="C1429" s="18">
        <v>9.0</v>
      </c>
      <c r="D1429" s="19" t="s">
        <v>3554</v>
      </c>
      <c r="E1429" s="20" t="s">
        <v>91</v>
      </c>
      <c r="F1429" s="17" t="s">
        <v>783</v>
      </c>
      <c r="G1429" s="17" t="s">
        <v>3931</v>
      </c>
      <c r="H1429" s="17" t="s">
        <v>3995</v>
      </c>
      <c r="I1429" s="17" t="s">
        <v>125</v>
      </c>
      <c r="J1429" s="22" t="s">
        <v>144</v>
      </c>
      <c r="K1429" s="23" t="s">
        <v>108</v>
      </c>
      <c r="L1429" s="24" t="s">
        <v>91</v>
      </c>
      <c r="M1429" s="2">
        <v>43.0</v>
      </c>
      <c r="N1429" s="25">
        <v>31.0</v>
      </c>
      <c r="O1429" s="25"/>
      <c r="P1429" s="25"/>
    </row>
    <row r="1430">
      <c r="A1430" s="16">
        <v>1428.0</v>
      </c>
      <c r="B1430" s="17" t="s">
        <v>143</v>
      </c>
      <c r="C1430" s="18">
        <v>10.0</v>
      </c>
      <c r="D1430" s="19" t="s">
        <v>3554</v>
      </c>
      <c r="E1430" s="20" t="s">
        <v>91</v>
      </c>
      <c r="F1430" s="17" t="s">
        <v>182</v>
      </c>
      <c r="G1430" s="17" t="s">
        <v>3902</v>
      </c>
      <c r="H1430" s="17" t="s">
        <v>3801</v>
      </c>
      <c r="I1430" s="17" t="s">
        <v>125</v>
      </c>
      <c r="J1430" s="22" t="s">
        <v>144</v>
      </c>
      <c r="K1430" s="23" t="s">
        <v>108</v>
      </c>
      <c r="L1430" s="24" t="s">
        <v>91</v>
      </c>
      <c r="M1430" s="2">
        <v>43.0</v>
      </c>
      <c r="N1430" s="25">
        <v>31.0</v>
      </c>
      <c r="O1430" s="25"/>
      <c r="P1430" s="25"/>
    </row>
    <row r="1431">
      <c r="A1431" s="16">
        <v>1429.0</v>
      </c>
      <c r="B1431" s="17" t="s">
        <v>143</v>
      </c>
      <c r="C1431" s="18">
        <v>11.0</v>
      </c>
      <c r="D1431" s="19" t="s">
        <v>3554</v>
      </c>
      <c r="E1431" s="20" t="s">
        <v>91</v>
      </c>
      <c r="F1431" s="17" t="s">
        <v>347</v>
      </c>
      <c r="G1431" s="17" t="s">
        <v>3999</v>
      </c>
      <c r="H1431" s="17" t="s">
        <v>3801</v>
      </c>
      <c r="I1431" s="17" t="s">
        <v>125</v>
      </c>
      <c r="J1431" s="22" t="s">
        <v>144</v>
      </c>
      <c r="K1431" s="23" t="s">
        <v>108</v>
      </c>
      <c r="L1431" s="24" t="s">
        <v>91</v>
      </c>
      <c r="M1431" s="2">
        <v>43.0</v>
      </c>
      <c r="N1431" s="25">
        <v>31.0</v>
      </c>
      <c r="O1431" s="25"/>
      <c r="P1431" s="25"/>
    </row>
    <row r="1432">
      <c r="A1432" s="16">
        <v>1430.0</v>
      </c>
      <c r="B1432" s="17" t="s">
        <v>143</v>
      </c>
      <c r="C1432" s="18">
        <v>12.0</v>
      </c>
      <c r="D1432" s="19" t="s">
        <v>3554</v>
      </c>
      <c r="E1432" s="20" t="s">
        <v>91</v>
      </c>
      <c r="F1432" s="17" t="s">
        <v>993</v>
      </c>
      <c r="G1432" s="17" t="s">
        <v>4000</v>
      </c>
      <c r="H1432" s="17" t="s">
        <v>3984</v>
      </c>
      <c r="I1432" s="17" t="s">
        <v>125</v>
      </c>
      <c r="J1432" s="22" t="s">
        <v>144</v>
      </c>
      <c r="K1432" s="23" t="s">
        <v>108</v>
      </c>
      <c r="L1432" s="24" t="s">
        <v>91</v>
      </c>
      <c r="M1432" s="2">
        <v>43.0</v>
      </c>
      <c r="N1432" s="25">
        <v>31.0</v>
      </c>
      <c r="O1432" s="25"/>
      <c r="P1432" s="25"/>
    </row>
    <row r="1433">
      <c r="A1433" s="16">
        <v>1431.0</v>
      </c>
      <c r="B1433" s="17" t="s">
        <v>143</v>
      </c>
      <c r="C1433" s="18">
        <v>13.0</v>
      </c>
      <c r="D1433" s="19" t="s">
        <v>3554</v>
      </c>
      <c r="E1433" s="20" t="s">
        <v>91</v>
      </c>
      <c r="F1433" s="17" t="s">
        <v>351</v>
      </c>
      <c r="G1433" s="17" t="s">
        <v>3780</v>
      </c>
      <c r="H1433" s="17" t="s">
        <v>3801</v>
      </c>
      <c r="I1433" s="17" t="s">
        <v>125</v>
      </c>
      <c r="J1433" s="22" t="s">
        <v>144</v>
      </c>
      <c r="K1433" s="23" t="s">
        <v>108</v>
      </c>
      <c r="L1433" s="24" t="s">
        <v>91</v>
      </c>
      <c r="M1433" s="2">
        <v>43.0</v>
      </c>
      <c r="N1433" s="25">
        <v>31.0</v>
      </c>
      <c r="O1433" s="25"/>
      <c r="P1433" s="25"/>
    </row>
    <row r="1434">
      <c r="A1434" s="16">
        <v>1432.0</v>
      </c>
      <c r="B1434" s="17" t="s">
        <v>143</v>
      </c>
      <c r="C1434" s="18">
        <v>14.0</v>
      </c>
      <c r="D1434" s="19" t="s">
        <v>3554</v>
      </c>
      <c r="E1434" s="20" t="s">
        <v>91</v>
      </c>
      <c r="F1434" s="17" t="s">
        <v>149</v>
      </c>
      <c r="G1434" s="17" t="s">
        <v>123</v>
      </c>
      <c r="H1434" s="17" t="s">
        <v>1788</v>
      </c>
      <c r="I1434" s="17" t="s">
        <v>125</v>
      </c>
      <c r="J1434" s="22" t="s">
        <v>144</v>
      </c>
      <c r="K1434" s="23" t="s">
        <v>108</v>
      </c>
      <c r="L1434" s="24" t="s">
        <v>91</v>
      </c>
      <c r="M1434" s="2">
        <v>43.0</v>
      </c>
      <c r="N1434" s="25">
        <v>31.0</v>
      </c>
      <c r="O1434" s="25"/>
      <c r="P1434" s="25"/>
    </row>
    <row r="1435">
      <c r="A1435" s="16">
        <v>1433.0</v>
      </c>
      <c r="B1435" s="17" t="s">
        <v>143</v>
      </c>
      <c r="C1435" s="18">
        <v>15.0</v>
      </c>
      <c r="D1435" s="19" t="s">
        <v>3554</v>
      </c>
      <c r="E1435" s="20" t="s">
        <v>91</v>
      </c>
      <c r="F1435" s="17" t="s">
        <v>787</v>
      </c>
      <c r="G1435" s="17" t="s">
        <v>4003</v>
      </c>
      <c r="H1435" s="17" t="s">
        <v>4004</v>
      </c>
      <c r="I1435" s="17" t="s">
        <v>125</v>
      </c>
      <c r="J1435" s="22" t="s">
        <v>144</v>
      </c>
      <c r="K1435" s="23" t="s">
        <v>108</v>
      </c>
      <c r="L1435" s="24" t="s">
        <v>91</v>
      </c>
      <c r="M1435" s="2">
        <v>43.0</v>
      </c>
      <c r="N1435" s="25">
        <v>31.0</v>
      </c>
      <c r="O1435" s="25"/>
      <c r="P1435" s="25"/>
    </row>
    <row r="1436">
      <c r="A1436" s="16">
        <v>1434.0</v>
      </c>
      <c r="B1436" s="17" t="s">
        <v>143</v>
      </c>
      <c r="C1436" s="18">
        <v>16.0</v>
      </c>
      <c r="D1436" s="19" t="s">
        <v>3554</v>
      </c>
      <c r="E1436" s="20" t="s">
        <v>91</v>
      </c>
      <c r="F1436" s="17" t="s">
        <v>991</v>
      </c>
      <c r="G1436" s="17" t="s">
        <v>4005</v>
      </c>
      <c r="H1436" s="17" t="s">
        <v>1473</v>
      </c>
      <c r="I1436" s="17" t="s">
        <v>125</v>
      </c>
      <c r="J1436" s="22" t="s">
        <v>144</v>
      </c>
      <c r="K1436" s="23" t="s">
        <v>108</v>
      </c>
      <c r="L1436" s="24" t="s">
        <v>91</v>
      </c>
      <c r="M1436" s="2">
        <v>43.0</v>
      </c>
      <c r="N1436" s="25">
        <v>31.0</v>
      </c>
      <c r="O1436" s="25"/>
      <c r="P1436" s="25"/>
    </row>
    <row r="1437">
      <c r="A1437" s="16">
        <v>1435.0</v>
      </c>
      <c r="B1437" s="17" t="s">
        <v>143</v>
      </c>
      <c r="C1437" s="18">
        <v>17.0</v>
      </c>
      <c r="D1437" s="19" t="s">
        <v>3554</v>
      </c>
      <c r="E1437" s="20" t="s">
        <v>91</v>
      </c>
      <c r="F1437" s="17" t="s">
        <v>1132</v>
      </c>
      <c r="G1437" s="17" t="s">
        <v>4007</v>
      </c>
      <c r="H1437" s="17" t="s">
        <v>1473</v>
      </c>
      <c r="I1437" s="17" t="s">
        <v>125</v>
      </c>
      <c r="J1437" s="22" t="s">
        <v>144</v>
      </c>
      <c r="K1437" s="23" t="s">
        <v>108</v>
      </c>
      <c r="L1437" s="24" t="s">
        <v>91</v>
      </c>
      <c r="M1437" s="2">
        <v>43.0</v>
      </c>
      <c r="N1437" s="25">
        <v>31.0</v>
      </c>
      <c r="O1437" s="25"/>
      <c r="P1437" s="25"/>
    </row>
    <row r="1438">
      <c r="A1438" s="16">
        <v>1436.0</v>
      </c>
      <c r="B1438" s="17" t="s">
        <v>143</v>
      </c>
      <c r="C1438" s="18">
        <v>18.0</v>
      </c>
      <c r="D1438" s="19" t="s">
        <v>3554</v>
      </c>
      <c r="E1438" s="20" t="s">
        <v>91</v>
      </c>
      <c r="F1438" s="17" t="s">
        <v>1114</v>
      </c>
      <c r="G1438" s="17" t="s">
        <v>3780</v>
      </c>
      <c r="H1438" s="17" t="s">
        <v>3801</v>
      </c>
      <c r="I1438" s="17" t="s">
        <v>125</v>
      </c>
      <c r="J1438" s="22" t="s">
        <v>144</v>
      </c>
      <c r="K1438" s="23" t="s">
        <v>108</v>
      </c>
      <c r="L1438" s="24" t="s">
        <v>91</v>
      </c>
      <c r="M1438" s="2">
        <v>43.0</v>
      </c>
      <c r="N1438" s="25">
        <v>31.0</v>
      </c>
      <c r="O1438" s="25"/>
      <c r="P1438" s="25"/>
    </row>
    <row r="1439">
      <c r="A1439" s="16">
        <v>1437.0</v>
      </c>
      <c r="B1439" s="17" t="s">
        <v>143</v>
      </c>
      <c r="C1439" s="18">
        <v>19.0</v>
      </c>
      <c r="D1439" s="19" t="s">
        <v>3554</v>
      </c>
      <c r="E1439" s="20" t="s">
        <v>91</v>
      </c>
      <c r="F1439" s="17" t="s">
        <v>1128</v>
      </c>
      <c r="G1439" s="17" t="s">
        <v>3780</v>
      </c>
      <c r="H1439" s="17" t="s">
        <v>3801</v>
      </c>
      <c r="I1439" s="17" t="s">
        <v>125</v>
      </c>
      <c r="J1439" s="22" t="s">
        <v>144</v>
      </c>
      <c r="K1439" s="23" t="s">
        <v>108</v>
      </c>
      <c r="L1439" s="24" t="s">
        <v>91</v>
      </c>
      <c r="M1439" s="2">
        <v>43.0</v>
      </c>
      <c r="N1439" s="25">
        <v>31.0</v>
      </c>
      <c r="O1439" s="25"/>
      <c r="P1439" s="25"/>
    </row>
    <row r="1440">
      <c r="A1440" s="16">
        <v>1438.0</v>
      </c>
      <c r="B1440" s="17" t="s">
        <v>779</v>
      </c>
      <c r="C1440" s="18">
        <v>1.0</v>
      </c>
      <c r="D1440" s="19" t="s">
        <v>2381</v>
      </c>
      <c r="E1440" s="20" t="s">
        <v>91</v>
      </c>
      <c r="F1440" s="17" t="s">
        <v>176</v>
      </c>
      <c r="G1440" s="17" t="s">
        <v>123</v>
      </c>
      <c r="H1440" s="17" t="s">
        <v>3771</v>
      </c>
      <c r="I1440" s="17" t="s">
        <v>125</v>
      </c>
      <c r="J1440" s="22" t="s">
        <v>100</v>
      </c>
      <c r="K1440" s="23" t="s">
        <v>108</v>
      </c>
      <c r="L1440" s="24" t="s">
        <v>91</v>
      </c>
      <c r="M1440" s="2">
        <v>44.0</v>
      </c>
      <c r="N1440" s="25">
        <v>11.0</v>
      </c>
      <c r="O1440" s="25"/>
      <c r="P1440" s="25"/>
    </row>
    <row r="1441">
      <c r="A1441" s="16">
        <v>1439.0</v>
      </c>
      <c r="B1441" s="17" t="s">
        <v>779</v>
      </c>
      <c r="C1441" s="18">
        <v>2.0</v>
      </c>
      <c r="D1441" s="19" t="s">
        <v>3566</v>
      </c>
      <c r="E1441" s="20" t="s">
        <v>91</v>
      </c>
      <c r="F1441" s="17" t="s">
        <v>783</v>
      </c>
      <c r="G1441" s="17" t="s">
        <v>3857</v>
      </c>
      <c r="H1441" s="17" t="s">
        <v>4010</v>
      </c>
      <c r="I1441" s="17" t="s">
        <v>125</v>
      </c>
      <c r="J1441" s="22" t="s">
        <v>100</v>
      </c>
      <c r="K1441" s="23" t="s">
        <v>108</v>
      </c>
      <c r="L1441" s="24" t="s">
        <v>91</v>
      </c>
      <c r="M1441" s="2">
        <v>44.0</v>
      </c>
      <c r="N1441" s="25">
        <v>11.0</v>
      </c>
      <c r="O1441" s="25"/>
      <c r="P1441" s="25"/>
    </row>
    <row r="1442">
      <c r="A1442" s="16">
        <v>1440.0</v>
      </c>
      <c r="B1442" s="17" t="s">
        <v>779</v>
      </c>
      <c r="C1442" s="18">
        <v>3.0</v>
      </c>
      <c r="D1442" s="19" t="s">
        <v>3566</v>
      </c>
      <c r="E1442" s="20" t="s">
        <v>91</v>
      </c>
      <c r="F1442" s="17" t="s">
        <v>1115</v>
      </c>
      <c r="G1442" s="17" t="s">
        <v>4012</v>
      </c>
      <c r="H1442" s="17" t="s">
        <v>4014</v>
      </c>
      <c r="I1442" s="17" t="s">
        <v>125</v>
      </c>
      <c r="J1442" s="22" t="s">
        <v>100</v>
      </c>
      <c r="K1442" s="23" t="s">
        <v>108</v>
      </c>
      <c r="L1442" s="24" t="s">
        <v>91</v>
      </c>
      <c r="M1442" s="2">
        <v>44.0</v>
      </c>
      <c r="N1442" s="25">
        <v>11.0</v>
      </c>
      <c r="O1442" s="25"/>
      <c r="P1442" s="25"/>
    </row>
    <row r="1443">
      <c r="A1443" s="16">
        <v>1441.0</v>
      </c>
      <c r="B1443" s="17" t="s">
        <v>779</v>
      </c>
      <c r="C1443" s="18">
        <v>4.0</v>
      </c>
      <c r="D1443" s="19" t="s">
        <v>3566</v>
      </c>
      <c r="E1443" s="20" t="s">
        <v>91</v>
      </c>
      <c r="F1443" s="17" t="s">
        <v>344</v>
      </c>
      <c r="G1443" s="17" t="s">
        <v>3876</v>
      </c>
      <c r="H1443" s="17" t="s">
        <v>4015</v>
      </c>
      <c r="I1443" s="17" t="s">
        <v>125</v>
      </c>
      <c r="J1443" s="22" t="s">
        <v>100</v>
      </c>
      <c r="K1443" s="23" t="s">
        <v>108</v>
      </c>
      <c r="L1443" s="24" t="s">
        <v>91</v>
      </c>
      <c r="M1443" s="2">
        <v>44.0</v>
      </c>
      <c r="N1443" s="25">
        <v>11.0</v>
      </c>
      <c r="O1443" s="25"/>
      <c r="P1443" s="25"/>
    </row>
    <row r="1444">
      <c r="A1444" s="16">
        <v>1442.0</v>
      </c>
      <c r="B1444" s="17" t="s">
        <v>779</v>
      </c>
      <c r="C1444" s="18">
        <v>5.0</v>
      </c>
      <c r="D1444" s="19" t="s">
        <v>2381</v>
      </c>
      <c r="E1444" s="20" t="s">
        <v>91</v>
      </c>
      <c r="F1444" s="17" t="s">
        <v>475</v>
      </c>
      <c r="G1444" s="17" t="s">
        <v>3215</v>
      </c>
      <c r="H1444" s="17" t="s">
        <v>3939</v>
      </c>
      <c r="I1444" s="17" t="s">
        <v>125</v>
      </c>
      <c r="J1444" s="22" t="s">
        <v>144</v>
      </c>
      <c r="K1444" s="23" t="s">
        <v>108</v>
      </c>
      <c r="L1444" s="24" t="s">
        <v>91</v>
      </c>
      <c r="M1444" s="2">
        <v>44.0</v>
      </c>
      <c r="N1444" s="25">
        <v>31.0</v>
      </c>
      <c r="O1444" s="25"/>
      <c r="P1444" s="25"/>
    </row>
    <row r="1445">
      <c r="A1445" s="16">
        <v>1443.0</v>
      </c>
      <c r="B1445" s="17" t="s">
        <v>779</v>
      </c>
      <c r="C1445" s="18">
        <v>6.0</v>
      </c>
      <c r="D1445" s="19" t="s">
        <v>2381</v>
      </c>
      <c r="E1445" s="20" t="s">
        <v>91</v>
      </c>
      <c r="F1445" s="17" t="s">
        <v>900</v>
      </c>
      <c r="G1445" s="17" t="s">
        <v>123</v>
      </c>
      <c r="H1445" s="17" t="s">
        <v>3941</v>
      </c>
      <c r="I1445" s="17" t="s">
        <v>125</v>
      </c>
      <c r="J1445" s="22" t="s">
        <v>144</v>
      </c>
      <c r="K1445" s="23" t="s">
        <v>108</v>
      </c>
      <c r="L1445" s="24" t="s">
        <v>91</v>
      </c>
      <c r="M1445" s="2">
        <v>44.0</v>
      </c>
      <c r="N1445" s="25">
        <v>31.0</v>
      </c>
      <c r="O1445" s="25"/>
      <c r="P1445" s="25"/>
    </row>
    <row r="1446">
      <c r="A1446" s="16">
        <v>1444.0</v>
      </c>
      <c r="B1446" s="17" t="s">
        <v>779</v>
      </c>
      <c r="C1446" s="18">
        <v>7.0</v>
      </c>
      <c r="D1446" s="19" t="s">
        <v>2381</v>
      </c>
      <c r="E1446" s="20" t="s">
        <v>91</v>
      </c>
      <c r="F1446" s="17" t="s">
        <v>844</v>
      </c>
      <c r="G1446" s="17" t="s">
        <v>1741</v>
      </c>
      <c r="H1446" s="17" t="s">
        <v>1742</v>
      </c>
      <c r="I1446" s="17" t="s">
        <v>125</v>
      </c>
      <c r="J1446" s="22" t="s">
        <v>144</v>
      </c>
      <c r="K1446" s="23" t="s">
        <v>108</v>
      </c>
      <c r="L1446" s="24" t="s">
        <v>91</v>
      </c>
      <c r="M1446" s="2">
        <v>44.0</v>
      </c>
      <c r="N1446" s="25">
        <v>31.0</v>
      </c>
      <c r="O1446" s="25"/>
      <c r="P1446" s="25"/>
    </row>
    <row r="1447">
      <c r="A1447" s="16">
        <v>1445.0</v>
      </c>
      <c r="B1447" s="17" t="s">
        <v>779</v>
      </c>
      <c r="C1447" s="18">
        <v>8.0</v>
      </c>
      <c r="D1447" s="19" t="s">
        <v>2381</v>
      </c>
      <c r="E1447" s="20" t="s">
        <v>91</v>
      </c>
      <c r="F1447" s="17" t="s">
        <v>655</v>
      </c>
      <c r="G1447" s="17" t="s">
        <v>1745</v>
      </c>
      <c r="H1447" s="17" t="s">
        <v>1746</v>
      </c>
      <c r="I1447" s="17" t="s">
        <v>125</v>
      </c>
      <c r="J1447" s="22" t="s">
        <v>144</v>
      </c>
      <c r="K1447" s="23" t="s">
        <v>108</v>
      </c>
      <c r="L1447" s="24" t="s">
        <v>91</v>
      </c>
      <c r="M1447" s="2">
        <v>44.0</v>
      </c>
      <c r="N1447" s="25">
        <v>31.0</v>
      </c>
      <c r="O1447" s="25"/>
      <c r="P1447" s="25"/>
    </row>
    <row r="1448">
      <c r="A1448" s="16">
        <v>1446.0</v>
      </c>
      <c r="B1448" s="17" t="s">
        <v>779</v>
      </c>
      <c r="C1448" s="18">
        <v>9.0</v>
      </c>
      <c r="D1448" s="19" t="s">
        <v>2381</v>
      </c>
      <c r="E1448" s="20" t="s">
        <v>91</v>
      </c>
      <c r="F1448" s="17" t="s">
        <v>1133</v>
      </c>
      <c r="G1448" s="17" t="s">
        <v>123</v>
      </c>
      <c r="H1448" s="17" t="s">
        <v>4018</v>
      </c>
      <c r="I1448" s="17" t="s">
        <v>125</v>
      </c>
      <c r="J1448" s="22" t="s">
        <v>144</v>
      </c>
      <c r="K1448" s="23" t="s">
        <v>108</v>
      </c>
      <c r="L1448" s="24" t="s">
        <v>91</v>
      </c>
      <c r="M1448" s="2">
        <v>44.0</v>
      </c>
      <c r="N1448" s="25">
        <v>31.0</v>
      </c>
      <c r="O1448" s="25"/>
      <c r="P1448" s="25"/>
    </row>
    <row r="1449">
      <c r="A1449" s="16">
        <v>1447.0</v>
      </c>
      <c r="B1449" s="17" t="s">
        <v>779</v>
      </c>
      <c r="C1449" s="18">
        <v>10.0</v>
      </c>
      <c r="D1449" s="19" t="s">
        <v>2381</v>
      </c>
      <c r="E1449" s="20" t="s">
        <v>91</v>
      </c>
      <c r="F1449" s="17" t="s">
        <v>1011</v>
      </c>
      <c r="G1449" s="17" t="s">
        <v>123</v>
      </c>
      <c r="H1449" s="17" t="s">
        <v>4019</v>
      </c>
      <c r="I1449" s="17" t="s">
        <v>125</v>
      </c>
      <c r="J1449" s="22" t="s">
        <v>144</v>
      </c>
      <c r="K1449" s="23" t="s">
        <v>108</v>
      </c>
      <c r="L1449" s="24" t="s">
        <v>91</v>
      </c>
      <c r="M1449" s="2">
        <v>44.0</v>
      </c>
      <c r="N1449" s="25">
        <v>31.0</v>
      </c>
      <c r="O1449" s="25"/>
      <c r="P1449" s="25"/>
    </row>
    <row r="1450">
      <c r="A1450" s="16">
        <v>1448.0</v>
      </c>
      <c r="B1450" s="17" t="s">
        <v>779</v>
      </c>
      <c r="C1450" s="18">
        <v>11.0</v>
      </c>
      <c r="D1450" s="19" t="s">
        <v>2381</v>
      </c>
      <c r="E1450" s="20" t="s">
        <v>91</v>
      </c>
      <c r="F1450" s="17" t="s">
        <v>179</v>
      </c>
      <c r="G1450" s="17" t="s">
        <v>3946</v>
      </c>
      <c r="H1450" s="17" t="s">
        <v>3947</v>
      </c>
      <c r="I1450" s="17" t="s">
        <v>125</v>
      </c>
      <c r="J1450" s="22" t="s">
        <v>144</v>
      </c>
      <c r="K1450" s="23" t="s">
        <v>108</v>
      </c>
      <c r="L1450" s="24" t="s">
        <v>91</v>
      </c>
      <c r="M1450" s="2">
        <v>44.0</v>
      </c>
      <c r="N1450" s="25">
        <v>31.0</v>
      </c>
      <c r="O1450" s="25"/>
      <c r="P1450" s="25"/>
    </row>
    <row r="1451">
      <c r="A1451" s="16">
        <v>1449.0</v>
      </c>
      <c r="B1451" s="17" t="s">
        <v>779</v>
      </c>
      <c r="C1451" s="18">
        <v>12.0</v>
      </c>
      <c r="D1451" s="19" t="s">
        <v>2381</v>
      </c>
      <c r="E1451" s="20" t="s">
        <v>91</v>
      </c>
      <c r="F1451" s="17" t="s">
        <v>1130</v>
      </c>
      <c r="G1451" s="17" t="s">
        <v>123</v>
      </c>
      <c r="H1451" s="17" t="s">
        <v>4021</v>
      </c>
      <c r="I1451" s="17" t="s">
        <v>125</v>
      </c>
      <c r="J1451" s="22" t="s">
        <v>144</v>
      </c>
      <c r="K1451" s="23" t="s">
        <v>108</v>
      </c>
      <c r="L1451" s="24" t="s">
        <v>91</v>
      </c>
      <c r="M1451" s="2">
        <v>44.0</v>
      </c>
      <c r="N1451" s="25">
        <v>31.0</v>
      </c>
      <c r="O1451" s="25"/>
      <c r="P1451" s="25"/>
    </row>
    <row r="1452">
      <c r="A1452" s="16">
        <v>1450.0</v>
      </c>
      <c r="B1452" s="17" t="s">
        <v>779</v>
      </c>
      <c r="C1452" s="18">
        <v>13.0</v>
      </c>
      <c r="D1452" s="19" t="s">
        <v>2381</v>
      </c>
      <c r="E1452" s="20" t="s">
        <v>91</v>
      </c>
      <c r="F1452" s="17" t="s">
        <v>1129</v>
      </c>
      <c r="G1452" s="17" t="s">
        <v>123</v>
      </c>
      <c r="H1452" s="17" t="s">
        <v>3950</v>
      </c>
      <c r="I1452" s="17" t="s">
        <v>125</v>
      </c>
      <c r="J1452" s="22" t="s">
        <v>144</v>
      </c>
      <c r="K1452" s="23" t="s">
        <v>108</v>
      </c>
      <c r="L1452" s="24" t="s">
        <v>91</v>
      </c>
      <c r="M1452" s="2">
        <v>44.0</v>
      </c>
      <c r="N1452" s="25">
        <v>31.0</v>
      </c>
      <c r="O1452" s="25"/>
      <c r="P1452" s="25"/>
    </row>
    <row r="1453">
      <c r="A1453" s="16">
        <v>1451.0</v>
      </c>
      <c r="B1453" s="17" t="s">
        <v>779</v>
      </c>
      <c r="C1453" s="18">
        <v>14.0</v>
      </c>
      <c r="D1453" s="19" t="s">
        <v>3566</v>
      </c>
      <c r="E1453" s="20" t="s">
        <v>91</v>
      </c>
      <c r="F1453" s="17" t="s">
        <v>974</v>
      </c>
      <c r="G1453" s="17" t="s">
        <v>4024</v>
      </c>
      <c r="H1453" s="17" t="s">
        <v>4025</v>
      </c>
      <c r="I1453" s="17" t="s">
        <v>125</v>
      </c>
      <c r="J1453" s="22" t="s">
        <v>144</v>
      </c>
      <c r="K1453" s="23" t="s">
        <v>108</v>
      </c>
      <c r="L1453" s="24" t="s">
        <v>91</v>
      </c>
      <c r="M1453" s="2">
        <v>44.0</v>
      </c>
      <c r="N1453" s="25">
        <v>31.0</v>
      </c>
      <c r="O1453" s="25"/>
      <c r="P1453" s="25"/>
    </row>
    <row r="1454">
      <c r="A1454" s="16">
        <v>1452.0</v>
      </c>
      <c r="B1454" s="17" t="s">
        <v>1130</v>
      </c>
      <c r="C1454" s="18">
        <v>1.0</v>
      </c>
      <c r="D1454" s="19" t="s">
        <v>3590</v>
      </c>
      <c r="E1454" s="20" t="s">
        <v>91</v>
      </c>
      <c r="F1454" s="17" t="s">
        <v>935</v>
      </c>
      <c r="G1454" s="17" t="s">
        <v>4026</v>
      </c>
      <c r="H1454" s="17" t="s">
        <v>4027</v>
      </c>
      <c r="I1454" s="17" t="s">
        <v>98</v>
      </c>
      <c r="J1454" s="22" t="s">
        <v>100</v>
      </c>
      <c r="K1454" s="23" t="s">
        <v>108</v>
      </c>
      <c r="L1454" s="24" t="s">
        <v>91</v>
      </c>
      <c r="M1454" s="2">
        <v>45.0</v>
      </c>
      <c r="N1454" s="25">
        <v>10.0</v>
      </c>
      <c r="O1454" s="25"/>
      <c r="P1454" s="25"/>
    </row>
    <row r="1455">
      <c r="A1455" s="16">
        <v>1453.0</v>
      </c>
      <c r="B1455" s="17" t="s">
        <v>1130</v>
      </c>
      <c r="C1455" s="18">
        <v>2.0</v>
      </c>
      <c r="D1455" s="19" t="s">
        <v>2400</v>
      </c>
      <c r="E1455" s="20" t="s">
        <v>91</v>
      </c>
      <c r="F1455" s="17" t="s">
        <v>1134</v>
      </c>
      <c r="G1455" s="17" t="s">
        <v>4028</v>
      </c>
      <c r="H1455" s="17" t="s">
        <v>4029</v>
      </c>
      <c r="I1455" s="17" t="s">
        <v>125</v>
      </c>
      <c r="J1455" s="22" t="s">
        <v>100</v>
      </c>
      <c r="K1455" s="23" t="s">
        <v>108</v>
      </c>
      <c r="L1455" s="24" t="s">
        <v>91</v>
      </c>
      <c r="M1455" s="2">
        <v>45.0</v>
      </c>
      <c r="N1455" s="25">
        <v>11.0</v>
      </c>
      <c r="O1455" s="25"/>
      <c r="P1455" s="25"/>
    </row>
    <row r="1456">
      <c r="A1456" s="16">
        <v>1454.0</v>
      </c>
      <c r="B1456" s="17" t="s">
        <v>1130</v>
      </c>
      <c r="C1456" s="18">
        <v>3.0</v>
      </c>
      <c r="D1456" s="19" t="s">
        <v>3586</v>
      </c>
      <c r="E1456" s="20" t="s">
        <v>91</v>
      </c>
      <c r="F1456" s="17" t="s">
        <v>1381</v>
      </c>
      <c r="G1456" s="17" t="s">
        <v>4031</v>
      </c>
      <c r="H1456" s="17" t="s">
        <v>4032</v>
      </c>
      <c r="I1456" s="17" t="s">
        <v>125</v>
      </c>
      <c r="J1456" s="22" t="s">
        <v>144</v>
      </c>
      <c r="K1456" s="23" t="s">
        <v>108</v>
      </c>
      <c r="L1456" s="24" t="s">
        <v>91</v>
      </c>
      <c r="M1456" s="2">
        <v>45.0</v>
      </c>
      <c r="N1456" s="25">
        <v>31.0</v>
      </c>
      <c r="O1456" s="25"/>
      <c r="P1456" s="25"/>
    </row>
    <row r="1457">
      <c r="A1457" s="16">
        <v>1455.0</v>
      </c>
      <c r="B1457" s="17" t="s">
        <v>1130</v>
      </c>
      <c r="C1457" s="18">
        <v>4.0</v>
      </c>
      <c r="D1457" s="19" t="s">
        <v>3586</v>
      </c>
      <c r="E1457" s="20" t="s">
        <v>91</v>
      </c>
      <c r="F1457" s="17" t="s">
        <v>836</v>
      </c>
      <c r="G1457" s="17" t="s">
        <v>4034</v>
      </c>
      <c r="H1457" s="17" t="s">
        <v>4035</v>
      </c>
      <c r="I1457" s="17" t="s">
        <v>125</v>
      </c>
      <c r="J1457" s="22" t="s">
        <v>144</v>
      </c>
      <c r="K1457" s="23" t="s">
        <v>108</v>
      </c>
      <c r="L1457" s="24" t="s">
        <v>91</v>
      </c>
      <c r="M1457" s="2">
        <v>45.0</v>
      </c>
      <c r="N1457" s="25">
        <v>31.0</v>
      </c>
      <c r="O1457" s="25"/>
      <c r="P1457" s="25"/>
    </row>
    <row r="1458">
      <c r="A1458" s="16">
        <v>1456.0</v>
      </c>
      <c r="B1458" s="17" t="s">
        <v>1130</v>
      </c>
      <c r="C1458" s="18">
        <v>5.0</v>
      </c>
      <c r="D1458" s="19" t="s">
        <v>3586</v>
      </c>
      <c r="E1458" s="20" t="s">
        <v>91</v>
      </c>
      <c r="F1458" s="17" t="s">
        <v>865</v>
      </c>
      <c r="G1458" s="17" t="s">
        <v>4036</v>
      </c>
      <c r="H1458" s="17" t="s">
        <v>4037</v>
      </c>
      <c r="I1458" s="17" t="s">
        <v>125</v>
      </c>
      <c r="J1458" s="22" t="s">
        <v>144</v>
      </c>
      <c r="K1458" s="23" t="s">
        <v>108</v>
      </c>
      <c r="L1458" s="24" t="s">
        <v>91</v>
      </c>
      <c r="M1458" s="2">
        <v>45.0</v>
      </c>
      <c r="N1458" s="25">
        <v>31.0</v>
      </c>
      <c r="O1458" s="25"/>
      <c r="P1458" s="25"/>
    </row>
    <row r="1459">
      <c r="A1459" s="16">
        <v>1457.0</v>
      </c>
      <c r="B1459" s="17" t="s">
        <v>1130</v>
      </c>
      <c r="C1459" s="18">
        <v>6.0</v>
      </c>
      <c r="D1459" s="19" t="s">
        <v>3586</v>
      </c>
      <c r="E1459" s="20" t="s">
        <v>91</v>
      </c>
      <c r="F1459" s="17" t="s">
        <v>933</v>
      </c>
      <c r="G1459" s="17" t="s">
        <v>4039</v>
      </c>
      <c r="H1459" s="17" t="s">
        <v>4040</v>
      </c>
      <c r="I1459" s="17" t="s">
        <v>125</v>
      </c>
      <c r="J1459" s="22" t="s">
        <v>144</v>
      </c>
      <c r="K1459" s="23" t="s">
        <v>108</v>
      </c>
      <c r="L1459" s="24" t="s">
        <v>91</v>
      </c>
      <c r="M1459" s="2">
        <v>45.0</v>
      </c>
      <c r="N1459" s="25">
        <v>31.0</v>
      </c>
      <c r="O1459" s="25"/>
      <c r="P1459" s="25"/>
    </row>
    <row r="1460">
      <c r="A1460" s="16">
        <v>1458.0</v>
      </c>
      <c r="B1460" s="17" t="s">
        <v>1130</v>
      </c>
      <c r="C1460" s="18">
        <v>7.0</v>
      </c>
      <c r="D1460" s="19" t="s">
        <v>3586</v>
      </c>
      <c r="E1460" s="20" t="s">
        <v>91</v>
      </c>
      <c r="F1460" s="17" t="s">
        <v>1382</v>
      </c>
      <c r="G1460" s="17" t="s">
        <v>4041</v>
      </c>
      <c r="H1460" s="17" t="s">
        <v>4042</v>
      </c>
      <c r="I1460" s="17" t="s">
        <v>125</v>
      </c>
      <c r="J1460" s="22" t="s">
        <v>144</v>
      </c>
      <c r="K1460" s="23" t="s">
        <v>108</v>
      </c>
      <c r="L1460" s="24" t="s">
        <v>91</v>
      </c>
      <c r="M1460" s="2">
        <v>45.0</v>
      </c>
      <c r="N1460" s="25">
        <v>31.0</v>
      </c>
      <c r="O1460" s="25"/>
      <c r="P1460" s="25"/>
    </row>
    <row r="1461">
      <c r="A1461" s="16">
        <v>1459.0</v>
      </c>
      <c r="B1461" s="17" t="s">
        <v>1130</v>
      </c>
      <c r="C1461" s="18">
        <v>8.0</v>
      </c>
      <c r="D1461" s="19" t="s">
        <v>3586</v>
      </c>
      <c r="E1461" s="20" t="s">
        <v>91</v>
      </c>
      <c r="F1461" s="17" t="s">
        <v>1194</v>
      </c>
      <c r="G1461" s="17" t="s">
        <v>4043</v>
      </c>
      <c r="H1461" s="17" t="s">
        <v>4044</v>
      </c>
      <c r="I1461" s="17" t="s">
        <v>125</v>
      </c>
      <c r="J1461" s="22" t="s">
        <v>144</v>
      </c>
      <c r="K1461" s="23" t="s">
        <v>108</v>
      </c>
      <c r="L1461" s="24" t="s">
        <v>91</v>
      </c>
      <c r="M1461" s="2">
        <v>45.0</v>
      </c>
      <c r="N1461" s="25">
        <v>31.0</v>
      </c>
      <c r="O1461" s="25"/>
      <c r="P1461" s="25"/>
    </row>
    <row r="1462">
      <c r="A1462" s="16">
        <v>1460.0</v>
      </c>
      <c r="B1462" s="17" t="s">
        <v>1130</v>
      </c>
      <c r="C1462" s="18">
        <v>9.0</v>
      </c>
      <c r="D1462" s="19" t="s">
        <v>3586</v>
      </c>
      <c r="E1462" s="20" t="s">
        <v>91</v>
      </c>
      <c r="F1462" s="17" t="s">
        <v>1258</v>
      </c>
      <c r="G1462" s="17" t="s">
        <v>4045</v>
      </c>
      <c r="H1462" s="17" t="s">
        <v>4046</v>
      </c>
      <c r="I1462" s="17" t="s">
        <v>125</v>
      </c>
      <c r="J1462" s="22" t="s">
        <v>144</v>
      </c>
      <c r="K1462" s="23" t="s">
        <v>108</v>
      </c>
      <c r="L1462" s="24" t="s">
        <v>91</v>
      </c>
      <c r="M1462" s="2">
        <v>45.0</v>
      </c>
      <c r="N1462" s="25">
        <v>31.0</v>
      </c>
      <c r="O1462" s="25"/>
      <c r="P1462" s="25"/>
    </row>
    <row r="1463">
      <c r="A1463" s="16">
        <v>1461.0</v>
      </c>
      <c r="B1463" s="17" t="s">
        <v>1130</v>
      </c>
      <c r="C1463" s="18">
        <v>10.0</v>
      </c>
      <c r="D1463" s="19" t="s">
        <v>3586</v>
      </c>
      <c r="E1463" s="20" t="s">
        <v>91</v>
      </c>
      <c r="F1463" s="17" t="s">
        <v>1173</v>
      </c>
      <c r="G1463" s="17" t="s">
        <v>4048</v>
      </c>
      <c r="H1463" s="17" t="s">
        <v>4049</v>
      </c>
      <c r="I1463" s="17" t="s">
        <v>125</v>
      </c>
      <c r="J1463" s="22" t="s">
        <v>144</v>
      </c>
      <c r="K1463" s="23" t="s">
        <v>108</v>
      </c>
      <c r="L1463" s="24" t="s">
        <v>91</v>
      </c>
      <c r="M1463" s="2">
        <v>45.0</v>
      </c>
      <c r="N1463" s="25">
        <v>31.0</v>
      </c>
      <c r="O1463" s="25"/>
      <c r="P1463" s="25"/>
    </row>
    <row r="1464">
      <c r="A1464" s="16">
        <v>1462.0</v>
      </c>
      <c r="B1464" s="17" t="s">
        <v>1130</v>
      </c>
      <c r="C1464" s="18">
        <v>11.0</v>
      </c>
      <c r="D1464" s="19" t="s">
        <v>3586</v>
      </c>
      <c r="E1464" s="20" t="s">
        <v>91</v>
      </c>
      <c r="F1464" s="17" t="s">
        <v>1132</v>
      </c>
      <c r="G1464" s="17" t="s">
        <v>3008</v>
      </c>
      <c r="H1464" s="17" t="s">
        <v>4051</v>
      </c>
      <c r="I1464" s="17" t="s">
        <v>125</v>
      </c>
      <c r="J1464" s="22" t="s">
        <v>144</v>
      </c>
      <c r="K1464" s="23" t="s">
        <v>108</v>
      </c>
      <c r="L1464" s="24" t="s">
        <v>91</v>
      </c>
      <c r="M1464" s="2">
        <v>45.0</v>
      </c>
      <c r="N1464" s="25">
        <v>31.0</v>
      </c>
      <c r="O1464" s="25"/>
      <c r="P1464" s="25"/>
    </row>
    <row r="1465">
      <c r="A1465" s="16">
        <v>1463.0</v>
      </c>
      <c r="B1465" s="17" t="s">
        <v>1130</v>
      </c>
      <c r="C1465" s="18">
        <v>12.0</v>
      </c>
      <c r="D1465" s="19" t="s">
        <v>3586</v>
      </c>
      <c r="E1465" s="20" t="s">
        <v>91</v>
      </c>
      <c r="F1465" s="17" t="s">
        <v>1135</v>
      </c>
      <c r="G1465" s="17" t="s">
        <v>4052</v>
      </c>
      <c r="H1465" s="17" t="s">
        <v>4053</v>
      </c>
      <c r="I1465" s="17" t="s">
        <v>125</v>
      </c>
      <c r="J1465" s="22" t="s">
        <v>144</v>
      </c>
      <c r="K1465" s="23" t="s">
        <v>108</v>
      </c>
      <c r="L1465" s="24" t="s">
        <v>91</v>
      </c>
      <c r="M1465" s="2">
        <v>45.0</v>
      </c>
      <c r="N1465" s="25">
        <v>31.0</v>
      </c>
      <c r="O1465" s="25"/>
      <c r="P1465" s="25"/>
    </row>
    <row r="1466">
      <c r="A1466" s="16">
        <v>1464.0</v>
      </c>
      <c r="B1466" s="17" t="s">
        <v>1130</v>
      </c>
      <c r="C1466" s="18">
        <v>13.0</v>
      </c>
      <c r="D1466" s="19" t="s">
        <v>2400</v>
      </c>
      <c r="E1466" s="20" t="s">
        <v>91</v>
      </c>
      <c r="F1466" s="17" t="s">
        <v>576</v>
      </c>
      <c r="G1466" s="17" t="s">
        <v>4056</v>
      </c>
      <c r="H1466" s="17" t="s">
        <v>4057</v>
      </c>
      <c r="I1466" s="17" t="s">
        <v>125</v>
      </c>
      <c r="J1466" s="22" t="s">
        <v>144</v>
      </c>
      <c r="K1466" s="23" t="s">
        <v>108</v>
      </c>
      <c r="L1466" s="24" t="s">
        <v>91</v>
      </c>
      <c r="M1466" s="2">
        <v>45.0</v>
      </c>
      <c r="N1466" s="25">
        <v>31.0</v>
      </c>
      <c r="O1466" s="25"/>
      <c r="P1466" s="25"/>
    </row>
    <row r="1467">
      <c r="A1467" s="16">
        <v>1465.0</v>
      </c>
      <c r="B1467" s="17" t="s">
        <v>1130</v>
      </c>
      <c r="C1467" s="18">
        <v>14.0</v>
      </c>
      <c r="D1467" s="19" t="s">
        <v>2400</v>
      </c>
      <c r="E1467" s="20" t="s">
        <v>91</v>
      </c>
      <c r="F1467" s="17" t="s">
        <v>1117</v>
      </c>
      <c r="G1467" s="17" t="s">
        <v>4058</v>
      </c>
      <c r="H1467" s="17" t="s">
        <v>4059</v>
      </c>
      <c r="I1467" s="17" t="s">
        <v>125</v>
      </c>
      <c r="J1467" s="22" t="s">
        <v>144</v>
      </c>
      <c r="K1467" s="23" t="s">
        <v>108</v>
      </c>
      <c r="L1467" s="24" t="s">
        <v>91</v>
      </c>
      <c r="M1467" s="2">
        <v>45.0</v>
      </c>
      <c r="N1467" s="25">
        <v>31.0</v>
      </c>
      <c r="O1467" s="25"/>
      <c r="P1467" s="25"/>
    </row>
    <row r="1468">
      <c r="A1468" s="16">
        <v>1466.0</v>
      </c>
      <c r="B1468" s="17" t="s">
        <v>1130</v>
      </c>
      <c r="C1468" s="18">
        <v>15.0</v>
      </c>
      <c r="D1468" s="19" t="s">
        <v>2400</v>
      </c>
      <c r="E1468" s="20" t="s">
        <v>91</v>
      </c>
      <c r="F1468" s="17" t="s">
        <v>1111</v>
      </c>
      <c r="G1468" s="17" t="s">
        <v>4060</v>
      </c>
      <c r="H1468" s="17" t="s">
        <v>4061</v>
      </c>
      <c r="I1468" s="17" t="s">
        <v>125</v>
      </c>
      <c r="J1468" s="22" t="s">
        <v>144</v>
      </c>
      <c r="K1468" s="23" t="s">
        <v>108</v>
      </c>
      <c r="L1468" s="24" t="s">
        <v>91</v>
      </c>
      <c r="M1468" s="2">
        <v>45.0</v>
      </c>
      <c r="N1468" s="25">
        <v>31.0</v>
      </c>
      <c r="O1468" s="25"/>
      <c r="P1468" s="25"/>
    </row>
    <row r="1469">
      <c r="A1469" s="16">
        <v>1467.0</v>
      </c>
      <c r="B1469" s="17" t="s">
        <v>1130</v>
      </c>
      <c r="C1469" s="18">
        <v>16.0</v>
      </c>
      <c r="D1469" s="19" t="s">
        <v>2400</v>
      </c>
      <c r="E1469" s="20" t="s">
        <v>91</v>
      </c>
      <c r="F1469" s="17" t="s">
        <v>974</v>
      </c>
      <c r="G1469" s="17" t="s">
        <v>4064</v>
      </c>
      <c r="H1469" s="17" t="s">
        <v>4065</v>
      </c>
      <c r="I1469" s="17" t="s">
        <v>125</v>
      </c>
      <c r="J1469" s="22" t="s">
        <v>144</v>
      </c>
      <c r="K1469" s="23" t="s">
        <v>108</v>
      </c>
      <c r="L1469" s="24" t="s">
        <v>91</v>
      </c>
      <c r="M1469" s="2">
        <v>45.0</v>
      </c>
      <c r="N1469" s="25">
        <v>31.0</v>
      </c>
      <c r="O1469" s="25"/>
      <c r="P1469" s="25"/>
    </row>
    <row r="1470">
      <c r="A1470" s="16">
        <v>1468.0</v>
      </c>
      <c r="B1470" s="17" t="s">
        <v>1130</v>
      </c>
      <c r="C1470" s="18">
        <v>17.0</v>
      </c>
      <c r="D1470" s="19" t="s">
        <v>2400</v>
      </c>
      <c r="E1470" s="20" t="s">
        <v>91</v>
      </c>
      <c r="F1470" s="17" t="s">
        <v>1242</v>
      </c>
      <c r="G1470" s="17" t="s">
        <v>3058</v>
      </c>
      <c r="H1470" s="17" t="s">
        <v>4066</v>
      </c>
      <c r="I1470" s="17" t="s">
        <v>125</v>
      </c>
      <c r="J1470" s="22" t="s">
        <v>144</v>
      </c>
      <c r="K1470" s="23" t="s">
        <v>108</v>
      </c>
      <c r="L1470" s="24" t="s">
        <v>91</v>
      </c>
      <c r="M1470" s="2">
        <v>45.0</v>
      </c>
      <c r="N1470" s="25">
        <v>31.0</v>
      </c>
      <c r="O1470" s="25"/>
      <c r="P1470" s="25"/>
    </row>
    <row r="1471">
      <c r="A1471" s="16">
        <v>1469.0</v>
      </c>
      <c r="B1471" s="17" t="s">
        <v>1130</v>
      </c>
      <c r="C1471" s="18">
        <v>18.0</v>
      </c>
      <c r="D1471" s="19" t="s">
        <v>2400</v>
      </c>
      <c r="E1471" s="20" t="s">
        <v>91</v>
      </c>
      <c r="F1471" s="17" t="s">
        <v>1136</v>
      </c>
      <c r="G1471" s="17" t="s">
        <v>4068</v>
      </c>
      <c r="H1471" s="17" t="s">
        <v>4069</v>
      </c>
      <c r="I1471" s="17" t="s">
        <v>125</v>
      </c>
      <c r="J1471" s="22" t="s">
        <v>144</v>
      </c>
      <c r="K1471" s="23" t="s">
        <v>108</v>
      </c>
      <c r="L1471" s="24" t="s">
        <v>91</v>
      </c>
      <c r="M1471" s="2">
        <v>45.0</v>
      </c>
      <c r="N1471" s="25">
        <v>31.0</v>
      </c>
      <c r="O1471" s="25"/>
      <c r="P1471" s="25"/>
    </row>
    <row r="1472">
      <c r="A1472" s="16">
        <v>1470.0</v>
      </c>
      <c r="B1472" s="17" t="s">
        <v>1130</v>
      </c>
      <c r="C1472" s="18">
        <v>19.0</v>
      </c>
      <c r="D1472" s="19" t="s">
        <v>2400</v>
      </c>
      <c r="E1472" s="20" t="s">
        <v>91</v>
      </c>
      <c r="F1472" s="17" t="s">
        <v>1210</v>
      </c>
      <c r="G1472" s="17" t="s">
        <v>2439</v>
      </c>
      <c r="H1472" s="17" t="s">
        <v>4070</v>
      </c>
      <c r="I1472" s="17" t="s">
        <v>125</v>
      </c>
      <c r="J1472" s="22" t="s">
        <v>144</v>
      </c>
      <c r="K1472" s="23" t="s">
        <v>108</v>
      </c>
      <c r="L1472" s="24" t="s">
        <v>91</v>
      </c>
      <c r="M1472" s="2">
        <v>45.0</v>
      </c>
      <c r="N1472" s="25">
        <v>31.0</v>
      </c>
      <c r="O1472" s="25"/>
      <c r="P1472" s="25"/>
    </row>
    <row r="1473">
      <c r="A1473" s="16">
        <v>1471.0</v>
      </c>
      <c r="B1473" s="17" t="s">
        <v>1130</v>
      </c>
      <c r="C1473" s="18">
        <v>20.0</v>
      </c>
      <c r="D1473" s="19" t="s">
        <v>2400</v>
      </c>
      <c r="E1473" s="20" t="s">
        <v>91</v>
      </c>
      <c r="F1473" s="17" t="s">
        <v>1099</v>
      </c>
      <c r="G1473" s="17" t="s">
        <v>4072</v>
      </c>
      <c r="H1473" s="17" t="s">
        <v>4073</v>
      </c>
      <c r="I1473" s="17" t="s">
        <v>125</v>
      </c>
      <c r="J1473" s="22" t="s">
        <v>144</v>
      </c>
      <c r="K1473" s="23" t="s">
        <v>108</v>
      </c>
      <c r="L1473" s="24" t="s">
        <v>91</v>
      </c>
      <c r="M1473" s="2">
        <v>45.0</v>
      </c>
      <c r="N1473" s="25">
        <v>31.0</v>
      </c>
      <c r="O1473" s="25"/>
      <c r="P1473" s="25"/>
    </row>
    <row r="1474">
      <c r="A1474" s="16">
        <v>1472.0</v>
      </c>
      <c r="B1474" s="17" t="s">
        <v>1130</v>
      </c>
      <c r="C1474" s="18">
        <v>21.0</v>
      </c>
      <c r="D1474" s="19" t="s">
        <v>2400</v>
      </c>
      <c r="E1474" s="20" t="s">
        <v>91</v>
      </c>
      <c r="F1474" s="17" t="s">
        <v>1209</v>
      </c>
      <c r="G1474" s="17" t="s">
        <v>2428</v>
      </c>
      <c r="H1474" s="17" t="s">
        <v>4074</v>
      </c>
      <c r="I1474" s="17" t="s">
        <v>125</v>
      </c>
      <c r="J1474" s="22" t="s">
        <v>144</v>
      </c>
      <c r="K1474" s="23" t="s">
        <v>108</v>
      </c>
      <c r="L1474" s="24" t="s">
        <v>91</v>
      </c>
      <c r="M1474" s="2">
        <v>45.0</v>
      </c>
      <c r="N1474" s="25">
        <v>31.0</v>
      </c>
      <c r="O1474" s="25"/>
      <c r="P1474" s="25"/>
    </row>
    <row r="1475">
      <c r="A1475" s="16">
        <v>1473.0</v>
      </c>
      <c r="B1475" s="17" t="s">
        <v>576</v>
      </c>
      <c r="C1475" s="18">
        <v>1.0</v>
      </c>
      <c r="D1475" s="19" t="s">
        <v>2417</v>
      </c>
      <c r="E1475" s="20" t="s">
        <v>91</v>
      </c>
      <c r="F1475" s="17" t="s">
        <v>173</v>
      </c>
      <c r="G1475" s="17" t="s">
        <v>123</v>
      </c>
      <c r="H1475" s="17" t="s">
        <v>3770</v>
      </c>
      <c r="I1475" s="17" t="s">
        <v>125</v>
      </c>
      <c r="J1475" s="22" t="s">
        <v>100</v>
      </c>
      <c r="K1475" s="23" t="s">
        <v>108</v>
      </c>
      <c r="L1475" s="24" t="s">
        <v>91</v>
      </c>
      <c r="M1475" s="2">
        <v>46.0</v>
      </c>
      <c r="N1475" s="25">
        <v>11.0</v>
      </c>
      <c r="O1475" s="25"/>
      <c r="P1475" s="25"/>
    </row>
    <row r="1476">
      <c r="A1476" s="16">
        <v>1474.0</v>
      </c>
      <c r="B1476" s="17" t="s">
        <v>576</v>
      </c>
      <c r="C1476" s="18">
        <v>2.0</v>
      </c>
      <c r="D1476" s="19" t="s">
        <v>2417</v>
      </c>
      <c r="E1476" s="20" t="s">
        <v>91</v>
      </c>
      <c r="F1476" s="17" t="s">
        <v>1129</v>
      </c>
      <c r="G1476" s="17" t="s">
        <v>123</v>
      </c>
      <c r="H1476" s="17" t="s">
        <v>3950</v>
      </c>
      <c r="I1476" s="17" t="s">
        <v>125</v>
      </c>
      <c r="J1476" s="22" t="s">
        <v>144</v>
      </c>
      <c r="K1476" s="23" t="s">
        <v>108</v>
      </c>
      <c r="L1476" s="24" t="s">
        <v>91</v>
      </c>
      <c r="M1476" s="2">
        <v>46.0</v>
      </c>
      <c r="N1476" s="25">
        <v>31.0</v>
      </c>
      <c r="O1476" s="25"/>
      <c r="P1476" s="25"/>
    </row>
    <row r="1477">
      <c r="A1477" s="16">
        <v>1475.0</v>
      </c>
      <c r="B1477" s="17" t="s">
        <v>576</v>
      </c>
      <c r="C1477" s="18">
        <v>3.0</v>
      </c>
      <c r="D1477" s="19" t="s">
        <v>2417</v>
      </c>
      <c r="E1477" s="20" t="s">
        <v>91</v>
      </c>
      <c r="F1477" s="17" t="s">
        <v>1011</v>
      </c>
      <c r="G1477" s="17" t="s">
        <v>123</v>
      </c>
      <c r="H1477" s="17" t="s">
        <v>4019</v>
      </c>
      <c r="I1477" s="17" t="s">
        <v>125</v>
      </c>
      <c r="J1477" s="22" t="s">
        <v>144</v>
      </c>
      <c r="K1477" s="23" t="s">
        <v>108</v>
      </c>
      <c r="L1477" s="24" t="s">
        <v>91</v>
      </c>
      <c r="M1477" s="2">
        <v>46.0</v>
      </c>
      <c r="N1477" s="25">
        <v>31.0</v>
      </c>
      <c r="O1477" s="25"/>
      <c r="P1477" s="25"/>
    </row>
    <row r="1478">
      <c r="A1478" s="16">
        <v>1476.0</v>
      </c>
      <c r="B1478" s="17" t="s">
        <v>576</v>
      </c>
      <c r="C1478" s="18">
        <v>4.0</v>
      </c>
      <c r="D1478" s="19" t="s">
        <v>2417</v>
      </c>
      <c r="E1478" s="20" t="s">
        <v>91</v>
      </c>
      <c r="F1478" s="17" t="s">
        <v>1115</v>
      </c>
      <c r="G1478" s="17" t="s">
        <v>123</v>
      </c>
      <c r="H1478" s="17" t="s">
        <v>4078</v>
      </c>
      <c r="I1478" s="17" t="s">
        <v>125</v>
      </c>
      <c r="J1478" s="22" t="s">
        <v>144</v>
      </c>
      <c r="K1478" s="23" t="s">
        <v>108</v>
      </c>
      <c r="L1478" s="24" t="s">
        <v>91</v>
      </c>
      <c r="M1478" s="2">
        <v>46.0</v>
      </c>
      <c r="N1478" s="25">
        <v>31.0</v>
      </c>
      <c r="O1478" s="25"/>
      <c r="P1478" s="25"/>
    </row>
    <row r="1479">
      <c r="A1479" s="16">
        <v>1477.0</v>
      </c>
      <c r="B1479" s="17" t="s">
        <v>576</v>
      </c>
      <c r="C1479" s="18">
        <v>5.0</v>
      </c>
      <c r="D1479" s="19" t="s">
        <v>2417</v>
      </c>
      <c r="E1479" s="20" t="s">
        <v>91</v>
      </c>
      <c r="F1479" s="17" t="s">
        <v>900</v>
      </c>
      <c r="G1479" s="17" t="s">
        <v>123</v>
      </c>
      <c r="H1479" s="17" t="s">
        <v>3941</v>
      </c>
      <c r="I1479" s="17" t="s">
        <v>125</v>
      </c>
      <c r="J1479" s="22" t="s">
        <v>144</v>
      </c>
      <c r="K1479" s="23" t="s">
        <v>108</v>
      </c>
      <c r="L1479" s="24" t="s">
        <v>91</v>
      </c>
      <c r="M1479" s="2">
        <v>46.0</v>
      </c>
      <c r="N1479" s="25">
        <v>31.0</v>
      </c>
      <c r="O1479" s="25"/>
      <c r="P1479" s="25"/>
    </row>
    <row r="1480">
      <c r="A1480" s="16">
        <v>1478.0</v>
      </c>
      <c r="B1480" s="17" t="s">
        <v>576</v>
      </c>
      <c r="C1480" s="18">
        <v>6.0</v>
      </c>
      <c r="D1480" s="19" t="s">
        <v>2417</v>
      </c>
      <c r="E1480" s="20" t="s">
        <v>91</v>
      </c>
      <c r="F1480" s="17" t="s">
        <v>972</v>
      </c>
      <c r="G1480" s="17" t="s">
        <v>2319</v>
      </c>
      <c r="H1480" s="17" t="s">
        <v>4080</v>
      </c>
      <c r="I1480" s="17" t="s">
        <v>125</v>
      </c>
      <c r="J1480" s="22" t="s">
        <v>144</v>
      </c>
      <c r="K1480" s="23" t="s">
        <v>108</v>
      </c>
      <c r="L1480" s="24" t="s">
        <v>91</v>
      </c>
      <c r="M1480" s="2">
        <v>46.0</v>
      </c>
      <c r="N1480" s="25">
        <v>31.0</v>
      </c>
      <c r="O1480" s="25"/>
      <c r="P1480" s="25"/>
    </row>
    <row r="1481">
      <c r="A1481" s="16">
        <v>1479.0</v>
      </c>
      <c r="B1481" s="17" t="s">
        <v>576</v>
      </c>
      <c r="C1481" s="18">
        <v>7.0</v>
      </c>
      <c r="D1481" s="19" t="s">
        <v>2417</v>
      </c>
      <c r="E1481" s="20" t="s">
        <v>91</v>
      </c>
      <c r="F1481" s="17" t="s">
        <v>844</v>
      </c>
      <c r="G1481" s="17" t="s">
        <v>1741</v>
      </c>
      <c r="H1481" s="17" t="s">
        <v>1742</v>
      </c>
      <c r="I1481" s="17" t="s">
        <v>125</v>
      </c>
      <c r="J1481" s="22" t="s">
        <v>144</v>
      </c>
      <c r="K1481" s="23" t="s">
        <v>108</v>
      </c>
      <c r="L1481" s="24" t="s">
        <v>91</v>
      </c>
      <c r="M1481" s="2">
        <v>46.0</v>
      </c>
      <c r="N1481" s="25">
        <v>31.0</v>
      </c>
      <c r="O1481" s="25"/>
      <c r="P1481" s="25"/>
    </row>
    <row r="1482">
      <c r="A1482" s="16">
        <v>1480.0</v>
      </c>
      <c r="B1482" s="17" t="s">
        <v>576</v>
      </c>
      <c r="C1482" s="18">
        <v>8.0</v>
      </c>
      <c r="D1482" s="19" t="s">
        <v>2417</v>
      </c>
      <c r="E1482" s="20" t="s">
        <v>91</v>
      </c>
      <c r="F1482" s="17" t="s">
        <v>1133</v>
      </c>
      <c r="G1482" s="17" t="s">
        <v>123</v>
      </c>
      <c r="H1482" s="17" t="s">
        <v>4018</v>
      </c>
      <c r="I1482" s="17" t="s">
        <v>125</v>
      </c>
      <c r="J1482" s="22" t="s">
        <v>144</v>
      </c>
      <c r="K1482" s="23" t="s">
        <v>108</v>
      </c>
      <c r="L1482" s="24" t="s">
        <v>91</v>
      </c>
      <c r="M1482" s="2">
        <v>46.0</v>
      </c>
      <c r="N1482" s="25">
        <v>31.0</v>
      </c>
      <c r="O1482" s="25"/>
      <c r="P1482" s="25"/>
    </row>
    <row r="1483">
      <c r="A1483" s="16">
        <v>1481.0</v>
      </c>
      <c r="B1483" s="17" t="s">
        <v>576</v>
      </c>
      <c r="C1483" s="18">
        <v>9.0</v>
      </c>
      <c r="D1483" s="19" t="s">
        <v>2417</v>
      </c>
      <c r="E1483" s="20" t="s">
        <v>91</v>
      </c>
      <c r="F1483" s="17" t="s">
        <v>69</v>
      </c>
      <c r="G1483" s="17" t="s">
        <v>4083</v>
      </c>
      <c r="H1483" s="17" t="s">
        <v>4084</v>
      </c>
      <c r="I1483" s="17" t="s">
        <v>125</v>
      </c>
      <c r="J1483" s="22" t="s">
        <v>144</v>
      </c>
      <c r="K1483" s="23" t="s">
        <v>108</v>
      </c>
      <c r="L1483" s="24" t="s">
        <v>91</v>
      </c>
      <c r="M1483" s="2">
        <v>46.0</v>
      </c>
      <c r="N1483" s="25">
        <v>31.0</v>
      </c>
      <c r="O1483" s="25"/>
      <c r="P1483" s="25"/>
    </row>
    <row r="1484">
      <c r="A1484" s="16">
        <v>1482.0</v>
      </c>
      <c r="B1484" s="17" t="s">
        <v>576</v>
      </c>
      <c r="C1484" s="18">
        <v>10.0</v>
      </c>
      <c r="D1484" s="19" t="s">
        <v>2417</v>
      </c>
      <c r="E1484" s="20" t="s">
        <v>91</v>
      </c>
      <c r="F1484" s="17" t="s">
        <v>897</v>
      </c>
      <c r="G1484" s="17" t="s">
        <v>123</v>
      </c>
      <c r="H1484" s="17" t="s">
        <v>4085</v>
      </c>
      <c r="I1484" s="17" t="s">
        <v>4086</v>
      </c>
      <c r="J1484" s="22" t="s">
        <v>144</v>
      </c>
      <c r="K1484" s="23" t="s">
        <v>108</v>
      </c>
      <c r="L1484" s="24" t="s">
        <v>91</v>
      </c>
      <c r="M1484" s="2">
        <v>46.0</v>
      </c>
      <c r="N1484" s="25">
        <v>31.0</v>
      </c>
      <c r="O1484" s="25"/>
      <c r="P1484" s="25"/>
    </row>
    <row r="1485">
      <c r="A1485" s="16">
        <v>1483.0</v>
      </c>
      <c r="B1485" s="17" t="s">
        <v>576</v>
      </c>
      <c r="C1485" s="18">
        <v>11.0</v>
      </c>
      <c r="D1485" s="19" t="s">
        <v>2417</v>
      </c>
      <c r="E1485" s="20" t="s">
        <v>91</v>
      </c>
      <c r="F1485" s="17" t="s">
        <v>899</v>
      </c>
      <c r="G1485" s="17" t="s">
        <v>4087</v>
      </c>
      <c r="H1485" s="17" t="s">
        <v>4088</v>
      </c>
      <c r="I1485" s="17" t="s">
        <v>4086</v>
      </c>
      <c r="J1485" s="22" t="s">
        <v>144</v>
      </c>
      <c r="K1485" s="23" t="s">
        <v>108</v>
      </c>
      <c r="L1485" s="24" t="s">
        <v>91</v>
      </c>
      <c r="M1485" s="2">
        <v>46.0</v>
      </c>
      <c r="N1485" s="25">
        <v>31.0</v>
      </c>
      <c r="O1485" s="25"/>
      <c r="P1485" s="25"/>
    </row>
    <row r="1486">
      <c r="A1486" s="16">
        <v>1484.0</v>
      </c>
      <c r="B1486" s="17" t="s">
        <v>576</v>
      </c>
      <c r="C1486" s="18">
        <v>12.0</v>
      </c>
      <c r="D1486" s="19" t="s">
        <v>2417</v>
      </c>
      <c r="E1486" s="20" t="s">
        <v>91</v>
      </c>
      <c r="F1486" s="17" t="s">
        <v>1383</v>
      </c>
      <c r="G1486" s="17" t="s">
        <v>4090</v>
      </c>
      <c r="H1486" s="17" t="s">
        <v>4091</v>
      </c>
      <c r="I1486" s="17" t="s">
        <v>4086</v>
      </c>
      <c r="J1486" s="22" t="s">
        <v>144</v>
      </c>
      <c r="K1486" s="23" t="s">
        <v>108</v>
      </c>
      <c r="L1486" s="24" t="s">
        <v>91</v>
      </c>
      <c r="M1486" s="2">
        <v>46.0</v>
      </c>
      <c r="N1486" s="25">
        <v>31.0</v>
      </c>
      <c r="O1486" s="25"/>
      <c r="P1486" s="25"/>
    </row>
    <row r="1487">
      <c r="A1487" s="16">
        <v>1485.0</v>
      </c>
      <c r="B1487" s="17" t="s">
        <v>576</v>
      </c>
      <c r="C1487" s="18">
        <v>13.0</v>
      </c>
      <c r="D1487" s="19" t="s">
        <v>2417</v>
      </c>
      <c r="E1487" s="20" t="s">
        <v>91</v>
      </c>
      <c r="F1487" s="17" t="s">
        <v>1253</v>
      </c>
      <c r="G1487" s="17" t="s">
        <v>4092</v>
      </c>
      <c r="H1487" s="17" t="s">
        <v>4093</v>
      </c>
      <c r="I1487" s="17" t="s">
        <v>4086</v>
      </c>
      <c r="J1487" s="22" t="s">
        <v>144</v>
      </c>
      <c r="K1487" s="23" t="s">
        <v>108</v>
      </c>
      <c r="L1487" s="24" t="s">
        <v>91</v>
      </c>
      <c r="M1487" s="2">
        <v>46.0</v>
      </c>
      <c r="N1487" s="25">
        <v>31.0</v>
      </c>
      <c r="O1487" s="25"/>
      <c r="P1487" s="25"/>
    </row>
    <row r="1488">
      <c r="A1488" s="16">
        <v>1486.0</v>
      </c>
      <c r="B1488" s="17" t="s">
        <v>576</v>
      </c>
      <c r="C1488" s="18">
        <v>14.0</v>
      </c>
      <c r="D1488" s="19" t="s">
        <v>2417</v>
      </c>
      <c r="E1488" s="20" t="s">
        <v>91</v>
      </c>
      <c r="F1488" s="17" t="s">
        <v>1039</v>
      </c>
      <c r="G1488" s="17" t="s">
        <v>3872</v>
      </c>
      <c r="H1488" s="17" t="s">
        <v>3873</v>
      </c>
      <c r="I1488" s="17" t="s">
        <v>4086</v>
      </c>
      <c r="J1488" s="22" t="s">
        <v>144</v>
      </c>
      <c r="K1488" s="23" t="s">
        <v>108</v>
      </c>
      <c r="L1488" s="24" t="s">
        <v>91</v>
      </c>
      <c r="M1488" s="2">
        <v>46.0</v>
      </c>
      <c r="N1488" s="25">
        <v>31.0</v>
      </c>
      <c r="O1488" s="25"/>
      <c r="P1488" s="25"/>
    </row>
    <row r="1489">
      <c r="A1489" s="16">
        <v>1487.0</v>
      </c>
      <c r="B1489" s="17" t="s">
        <v>576</v>
      </c>
      <c r="C1489" s="18">
        <v>15.0</v>
      </c>
      <c r="D1489" s="19" t="s">
        <v>2417</v>
      </c>
      <c r="E1489" s="20" t="s">
        <v>91</v>
      </c>
      <c r="F1489" s="17" t="s">
        <v>896</v>
      </c>
      <c r="G1489" s="17" t="s">
        <v>4095</v>
      </c>
      <c r="H1489" s="17" t="s">
        <v>4096</v>
      </c>
      <c r="I1489" s="17" t="s">
        <v>4086</v>
      </c>
      <c r="J1489" s="22" t="s">
        <v>144</v>
      </c>
      <c r="K1489" s="23" t="s">
        <v>108</v>
      </c>
      <c r="L1489" s="24" t="s">
        <v>91</v>
      </c>
      <c r="M1489" s="2">
        <v>46.0</v>
      </c>
      <c r="N1489" s="25">
        <v>31.0</v>
      </c>
      <c r="O1489" s="25"/>
      <c r="P1489" s="25"/>
    </row>
    <row r="1490">
      <c r="A1490" s="16">
        <v>1488.0</v>
      </c>
      <c r="B1490" s="17" t="s">
        <v>576</v>
      </c>
      <c r="C1490" s="18">
        <v>16.0</v>
      </c>
      <c r="D1490" s="19" t="s">
        <v>2417</v>
      </c>
      <c r="E1490" s="20" t="s">
        <v>91</v>
      </c>
      <c r="F1490" s="17" t="s">
        <v>824</v>
      </c>
      <c r="G1490" s="17" t="s">
        <v>3813</v>
      </c>
      <c r="H1490" s="17" t="s">
        <v>4098</v>
      </c>
      <c r="I1490" s="17" t="s">
        <v>4086</v>
      </c>
      <c r="J1490" s="22" t="s">
        <v>144</v>
      </c>
      <c r="K1490" s="23" t="s">
        <v>108</v>
      </c>
      <c r="L1490" s="24" t="s">
        <v>91</v>
      </c>
      <c r="M1490" s="2">
        <v>46.0</v>
      </c>
      <c r="N1490" s="25">
        <v>31.0</v>
      </c>
      <c r="O1490" s="25"/>
      <c r="P1490" s="25"/>
    </row>
    <row r="1491">
      <c r="A1491" s="16">
        <v>1489.0</v>
      </c>
      <c r="B1491" s="17" t="s">
        <v>576</v>
      </c>
      <c r="C1491" s="18">
        <v>17.0</v>
      </c>
      <c r="D1491" s="19" t="s">
        <v>2417</v>
      </c>
      <c r="E1491" s="20" t="s">
        <v>91</v>
      </c>
      <c r="F1491" s="17" t="s">
        <v>1009</v>
      </c>
      <c r="G1491" s="17" t="s">
        <v>4099</v>
      </c>
      <c r="H1491" s="17" t="s">
        <v>4100</v>
      </c>
      <c r="I1491" s="17" t="s">
        <v>4086</v>
      </c>
      <c r="J1491" s="22" t="s">
        <v>144</v>
      </c>
      <c r="K1491" s="23" t="s">
        <v>108</v>
      </c>
      <c r="L1491" s="24" t="s">
        <v>91</v>
      </c>
      <c r="M1491" s="2">
        <v>46.0</v>
      </c>
      <c r="N1491" s="25">
        <v>31.0</v>
      </c>
      <c r="O1491" s="25"/>
      <c r="P1491" s="25"/>
    </row>
    <row r="1492">
      <c r="A1492" s="16">
        <v>1490.0</v>
      </c>
      <c r="B1492" s="17" t="s">
        <v>576</v>
      </c>
      <c r="C1492" s="18">
        <v>18.0</v>
      </c>
      <c r="D1492" s="19" t="s">
        <v>2417</v>
      </c>
      <c r="E1492" s="20" t="s">
        <v>91</v>
      </c>
      <c r="F1492" s="17" t="s">
        <v>1254</v>
      </c>
      <c r="G1492" s="17" t="s">
        <v>123</v>
      </c>
      <c r="H1492" s="17" t="s">
        <v>4102</v>
      </c>
      <c r="I1492" s="17" t="s">
        <v>4086</v>
      </c>
      <c r="J1492" s="22" t="s">
        <v>144</v>
      </c>
      <c r="K1492" s="23" t="s">
        <v>108</v>
      </c>
      <c r="L1492" s="24" t="s">
        <v>91</v>
      </c>
      <c r="M1492" s="2">
        <v>46.0</v>
      </c>
      <c r="N1492" s="25">
        <v>31.0</v>
      </c>
      <c r="O1492" s="25"/>
      <c r="P1492" s="25"/>
    </row>
    <row r="1493">
      <c r="A1493" s="16">
        <v>1491.0</v>
      </c>
      <c r="B1493" s="27" t="s">
        <v>576</v>
      </c>
      <c r="C1493" s="18">
        <v>19.0</v>
      </c>
      <c r="D1493" s="19" t="s">
        <v>2417</v>
      </c>
      <c r="E1493" s="20" t="s">
        <v>91</v>
      </c>
      <c r="F1493" s="27" t="s">
        <v>1239</v>
      </c>
      <c r="G1493" s="17" t="s">
        <v>3029</v>
      </c>
      <c r="H1493" s="17" t="s">
        <v>4104</v>
      </c>
      <c r="I1493" s="17" t="s">
        <v>125</v>
      </c>
      <c r="J1493" s="22" t="s">
        <v>144</v>
      </c>
      <c r="K1493" s="23" t="s">
        <v>108</v>
      </c>
      <c r="L1493" s="24"/>
      <c r="M1493" s="2">
        <v>46.0</v>
      </c>
      <c r="N1493" s="25">
        <v>31.0</v>
      </c>
      <c r="O1493" s="25"/>
      <c r="P1493" s="25"/>
    </row>
    <row r="1494">
      <c r="A1494" s="16">
        <v>1492.0</v>
      </c>
      <c r="B1494" s="27" t="s">
        <v>576</v>
      </c>
      <c r="C1494" s="18">
        <v>20.0</v>
      </c>
      <c r="D1494" s="19" t="s">
        <v>2417</v>
      </c>
      <c r="E1494" s="20" t="s">
        <v>91</v>
      </c>
      <c r="F1494" s="27" t="s">
        <v>1008</v>
      </c>
      <c r="G1494" s="17" t="s">
        <v>4106</v>
      </c>
      <c r="H1494" s="17" t="s">
        <v>4107</v>
      </c>
      <c r="I1494" s="17" t="s">
        <v>125</v>
      </c>
      <c r="J1494" s="22" t="s">
        <v>144</v>
      </c>
      <c r="K1494" s="23" t="s">
        <v>108</v>
      </c>
      <c r="L1494" s="24"/>
      <c r="M1494" s="2">
        <v>46.0</v>
      </c>
      <c r="N1494" s="25">
        <v>31.0</v>
      </c>
      <c r="O1494" s="25"/>
      <c r="P1494" s="25"/>
    </row>
    <row r="1495">
      <c r="A1495" s="16">
        <v>1493.0</v>
      </c>
      <c r="B1495" s="27" t="s">
        <v>576</v>
      </c>
      <c r="C1495" s="18">
        <v>21.0</v>
      </c>
      <c r="D1495" s="19" t="s">
        <v>2417</v>
      </c>
      <c r="E1495" s="20" t="s">
        <v>91</v>
      </c>
      <c r="F1495" s="27" t="s">
        <v>1131</v>
      </c>
      <c r="G1495" s="17" t="s">
        <v>3785</v>
      </c>
      <c r="H1495" s="17" t="s">
        <v>3787</v>
      </c>
      <c r="I1495" s="17" t="s">
        <v>125</v>
      </c>
      <c r="J1495" s="22" t="s">
        <v>144</v>
      </c>
      <c r="K1495" s="23" t="s">
        <v>108</v>
      </c>
      <c r="L1495" s="24"/>
      <c r="M1495" s="2">
        <v>46.0</v>
      </c>
      <c r="N1495" s="25">
        <v>31.0</v>
      </c>
      <c r="O1495" s="25"/>
      <c r="P1495" s="25"/>
    </row>
    <row r="1496">
      <c r="A1496" s="16">
        <v>1494.0</v>
      </c>
      <c r="B1496" s="27" t="s">
        <v>576</v>
      </c>
      <c r="C1496" s="18">
        <v>22.0</v>
      </c>
      <c r="D1496" s="19" t="s">
        <v>2417</v>
      </c>
      <c r="E1496" s="20" t="s">
        <v>91</v>
      </c>
      <c r="F1496" s="27" t="s">
        <v>3865</v>
      </c>
      <c r="G1496" s="17" t="s">
        <v>3866</v>
      </c>
      <c r="H1496" s="17" t="s">
        <v>3867</v>
      </c>
      <c r="I1496" s="17" t="s">
        <v>125</v>
      </c>
      <c r="J1496" s="22" t="s">
        <v>144</v>
      </c>
      <c r="K1496" s="23" t="s">
        <v>108</v>
      </c>
      <c r="L1496" s="24"/>
      <c r="M1496" s="2">
        <v>46.0</v>
      </c>
      <c r="N1496" s="25">
        <v>31.0</v>
      </c>
      <c r="O1496" s="25"/>
      <c r="P1496" s="25"/>
    </row>
    <row r="1497">
      <c r="A1497" s="16">
        <v>1495.0</v>
      </c>
      <c r="B1497" s="27" t="s">
        <v>576</v>
      </c>
      <c r="C1497" s="18">
        <v>23.0</v>
      </c>
      <c r="D1497" s="19" t="s">
        <v>2417</v>
      </c>
      <c r="E1497" s="20" t="s">
        <v>91</v>
      </c>
      <c r="F1497" s="27" t="s">
        <v>1255</v>
      </c>
      <c r="G1497" s="17" t="s">
        <v>4111</v>
      </c>
      <c r="H1497" s="17" t="s">
        <v>4112</v>
      </c>
      <c r="I1497" s="17" t="s">
        <v>125</v>
      </c>
      <c r="J1497" s="22" t="s">
        <v>144</v>
      </c>
      <c r="K1497" s="23" t="s">
        <v>108</v>
      </c>
      <c r="L1497" s="24"/>
      <c r="M1497" s="2">
        <v>46.0</v>
      </c>
      <c r="N1497" s="25">
        <v>31.0</v>
      </c>
      <c r="O1497" s="25"/>
      <c r="P1497" s="25"/>
    </row>
    <row r="1498">
      <c r="A1498" s="16">
        <v>1496.0</v>
      </c>
      <c r="B1498" s="27" t="s">
        <v>576</v>
      </c>
      <c r="C1498" s="18">
        <v>24.0</v>
      </c>
      <c r="D1498" s="19" t="s">
        <v>2417</v>
      </c>
      <c r="E1498" s="20" t="s">
        <v>91</v>
      </c>
      <c r="F1498" s="27" t="s">
        <v>993</v>
      </c>
      <c r="G1498" s="17" t="s">
        <v>4115</v>
      </c>
      <c r="H1498" s="17" t="s">
        <v>4116</v>
      </c>
      <c r="I1498" s="17" t="s">
        <v>125</v>
      </c>
      <c r="J1498" s="22" t="s">
        <v>144</v>
      </c>
      <c r="K1498" s="23" t="s">
        <v>108</v>
      </c>
      <c r="L1498" s="24"/>
      <c r="M1498" s="2">
        <v>46.0</v>
      </c>
      <c r="N1498" s="25">
        <v>31.0</v>
      </c>
      <c r="O1498" s="25"/>
      <c r="P1498" s="25"/>
    </row>
    <row r="1499">
      <c r="A1499" s="16">
        <v>1497.0</v>
      </c>
      <c r="B1499" s="27" t="s">
        <v>576</v>
      </c>
      <c r="C1499" s="18">
        <v>25.0</v>
      </c>
      <c r="D1499" s="19" t="s">
        <v>2417</v>
      </c>
      <c r="E1499" s="20" t="s">
        <v>91</v>
      </c>
      <c r="F1499" s="27" t="s">
        <v>810</v>
      </c>
      <c r="G1499" s="17" t="s">
        <v>4118</v>
      </c>
      <c r="H1499" s="17" t="s">
        <v>4119</v>
      </c>
      <c r="I1499" s="17" t="s">
        <v>125</v>
      </c>
      <c r="J1499" s="22" t="s">
        <v>144</v>
      </c>
      <c r="K1499" s="23" t="s">
        <v>108</v>
      </c>
      <c r="L1499" s="24"/>
      <c r="M1499" s="2">
        <v>46.0</v>
      </c>
      <c r="N1499" s="25">
        <v>31.0</v>
      </c>
      <c r="O1499" s="25"/>
      <c r="P1499" s="25"/>
    </row>
    <row r="1500">
      <c r="A1500" s="16">
        <v>1498.0</v>
      </c>
      <c r="B1500" s="27" t="s">
        <v>576</v>
      </c>
      <c r="C1500" s="18">
        <v>26.0</v>
      </c>
      <c r="D1500" s="19" t="s">
        <v>2417</v>
      </c>
      <c r="E1500" s="20" t="s">
        <v>91</v>
      </c>
      <c r="F1500" s="27" t="s">
        <v>1377</v>
      </c>
      <c r="G1500" s="17" t="s">
        <v>3815</v>
      </c>
      <c r="H1500" s="17" t="s">
        <v>3816</v>
      </c>
      <c r="I1500" s="17" t="s">
        <v>125</v>
      </c>
      <c r="J1500" s="22" t="s">
        <v>144</v>
      </c>
      <c r="K1500" s="23" t="s">
        <v>108</v>
      </c>
      <c r="L1500" s="24"/>
      <c r="M1500" s="2">
        <v>46.0</v>
      </c>
      <c r="N1500" s="25">
        <v>31.0</v>
      </c>
      <c r="O1500" s="25"/>
      <c r="P1500" s="25"/>
    </row>
    <row r="1501">
      <c r="A1501" s="16">
        <v>1499.0</v>
      </c>
      <c r="B1501" s="27" t="s">
        <v>576</v>
      </c>
      <c r="C1501" s="18">
        <v>27.0</v>
      </c>
      <c r="D1501" s="19" t="s">
        <v>2417</v>
      </c>
      <c r="E1501" s="20" t="s">
        <v>91</v>
      </c>
      <c r="F1501" s="27" t="s">
        <v>4122</v>
      </c>
      <c r="G1501" s="17" t="s">
        <v>4123</v>
      </c>
      <c r="H1501" s="17" t="s">
        <v>4125</v>
      </c>
      <c r="I1501" s="17" t="s">
        <v>125</v>
      </c>
      <c r="J1501" s="22" t="s">
        <v>144</v>
      </c>
      <c r="K1501" s="23" t="s">
        <v>108</v>
      </c>
      <c r="L1501" s="24"/>
      <c r="M1501" s="2">
        <v>46.0</v>
      </c>
      <c r="N1501" s="25">
        <v>31.0</v>
      </c>
      <c r="O1501" s="25"/>
      <c r="P1501" s="25"/>
    </row>
    <row r="1502">
      <c r="A1502" s="16">
        <v>1500.0</v>
      </c>
      <c r="B1502" s="27" t="s">
        <v>576</v>
      </c>
      <c r="C1502" s="18">
        <v>28.0</v>
      </c>
      <c r="D1502" s="19" t="s">
        <v>2417</v>
      </c>
      <c r="E1502" s="20" t="s">
        <v>91</v>
      </c>
      <c r="F1502" s="27" t="s">
        <v>1302</v>
      </c>
      <c r="G1502" s="17" t="s">
        <v>4127</v>
      </c>
      <c r="H1502" s="17" t="s">
        <v>4128</v>
      </c>
      <c r="I1502" s="17" t="s">
        <v>125</v>
      </c>
      <c r="J1502" s="22" t="s">
        <v>144</v>
      </c>
      <c r="K1502" s="23" t="s">
        <v>108</v>
      </c>
      <c r="L1502" s="24"/>
      <c r="M1502" s="2">
        <v>46.0</v>
      </c>
      <c r="N1502" s="25">
        <v>31.0</v>
      </c>
      <c r="O1502" s="25"/>
      <c r="P1502" s="25"/>
    </row>
    <row r="1503">
      <c r="A1503" s="16">
        <v>1501.0</v>
      </c>
      <c r="B1503" s="27" t="s">
        <v>576</v>
      </c>
      <c r="C1503" s="18">
        <v>29.0</v>
      </c>
      <c r="D1503" s="19" t="s">
        <v>2417</v>
      </c>
      <c r="E1503" s="20" t="s">
        <v>91</v>
      </c>
      <c r="F1503" s="27" t="s">
        <v>1252</v>
      </c>
      <c r="G1503" s="17" t="s">
        <v>4130</v>
      </c>
      <c r="H1503" s="17" t="s">
        <v>4131</v>
      </c>
      <c r="I1503" s="17" t="s">
        <v>125</v>
      </c>
      <c r="J1503" s="22" t="s">
        <v>144</v>
      </c>
      <c r="K1503" s="23" t="s">
        <v>108</v>
      </c>
      <c r="L1503" s="24"/>
      <c r="M1503" s="2">
        <v>46.0</v>
      </c>
      <c r="N1503" s="25">
        <v>31.0</v>
      </c>
      <c r="O1503" s="25"/>
      <c r="P1503" s="25"/>
    </row>
    <row r="1504">
      <c r="A1504" s="16">
        <v>1502.0</v>
      </c>
      <c r="B1504" s="27" t="s">
        <v>576</v>
      </c>
      <c r="C1504" s="18">
        <v>30.0</v>
      </c>
      <c r="D1504" s="19" t="s">
        <v>2417</v>
      </c>
      <c r="E1504" s="20" t="s">
        <v>91</v>
      </c>
      <c r="F1504" s="27" t="s">
        <v>1130</v>
      </c>
      <c r="G1504" s="17" t="s">
        <v>4134</v>
      </c>
      <c r="H1504" s="17" t="s">
        <v>4135</v>
      </c>
      <c r="I1504" s="17" t="s">
        <v>125</v>
      </c>
      <c r="J1504" s="22" t="s">
        <v>144</v>
      </c>
      <c r="K1504" s="23" t="s">
        <v>108</v>
      </c>
      <c r="L1504" s="24"/>
      <c r="M1504" s="2">
        <v>46.0</v>
      </c>
      <c r="N1504" s="25">
        <v>31.0</v>
      </c>
      <c r="O1504" s="25"/>
      <c r="P1504" s="25"/>
    </row>
    <row r="1505">
      <c r="A1505" s="16">
        <v>1503.0</v>
      </c>
      <c r="B1505" s="17" t="s">
        <v>337</v>
      </c>
      <c r="C1505" s="18">
        <v>1.0</v>
      </c>
      <c r="D1505" s="19" t="s">
        <v>3631</v>
      </c>
      <c r="E1505" s="20" t="s">
        <v>91</v>
      </c>
      <c r="F1505" s="17" t="s">
        <v>340</v>
      </c>
      <c r="G1505" s="17" t="s">
        <v>4137</v>
      </c>
      <c r="H1505" s="17" t="s">
        <v>4138</v>
      </c>
      <c r="I1505" s="17" t="s">
        <v>98</v>
      </c>
      <c r="J1505" s="22" t="s">
        <v>100</v>
      </c>
      <c r="K1505" s="23" t="s">
        <v>108</v>
      </c>
      <c r="L1505" s="24" t="s">
        <v>91</v>
      </c>
      <c r="M1505" s="2">
        <v>47.0</v>
      </c>
      <c r="N1505" s="25">
        <v>10.0</v>
      </c>
      <c r="O1505" s="25"/>
      <c r="P1505" s="25"/>
    </row>
    <row r="1506">
      <c r="A1506" s="16">
        <v>1504.0</v>
      </c>
      <c r="B1506" s="17" t="s">
        <v>337</v>
      </c>
      <c r="C1506" s="18">
        <v>2.0</v>
      </c>
      <c r="D1506" s="19" t="s">
        <v>2433</v>
      </c>
      <c r="E1506" s="20" t="s">
        <v>91</v>
      </c>
      <c r="F1506" s="17" t="s">
        <v>1011</v>
      </c>
      <c r="G1506" s="17" t="s">
        <v>123</v>
      </c>
      <c r="H1506" s="17" t="s">
        <v>4019</v>
      </c>
      <c r="I1506" s="17" t="s">
        <v>125</v>
      </c>
      <c r="J1506" s="22" t="s">
        <v>100</v>
      </c>
      <c r="K1506" s="23" t="s">
        <v>108</v>
      </c>
      <c r="L1506" s="24" t="s">
        <v>91</v>
      </c>
      <c r="M1506" s="2">
        <v>47.0</v>
      </c>
      <c r="N1506" s="25">
        <v>11.0</v>
      </c>
      <c r="O1506" s="25"/>
      <c r="P1506" s="25"/>
    </row>
    <row r="1507">
      <c r="A1507" s="16">
        <v>1505.0</v>
      </c>
      <c r="B1507" s="17" t="s">
        <v>337</v>
      </c>
      <c r="C1507" s="18">
        <v>3.0</v>
      </c>
      <c r="D1507" s="19" t="s">
        <v>2433</v>
      </c>
      <c r="E1507" s="20" t="s">
        <v>91</v>
      </c>
      <c r="F1507" s="17" t="s">
        <v>757</v>
      </c>
      <c r="G1507" s="17" t="s">
        <v>4140</v>
      </c>
      <c r="H1507" s="17" t="s">
        <v>4141</v>
      </c>
      <c r="I1507" s="17" t="s">
        <v>125</v>
      </c>
      <c r="J1507" s="22" t="s">
        <v>100</v>
      </c>
      <c r="K1507" s="23" t="s">
        <v>108</v>
      </c>
      <c r="L1507" s="24" t="s">
        <v>91</v>
      </c>
      <c r="M1507" s="2">
        <v>47.0</v>
      </c>
      <c r="N1507" s="25">
        <v>11.0</v>
      </c>
      <c r="O1507" s="25"/>
      <c r="P1507" s="25"/>
    </row>
    <row r="1508">
      <c r="A1508" s="16">
        <v>1506.0</v>
      </c>
      <c r="B1508" s="17" t="s">
        <v>337</v>
      </c>
      <c r="C1508" s="18">
        <v>4.0</v>
      </c>
      <c r="D1508" s="19" t="s">
        <v>3631</v>
      </c>
      <c r="E1508" s="20" t="s">
        <v>91</v>
      </c>
      <c r="F1508" s="17" t="s">
        <v>881</v>
      </c>
      <c r="G1508" s="17" t="s">
        <v>2947</v>
      </c>
      <c r="H1508" s="17" t="s">
        <v>4142</v>
      </c>
      <c r="I1508" s="17" t="s">
        <v>125</v>
      </c>
      <c r="J1508" s="22" t="s">
        <v>135</v>
      </c>
      <c r="K1508" s="23" t="s">
        <v>108</v>
      </c>
      <c r="L1508" s="24" t="s">
        <v>91</v>
      </c>
      <c r="M1508" s="2">
        <v>47.0</v>
      </c>
      <c r="N1508" s="25">
        <v>21.0</v>
      </c>
      <c r="O1508" s="25"/>
      <c r="P1508" s="25"/>
    </row>
    <row r="1509">
      <c r="A1509" s="16">
        <v>1507.0</v>
      </c>
      <c r="B1509" s="17" t="s">
        <v>337</v>
      </c>
      <c r="C1509" s="18">
        <v>5.0</v>
      </c>
      <c r="D1509" s="19" t="s">
        <v>3631</v>
      </c>
      <c r="E1509" s="20" t="s">
        <v>91</v>
      </c>
      <c r="F1509" s="17" t="s">
        <v>1106</v>
      </c>
      <c r="G1509" s="17" t="s">
        <v>1754</v>
      </c>
      <c r="H1509" s="17" t="s">
        <v>4143</v>
      </c>
      <c r="I1509" s="17" t="s">
        <v>125</v>
      </c>
      <c r="J1509" s="22" t="s">
        <v>144</v>
      </c>
      <c r="K1509" s="23" t="s">
        <v>108</v>
      </c>
      <c r="L1509" s="24" t="s">
        <v>91</v>
      </c>
      <c r="M1509" s="2">
        <v>47.0</v>
      </c>
      <c r="N1509" s="25">
        <v>31.0</v>
      </c>
      <c r="O1509" s="25"/>
      <c r="P1509" s="25"/>
    </row>
    <row r="1510">
      <c r="A1510" s="16">
        <v>1508.0</v>
      </c>
      <c r="B1510" s="17" t="s">
        <v>337</v>
      </c>
      <c r="C1510" s="18">
        <v>6.0</v>
      </c>
      <c r="D1510" s="19" t="s">
        <v>3631</v>
      </c>
      <c r="E1510" s="20" t="s">
        <v>91</v>
      </c>
      <c r="F1510" s="17" t="s">
        <v>1232</v>
      </c>
      <c r="G1510" s="17" t="s">
        <v>4145</v>
      </c>
      <c r="H1510" s="17" t="s">
        <v>4143</v>
      </c>
      <c r="I1510" s="17" t="s">
        <v>125</v>
      </c>
      <c r="J1510" s="22" t="s">
        <v>144</v>
      </c>
      <c r="K1510" s="23" t="s">
        <v>108</v>
      </c>
      <c r="L1510" s="24" t="s">
        <v>91</v>
      </c>
      <c r="M1510" s="2">
        <v>47.0</v>
      </c>
      <c r="N1510" s="25">
        <v>31.0</v>
      </c>
      <c r="O1510" s="25"/>
      <c r="P1510" s="25"/>
    </row>
    <row r="1511">
      <c r="A1511" s="16">
        <v>1509.0</v>
      </c>
      <c r="B1511" s="17" t="s">
        <v>337</v>
      </c>
      <c r="C1511" s="18">
        <v>7.0</v>
      </c>
      <c r="D1511" s="19" t="s">
        <v>2433</v>
      </c>
      <c r="E1511" s="20" t="s">
        <v>91</v>
      </c>
      <c r="F1511" s="17" t="s">
        <v>1130</v>
      </c>
      <c r="G1511" s="17" t="s">
        <v>123</v>
      </c>
      <c r="H1511" s="17" t="s">
        <v>4021</v>
      </c>
      <c r="I1511" s="17" t="s">
        <v>125</v>
      </c>
      <c r="J1511" s="22" t="s">
        <v>144</v>
      </c>
      <c r="K1511" s="23" t="s">
        <v>108</v>
      </c>
      <c r="L1511" s="24" t="s">
        <v>91</v>
      </c>
      <c r="M1511" s="2">
        <v>47.0</v>
      </c>
      <c r="N1511" s="25">
        <v>31.0</v>
      </c>
      <c r="O1511" s="25"/>
      <c r="P1511" s="25"/>
    </row>
    <row r="1512">
      <c r="A1512" s="16">
        <v>1510.0</v>
      </c>
      <c r="B1512" s="17" t="s">
        <v>337</v>
      </c>
      <c r="C1512" s="18">
        <v>8.0</v>
      </c>
      <c r="D1512" s="19" t="s">
        <v>2433</v>
      </c>
      <c r="E1512" s="20" t="s">
        <v>91</v>
      </c>
      <c r="F1512" s="17" t="s">
        <v>61</v>
      </c>
      <c r="G1512" s="17" t="s">
        <v>4148</v>
      </c>
      <c r="H1512" s="17" t="s">
        <v>4149</v>
      </c>
      <c r="I1512" s="17" t="s">
        <v>125</v>
      </c>
      <c r="J1512" s="22" t="s">
        <v>144</v>
      </c>
      <c r="K1512" s="23" t="s">
        <v>108</v>
      </c>
      <c r="L1512" s="24" t="s">
        <v>91</v>
      </c>
      <c r="M1512" s="2">
        <v>47.0</v>
      </c>
      <c r="N1512" s="25">
        <v>31.0</v>
      </c>
      <c r="O1512" s="25"/>
      <c r="P1512" s="25"/>
    </row>
    <row r="1513">
      <c r="A1513" s="16">
        <v>1511.0</v>
      </c>
      <c r="B1513" s="17" t="s">
        <v>337</v>
      </c>
      <c r="C1513" s="18">
        <v>9.0</v>
      </c>
      <c r="D1513" s="19" t="s">
        <v>2433</v>
      </c>
      <c r="E1513" s="20" t="s">
        <v>91</v>
      </c>
      <c r="F1513" s="17" t="s">
        <v>1131</v>
      </c>
      <c r="G1513" s="17" t="s">
        <v>3785</v>
      </c>
      <c r="H1513" s="17" t="s">
        <v>4150</v>
      </c>
      <c r="I1513" s="17" t="s">
        <v>125</v>
      </c>
      <c r="J1513" s="22" t="s">
        <v>144</v>
      </c>
      <c r="K1513" s="23" t="s">
        <v>108</v>
      </c>
      <c r="L1513" s="24" t="s">
        <v>91</v>
      </c>
      <c r="M1513" s="2">
        <v>47.0</v>
      </c>
      <c r="N1513" s="25">
        <v>31.0</v>
      </c>
      <c r="O1513" s="25"/>
      <c r="P1513" s="25"/>
    </row>
    <row r="1514">
      <c r="A1514" s="16">
        <v>1512.0</v>
      </c>
      <c r="B1514" s="17" t="s">
        <v>1128</v>
      </c>
      <c r="C1514" s="18">
        <v>1.0</v>
      </c>
      <c r="D1514" s="19" t="s">
        <v>3663</v>
      </c>
      <c r="E1514" s="20" t="s">
        <v>91</v>
      </c>
      <c r="F1514" s="17" t="s">
        <v>947</v>
      </c>
      <c r="G1514" s="17" t="s">
        <v>2999</v>
      </c>
      <c r="H1514" s="17" t="s">
        <v>4152</v>
      </c>
      <c r="I1514" s="17" t="s">
        <v>98</v>
      </c>
      <c r="J1514" s="22" t="s">
        <v>100</v>
      </c>
      <c r="K1514" s="23" t="s">
        <v>108</v>
      </c>
      <c r="L1514" s="24" t="s">
        <v>91</v>
      </c>
      <c r="M1514" s="2">
        <v>48.0</v>
      </c>
      <c r="N1514" s="25">
        <v>10.0</v>
      </c>
      <c r="O1514" s="25"/>
      <c r="P1514" s="25"/>
    </row>
    <row r="1515">
      <c r="A1515" s="16">
        <v>1513.0</v>
      </c>
      <c r="B1515" s="17" t="s">
        <v>1128</v>
      </c>
      <c r="C1515" s="18">
        <v>2.0</v>
      </c>
      <c r="D1515" s="19" t="s">
        <v>3656</v>
      </c>
      <c r="E1515" s="20" t="s">
        <v>91</v>
      </c>
      <c r="F1515" s="17" t="s">
        <v>1136</v>
      </c>
      <c r="G1515" s="17" t="s">
        <v>123</v>
      </c>
      <c r="H1515" s="17" t="s">
        <v>4153</v>
      </c>
      <c r="I1515" s="17" t="s">
        <v>98</v>
      </c>
      <c r="J1515" s="22" t="s">
        <v>100</v>
      </c>
      <c r="K1515" s="23" t="s">
        <v>108</v>
      </c>
      <c r="L1515" s="24" t="s">
        <v>91</v>
      </c>
      <c r="M1515" s="2">
        <v>48.0</v>
      </c>
      <c r="N1515" s="25">
        <v>10.0</v>
      </c>
      <c r="O1515" s="25"/>
      <c r="P1515" s="25"/>
    </row>
    <row r="1516">
      <c r="A1516" s="16">
        <v>1514.0</v>
      </c>
      <c r="B1516" s="17" t="s">
        <v>1128</v>
      </c>
      <c r="C1516" s="18">
        <v>3.0</v>
      </c>
      <c r="D1516" s="19" t="s">
        <v>3656</v>
      </c>
      <c r="E1516" s="20" t="s">
        <v>91</v>
      </c>
      <c r="F1516" s="17" t="s">
        <v>1113</v>
      </c>
      <c r="G1516" s="17" t="s">
        <v>4154</v>
      </c>
      <c r="H1516" s="17" t="s">
        <v>4155</v>
      </c>
      <c r="I1516" s="17" t="s">
        <v>125</v>
      </c>
      <c r="J1516" s="22" t="s">
        <v>100</v>
      </c>
      <c r="K1516" s="23" t="s">
        <v>108</v>
      </c>
      <c r="L1516" s="24" t="s">
        <v>91</v>
      </c>
      <c r="M1516" s="2">
        <v>48.0</v>
      </c>
      <c r="N1516" s="25">
        <v>11.0</v>
      </c>
      <c r="O1516" s="25"/>
      <c r="P1516" s="25"/>
    </row>
    <row r="1517">
      <c r="A1517" s="16">
        <v>1515.0</v>
      </c>
      <c r="B1517" s="17" t="s">
        <v>1128</v>
      </c>
      <c r="C1517" s="18">
        <v>4.0</v>
      </c>
      <c r="D1517" s="19" t="s">
        <v>3663</v>
      </c>
      <c r="E1517" s="20" t="s">
        <v>91</v>
      </c>
      <c r="F1517" s="17" t="s">
        <v>1133</v>
      </c>
      <c r="G1517" s="17" t="s">
        <v>4157</v>
      </c>
      <c r="H1517" s="17" t="s">
        <v>4158</v>
      </c>
      <c r="I1517" s="17" t="s">
        <v>98</v>
      </c>
      <c r="J1517" s="22" t="s">
        <v>135</v>
      </c>
      <c r="K1517" s="23" t="s">
        <v>108</v>
      </c>
      <c r="L1517" s="24" t="s">
        <v>91</v>
      </c>
      <c r="M1517" s="2">
        <v>48.0</v>
      </c>
      <c r="N1517" s="25">
        <v>20.0</v>
      </c>
      <c r="O1517" s="25"/>
      <c r="P1517" s="25"/>
    </row>
    <row r="1518">
      <c r="A1518" s="16">
        <v>1516.0</v>
      </c>
      <c r="B1518" s="17" t="s">
        <v>1128</v>
      </c>
      <c r="C1518" s="18">
        <v>5.0</v>
      </c>
      <c r="D1518" s="19" t="s">
        <v>3663</v>
      </c>
      <c r="E1518" s="20" t="s">
        <v>91</v>
      </c>
      <c r="F1518" s="17" t="s">
        <v>25</v>
      </c>
      <c r="G1518" s="17" t="s">
        <v>4159</v>
      </c>
      <c r="H1518" s="17" t="s">
        <v>4160</v>
      </c>
      <c r="I1518" s="17" t="s">
        <v>98</v>
      </c>
      <c r="J1518" s="22" t="s">
        <v>135</v>
      </c>
      <c r="K1518" s="23" t="s">
        <v>108</v>
      </c>
      <c r="L1518" s="24" t="s">
        <v>91</v>
      </c>
      <c r="M1518" s="2">
        <v>48.0</v>
      </c>
      <c r="N1518" s="25">
        <v>20.0</v>
      </c>
      <c r="O1518" s="25"/>
      <c r="P1518" s="25"/>
    </row>
    <row r="1519">
      <c r="A1519" s="16">
        <v>1517.0</v>
      </c>
      <c r="B1519" s="17" t="s">
        <v>1128</v>
      </c>
      <c r="C1519" s="18">
        <v>6.0</v>
      </c>
      <c r="D1519" s="19" t="s">
        <v>3663</v>
      </c>
      <c r="E1519" s="20" t="s">
        <v>91</v>
      </c>
      <c r="F1519" s="17" t="s">
        <v>61</v>
      </c>
      <c r="G1519" s="17" t="s">
        <v>4161</v>
      </c>
      <c r="H1519" s="17" t="s">
        <v>4158</v>
      </c>
      <c r="I1519" s="17" t="s">
        <v>98</v>
      </c>
      <c r="J1519" s="22" t="s">
        <v>135</v>
      </c>
      <c r="K1519" s="23" t="s">
        <v>108</v>
      </c>
      <c r="L1519" s="24" t="s">
        <v>91</v>
      </c>
      <c r="M1519" s="2">
        <v>48.0</v>
      </c>
      <c r="N1519" s="25">
        <v>20.0</v>
      </c>
      <c r="O1519" s="25"/>
      <c r="P1519" s="25"/>
    </row>
    <row r="1520">
      <c r="A1520" s="16">
        <v>1518.0</v>
      </c>
      <c r="B1520" s="17" t="s">
        <v>1128</v>
      </c>
      <c r="C1520" s="18">
        <v>7.0</v>
      </c>
      <c r="D1520" s="19" t="s">
        <v>3663</v>
      </c>
      <c r="E1520" s="20" t="s">
        <v>91</v>
      </c>
      <c r="F1520" s="17" t="s">
        <v>69</v>
      </c>
      <c r="G1520" s="17" t="s">
        <v>4162</v>
      </c>
      <c r="H1520" s="17" t="s">
        <v>4158</v>
      </c>
      <c r="I1520" s="17" t="s">
        <v>98</v>
      </c>
      <c r="J1520" s="22" t="s">
        <v>135</v>
      </c>
      <c r="K1520" s="23" t="s">
        <v>108</v>
      </c>
      <c r="L1520" s="24" t="s">
        <v>91</v>
      </c>
      <c r="M1520" s="2">
        <v>48.0</v>
      </c>
      <c r="N1520" s="25">
        <v>20.0</v>
      </c>
      <c r="O1520" s="25"/>
      <c r="P1520" s="25"/>
    </row>
    <row r="1521">
      <c r="A1521" s="16">
        <v>1519.0</v>
      </c>
      <c r="B1521" s="27" t="s">
        <v>1128</v>
      </c>
      <c r="C1521" s="18">
        <v>8.0</v>
      </c>
      <c r="D1521" s="19" t="s">
        <v>3663</v>
      </c>
      <c r="E1521" s="20" t="s">
        <v>91</v>
      </c>
      <c r="F1521" s="27" t="s">
        <v>1130</v>
      </c>
      <c r="G1521" s="17" t="s">
        <v>4134</v>
      </c>
      <c r="H1521" s="17" t="s">
        <v>4163</v>
      </c>
      <c r="I1521" s="17" t="s">
        <v>98</v>
      </c>
      <c r="J1521" s="22" t="s">
        <v>135</v>
      </c>
      <c r="K1521" s="23" t="s">
        <v>108</v>
      </c>
      <c r="L1521" s="24"/>
      <c r="M1521" s="2">
        <v>48.0</v>
      </c>
      <c r="N1521" s="25">
        <v>20.0</v>
      </c>
      <c r="O1521" s="25"/>
      <c r="P1521" s="25"/>
    </row>
    <row r="1522">
      <c r="A1522" s="16">
        <v>1520.0</v>
      </c>
      <c r="B1522" s="27" t="s">
        <v>1128</v>
      </c>
      <c r="C1522" s="18">
        <v>9.0</v>
      </c>
      <c r="D1522" s="19" t="s">
        <v>3663</v>
      </c>
      <c r="E1522" s="20" t="s">
        <v>91</v>
      </c>
      <c r="F1522" s="27" t="s">
        <v>1039</v>
      </c>
      <c r="G1522" s="17" t="s">
        <v>3036</v>
      </c>
      <c r="H1522" s="17" t="s">
        <v>4166</v>
      </c>
      <c r="I1522" s="17" t="s">
        <v>98</v>
      </c>
      <c r="J1522" s="22" t="s">
        <v>135</v>
      </c>
      <c r="K1522" s="23" t="s">
        <v>108</v>
      </c>
      <c r="L1522" s="24"/>
      <c r="M1522" s="2">
        <v>48.0</v>
      </c>
      <c r="N1522" s="25">
        <v>20.0</v>
      </c>
      <c r="O1522" s="25"/>
      <c r="P1522" s="25"/>
    </row>
    <row r="1523">
      <c r="A1523" s="16">
        <v>1521.0</v>
      </c>
      <c r="B1523" s="27" t="s">
        <v>1128</v>
      </c>
      <c r="C1523" s="18">
        <v>10.0</v>
      </c>
      <c r="D1523" s="19" t="s">
        <v>3663</v>
      </c>
      <c r="E1523" s="20" t="s">
        <v>91</v>
      </c>
      <c r="F1523" s="27" t="s">
        <v>1062</v>
      </c>
      <c r="G1523" s="17" t="s">
        <v>4168</v>
      </c>
      <c r="H1523" s="17" t="s">
        <v>4170</v>
      </c>
      <c r="I1523" s="17" t="s">
        <v>98</v>
      </c>
      <c r="J1523" s="22" t="s">
        <v>135</v>
      </c>
      <c r="K1523" s="23" t="s">
        <v>108</v>
      </c>
      <c r="L1523" s="24"/>
      <c r="M1523" s="2">
        <v>48.0</v>
      </c>
      <c r="N1523" s="25">
        <v>20.0</v>
      </c>
      <c r="O1523" s="25"/>
      <c r="P1523" s="25"/>
    </row>
    <row r="1524">
      <c r="A1524" s="16">
        <v>1522.0</v>
      </c>
      <c r="B1524" s="27" t="s">
        <v>1128</v>
      </c>
      <c r="C1524" s="18">
        <v>11.0</v>
      </c>
      <c r="D1524" s="19" t="s">
        <v>3663</v>
      </c>
      <c r="E1524" s="20" t="s">
        <v>91</v>
      </c>
      <c r="F1524" s="27" t="s">
        <v>1254</v>
      </c>
      <c r="G1524" s="17" t="s">
        <v>4172</v>
      </c>
      <c r="H1524" s="17" t="s">
        <v>4173</v>
      </c>
      <c r="I1524" s="17" t="s">
        <v>98</v>
      </c>
      <c r="J1524" s="22" t="s">
        <v>135</v>
      </c>
      <c r="K1524" s="23" t="s">
        <v>108</v>
      </c>
      <c r="L1524" s="24"/>
      <c r="M1524" s="2">
        <v>48.0</v>
      </c>
      <c r="N1524" s="25">
        <v>20.0</v>
      </c>
      <c r="O1524" s="25"/>
      <c r="P1524" s="25"/>
    </row>
    <row r="1525">
      <c r="A1525" s="16">
        <v>1523.0</v>
      </c>
      <c r="B1525" s="17" t="s">
        <v>1128</v>
      </c>
      <c r="C1525" s="18">
        <v>12.0</v>
      </c>
      <c r="D1525" s="19" t="s">
        <v>3656</v>
      </c>
      <c r="E1525" s="20" t="s">
        <v>91</v>
      </c>
      <c r="F1525" s="17" t="s">
        <v>576</v>
      </c>
      <c r="G1525" s="17" t="s">
        <v>4174</v>
      </c>
      <c r="H1525" s="17" t="s">
        <v>4175</v>
      </c>
      <c r="I1525" s="17" t="s">
        <v>98</v>
      </c>
      <c r="J1525" s="22" t="s">
        <v>135</v>
      </c>
      <c r="K1525" s="23" t="s">
        <v>108</v>
      </c>
      <c r="L1525" s="24" t="s">
        <v>91</v>
      </c>
      <c r="M1525" s="2">
        <v>48.0</v>
      </c>
      <c r="N1525" s="25">
        <v>20.0</v>
      </c>
      <c r="O1525" s="25"/>
      <c r="P1525" s="25"/>
    </row>
    <row r="1526">
      <c r="A1526" s="16">
        <v>1524.0</v>
      </c>
      <c r="B1526" s="17" t="s">
        <v>1128</v>
      </c>
      <c r="C1526" s="18">
        <v>13.0</v>
      </c>
      <c r="D1526" s="19" t="s">
        <v>3656</v>
      </c>
      <c r="E1526" s="20" t="s">
        <v>91</v>
      </c>
      <c r="F1526" s="17" t="s">
        <v>779</v>
      </c>
      <c r="G1526" s="17" t="s">
        <v>3751</v>
      </c>
      <c r="H1526" s="17" t="s">
        <v>4175</v>
      </c>
      <c r="I1526" s="17" t="s">
        <v>98</v>
      </c>
      <c r="J1526" s="22" t="s">
        <v>135</v>
      </c>
      <c r="K1526" s="23" t="s">
        <v>108</v>
      </c>
      <c r="L1526" s="24" t="s">
        <v>91</v>
      </c>
      <c r="M1526" s="2">
        <v>48.0</v>
      </c>
      <c r="N1526" s="25">
        <v>20.0</v>
      </c>
      <c r="O1526" s="25"/>
      <c r="P1526" s="25"/>
    </row>
    <row r="1527">
      <c r="A1527" s="16">
        <v>1525.0</v>
      </c>
      <c r="B1527" s="17" t="s">
        <v>1128</v>
      </c>
      <c r="C1527" s="18">
        <v>14.0</v>
      </c>
      <c r="D1527" s="19" t="s">
        <v>3656</v>
      </c>
      <c r="E1527" s="20" t="s">
        <v>91</v>
      </c>
      <c r="F1527" s="17" t="s">
        <v>66</v>
      </c>
      <c r="G1527" s="17" t="s">
        <v>4177</v>
      </c>
      <c r="H1527" s="17" t="s">
        <v>4175</v>
      </c>
      <c r="I1527" s="17" t="s">
        <v>98</v>
      </c>
      <c r="J1527" s="22" t="s">
        <v>135</v>
      </c>
      <c r="K1527" s="23" t="s">
        <v>108</v>
      </c>
      <c r="L1527" s="24" t="s">
        <v>91</v>
      </c>
      <c r="M1527" s="2">
        <v>48.0</v>
      </c>
      <c r="N1527" s="25">
        <v>20.0</v>
      </c>
      <c r="O1527" s="25"/>
      <c r="P1527" s="25"/>
    </row>
    <row r="1528">
      <c r="A1528" s="16">
        <v>1526.0</v>
      </c>
      <c r="B1528" s="17" t="s">
        <v>1128</v>
      </c>
      <c r="C1528" s="18">
        <v>15.0</v>
      </c>
      <c r="D1528" s="19" t="s">
        <v>3656</v>
      </c>
      <c r="E1528" s="20" t="s">
        <v>91</v>
      </c>
      <c r="F1528" s="17" t="s">
        <v>99</v>
      </c>
      <c r="G1528" s="17" t="s">
        <v>4178</v>
      </c>
      <c r="H1528" s="17" t="s">
        <v>4175</v>
      </c>
      <c r="I1528" s="17" t="s">
        <v>98</v>
      </c>
      <c r="J1528" s="22" t="s">
        <v>135</v>
      </c>
      <c r="K1528" s="23" t="s">
        <v>108</v>
      </c>
      <c r="L1528" s="24" t="s">
        <v>91</v>
      </c>
      <c r="M1528" s="2">
        <v>48.0</v>
      </c>
      <c r="N1528" s="25">
        <v>20.0</v>
      </c>
      <c r="O1528" s="25"/>
      <c r="P1528" s="25"/>
    </row>
    <row r="1529">
      <c r="A1529" s="16">
        <v>1527.0</v>
      </c>
      <c r="B1529" s="17" t="s">
        <v>1128</v>
      </c>
      <c r="C1529" s="18">
        <v>16.0</v>
      </c>
      <c r="D1529" s="19" t="s">
        <v>3656</v>
      </c>
      <c r="E1529" s="20" t="s">
        <v>91</v>
      </c>
      <c r="F1529" s="17" t="s">
        <v>934</v>
      </c>
      <c r="G1529" s="17" t="s">
        <v>1470</v>
      </c>
      <c r="H1529" s="17" t="s">
        <v>4179</v>
      </c>
      <c r="I1529" s="17" t="s">
        <v>98</v>
      </c>
      <c r="J1529" s="22" t="s">
        <v>135</v>
      </c>
      <c r="K1529" s="23" t="s">
        <v>108</v>
      </c>
      <c r="L1529" s="24" t="s">
        <v>91</v>
      </c>
      <c r="M1529" s="2">
        <v>48.0</v>
      </c>
      <c r="N1529" s="25">
        <v>20.0</v>
      </c>
      <c r="O1529" s="25"/>
      <c r="P1529" s="25"/>
    </row>
    <row r="1530">
      <c r="A1530" s="16">
        <v>1528.0</v>
      </c>
      <c r="B1530" s="27" t="s">
        <v>1128</v>
      </c>
      <c r="C1530" s="18">
        <v>17.0</v>
      </c>
      <c r="D1530" s="19" t="s">
        <v>3656</v>
      </c>
      <c r="E1530" s="20" t="s">
        <v>91</v>
      </c>
      <c r="F1530" s="27" t="s">
        <v>1009</v>
      </c>
      <c r="G1530" s="17" t="s">
        <v>4180</v>
      </c>
      <c r="H1530" s="17" t="s">
        <v>4181</v>
      </c>
      <c r="I1530" s="17" t="s">
        <v>98</v>
      </c>
      <c r="J1530" s="22" t="s">
        <v>135</v>
      </c>
      <c r="K1530" s="23" t="s">
        <v>108</v>
      </c>
      <c r="L1530" s="24"/>
      <c r="M1530" s="2">
        <v>48.0</v>
      </c>
      <c r="N1530" s="25">
        <v>20.0</v>
      </c>
      <c r="O1530" s="25"/>
      <c r="P1530" s="25"/>
    </row>
    <row r="1531">
      <c r="A1531" s="16">
        <v>1529.0</v>
      </c>
      <c r="B1531" s="17" t="s">
        <v>1128</v>
      </c>
      <c r="C1531" s="18">
        <v>18.0</v>
      </c>
      <c r="D1531" s="19" t="s">
        <v>3656</v>
      </c>
      <c r="E1531" s="20" t="s">
        <v>91</v>
      </c>
      <c r="F1531" s="17" t="s">
        <v>1067</v>
      </c>
      <c r="G1531" s="17" t="s">
        <v>4182</v>
      </c>
      <c r="H1531" s="17" t="s">
        <v>4183</v>
      </c>
      <c r="I1531" s="17" t="s">
        <v>98</v>
      </c>
      <c r="J1531" s="22" t="s">
        <v>144</v>
      </c>
      <c r="K1531" s="23" t="s">
        <v>108</v>
      </c>
      <c r="L1531" s="24" t="s">
        <v>91</v>
      </c>
      <c r="M1531" s="2">
        <v>48.0</v>
      </c>
      <c r="N1531" s="25">
        <v>30.0</v>
      </c>
      <c r="O1531" s="25"/>
      <c r="P1531" s="25"/>
    </row>
    <row r="1532">
      <c r="A1532" s="16">
        <v>1530.0</v>
      </c>
      <c r="B1532" s="17" t="s">
        <v>1128</v>
      </c>
      <c r="C1532" s="18">
        <v>19.0</v>
      </c>
      <c r="D1532" s="19" t="s">
        <v>2451</v>
      </c>
      <c r="E1532" s="20" t="s">
        <v>91</v>
      </c>
      <c r="F1532" s="17" t="s">
        <v>171</v>
      </c>
      <c r="G1532" s="17" t="s">
        <v>4184</v>
      </c>
      <c r="H1532" s="17" t="s">
        <v>4185</v>
      </c>
      <c r="I1532" s="17" t="s">
        <v>125</v>
      </c>
      <c r="J1532" s="22" t="s">
        <v>144</v>
      </c>
      <c r="K1532" s="23" t="s">
        <v>108</v>
      </c>
      <c r="L1532" s="24" t="s">
        <v>91</v>
      </c>
      <c r="M1532" s="2">
        <v>48.0</v>
      </c>
      <c r="N1532" s="25">
        <v>31.0</v>
      </c>
      <c r="O1532" s="25"/>
      <c r="P1532" s="25"/>
    </row>
    <row r="1533">
      <c r="A1533" s="16">
        <v>1531.0</v>
      </c>
      <c r="B1533" s="17" t="s">
        <v>1128</v>
      </c>
      <c r="C1533" s="18">
        <v>20.0</v>
      </c>
      <c r="D1533" s="19" t="s">
        <v>3656</v>
      </c>
      <c r="E1533" s="20" t="s">
        <v>91</v>
      </c>
      <c r="F1533" s="17" t="s">
        <v>1233</v>
      </c>
      <c r="G1533" s="17" t="s">
        <v>2975</v>
      </c>
      <c r="H1533" s="17" t="s">
        <v>4186</v>
      </c>
      <c r="I1533" s="17" t="s">
        <v>125</v>
      </c>
      <c r="J1533" s="22" t="s">
        <v>144</v>
      </c>
      <c r="K1533" s="23" t="s">
        <v>108</v>
      </c>
      <c r="L1533" s="24" t="s">
        <v>91</v>
      </c>
      <c r="M1533" s="2">
        <v>48.0</v>
      </c>
      <c r="N1533" s="25">
        <v>31.0</v>
      </c>
      <c r="O1533" s="25"/>
      <c r="P1533" s="25"/>
    </row>
    <row r="1534">
      <c r="A1534" s="16">
        <v>1532.0</v>
      </c>
      <c r="B1534" s="17" t="s">
        <v>1128</v>
      </c>
      <c r="C1534" s="18">
        <v>21.0</v>
      </c>
      <c r="D1534" s="19" t="s">
        <v>3656</v>
      </c>
      <c r="E1534" s="20" t="s">
        <v>91</v>
      </c>
      <c r="F1534" s="17" t="s">
        <v>1384</v>
      </c>
      <c r="G1534" s="17" t="s">
        <v>4187</v>
      </c>
      <c r="H1534" s="17" t="s">
        <v>4188</v>
      </c>
      <c r="I1534" s="17" t="s">
        <v>125</v>
      </c>
      <c r="J1534" s="22" t="s">
        <v>144</v>
      </c>
      <c r="K1534" s="23" t="s">
        <v>108</v>
      </c>
      <c r="L1534" s="24" t="s">
        <v>91</v>
      </c>
      <c r="M1534" s="2">
        <v>48.0</v>
      </c>
      <c r="N1534" s="25">
        <v>31.0</v>
      </c>
      <c r="O1534" s="25"/>
      <c r="P1534" s="25"/>
    </row>
    <row r="1535">
      <c r="A1535" s="16">
        <v>1533.0</v>
      </c>
      <c r="B1535" s="17" t="s">
        <v>1128</v>
      </c>
      <c r="C1535" s="18">
        <v>22.0</v>
      </c>
      <c r="D1535" s="19" t="s">
        <v>3656</v>
      </c>
      <c r="E1535" s="20" t="s">
        <v>91</v>
      </c>
      <c r="F1535" s="17" t="s">
        <v>257</v>
      </c>
      <c r="G1535" s="17" t="s">
        <v>123</v>
      </c>
      <c r="H1535" s="17" t="s">
        <v>4189</v>
      </c>
      <c r="I1535" s="17" t="s">
        <v>125</v>
      </c>
      <c r="J1535" s="22" t="s">
        <v>144</v>
      </c>
      <c r="K1535" s="23" t="s">
        <v>108</v>
      </c>
      <c r="L1535" s="24" t="s">
        <v>91</v>
      </c>
      <c r="M1535" s="2">
        <v>48.0</v>
      </c>
      <c r="N1535" s="25">
        <v>31.0</v>
      </c>
      <c r="O1535" s="25"/>
      <c r="P1535" s="25"/>
    </row>
    <row r="1536">
      <c r="A1536" s="16">
        <v>1534.0</v>
      </c>
      <c r="B1536" s="17" t="s">
        <v>1128</v>
      </c>
      <c r="C1536" s="18">
        <v>23.0</v>
      </c>
      <c r="D1536" s="19" t="s">
        <v>3656</v>
      </c>
      <c r="E1536" s="20" t="s">
        <v>91</v>
      </c>
      <c r="F1536" s="17" t="s">
        <v>1237</v>
      </c>
      <c r="G1536" s="17" t="s">
        <v>4190</v>
      </c>
      <c r="H1536" s="17" t="s">
        <v>4191</v>
      </c>
      <c r="I1536" s="17" t="s">
        <v>125</v>
      </c>
      <c r="J1536" s="22" t="s">
        <v>144</v>
      </c>
      <c r="K1536" s="23" t="s">
        <v>108</v>
      </c>
      <c r="L1536" s="24" t="s">
        <v>91</v>
      </c>
      <c r="M1536" s="2">
        <v>48.0</v>
      </c>
      <c r="N1536" s="25">
        <v>31.0</v>
      </c>
      <c r="O1536" s="25"/>
      <c r="P1536" s="25"/>
    </row>
    <row r="1537">
      <c r="A1537" s="16">
        <v>1535.0</v>
      </c>
      <c r="B1537" s="17" t="s">
        <v>1128</v>
      </c>
      <c r="C1537" s="18">
        <v>24.0</v>
      </c>
      <c r="D1537" s="19" t="s">
        <v>3656</v>
      </c>
      <c r="E1537" s="20" t="s">
        <v>91</v>
      </c>
      <c r="F1537" s="17" t="s">
        <v>1071</v>
      </c>
      <c r="G1537" s="17" t="s">
        <v>123</v>
      </c>
      <c r="H1537" s="17" t="s">
        <v>2176</v>
      </c>
      <c r="I1537" s="17" t="s">
        <v>125</v>
      </c>
      <c r="J1537" s="22" t="s">
        <v>144</v>
      </c>
      <c r="K1537" s="23" t="s">
        <v>108</v>
      </c>
      <c r="L1537" s="24" t="s">
        <v>91</v>
      </c>
      <c r="M1537" s="2">
        <v>48.0</v>
      </c>
      <c r="N1537" s="25">
        <v>31.0</v>
      </c>
      <c r="O1537" s="25"/>
      <c r="P1537" s="25"/>
    </row>
    <row r="1538">
      <c r="A1538" s="16">
        <v>1536.0</v>
      </c>
      <c r="B1538" s="17" t="s">
        <v>1128</v>
      </c>
      <c r="C1538" s="18">
        <v>25.0</v>
      </c>
      <c r="D1538" s="19" t="s">
        <v>3656</v>
      </c>
      <c r="E1538" s="20" t="s">
        <v>91</v>
      </c>
      <c r="F1538" s="17" t="s">
        <v>1131</v>
      </c>
      <c r="G1538" s="17" t="s">
        <v>123</v>
      </c>
      <c r="H1538" s="17" t="s">
        <v>4192</v>
      </c>
      <c r="I1538" s="17" t="s">
        <v>125</v>
      </c>
      <c r="J1538" s="22" t="s">
        <v>144</v>
      </c>
      <c r="K1538" s="23" t="s">
        <v>108</v>
      </c>
      <c r="L1538" s="24" t="s">
        <v>91</v>
      </c>
      <c r="M1538" s="2">
        <v>48.0</v>
      </c>
      <c r="N1538" s="25">
        <v>31.0</v>
      </c>
      <c r="O1538" s="25"/>
      <c r="P1538" s="25"/>
    </row>
    <row r="1539">
      <c r="A1539" s="16">
        <v>1537.0</v>
      </c>
      <c r="B1539" s="17" t="s">
        <v>1128</v>
      </c>
      <c r="C1539" s="18">
        <v>26.0</v>
      </c>
      <c r="D1539" s="19" t="s">
        <v>3656</v>
      </c>
      <c r="E1539" s="20" t="s">
        <v>91</v>
      </c>
      <c r="F1539" s="17" t="s">
        <v>896</v>
      </c>
      <c r="G1539" s="17" t="s">
        <v>3788</v>
      </c>
      <c r="H1539" s="17" t="s">
        <v>4193</v>
      </c>
      <c r="I1539" s="17" t="s">
        <v>125</v>
      </c>
      <c r="J1539" s="22" t="s">
        <v>144</v>
      </c>
      <c r="K1539" s="23" t="s">
        <v>108</v>
      </c>
      <c r="L1539" s="24" t="s">
        <v>91</v>
      </c>
      <c r="M1539" s="2">
        <v>48.0</v>
      </c>
      <c r="N1539" s="25">
        <v>31.0</v>
      </c>
      <c r="O1539" s="25"/>
      <c r="P1539" s="25"/>
    </row>
    <row r="1540">
      <c r="A1540" s="16">
        <v>1538.0</v>
      </c>
      <c r="B1540" s="17" t="s">
        <v>1128</v>
      </c>
      <c r="C1540" s="18">
        <v>27.0</v>
      </c>
      <c r="D1540" s="19" t="s">
        <v>3656</v>
      </c>
      <c r="E1540" s="20" t="s">
        <v>91</v>
      </c>
      <c r="F1540" s="17" t="s">
        <v>664</v>
      </c>
      <c r="G1540" s="17" t="s">
        <v>4194</v>
      </c>
      <c r="H1540" s="17" t="s">
        <v>4195</v>
      </c>
      <c r="I1540" s="17" t="s">
        <v>125</v>
      </c>
      <c r="J1540" s="22" t="s">
        <v>144</v>
      </c>
      <c r="K1540" s="23" t="s">
        <v>108</v>
      </c>
      <c r="L1540" s="24" t="s">
        <v>91</v>
      </c>
      <c r="M1540" s="2">
        <v>48.0</v>
      </c>
      <c r="N1540" s="25">
        <v>31.0</v>
      </c>
      <c r="O1540" s="25"/>
      <c r="P1540" s="25"/>
    </row>
    <row r="1541">
      <c r="A1541" s="16">
        <v>1539.0</v>
      </c>
      <c r="B1541" s="17" t="s">
        <v>1128</v>
      </c>
      <c r="C1541" s="18">
        <v>28.0</v>
      </c>
      <c r="D1541" s="19" t="s">
        <v>3656</v>
      </c>
      <c r="E1541" s="20" t="s">
        <v>91</v>
      </c>
      <c r="F1541" s="17" t="s">
        <v>810</v>
      </c>
      <c r="G1541" s="17" t="s">
        <v>812</v>
      </c>
      <c r="H1541" s="17" t="s">
        <v>4196</v>
      </c>
      <c r="I1541" s="17" t="s">
        <v>125</v>
      </c>
      <c r="J1541" s="22" t="s">
        <v>144</v>
      </c>
      <c r="K1541" s="23" t="s">
        <v>108</v>
      </c>
      <c r="L1541" s="24" t="s">
        <v>91</v>
      </c>
      <c r="M1541" s="2">
        <v>48.0</v>
      </c>
      <c r="N1541" s="25">
        <v>31.0</v>
      </c>
      <c r="O1541" s="25"/>
      <c r="P1541" s="25"/>
    </row>
    <row r="1542">
      <c r="A1542" s="16">
        <v>1540.0</v>
      </c>
      <c r="B1542" s="17" t="s">
        <v>1128</v>
      </c>
      <c r="C1542" s="18">
        <v>29.0</v>
      </c>
      <c r="D1542" s="19" t="s">
        <v>3656</v>
      </c>
      <c r="E1542" s="20" t="s">
        <v>91</v>
      </c>
      <c r="F1542" s="17" t="s">
        <v>991</v>
      </c>
      <c r="G1542" s="17" t="s">
        <v>4197</v>
      </c>
      <c r="H1542" s="17" t="s">
        <v>4198</v>
      </c>
      <c r="I1542" s="17" t="s">
        <v>125</v>
      </c>
      <c r="J1542" s="22" t="s">
        <v>144</v>
      </c>
      <c r="K1542" s="23" t="s">
        <v>108</v>
      </c>
      <c r="L1542" s="24" t="s">
        <v>91</v>
      </c>
      <c r="M1542" s="2">
        <v>48.0</v>
      </c>
      <c r="N1542" s="25">
        <v>31.0</v>
      </c>
      <c r="O1542" s="25"/>
      <c r="P1542" s="25"/>
    </row>
    <row r="1543">
      <c r="A1543" s="16">
        <v>1541.0</v>
      </c>
      <c r="B1543" s="17" t="s">
        <v>1128</v>
      </c>
      <c r="C1543" s="18">
        <v>30.0</v>
      </c>
      <c r="D1543" s="19" t="s">
        <v>3656</v>
      </c>
      <c r="E1543" s="20" t="s">
        <v>91</v>
      </c>
      <c r="F1543" s="17" t="s">
        <v>1132</v>
      </c>
      <c r="G1543" s="17" t="s">
        <v>4199</v>
      </c>
      <c r="H1543" s="17" t="s">
        <v>4200</v>
      </c>
      <c r="I1543" s="17" t="s">
        <v>125</v>
      </c>
      <c r="J1543" s="22" t="s">
        <v>144</v>
      </c>
      <c r="K1543" s="23" t="s">
        <v>108</v>
      </c>
      <c r="L1543" s="24" t="s">
        <v>91</v>
      </c>
      <c r="M1543" s="2">
        <v>48.0</v>
      </c>
      <c r="N1543" s="25">
        <v>31.0</v>
      </c>
      <c r="O1543" s="25"/>
      <c r="P1543" s="25"/>
    </row>
    <row r="1544">
      <c r="A1544" s="16">
        <v>1542.0</v>
      </c>
      <c r="B1544" s="17" t="s">
        <v>897</v>
      </c>
      <c r="C1544" s="18">
        <v>1.0</v>
      </c>
      <c r="D1544" s="19" t="s">
        <v>2480</v>
      </c>
      <c r="E1544" s="20" t="s">
        <v>91</v>
      </c>
      <c r="F1544" s="17" t="s">
        <v>738</v>
      </c>
      <c r="G1544" s="17" t="s">
        <v>3790</v>
      </c>
      <c r="H1544" s="17" t="s">
        <v>4201</v>
      </c>
      <c r="I1544" s="17" t="s">
        <v>125</v>
      </c>
      <c r="J1544" s="22" t="s">
        <v>135</v>
      </c>
      <c r="K1544" s="23" t="s">
        <v>108</v>
      </c>
      <c r="L1544" s="24" t="s">
        <v>91</v>
      </c>
      <c r="M1544" s="2">
        <v>49.0</v>
      </c>
      <c r="N1544" s="25">
        <v>21.0</v>
      </c>
      <c r="O1544" s="25"/>
      <c r="P1544" s="25"/>
    </row>
    <row r="1545">
      <c r="A1545" s="16">
        <v>1543.0</v>
      </c>
      <c r="B1545" s="17" t="s">
        <v>897</v>
      </c>
      <c r="C1545" s="18">
        <v>2.0</v>
      </c>
      <c r="D1545" s="19" t="s">
        <v>2480</v>
      </c>
      <c r="E1545" s="20" t="s">
        <v>91</v>
      </c>
      <c r="F1545" s="17" t="s">
        <v>576</v>
      </c>
      <c r="G1545" s="17" t="s">
        <v>123</v>
      </c>
      <c r="H1545" s="17" t="s">
        <v>3944</v>
      </c>
      <c r="I1545" s="17" t="s">
        <v>125</v>
      </c>
      <c r="J1545" s="22" t="s">
        <v>135</v>
      </c>
      <c r="K1545" s="23" t="s">
        <v>108</v>
      </c>
      <c r="L1545" s="24" t="s">
        <v>91</v>
      </c>
      <c r="M1545" s="2">
        <v>49.0</v>
      </c>
      <c r="N1545" s="25">
        <v>21.0</v>
      </c>
      <c r="O1545" s="25"/>
      <c r="P1545" s="25"/>
    </row>
    <row r="1546">
      <c r="A1546" s="16">
        <v>1544.0</v>
      </c>
      <c r="B1546" s="17" t="s">
        <v>897</v>
      </c>
      <c r="C1546" s="18">
        <v>3.0</v>
      </c>
      <c r="D1546" s="19" t="s">
        <v>2480</v>
      </c>
      <c r="E1546" s="20" t="s">
        <v>91</v>
      </c>
      <c r="F1546" s="17" t="s">
        <v>1009</v>
      </c>
      <c r="G1546" s="17" t="s">
        <v>123</v>
      </c>
      <c r="H1546" s="17" t="s">
        <v>3863</v>
      </c>
      <c r="I1546" s="17" t="s">
        <v>125</v>
      </c>
      <c r="J1546" s="22" t="s">
        <v>144</v>
      </c>
      <c r="K1546" s="23" t="s">
        <v>108</v>
      </c>
      <c r="L1546" s="24" t="s">
        <v>91</v>
      </c>
      <c r="M1546" s="2">
        <v>49.0</v>
      </c>
      <c r="N1546" s="25">
        <v>31.0</v>
      </c>
      <c r="O1546" s="25"/>
      <c r="P1546" s="25"/>
    </row>
    <row r="1547">
      <c r="A1547" s="16">
        <v>1545.0</v>
      </c>
      <c r="B1547" s="17" t="s">
        <v>897</v>
      </c>
      <c r="C1547" s="18">
        <v>4.0</v>
      </c>
      <c r="D1547" s="19" t="s">
        <v>2480</v>
      </c>
      <c r="E1547" s="20" t="s">
        <v>91</v>
      </c>
      <c r="F1547" s="17" t="s">
        <v>982</v>
      </c>
      <c r="G1547" s="17" t="s">
        <v>4202</v>
      </c>
      <c r="H1547" s="17" t="s">
        <v>4203</v>
      </c>
      <c r="I1547" s="17" t="s">
        <v>125</v>
      </c>
      <c r="J1547" s="22" t="s">
        <v>144</v>
      </c>
      <c r="K1547" s="23" t="s">
        <v>108</v>
      </c>
      <c r="L1547" s="24" t="s">
        <v>91</v>
      </c>
      <c r="M1547" s="2">
        <v>49.0</v>
      </c>
      <c r="N1547" s="25">
        <v>31.0</v>
      </c>
      <c r="O1547" s="25"/>
      <c r="P1547" s="25"/>
    </row>
    <row r="1548">
      <c r="A1548" s="16">
        <v>1546.0</v>
      </c>
      <c r="B1548" s="17" t="s">
        <v>897</v>
      </c>
      <c r="C1548" s="18">
        <v>5.0</v>
      </c>
      <c r="D1548" s="19" t="s">
        <v>2480</v>
      </c>
      <c r="E1548" s="20" t="s">
        <v>91</v>
      </c>
      <c r="F1548" s="17" t="s">
        <v>1239</v>
      </c>
      <c r="G1548" s="17" t="s">
        <v>3029</v>
      </c>
      <c r="H1548" s="17" t="s">
        <v>4204</v>
      </c>
      <c r="I1548" s="17" t="s">
        <v>125</v>
      </c>
      <c r="J1548" s="22" t="s">
        <v>144</v>
      </c>
      <c r="K1548" s="23" t="s">
        <v>108</v>
      </c>
      <c r="L1548" s="24" t="s">
        <v>91</v>
      </c>
      <c r="M1548" s="2">
        <v>49.0</v>
      </c>
      <c r="N1548" s="25">
        <v>31.0</v>
      </c>
      <c r="O1548" s="25"/>
      <c r="P1548" s="25"/>
    </row>
    <row r="1549">
      <c r="A1549" s="16">
        <v>1547.0</v>
      </c>
      <c r="B1549" s="17" t="s">
        <v>897</v>
      </c>
      <c r="C1549" s="18">
        <v>6.0</v>
      </c>
      <c r="D1549" s="19" t="s">
        <v>2480</v>
      </c>
      <c r="E1549" s="20" t="s">
        <v>91</v>
      </c>
      <c r="F1549" s="17" t="s">
        <v>1112</v>
      </c>
      <c r="G1549" s="17" t="s">
        <v>123</v>
      </c>
      <c r="H1549" s="17" t="s">
        <v>4205</v>
      </c>
      <c r="I1549" s="17" t="s">
        <v>125</v>
      </c>
      <c r="J1549" s="22" t="s">
        <v>144</v>
      </c>
      <c r="K1549" s="23" t="s">
        <v>108</v>
      </c>
      <c r="L1549" s="24" t="s">
        <v>91</v>
      </c>
      <c r="M1549" s="2">
        <v>49.0</v>
      </c>
      <c r="N1549" s="25">
        <v>31.0</v>
      </c>
      <c r="O1549" s="25"/>
      <c r="P1549" s="25"/>
    </row>
    <row r="1550">
      <c r="A1550" s="16">
        <v>1548.0</v>
      </c>
      <c r="B1550" s="17" t="s">
        <v>897</v>
      </c>
      <c r="C1550" s="18">
        <v>7.0</v>
      </c>
      <c r="D1550" s="19" t="s">
        <v>2480</v>
      </c>
      <c r="E1550" s="20" t="s">
        <v>91</v>
      </c>
      <c r="F1550" s="17" t="s">
        <v>845</v>
      </c>
      <c r="G1550" s="17" t="s">
        <v>1797</v>
      </c>
      <c r="H1550" s="17" t="s">
        <v>1798</v>
      </c>
      <c r="I1550" s="17" t="s">
        <v>125</v>
      </c>
      <c r="J1550" s="22" t="s">
        <v>144</v>
      </c>
      <c r="K1550" s="23" t="s">
        <v>108</v>
      </c>
      <c r="L1550" s="24" t="s">
        <v>91</v>
      </c>
      <c r="M1550" s="2">
        <v>49.0</v>
      </c>
      <c r="N1550" s="25">
        <v>31.0</v>
      </c>
      <c r="O1550" s="25"/>
      <c r="P1550" s="25"/>
    </row>
    <row r="1551">
      <c r="A1551" s="16">
        <v>1549.0</v>
      </c>
      <c r="B1551" s="17" t="s">
        <v>897</v>
      </c>
      <c r="C1551" s="18">
        <v>8.0</v>
      </c>
      <c r="D1551" s="19" t="s">
        <v>2480</v>
      </c>
      <c r="E1551" s="20" t="s">
        <v>91</v>
      </c>
      <c r="F1551" s="17" t="s">
        <v>1136</v>
      </c>
      <c r="G1551" s="17" t="s">
        <v>4206</v>
      </c>
      <c r="H1551" s="17" t="s">
        <v>4207</v>
      </c>
      <c r="I1551" s="17" t="s">
        <v>125</v>
      </c>
      <c r="J1551" s="22" t="s">
        <v>144</v>
      </c>
      <c r="K1551" s="23" t="s">
        <v>108</v>
      </c>
      <c r="L1551" s="24" t="s">
        <v>91</v>
      </c>
      <c r="M1551" s="2">
        <v>49.0</v>
      </c>
      <c r="N1551" s="25">
        <v>31.0</v>
      </c>
      <c r="O1551" s="25"/>
      <c r="P1551" s="25"/>
    </row>
    <row r="1552">
      <c r="A1552" s="16">
        <v>1550.0</v>
      </c>
      <c r="B1552" s="17" t="s">
        <v>897</v>
      </c>
      <c r="C1552" s="18">
        <v>9.0</v>
      </c>
      <c r="D1552" s="19" t="s">
        <v>2480</v>
      </c>
      <c r="E1552" s="20" t="s">
        <v>91</v>
      </c>
      <c r="F1552" s="17" t="s">
        <v>1386</v>
      </c>
      <c r="G1552" s="17" t="s">
        <v>4208</v>
      </c>
      <c r="H1552" s="17" t="s">
        <v>4209</v>
      </c>
      <c r="I1552" s="17" t="s">
        <v>125</v>
      </c>
      <c r="J1552" s="22" t="s">
        <v>144</v>
      </c>
      <c r="K1552" s="23" t="s">
        <v>108</v>
      </c>
      <c r="L1552" s="24" t="s">
        <v>91</v>
      </c>
      <c r="M1552" s="2">
        <v>49.0</v>
      </c>
      <c r="N1552" s="25">
        <v>31.0</v>
      </c>
      <c r="O1552" s="25"/>
      <c r="P1552" s="25"/>
    </row>
    <row r="1553">
      <c r="A1553" s="16">
        <v>1551.0</v>
      </c>
      <c r="B1553" s="17" t="s">
        <v>897</v>
      </c>
      <c r="C1553" s="18">
        <v>10.0</v>
      </c>
      <c r="D1553" s="19" t="s">
        <v>2480</v>
      </c>
      <c r="E1553" s="20" t="s">
        <v>91</v>
      </c>
      <c r="F1553" s="17" t="s">
        <v>1259</v>
      </c>
      <c r="G1553" s="17" t="s">
        <v>4210</v>
      </c>
      <c r="H1553" s="17" t="s">
        <v>4211</v>
      </c>
      <c r="I1553" s="17" t="s">
        <v>125</v>
      </c>
      <c r="J1553" s="22" t="s">
        <v>144</v>
      </c>
      <c r="K1553" s="23" t="s">
        <v>108</v>
      </c>
      <c r="L1553" s="24" t="s">
        <v>91</v>
      </c>
      <c r="M1553" s="2">
        <v>49.0</v>
      </c>
      <c r="N1553" s="25">
        <v>31.0</v>
      </c>
      <c r="O1553" s="25"/>
      <c r="P1553" s="25"/>
    </row>
    <row r="1554">
      <c r="A1554" s="16">
        <v>1552.0</v>
      </c>
      <c r="B1554" s="17" t="s">
        <v>897</v>
      </c>
      <c r="C1554" s="18">
        <v>11.0</v>
      </c>
      <c r="D1554" s="19" t="s">
        <v>2480</v>
      </c>
      <c r="E1554" s="20" t="s">
        <v>91</v>
      </c>
      <c r="F1554" s="17" t="s">
        <v>848</v>
      </c>
      <c r="G1554" s="17" t="s">
        <v>4212</v>
      </c>
      <c r="H1554" s="17" t="s">
        <v>4213</v>
      </c>
      <c r="I1554" s="17" t="s">
        <v>125</v>
      </c>
      <c r="J1554" s="22" t="s">
        <v>144</v>
      </c>
      <c r="K1554" s="23" t="s">
        <v>108</v>
      </c>
      <c r="L1554" s="24" t="s">
        <v>91</v>
      </c>
      <c r="M1554" s="2">
        <v>49.0</v>
      </c>
      <c r="N1554" s="25">
        <v>31.0</v>
      </c>
      <c r="O1554" s="25"/>
      <c r="P1554" s="25"/>
    </row>
    <row r="1555">
      <c r="A1555" s="16">
        <v>1553.0</v>
      </c>
      <c r="B1555" s="17" t="s">
        <v>897</v>
      </c>
      <c r="C1555" s="18">
        <v>12.0</v>
      </c>
      <c r="D1555" s="19" t="s">
        <v>2480</v>
      </c>
      <c r="E1555" s="20" t="s">
        <v>91</v>
      </c>
      <c r="F1555" s="17" t="s">
        <v>1252</v>
      </c>
      <c r="G1555" s="17" t="s">
        <v>4214</v>
      </c>
      <c r="H1555" s="17" t="s">
        <v>4215</v>
      </c>
      <c r="I1555" s="17" t="s">
        <v>125</v>
      </c>
      <c r="J1555" s="22" t="s">
        <v>144</v>
      </c>
      <c r="K1555" s="23" t="s">
        <v>108</v>
      </c>
      <c r="L1555" s="24" t="s">
        <v>91</v>
      </c>
      <c r="M1555" s="2">
        <v>49.0</v>
      </c>
      <c r="N1555" s="25">
        <v>31.0</v>
      </c>
      <c r="O1555" s="25"/>
      <c r="P1555" s="25"/>
    </row>
    <row r="1556">
      <c r="A1556" s="16">
        <v>1554.0</v>
      </c>
      <c r="B1556" s="17" t="s">
        <v>897</v>
      </c>
      <c r="C1556" s="18">
        <v>13.0</v>
      </c>
      <c r="D1556" s="19" t="s">
        <v>2480</v>
      </c>
      <c r="E1556" s="20" t="s">
        <v>91</v>
      </c>
      <c r="F1556" s="17" t="s">
        <v>1012</v>
      </c>
      <c r="G1556" s="17" t="s">
        <v>4216</v>
      </c>
      <c r="H1556" s="17" t="s">
        <v>4217</v>
      </c>
      <c r="I1556" s="17" t="s">
        <v>125</v>
      </c>
      <c r="J1556" s="22" t="s">
        <v>144</v>
      </c>
      <c r="K1556" s="23" t="s">
        <v>108</v>
      </c>
      <c r="L1556" s="24" t="s">
        <v>91</v>
      </c>
      <c r="M1556" s="2">
        <v>49.0</v>
      </c>
      <c r="N1556" s="25">
        <v>31.0</v>
      </c>
      <c r="O1556" s="25"/>
      <c r="P1556" s="25"/>
    </row>
    <row r="1557">
      <c r="A1557" s="16">
        <v>1555.0</v>
      </c>
      <c r="B1557" s="17" t="s">
        <v>897</v>
      </c>
      <c r="C1557" s="18">
        <v>14.0</v>
      </c>
      <c r="D1557" s="19" t="s">
        <v>2480</v>
      </c>
      <c r="E1557" s="20" t="s">
        <v>91</v>
      </c>
      <c r="F1557" s="17" t="s">
        <v>25</v>
      </c>
      <c r="G1557" s="17" t="s">
        <v>123</v>
      </c>
      <c r="H1557" s="17" t="s">
        <v>3843</v>
      </c>
      <c r="I1557" s="17" t="s">
        <v>125</v>
      </c>
      <c r="J1557" s="22" t="s">
        <v>144</v>
      </c>
      <c r="K1557" s="23" t="s">
        <v>108</v>
      </c>
      <c r="L1557" s="24" t="s">
        <v>91</v>
      </c>
      <c r="M1557" s="2">
        <v>49.0</v>
      </c>
      <c r="N1557" s="25">
        <v>31.0</v>
      </c>
      <c r="O1557" s="25"/>
      <c r="P1557" s="25"/>
    </row>
    <row r="1558">
      <c r="A1558" s="16">
        <v>1556.0</v>
      </c>
      <c r="B1558" s="17" t="s">
        <v>897</v>
      </c>
      <c r="C1558" s="18">
        <v>15.0</v>
      </c>
      <c r="D1558" s="19" t="s">
        <v>2480</v>
      </c>
      <c r="E1558" s="20" t="s">
        <v>91</v>
      </c>
      <c r="F1558" s="17" t="s">
        <v>1134</v>
      </c>
      <c r="G1558" s="17" t="s">
        <v>4218</v>
      </c>
      <c r="H1558" s="17" t="s">
        <v>4219</v>
      </c>
      <c r="I1558" s="17" t="s">
        <v>125</v>
      </c>
      <c r="J1558" s="22" t="s">
        <v>144</v>
      </c>
      <c r="K1558" s="23" t="s">
        <v>108</v>
      </c>
      <c r="L1558" s="24" t="s">
        <v>91</v>
      </c>
      <c r="M1558" s="2">
        <v>49.0</v>
      </c>
      <c r="N1558" s="25">
        <v>31.0</v>
      </c>
      <c r="O1558" s="25"/>
      <c r="P1558" s="25"/>
    </row>
    <row r="1559">
      <c r="A1559" s="16">
        <v>1557.0</v>
      </c>
      <c r="B1559" s="17" t="s">
        <v>897</v>
      </c>
      <c r="C1559" s="18">
        <v>16.0</v>
      </c>
      <c r="D1559" s="19" t="s">
        <v>2480</v>
      </c>
      <c r="E1559" s="20" t="s">
        <v>91</v>
      </c>
      <c r="F1559" s="17" t="s">
        <v>824</v>
      </c>
      <c r="G1559" s="17" t="s">
        <v>3813</v>
      </c>
      <c r="H1559" s="17" t="s">
        <v>4220</v>
      </c>
      <c r="I1559" s="17" t="s">
        <v>125</v>
      </c>
      <c r="J1559" s="22" t="s">
        <v>144</v>
      </c>
      <c r="K1559" s="23" t="s">
        <v>108</v>
      </c>
      <c r="L1559" s="24" t="s">
        <v>91</v>
      </c>
      <c r="M1559" s="2">
        <v>49.0</v>
      </c>
      <c r="N1559" s="25">
        <v>31.0</v>
      </c>
      <c r="O1559" s="25"/>
      <c r="P1559" s="25"/>
    </row>
    <row r="1560">
      <c r="A1560" s="16">
        <v>1558.0</v>
      </c>
      <c r="B1560" s="17" t="s">
        <v>897</v>
      </c>
      <c r="C1560" s="18">
        <v>17.0</v>
      </c>
      <c r="D1560" s="19" t="s">
        <v>2480</v>
      </c>
      <c r="E1560" s="20" t="s">
        <v>91</v>
      </c>
      <c r="F1560" s="17" t="s">
        <v>1388</v>
      </c>
      <c r="G1560" s="17" t="s">
        <v>4221</v>
      </c>
      <c r="H1560" s="17" t="s">
        <v>4222</v>
      </c>
      <c r="I1560" s="17" t="s">
        <v>125</v>
      </c>
      <c r="J1560" s="22" t="s">
        <v>144</v>
      </c>
      <c r="K1560" s="23" t="s">
        <v>108</v>
      </c>
      <c r="L1560" s="24" t="s">
        <v>91</v>
      </c>
      <c r="M1560" s="2">
        <v>49.0</v>
      </c>
      <c r="N1560" s="25">
        <v>31.0</v>
      </c>
      <c r="O1560" s="25"/>
      <c r="P1560" s="25"/>
    </row>
    <row r="1561">
      <c r="A1561" s="16">
        <v>1559.0</v>
      </c>
      <c r="B1561" s="17" t="s">
        <v>897</v>
      </c>
      <c r="C1561" s="18">
        <v>18.0</v>
      </c>
      <c r="D1561" s="19" t="s">
        <v>3683</v>
      </c>
      <c r="E1561" s="20" t="s">
        <v>91</v>
      </c>
      <c r="F1561" s="17" t="s">
        <v>899</v>
      </c>
      <c r="G1561" s="17" t="s">
        <v>4087</v>
      </c>
      <c r="H1561" s="17" t="s">
        <v>4223</v>
      </c>
      <c r="I1561" s="17" t="s">
        <v>125</v>
      </c>
      <c r="J1561" s="22" t="s">
        <v>144</v>
      </c>
      <c r="K1561" s="23" t="s">
        <v>108</v>
      </c>
      <c r="L1561" s="24" t="s">
        <v>91</v>
      </c>
      <c r="M1561" s="2">
        <v>49.0</v>
      </c>
      <c r="N1561" s="25">
        <v>31.0</v>
      </c>
      <c r="O1561" s="25"/>
      <c r="P1561" s="25"/>
    </row>
    <row r="1562">
      <c r="A1562" s="16">
        <v>1560.0</v>
      </c>
      <c r="B1562" s="17" t="s">
        <v>165</v>
      </c>
      <c r="C1562" s="18">
        <v>1.0</v>
      </c>
      <c r="D1562" s="19" t="s">
        <v>2508</v>
      </c>
      <c r="E1562" s="20" t="s">
        <v>91</v>
      </c>
      <c r="F1562" s="17" t="s">
        <v>400</v>
      </c>
      <c r="G1562" s="17" t="s">
        <v>4224</v>
      </c>
      <c r="H1562" s="17" t="s">
        <v>4225</v>
      </c>
      <c r="I1562" s="17" t="s">
        <v>125</v>
      </c>
      <c r="J1562" s="22" t="s">
        <v>100</v>
      </c>
      <c r="K1562" s="23" t="s">
        <v>108</v>
      </c>
      <c r="L1562" s="24" t="s">
        <v>91</v>
      </c>
      <c r="M1562" s="2">
        <v>50.0</v>
      </c>
      <c r="N1562" s="25">
        <v>11.0</v>
      </c>
      <c r="O1562" s="25"/>
      <c r="P1562" s="25"/>
    </row>
    <row r="1563">
      <c r="A1563" s="16">
        <v>1561.0</v>
      </c>
      <c r="B1563" s="17" t="s">
        <v>165</v>
      </c>
      <c r="C1563" s="18">
        <v>2.0</v>
      </c>
      <c r="D1563" s="19" t="s">
        <v>2508</v>
      </c>
      <c r="E1563" s="20" t="s">
        <v>91</v>
      </c>
      <c r="F1563" s="17" t="s">
        <v>74</v>
      </c>
      <c r="G1563" s="17" t="s">
        <v>123</v>
      </c>
      <c r="H1563" s="17" t="s">
        <v>4226</v>
      </c>
      <c r="I1563" s="17" t="s">
        <v>125</v>
      </c>
      <c r="J1563" s="22" t="s">
        <v>135</v>
      </c>
      <c r="K1563" s="23" t="s">
        <v>108</v>
      </c>
      <c r="L1563" s="24" t="s">
        <v>4227</v>
      </c>
      <c r="M1563" s="2">
        <v>50.0</v>
      </c>
      <c r="N1563" s="25">
        <v>26.0</v>
      </c>
      <c r="O1563" s="25"/>
      <c r="P1563" s="25"/>
    </row>
    <row r="1564">
      <c r="A1564" s="16">
        <v>1562.0</v>
      </c>
      <c r="B1564" s="17" t="s">
        <v>165</v>
      </c>
      <c r="C1564" s="18">
        <v>3.0</v>
      </c>
      <c r="D1564" s="19" t="s">
        <v>3703</v>
      </c>
      <c r="E1564" s="20" t="s">
        <v>91</v>
      </c>
      <c r="F1564" s="17" t="s">
        <v>791</v>
      </c>
      <c r="G1564" s="17" t="s">
        <v>4228</v>
      </c>
      <c r="H1564" s="17" t="s">
        <v>4229</v>
      </c>
      <c r="I1564" s="17" t="s">
        <v>125</v>
      </c>
      <c r="J1564" s="22" t="s">
        <v>144</v>
      </c>
      <c r="K1564" s="23" t="s">
        <v>108</v>
      </c>
      <c r="L1564" s="24" t="s">
        <v>91</v>
      </c>
      <c r="M1564" s="2">
        <v>50.0</v>
      </c>
      <c r="N1564" s="25">
        <v>31.0</v>
      </c>
      <c r="O1564" s="25"/>
      <c r="P1564" s="25"/>
    </row>
    <row r="1565">
      <c r="A1565" s="16">
        <v>1563.0</v>
      </c>
      <c r="B1565" s="17" t="s">
        <v>165</v>
      </c>
      <c r="C1565" s="18">
        <v>4.0</v>
      </c>
      <c r="D1565" s="19" t="s">
        <v>3703</v>
      </c>
      <c r="E1565" s="20" t="s">
        <v>91</v>
      </c>
      <c r="F1565" s="17" t="s">
        <v>1013</v>
      </c>
      <c r="G1565" s="17" t="s">
        <v>123</v>
      </c>
      <c r="H1565" s="17" t="s">
        <v>4230</v>
      </c>
      <c r="I1565" s="17" t="s">
        <v>125</v>
      </c>
      <c r="J1565" s="22" t="s">
        <v>144</v>
      </c>
      <c r="K1565" s="23" t="s">
        <v>108</v>
      </c>
      <c r="L1565" s="24" t="s">
        <v>91</v>
      </c>
      <c r="M1565" s="2">
        <v>50.0</v>
      </c>
      <c r="N1565" s="25">
        <v>31.0</v>
      </c>
      <c r="O1565" s="25"/>
      <c r="P1565" s="25"/>
    </row>
    <row r="1566">
      <c r="A1566" s="16">
        <v>1564.0</v>
      </c>
      <c r="B1566" s="17" t="s">
        <v>165</v>
      </c>
      <c r="C1566" s="18">
        <v>5.0</v>
      </c>
      <c r="D1566" s="19" t="s">
        <v>3703</v>
      </c>
      <c r="E1566" s="20" t="s">
        <v>91</v>
      </c>
      <c r="F1566" s="17" t="s">
        <v>309</v>
      </c>
      <c r="G1566" s="17" t="s">
        <v>310</v>
      </c>
      <c r="H1566" s="17" t="s">
        <v>4231</v>
      </c>
      <c r="I1566" s="17" t="s">
        <v>125</v>
      </c>
      <c r="J1566" s="22" t="s">
        <v>144</v>
      </c>
      <c r="K1566" s="23" t="s">
        <v>108</v>
      </c>
      <c r="L1566" s="24" t="s">
        <v>91</v>
      </c>
      <c r="M1566" s="2">
        <v>50.0</v>
      </c>
      <c r="N1566" s="25">
        <v>31.0</v>
      </c>
      <c r="O1566" s="25"/>
      <c r="P1566" s="25"/>
    </row>
    <row r="1567">
      <c r="A1567" s="16">
        <v>1565.0</v>
      </c>
      <c r="B1567" s="17" t="s">
        <v>165</v>
      </c>
      <c r="C1567" s="18">
        <v>6.0</v>
      </c>
      <c r="D1567" s="19" t="s">
        <v>3703</v>
      </c>
      <c r="E1567" s="20" t="s">
        <v>91</v>
      </c>
      <c r="F1567" s="17" t="s">
        <v>1389</v>
      </c>
      <c r="G1567" s="17" t="s">
        <v>4232</v>
      </c>
      <c r="H1567" s="17" t="s">
        <v>4233</v>
      </c>
      <c r="I1567" s="17" t="s">
        <v>125</v>
      </c>
      <c r="J1567" s="22" t="s">
        <v>144</v>
      </c>
      <c r="K1567" s="23" t="s">
        <v>108</v>
      </c>
      <c r="L1567" s="24" t="s">
        <v>91</v>
      </c>
      <c r="M1567" s="2">
        <v>50.0</v>
      </c>
      <c r="N1567" s="25">
        <v>31.0</v>
      </c>
      <c r="O1567" s="25"/>
      <c r="P1567" s="25"/>
    </row>
    <row r="1568">
      <c r="A1568" s="16">
        <v>1566.0</v>
      </c>
      <c r="B1568" s="17" t="s">
        <v>165</v>
      </c>
      <c r="C1568" s="18">
        <v>7.0</v>
      </c>
      <c r="D1568" s="19" t="s">
        <v>3703</v>
      </c>
      <c r="E1568" s="20" t="s">
        <v>91</v>
      </c>
      <c r="F1568" s="17" t="s">
        <v>902</v>
      </c>
      <c r="G1568" s="17" t="s">
        <v>4234</v>
      </c>
      <c r="H1568" s="17" t="s">
        <v>4235</v>
      </c>
      <c r="I1568" s="17" t="s">
        <v>125</v>
      </c>
      <c r="J1568" s="22" t="s">
        <v>144</v>
      </c>
      <c r="K1568" s="23" t="s">
        <v>108</v>
      </c>
      <c r="L1568" s="24" t="s">
        <v>91</v>
      </c>
      <c r="M1568" s="2">
        <v>50.0</v>
      </c>
      <c r="N1568" s="25">
        <v>31.0</v>
      </c>
      <c r="O1568" s="25"/>
      <c r="P1568" s="25"/>
    </row>
    <row r="1569">
      <c r="A1569" s="16">
        <v>1567.0</v>
      </c>
      <c r="B1569" s="17" t="s">
        <v>165</v>
      </c>
      <c r="C1569" s="18">
        <v>8.0</v>
      </c>
      <c r="D1569" s="19" t="s">
        <v>3705</v>
      </c>
      <c r="E1569" s="20" t="s">
        <v>91</v>
      </c>
      <c r="F1569" s="17" t="s">
        <v>1390</v>
      </c>
      <c r="G1569" s="17" t="s">
        <v>4236</v>
      </c>
      <c r="H1569" s="17" t="s">
        <v>4237</v>
      </c>
      <c r="I1569" s="17" t="s">
        <v>125</v>
      </c>
      <c r="J1569" s="22" t="s">
        <v>144</v>
      </c>
      <c r="K1569" s="23" t="s">
        <v>108</v>
      </c>
      <c r="L1569" s="24" t="s">
        <v>91</v>
      </c>
      <c r="M1569" s="2">
        <v>50.0</v>
      </c>
      <c r="N1569" s="25">
        <v>31.0</v>
      </c>
      <c r="O1569" s="25"/>
      <c r="P1569" s="25"/>
    </row>
    <row r="1570">
      <c r="A1570" s="16">
        <v>1568.0</v>
      </c>
      <c r="B1570" s="17" t="s">
        <v>165</v>
      </c>
      <c r="C1570" s="18">
        <v>9.0</v>
      </c>
      <c r="D1570" s="19" t="s">
        <v>2508</v>
      </c>
      <c r="E1570" s="20" t="s">
        <v>91</v>
      </c>
      <c r="F1570" s="17" t="s">
        <v>531</v>
      </c>
      <c r="G1570" s="17" t="s">
        <v>4238</v>
      </c>
      <c r="H1570" s="17" t="s">
        <v>4239</v>
      </c>
      <c r="I1570" s="17" t="s">
        <v>125</v>
      </c>
      <c r="J1570" s="22" t="s">
        <v>144</v>
      </c>
      <c r="K1570" s="23" t="s">
        <v>108</v>
      </c>
      <c r="L1570" s="24" t="s">
        <v>91</v>
      </c>
      <c r="M1570" s="2">
        <v>50.0</v>
      </c>
      <c r="N1570" s="25">
        <v>31.0</v>
      </c>
      <c r="O1570" s="25"/>
      <c r="P1570" s="25"/>
    </row>
    <row r="1571">
      <c r="A1571" s="16">
        <v>1569.0</v>
      </c>
      <c r="B1571" s="17" t="s">
        <v>165</v>
      </c>
      <c r="C1571" s="18">
        <v>10.0</v>
      </c>
      <c r="D1571" s="19" t="s">
        <v>2508</v>
      </c>
      <c r="E1571" s="20" t="s">
        <v>91</v>
      </c>
      <c r="F1571" s="17" t="s">
        <v>886</v>
      </c>
      <c r="G1571" s="17" t="s">
        <v>3243</v>
      </c>
      <c r="H1571" s="17" t="s">
        <v>4240</v>
      </c>
      <c r="I1571" s="17" t="s">
        <v>125</v>
      </c>
      <c r="J1571" s="22" t="s">
        <v>144</v>
      </c>
      <c r="K1571" s="23" t="s">
        <v>108</v>
      </c>
      <c r="L1571" s="24" t="s">
        <v>91</v>
      </c>
      <c r="M1571" s="2">
        <v>50.0</v>
      </c>
      <c r="N1571" s="25">
        <v>31.0</v>
      </c>
      <c r="O1571" s="25"/>
      <c r="P1571" s="25"/>
    </row>
    <row r="1572">
      <c r="A1572" s="16">
        <v>1570.0</v>
      </c>
      <c r="B1572" s="17" t="s">
        <v>165</v>
      </c>
      <c r="C1572" s="18">
        <v>11.0</v>
      </c>
      <c r="D1572" s="19" t="s">
        <v>2508</v>
      </c>
      <c r="E1572" s="20" t="s">
        <v>91</v>
      </c>
      <c r="F1572" s="17" t="s">
        <v>106</v>
      </c>
      <c r="G1572" s="17" t="s">
        <v>123</v>
      </c>
      <c r="H1572" s="17" t="s">
        <v>4241</v>
      </c>
      <c r="I1572" s="17" t="s">
        <v>125</v>
      </c>
      <c r="J1572" s="22" t="s">
        <v>144</v>
      </c>
      <c r="K1572" s="23" t="s">
        <v>108</v>
      </c>
      <c r="L1572" s="24" t="s">
        <v>91</v>
      </c>
      <c r="M1572" s="2">
        <v>50.0</v>
      </c>
      <c r="N1572" s="25">
        <v>31.0</v>
      </c>
      <c r="O1572" s="25"/>
      <c r="P1572" s="25"/>
    </row>
    <row r="1573">
      <c r="A1573" s="16">
        <v>1571.0</v>
      </c>
      <c r="B1573" s="17" t="s">
        <v>1770</v>
      </c>
      <c r="C1573" s="18">
        <v>1.0</v>
      </c>
      <c r="D1573" s="19" t="s">
        <v>3726</v>
      </c>
      <c r="E1573" s="20" t="s">
        <v>91</v>
      </c>
      <c r="F1573" s="17" t="s">
        <v>1033</v>
      </c>
      <c r="G1573" s="17" t="s">
        <v>4242</v>
      </c>
      <c r="H1573" s="17" t="s">
        <v>4243</v>
      </c>
      <c r="I1573" s="17" t="s">
        <v>125</v>
      </c>
      <c r="J1573" s="22" t="s">
        <v>144</v>
      </c>
      <c r="K1573" s="23" t="s">
        <v>108</v>
      </c>
      <c r="L1573" s="24" t="s">
        <v>91</v>
      </c>
      <c r="M1573" s="2">
        <v>51.0</v>
      </c>
      <c r="N1573" s="25">
        <v>31.0</v>
      </c>
      <c r="O1573" s="25"/>
      <c r="P1573" s="25"/>
    </row>
    <row r="1574">
      <c r="A1574" s="16">
        <v>1572.0</v>
      </c>
      <c r="B1574" s="17" t="s">
        <v>1770</v>
      </c>
      <c r="C1574" s="18">
        <v>2.0</v>
      </c>
      <c r="D1574" s="19" t="s">
        <v>3726</v>
      </c>
      <c r="E1574" s="20" t="s">
        <v>91</v>
      </c>
      <c r="F1574" s="17" t="s">
        <v>1391</v>
      </c>
      <c r="G1574" s="17" t="s">
        <v>123</v>
      </c>
      <c r="H1574" s="17" t="s">
        <v>4244</v>
      </c>
      <c r="I1574" s="17" t="s">
        <v>125</v>
      </c>
      <c r="J1574" s="22" t="s">
        <v>144</v>
      </c>
      <c r="K1574" s="23" t="s">
        <v>108</v>
      </c>
      <c r="L1574" s="24" t="s">
        <v>91</v>
      </c>
      <c r="M1574" s="2">
        <v>51.0</v>
      </c>
      <c r="N1574" s="25">
        <v>31.0</v>
      </c>
      <c r="O1574" s="25"/>
      <c r="P1574" s="25"/>
    </row>
    <row r="1575">
      <c r="A1575" s="16">
        <v>1573.0</v>
      </c>
      <c r="B1575" s="17" t="s">
        <v>1770</v>
      </c>
      <c r="C1575" s="18">
        <v>3.0</v>
      </c>
      <c r="D1575" s="19" t="s">
        <v>3726</v>
      </c>
      <c r="E1575" s="20" t="s">
        <v>91</v>
      </c>
      <c r="F1575" s="17" t="s">
        <v>1392</v>
      </c>
      <c r="G1575" s="17" t="s">
        <v>123</v>
      </c>
      <c r="H1575" s="17" t="s">
        <v>4244</v>
      </c>
      <c r="I1575" s="17" t="s">
        <v>125</v>
      </c>
      <c r="J1575" s="22" t="s">
        <v>144</v>
      </c>
      <c r="K1575" s="23" t="s">
        <v>108</v>
      </c>
      <c r="L1575" s="24" t="s">
        <v>91</v>
      </c>
      <c r="M1575" s="2">
        <v>51.0</v>
      </c>
      <c r="N1575" s="25">
        <v>31.0</v>
      </c>
      <c r="O1575" s="25"/>
      <c r="P1575" s="25"/>
    </row>
    <row r="1576">
      <c r="A1576" s="16">
        <v>1574.0</v>
      </c>
      <c r="B1576" s="17" t="s">
        <v>1770</v>
      </c>
      <c r="C1576" s="18">
        <v>4.0</v>
      </c>
      <c r="D1576" s="19" t="s">
        <v>3726</v>
      </c>
      <c r="E1576" s="20" t="s">
        <v>91</v>
      </c>
      <c r="F1576" s="17" t="s">
        <v>1393</v>
      </c>
      <c r="G1576" s="17" t="s">
        <v>123</v>
      </c>
      <c r="H1576" s="17" t="s">
        <v>4245</v>
      </c>
      <c r="I1576" s="17" t="s">
        <v>125</v>
      </c>
      <c r="J1576" s="22" t="s">
        <v>144</v>
      </c>
      <c r="K1576" s="23" t="s">
        <v>108</v>
      </c>
      <c r="L1576" s="24" t="s">
        <v>91</v>
      </c>
      <c r="M1576" s="2">
        <v>51.0</v>
      </c>
      <c r="N1576" s="25">
        <v>31.0</v>
      </c>
      <c r="O1576" s="25"/>
      <c r="P1576" s="25"/>
    </row>
    <row r="1577">
      <c r="A1577" s="16">
        <v>1575.0</v>
      </c>
      <c r="B1577" s="17" t="s">
        <v>1770</v>
      </c>
      <c r="C1577" s="18">
        <v>5.0</v>
      </c>
      <c r="D1577" s="19" t="s">
        <v>3726</v>
      </c>
      <c r="E1577" s="20" t="s">
        <v>91</v>
      </c>
      <c r="F1577" s="17" t="s">
        <v>1395</v>
      </c>
      <c r="G1577" s="17" t="s">
        <v>4246</v>
      </c>
      <c r="H1577" s="17" t="s">
        <v>4247</v>
      </c>
      <c r="I1577" s="17" t="s">
        <v>125</v>
      </c>
      <c r="J1577" s="22" t="s">
        <v>144</v>
      </c>
      <c r="K1577" s="23" t="s">
        <v>108</v>
      </c>
      <c r="L1577" s="24" t="s">
        <v>91</v>
      </c>
      <c r="M1577" s="2">
        <v>51.0</v>
      </c>
      <c r="N1577" s="25">
        <v>31.0</v>
      </c>
      <c r="O1577" s="25"/>
      <c r="P1577" s="25"/>
    </row>
    <row r="1578">
      <c r="A1578" s="16">
        <v>1576.0</v>
      </c>
      <c r="B1578" s="17" t="s">
        <v>1770</v>
      </c>
      <c r="C1578" s="18">
        <v>6.0</v>
      </c>
      <c r="D1578" s="19" t="s">
        <v>3726</v>
      </c>
      <c r="E1578" s="20" t="s">
        <v>91</v>
      </c>
      <c r="F1578" s="17" t="s">
        <v>1396</v>
      </c>
      <c r="G1578" s="17" t="s">
        <v>4248</v>
      </c>
      <c r="H1578" s="17" t="s">
        <v>4249</v>
      </c>
      <c r="I1578" s="17" t="s">
        <v>125</v>
      </c>
      <c r="J1578" s="22" t="s">
        <v>144</v>
      </c>
      <c r="K1578" s="23" t="s">
        <v>108</v>
      </c>
      <c r="L1578" s="24" t="s">
        <v>91</v>
      </c>
      <c r="M1578" s="2">
        <v>51.0</v>
      </c>
      <c r="N1578" s="25">
        <v>31.0</v>
      </c>
      <c r="O1578" s="25"/>
      <c r="P1578" s="25"/>
    </row>
    <row r="1579">
      <c r="A1579" s="16">
        <v>1577.0</v>
      </c>
      <c r="B1579" s="17" t="s">
        <v>1770</v>
      </c>
      <c r="C1579" s="18">
        <v>7.0</v>
      </c>
      <c r="D1579" s="19" t="s">
        <v>3726</v>
      </c>
      <c r="E1579" s="20" t="s">
        <v>91</v>
      </c>
      <c r="F1579" s="17" t="s">
        <v>1397</v>
      </c>
      <c r="G1579" s="17" t="s">
        <v>123</v>
      </c>
      <c r="H1579" s="17" t="s">
        <v>4250</v>
      </c>
      <c r="I1579" s="17" t="s">
        <v>125</v>
      </c>
      <c r="J1579" s="22" t="s">
        <v>144</v>
      </c>
      <c r="K1579" s="23" t="s">
        <v>108</v>
      </c>
      <c r="L1579" s="24" t="s">
        <v>91</v>
      </c>
      <c r="M1579" s="2">
        <v>51.0</v>
      </c>
      <c r="N1579" s="25">
        <v>31.0</v>
      </c>
      <c r="O1579" s="25"/>
      <c r="P1579" s="25"/>
    </row>
    <row r="1580">
      <c r="A1580" s="16">
        <v>1578.0</v>
      </c>
      <c r="B1580" s="17" t="s">
        <v>1770</v>
      </c>
      <c r="C1580" s="18">
        <v>8.0</v>
      </c>
      <c r="D1580" s="19" t="s">
        <v>3726</v>
      </c>
      <c r="E1580" s="20" t="s">
        <v>91</v>
      </c>
      <c r="F1580" s="17" t="s">
        <v>1398</v>
      </c>
      <c r="G1580" s="17" t="s">
        <v>4251</v>
      </c>
      <c r="H1580" s="17" t="s">
        <v>4252</v>
      </c>
      <c r="I1580" s="17" t="s">
        <v>125</v>
      </c>
      <c r="J1580" s="22" t="s">
        <v>144</v>
      </c>
      <c r="K1580" s="23" t="s">
        <v>108</v>
      </c>
      <c r="L1580" s="24" t="s">
        <v>91</v>
      </c>
      <c r="M1580" s="2">
        <v>51.0</v>
      </c>
      <c r="N1580" s="25">
        <v>31.0</v>
      </c>
      <c r="O1580" s="25"/>
      <c r="P1580" s="25"/>
    </row>
    <row r="1581">
      <c r="A1581" s="16">
        <v>1579.0</v>
      </c>
      <c r="B1581" s="17" t="s">
        <v>1770</v>
      </c>
      <c r="C1581" s="18">
        <v>9.0</v>
      </c>
      <c r="D1581" s="19" t="s">
        <v>3726</v>
      </c>
      <c r="E1581" s="20" t="s">
        <v>91</v>
      </c>
      <c r="F1581" s="17" t="s">
        <v>1399</v>
      </c>
      <c r="G1581" s="17" t="s">
        <v>4253</v>
      </c>
      <c r="H1581" s="17" t="s">
        <v>4254</v>
      </c>
      <c r="I1581" s="17" t="s">
        <v>125</v>
      </c>
      <c r="J1581" s="22" t="s">
        <v>144</v>
      </c>
      <c r="K1581" s="23" t="s">
        <v>108</v>
      </c>
      <c r="L1581" s="24" t="s">
        <v>91</v>
      </c>
      <c r="M1581" s="2">
        <v>51.0</v>
      </c>
      <c r="N1581" s="25">
        <v>31.0</v>
      </c>
      <c r="O1581" s="25"/>
      <c r="P1581" s="25"/>
    </row>
    <row r="1582">
      <c r="A1582" s="16">
        <v>1580.0</v>
      </c>
      <c r="B1582" s="17" t="s">
        <v>1770</v>
      </c>
      <c r="C1582" s="18">
        <v>10.0</v>
      </c>
      <c r="D1582" s="19" t="s">
        <v>3726</v>
      </c>
      <c r="E1582" s="20" t="s">
        <v>91</v>
      </c>
      <c r="F1582" s="17" t="s">
        <v>1222</v>
      </c>
      <c r="G1582" s="17" t="s">
        <v>4255</v>
      </c>
      <c r="H1582" s="17" t="s">
        <v>4256</v>
      </c>
      <c r="I1582" s="17" t="s">
        <v>125</v>
      </c>
      <c r="J1582" s="22" t="s">
        <v>144</v>
      </c>
      <c r="K1582" s="23" t="s">
        <v>108</v>
      </c>
      <c r="L1582" s="24" t="s">
        <v>91</v>
      </c>
      <c r="M1582" s="2">
        <v>51.0</v>
      </c>
      <c r="N1582" s="25">
        <v>31.0</v>
      </c>
      <c r="O1582" s="25"/>
      <c r="P1582" s="25"/>
    </row>
    <row r="1583">
      <c r="A1583" s="16">
        <v>1581.0</v>
      </c>
      <c r="B1583" s="17" t="s">
        <v>1770</v>
      </c>
      <c r="C1583" s="18">
        <v>11.0</v>
      </c>
      <c r="D1583" s="19" t="s">
        <v>3726</v>
      </c>
      <c r="E1583" s="20" t="s">
        <v>91</v>
      </c>
      <c r="F1583" s="17" t="s">
        <v>1244</v>
      </c>
      <c r="G1583" s="17" t="s">
        <v>4257</v>
      </c>
      <c r="H1583" s="17" t="s">
        <v>4258</v>
      </c>
      <c r="I1583" s="17" t="s">
        <v>125</v>
      </c>
      <c r="J1583" s="22" t="s">
        <v>144</v>
      </c>
      <c r="K1583" s="23" t="s">
        <v>108</v>
      </c>
      <c r="L1583" s="24" t="s">
        <v>91</v>
      </c>
      <c r="M1583" s="2">
        <v>51.0</v>
      </c>
      <c r="N1583" s="25">
        <v>31.0</v>
      </c>
      <c r="O1583" s="25"/>
      <c r="P1583" s="25"/>
    </row>
    <row r="1584">
      <c r="A1584" s="16">
        <v>1582.0</v>
      </c>
      <c r="B1584" s="17" t="s">
        <v>1770</v>
      </c>
      <c r="C1584" s="18">
        <v>12.0</v>
      </c>
      <c r="D1584" s="19" t="s">
        <v>3726</v>
      </c>
      <c r="E1584" s="20" t="s">
        <v>91</v>
      </c>
      <c r="F1584" s="17" t="s">
        <v>1400</v>
      </c>
      <c r="G1584" s="17" t="s">
        <v>4259</v>
      </c>
      <c r="H1584" s="17" t="s">
        <v>4260</v>
      </c>
      <c r="I1584" s="17" t="s">
        <v>125</v>
      </c>
      <c r="J1584" s="22" t="s">
        <v>144</v>
      </c>
      <c r="K1584" s="23" t="s">
        <v>108</v>
      </c>
      <c r="L1584" s="24" t="s">
        <v>91</v>
      </c>
      <c r="M1584" s="2">
        <v>51.0</v>
      </c>
      <c r="N1584" s="25">
        <v>31.0</v>
      </c>
      <c r="O1584" s="25"/>
      <c r="P1584" s="25"/>
    </row>
    <row r="1585">
      <c r="A1585" s="16">
        <v>1583.0</v>
      </c>
      <c r="B1585" s="17" t="s">
        <v>1770</v>
      </c>
      <c r="C1585" s="18">
        <v>13.0</v>
      </c>
      <c r="D1585" s="19" t="s">
        <v>3726</v>
      </c>
      <c r="E1585" s="20" t="s">
        <v>91</v>
      </c>
      <c r="F1585" s="17" t="s">
        <v>1403</v>
      </c>
      <c r="G1585" s="17" t="s">
        <v>4261</v>
      </c>
      <c r="H1585" s="17" t="s">
        <v>4262</v>
      </c>
      <c r="I1585" s="17" t="s">
        <v>125</v>
      </c>
      <c r="J1585" s="22" t="s">
        <v>144</v>
      </c>
      <c r="K1585" s="23" t="s">
        <v>108</v>
      </c>
      <c r="L1585" s="24" t="s">
        <v>91</v>
      </c>
      <c r="M1585" s="2">
        <v>51.0</v>
      </c>
      <c r="N1585" s="25">
        <v>31.0</v>
      </c>
      <c r="O1585" s="25"/>
      <c r="P1585" s="25"/>
    </row>
    <row r="1586">
      <c r="A1586" s="16">
        <v>1584.0</v>
      </c>
      <c r="B1586" s="17" t="s">
        <v>1770</v>
      </c>
      <c r="C1586" s="18">
        <v>14.0</v>
      </c>
      <c r="D1586" s="19" t="s">
        <v>3726</v>
      </c>
      <c r="E1586" s="20" t="s">
        <v>91</v>
      </c>
      <c r="F1586" s="17" t="s">
        <v>1224</v>
      </c>
      <c r="G1586" s="17" t="s">
        <v>4263</v>
      </c>
      <c r="H1586" s="17" t="s">
        <v>4264</v>
      </c>
      <c r="I1586" s="17" t="s">
        <v>125</v>
      </c>
      <c r="J1586" s="22" t="s">
        <v>144</v>
      </c>
      <c r="K1586" s="23" t="s">
        <v>108</v>
      </c>
      <c r="L1586" s="24" t="s">
        <v>91</v>
      </c>
      <c r="M1586" s="2">
        <v>51.0</v>
      </c>
      <c r="N1586" s="25">
        <v>31.0</v>
      </c>
      <c r="O1586" s="25"/>
      <c r="P1586" s="25"/>
    </row>
    <row r="1587">
      <c r="A1587" s="16">
        <v>1585.0</v>
      </c>
      <c r="B1587" s="17" t="s">
        <v>1770</v>
      </c>
      <c r="C1587" s="18">
        <v>15.0</v>
      </c>
      <c r="D1587" s="19" t="s">
        <v>3726</v>
      </c>
      <c r="E1587" s="20" t="s">
        <v>91</v>
      </c>
      <c r="F1587" s="17" t="s">
        <v>1404</v>
      </c>
      <c r="G1587" s="17" t="s">
        <v>4265</v>
      </c>
      <c r="H1587" s="17" t="s">
        <v>4266</v>
      </c>
      <c r="I1587" s="17" t="s">
        <v>125</v>
      </c>
      <c r="J1587" s="22" t="s">
        <v>144</v>
      </c>
      <c r="K1587" s="23" t="s">
        <v>108</v>
      </c>
      <c r="L1587" s="24" t="s">
        <v>91</v>
      </c>
      <c r="M1587" s="2">
        <v>51.0</v>
      </c>
      <c r="N1587" s="25">
        <v>31.0</v>
      </c>
      <c r="O1587" s="25"/>
      <c r="P1587" s="25"/>
    </row>
    <row r="1588">
      <c r="A1588" s="16">
        <v>1586.0</v>
      </c>
      <c r="B1588" s="17" t="s">
        <v>1770</v>
      </c>
      <c r="C1588" s="18">
        <v>16.0</v>
      </c>
      <c r="D1588" s="19" t="s">
        <v>3726</v>
      </c>
      <c r="E1588" s="20" t="s">
        <v>91</v>
      </c>
      <c r="F1588" s="17" t="s">
        <v>1405</v>
      </c>
      <c r="G1588" s="17" t="s">
        <v>4267</v>
      </c>
      <c r="H1588" s="17" t="s">
        <v>4268</v>
      </c>
      <c r="I1588" s="17" t="s">
        <v>125</v>
      </c>
      <c r="J1588" s="22" t="s">
        <v>144</v>
      </c>
      <c r="K1588" s="23" t="s">
        <v>108</v>
      </c>
      <c r="L1588" s="24" t="s">
        <v>91</v>
      </c>
      <c r="M1588" s="2">
        <v>51.0</v>
      </c>
      <c r="N1588" s="25">
        <v>31.0</v>
      </c>
      <c r="O1588" s="25"/>
      <c r="P1588" s="25"/>
    </row>
    <row r="1589">
      <c r="A1589" s="16">
        <v>1587.0</v>
      </c>
      <c r="B1589" s="17" t="s">
        <v>1770</v>
      </c>
      <c r="C1589" s="18">
        <v>17.0</v>
      </c>
      <c r="D1589" s="19" t="s">
        <v>3726</v>
      </c>
      <c r="E1589" s="20" t="s">
        <v>91</v>
      </c>
      <c r="F1589" s="17" t="s">
        <v>1406</v>
      </c>
      <c r="G1589" s="17" t="s">
        <v>4269</v>
      </c>
      <c r="H1589" s="17" t="s">
        <v>4270</v>
      </c>
      <c r="I1589" s="17" t="s">
        <v>125</v>
      </c>
      <c r="J1589" s="22" t="s">
        <v>144</v>
      </c>
      <c r="K1589" s="23" t="s">
        <v>108</v>
      </c>
      <c r="L1589" s="24" t="s">
        <v>91</v>
      </c>
      <c r="M1589" s="2">
        <v>51.0</v>
      </c>
      <c r="N1589" s="25">
        <v>31.0</v>
      </c>
      <c r="O1589" s="25"/>
      <c r="P1589" s="25"/>
    </row>
    <row r="1590">
      <c r="A1590" s="16">
        <v>1588.0</v>
      </c>
      <c r="B1590" s="17" t="s">
        <v>1770</v>
      </c>
      <c r="C1590" s="18">
        <v>18.0</v>
      </c>
      <c r="D1590" s="19" t="s">
        <v>3726</v>
      </c>
      <c r="E1590" s="20" t="s">
        <v>91</v>
      </c>
      <c r="F1590" s="17" t="s">
        <v>1106</v>
      </c>
      <c r="G1590" s="17" t="s">
        <v>4248</v>
      </c>
      <c r="H1590" s="17" t="s">
        <v>4271</v>
      </c>
      <c r="I1590" s="17" t="s">
        <v>125</v>
      </c>
      <c r="J1590" s="22" t="s">
        <v>144</v>
      </c>
      <c r="K1590" s="23" t="s">
        <v>108</v>
      </c>
      <c r="L1590" s="24" t="s">
        <v>91</v>
      </c>
      <c r="M1590" s="2">
        <v>51.0</v>
      </c>
      <c r="N1590" s="25">
        <v>31.0</v>
      </c>
      <c r="O1590" s="25"/>
      <c r="P1590" s="25"/>
    </row>
    <row r="1591">
      <c r="A1591" s="16">
        <v>1589.0</v>
      </c>
      <c r="B1591" s="17" t="s">
        <v>1770</v>
      </c>
      <c r="C1591" s="18">
        <v>19.0</v>
      </c>
      <c r="D1591" s="19" t="s">
        <v>3726</v>
      </c>
      <c r="E1591" s="20" t="s">
        <v>91</v>
      </c>
      <c r="F1591" s="17" t="s">
        <v>1407</v>
      </c>
      <c r="G1591" s="17" t="s">
        <v>4272</v>
      </c>
      <c r="H1591" s="17" t="s">
        <v>4273</v>
      </c>
      <c r="I1591" s="17" t="s">
        <v>125</v>
      </c>
      <c r="J1591" s="22" t="s">
        <v>144</v>
      </c>
      <c r="K1591" s="23" t="s">
        <v>108</v>
      </c>
      <c r="L1591" s="24" t="s">
        <v>91</v>
      </c>
      <c r="M1591" s="2">
        <v>51.0</v>
      </c>
      <c r="N1591" s="25">
        <v>31.0</v>
      </c>
      <c r="O1591" s="25"/>
      <c r="P1591" s="25"/>
    </row>
    <row r="1592">
      <c r="A1592" s="16">
        <v>1590.0</v>
      </c>
      <c r="B1592" s="17" t="s">
        <v>1770</v>
      </c>
      <c r="C1592" s="18">
        <v>20.0</v>
      </c>
      <c r="D1592" s="19" t="s">
        <v>2535</v>
      </c>
      <c r="E1592" s="20" t="s">
        <v>91</v>
      </c>
      <c r="F1592" s="17" t="s">
        <v>1078</v>
      </c>
      <c r="G1592" s="17" t="s">
        <v>4274</v>
      </c>
      <c r="H1592" s="17" t="s">
        <v>4275</v>
      </c>
      <c r="I1592" s="17" t="s">
        <v>125</v>
      </c>
      <c r="J1592" s="22" t="s">
        <v>144</v>
      </c>
      <c r="K1592" s="23" t="s">
        <v>108</v>
      </c>
      <c r="L1592" s="24" t="s">
        <v>91</v>
      </c>
      <c r="M1592" s="2">
        <v>51.0</v>
      </c>
      <c r="N1592" s="25">
        <v>31.0</v>
      </c>
      <c r="O1592" s="25"/>
      <c r="P1592" s="25"/>
    </row>
    <row r="1593">
      <c r="A1593" s="16">
        <v>1591.0</v>
      </c>
      <c r="B1593" s="17" t="s">
        <v>1770</v>
      </c>
      <c r="C1593" s="18">
        <v>21.0</v>
      </c>
      <c r="D1593" s="19" t="s">
        <v>2535</v>
      </c>
      <c r="E1593" s="20" t="s">
        <v>91</v>
      </c>
      <c r="F1593" s="17" t="s">
        <v>1235</v>
      </c>
      <c r="G1593" s="17" t="s">
        <v>4276</v>
      </c>
      <c r="H1593" s="17" t="s">
        <v>4277</v>
      </c>
      <c r="I1593" s="17" t="s">
        <v>4278</v>
      </c>
      <c r="J1593" s="22" t="s">
        <v>144</v>
      </c>
      <c r="K1593" s="23" t="s">
        <v>108</v>
      </c>
      <c r="L1593" s="24" t="s">
        <v>91</v>
      </c>
      <c r="M1593" s="2">
        <v>51.0</v>
      </c>
      <c r="N1593" s="25">
        <v>31.0</v>
      </c>
      <c r="O1593" s="25"/>
      <c r="P1593" s="25"/>
    </row>
    <row r="1594">
      <c r="A1594" s="16">
        <v>1592.0</v>
      </c>
      <c r="B1594" s="17" t="s">
        <v>1770</v>
      </c>
      <c r="C1594" s="18">
        <v>22.0</v>
      </c>
      <c r="D1594" s="19" t="s">
        <v>2535</v>
      </c>
      <c r="E1594" s="20" t="s">
        <v>91</v>
      </c>
      <c r="F1594" s="17" t="s">
        <v>1408</v>
      </c>
      <c r="G1594" s="17" t="s">
        <v>4279</v>
      </c>
      <c r="H1594" s="17" t="s">
        <v>4280</v>
      </c>
      <c r="I1594" s="17" t="s">
        <v>4278</v>
      </c>
      <c r="J1594" s="22" t="s">
        <v>144</v>
      </c>
      <c r="K1594" s="23" t="s">
        <v>108</v>
      </c>
      <c r="L1594" s="24" t="s">
        <v>91</v>
      </c>
      <c r="M1594" s="2">
        <v>51.0</v>
      </c>
      <c r="N1594" s="25">
        <v>31.0</v>
      </c>
      <c r="O1594" s="25"/>
      <c r="P1594" s="25"/>
    </row>
    <row r="1595">
      <c r="A1595" s="16">
        <v>1593.0</v>
      </c>
      <c r="B1595" s="17" t="s">
        <v>1770</v>
      </c>
      <c r="C1595" s="18">
        <v>23.0</v>
      </c>
      <c r="D1595" s="19" t="s">
        <v>2535</v>
      </c>
      <c r="E1595" s="20" t="s">
        <v>91</v>
      </c>
      <c r="F1595" s="17" t="s">
        <v>935</v>
      </c>
      <c r="G1595" s="17" t="s">
        <v>4281</v>
      </c>
      <c r="H1595" s="17" t="s">
        <v>4282</v>
      </c>
      <c r="I1595" s="17" t="s">
        <v>4278</v>
      </c>
      <c r="J1595" s="22" t="s">
        <v>144</v>
      </c>
      <c r="K1595" s="23" t="s">
        <v>108</v>
      </c>
      <c r="L1595" s="24" t="s">
        <v>91</v>
      </c>
      <c r="M1595" s="2">
        <v>51.0</v>
      </c>
      <c r="N1595" s="25">
        <v>31.0</v>
      </c>
      <c r="O1595" s="25"/>
      <c r="P1595" s="25"/>
    </row>
    <row r="1596">
      <c r="A1596" s="16">
        <v>1594.0</v>
      </c>
      <c r="B1596" s="17" t="s">
        <v>1770</v>
      </c>
      <c r="C1596" s="18">
        <v>24.0</v>
      </c>
      <c r="D1596" s="19" t="s">
        <v>2535</v>
      </c>
      <c r="E1596" s="20" t="s">
        <v>91</v>
      </c>
      <c r="F1596" s="17" t="s">
        <v>1100</v>
      </c>
      <c r="G1596" s="17" t="s">
        <v>4283</v>
      </c>
      <c r="H1596" s="17" t="s">
        <v>4284</v>
      </c>
      <c r="I1596" s="17" t="s">
        <v>4278</v>
      </c>
      <c r="J1596" s="22" t="s">
        <v>144</v>
      </c>
      <c r="K1596" s="23" t="s">
        <v>108</v>
      </c>
      <c r="L1596" s="24" t="s">
        <v>91</v>
      </c>
      <c r="M1596" s="2">
        <v>51.0</v>
      </c>
      <c r="N1596" s="25">
        <v>31.0</v>
      </c>
      <c r="O1596" s="25"/>
      <c r="P1596" s="25"/>
    </row>
    <row r="1597">
      <c r="A1597" s="16">
        <v>1595.0</v>
      </c>
      <c r="B1597" s="17" t="s">
        <v>1770</v>
      </c>
      <c r="C1597" s="18">
        <v>25.0</v>
      </c>
      <c r="D1597" s="19" t="s">
        <v>2535</v>
      </c>
      <c r="E1597" s="20" t="s">
        <v>91</v>
      </c>
      <c r="F1597" s="17" t="s">
        <v>1411</v>
      </c>
      <c r="G1597" s="17" t="s">
        <v>4285</v>
      </c>
      <c r="H1597" s="17" t="s">
        <v>4286</v>
      </c>
      <c r="I1597" s="17" t="s">
        <v>4278</v>
      </c>
      <c r="J1597" s="22" t="s">
        <v>144</v>
      </c>
      <c r="K1597" s="23" t="s">
        <v>108</v>
      </c>
      <c r="L1597" s="24" t="s">
        <v>91</v>
      </c>
      <c r="M1597" s="2">
        <v>51.0</v>
      </c>
      <c r="N1597" s="25">
        <v>31.0</v>
      </c>
      <c r="O1597" s="25"/>
      <c r="P1597" s="25"/>
    </row>
    <row r="1598">
      <c r="A1598" s="16">
        <v>1596.0</v>
      </c>
      <c r="B1598" s="17" t="s">
        <v>1770</v>
      </c>
      <c r="C1598" s="18">
        <v>26.0</v>
      </c>
      <c r="D1598" s="19" t="s">
        <v>2535</v>
      </c>
      <c r="E1598" s="20" t="s">
        <v>91</v>
      </c>
      <c r="F1598" s="17" t="s">
        <v>1111</v>
      </c>
      <c r="G1598" s="17" t="s">
        <v>4060</v>
      </c>
      <c r="H1598" s="17" t="s">
        <v>4287</v>
      </c>
      <c r="I1598" s="17" t="s">
        <v>4278</v>
      </c>
      <c r="J1598" s="22" t="s">
        <v>144</v>
      </c>
      <c r="K1598" s="23" t="s">
        <v>108</v>
      </c>
      <c r="L1598" s="24" t="s">
        <v>91</v>
      </c>
      <c r="M1598" s="2">
        <v>51.0</v>
      </c>
      <c r="N1598" s="25">
        <v>31.0</v>
      </c>
      <c r="O1598" s="25"/>
      <c r="P1598" s="25"/>
    </row>
    <row r="1599">
      <c r="A1599" s="16">
        <v>1597.0</v>
      </c>
      <c r="B1599" s="27" t="s">
        <v>1770</v>
      </c>
      <c r="C1599" s="18">
        <v>27.0</v>
      </c>
      <c r="D1599" s="19" t="s">
        <v>2535</v>
      </c>
      <c r="E1599" s="20" t="s">
        <v>91</v>
      </c>
      <c r="F1599" s="27" t="s">
        <v>4288</v>
      </c>
      <c r="G1599" s="17" t="s">
        <v>4289</v>
      </c>
      <c r="H1599" s="17" t="s">
        <v>4290</v>
      </c>
      <c r="I1599" s="17" t="s">
        <v>125</v>
      </c>
      <c r="J1599" s="22" t="s">
        <v>144</v>
      </c>
      <c r="K1599" s="23" t="s">
        <v>108</v>
      </c>
      <c r="L1599" s="24"/>
      <c r="M1599" s="2">
        <v>51.0</v>
      </c>
      <c r="N1599" s="25">
        <v>31.0</v>
      </c>
      <c r="O1599" s="25"/>
      <c r="P1599" s="25"/>
    </row>
    <row r="1600">
      <c r="A1600" s="16">
        <v>1598.0</v>
      </c>
      <c r="B1600" s="27" t="s">
        <v>1770</v>
      </c>
      <c r="C1600" s="18">
        <v>28.0</v>
      </c>
      <c r="D1600" s="19" t="s">
        <v>2535</v>
      </c>
      <c r="E1600" s="20" t="s">
        <v>91</v>
      </c>
      <c r="F1600" s="27" t="s">
        <v>4291</v>
      </c>
      <c r="G1600" s="17" t="s">
        <v>4292</v>
      </c>
      <c r="H1600" s="17" t="s">
        <v>4293</v>
      </c>
      <c r="I1600" s="17" t="s">
        <v>125</v>
      </c>
      <c r="J1600" s="22" t="s">
        <v>144</v>
      </c>
      <c r="K1600" s="23" t="s">
        <v>108</v>
      </c>
      <c r="L1600" s="24"/>
      <c r="M1600" s="2">
        <v>51.0</v>
      </c>
      <c r="N1600" s="25">
        <v>31.0</v>
      </c>
      <c r="O1600" s="25"/>
      <c r="P1600" s="25"/>
    </row>
    <row r="1601">
      <c r="A1601" s="16">
        <v>1599.0</v>
      </c>
      <c r="B1601" s="27" t="s">
        <v>1770</v>
      </c>
      <c r="C1601" s="18">
        <v>29.0</v>
      </c>
      <c r="D1601" s="19" t="s">
        <v>2535</v>
      </c>
      <c r="E1601" s="20" t="s">
        <v>91</v>
      </c>
      <c r="F1601" s="27" t="s">
        <v>1380</v>
      </c>
      <c r="G1601" s="17" t="s">
        <v>4294</v>
      </c>
      <c r="H1601" s="17" t="s">
        <v>4295</v>
      </c>
      <c r="I1601" s="17" t="s">
        <v>125</v>
      </c>
      <c r="J1601" s="22" t="s">
        <v>144</v>
      </c>
      <c r="K1601" s="23" t="s">
        <v>108</v>
      </c>
      <c r="L1601" s="24"/>
      <c r="M1601" s="2">
        <v>51.0</v>
      </c>
      <c r="N1601" s="25">
        <v>31.0</v>
      </c>
      <c r="O1601" s="25"/>
      <c r="P1601" s="25"/>
    </row>
    <row r="1602">
      <c r="A1602" s="16">
        <v>1600.0</v>
      </c>
      <c r="B1602" s="27" t="s">
        <v>1770</v>
      </c>
      <c r="C1602" s="18">
        <v>30.0</v>
      </c>
      <c r="D1602" s="19" t="s">
        <v>2535</v>
      </c>
      <c r="E1602" s="20" t="s">
        <v>91</v>
      </c>
      <c r="F1602" s="27" t="s">
        <v>1287</v>
      </c>
      <c r="G1602" s="17" t="s">
        <v>123</v>
      </c>
      <c r="H1602" s="17" t="s">
        <v>4296</v>
      </c>
      <c r="I1602" s="17" t="s">
        <v>125</v>
      </c>
      <c r="J1602" s="22" t="s">
        <v>144</v>
      </c>
      <c r="K1602" s="23" t="s">
        <v>108</v>
      </c>
      <c r="L1602" s="24"/>
      <c r="M1602" s="2">
        <v>51.0</v>
      </c>
      <c r="N1602" s="25">
        <v>31.0</v>
      </c>
      <c r="O1602" s="25"/>
      <c r="P1602" s="25"/>
    </row>
    <row r="1603">
      <c r="A1603" s="16">
        <v>1601.0</v>
      </c>
      <c r="B1603" s="17" t="s">
        <v>610</v>
      </c>
      <c r="C1603" s="18">
        <v>1.0</v>
      </c>
      <c r="D1603" s="19" t="s">
        <v>2327</v>
      </c>
      <c r="E1603" s="20" t="s">
        <v>443</v>
      </c>
      <c r="F1603" s="17" t="s">
        <v>222</v>
      </c>
      <c r="G1603" s="17" t="s">
        <v>4297</v>
      </c>
      <c r="H1603" s="17" t="s">
        <v>4298</v>
      </c>
      <c r="I1603" s="17" t="s">
        <v>98</v>
      </c>
      <c r="J1603" s="22" t="s">
        <v>100</v>
      </c>
      <c r="K1603" s="23" t="s">
        <v>108</v>
      </c>
      <c r="L1603" s="24" t="s">
        <v>91</v>
      </c>
      <c r="M1603" s="2">
        <v>52.0</v>
      </c>
      <c r="N1603" s="25">
        <v>10.0</v>
      </c>
      <c r="O1603" s="25"/>
      <c r="P1603" s="25"/>
    </row>
    <row r="1604">
      <c r="A1604" s="16">
        <v>1602.0</v>
      </c>
      <c r="B1604" s="17" t="s">
        <v>610</v>
      </c>
      <c r="C1604" s="18">
        <v>2.0</v>
      </c>
      <c r="D1604" s="19" t="s">
        <v>2327</v>
      </c>
      <c r="E1604" s="20" t="s">
        <v>443</v>
      </c>
      <c r="F1604" s="17" t="s">
        <v>402</v>
      </c>
      <c r="G1604" s="17" t="s">
        <v>123</v>
      </c>
      <c r="H1604" s="17" t="s">
        <v>4299</v>
      </c>
      <c r="I1604" s="17" t="s">
        <v>98</v>
      </c>
      <c r="J1604" s="22" t="s">
        <v>100</v>
      </c>
      <c r="K1604" s="23" t="s">
        <v>108</v>
      </c>
      <c r="L1604" s="24" t="s">
        <v>91</v>
      </c>
      <c r="M1604" s="2">
        <v>52.0</v>
      </c>
      <c r="N1604" s="25">
        <v>10.0</v>
      </c>
      <c r="O1604" s="25"/>
      <c r="P1604" s="25"/>
    </row>
    <row r="1605">
      <c r="A1605" s="16">
        <v>1603.0</v>
      </c>
      <c r="B1605" s="17" t="s">
        <v>610</v>
      </c>
      <c r="C1605" s="18">
        <v>3.0</v>
      </c>
      <c r="D1605" s="19" t="s">
        <v>2327</v>
      </c>
      <c r="E1605" s="20" t="s">
        <v>443</v>
      </c>
      <c r="F1605" s="17" t="s">
        <v>623</v>
      </c>
      <c r="G1605" s="17" t="s">
        <v>123</v>
      </c>
      <c r="H1605" s="17" t="s">
        <v>4300</v>
      </c>
      <c r="I1605" s="17" t="s">
        <v>98</v>
      </c>
      <c r="J1605" s="22" t="s">
        <v>135</v>
      </c>
      <c r="K1605" s="23" t="s">
        <v>108</v>
      </c>
      <c r="L1605" s="24" t="s">
        <v>91</v>
      </c>
      <c r="M1605" s="2">
        <v>52.0</v>
      </c>
      <c r="N1605" s="25">
        <v>20.0</v>
      </c>
      <c r="O1605" s="25"/>
      <c r="P1605" s="25"/>
    </row>
    <row r="1606">
      <c r="A1606" s="16">
        <v>1604.0</v>
      </c>
      <c r="B1606" s="17" t="s">
        <v>610</v>
      </c>
      <c r="C1606" s="18">
        <v>4.0</v>
      </c>
      <c r="D1606" s="19" t="s">
        <v>2327</v>
      </c>
      <c r="E1606" s="20" t="s">
        <v>443</v>
      </c>
      <c r="F1606" s="17" t="s">
        <v>588</v>
      </c>
      <c r="G1606" s="17" t="s">
        <v>123</v>
      </c>
      <c r="H1606" s="17" t="s">
        <v>4301</v>
      </c>
      <c r="I1606" s="17" t="s">
        <v>98</v>
      </c>
      <c r="J1606" s="22" t="s">
        <v>135</v>
      </c>
      <c r="K1606" s="23" t="s">
        <v>108</v>
      </c>
      <c r="L1606" s="24" t="s">
        <v>91</v>
      </c>
      <c r="M1606" s="2">
        <v>52.0</v>
      </c>
      <c r="N1606" s="25">
        <v>20.0</v>
      </c>
      <c r="O1606" s="25"/>
      <c r="P1606" s="25"/>
    </row>
    <row r="1607">
      <c r="A1607" s="16">
        <v>1605.0</v>
      </c>
      <c r="B1607" s="17" t="s">
        <v>610</v>
      </c>
      <c r="C1607" s="18">
        <v>5.0</v>
      </c>
      <c r="D1607" s="19" t="s">
        <v>2327</v>
      </c>
      <c r="E1607" s="20" t="s">
        <v>443</v>
      </c>
      <c r="F1607" s="17" t="s">
        <v>122</v>
      </c>
      <c r="G1607" s="17" t="s">
        <v>4302</v>
      </c>
      <c r="H1607" s="17" t="s">
        <v>4303</v>
      </c>
      <c r="I1607" s="17" t="s">
        <v>98</v>
      </c>
      <c r="J1607" s="22" t="s">
        <v>135</v>
      </c>
      <c r="K1607" s="23" t="s">
        <v>108</v>
      </c>
      <c r="L1607" s="24" t="s">
        <v>91</v>
      </c>
      <c r="M1607" s="2">
        <v>52.0</v>
      </c>
      <c r="N1607" s="25">
        <v>20.0</v>
      </c>
      <c r="O1607" s="25"/>
      <c r="P1607" s="25"/>
    </row>
    <row r="1608">
      <c r="A1608" s="16">
        <v>1606.0</v>
      </c>
      <c r="B1608" s="17" t="s">
        <v>610</v>
      </c>
      <c r="C1608" s="18">
        <v>6.0</v>
      </c>
      <c r="D1608" s="19" t="s">
        <v>2327</v>
      </c>
      <c r="E1608" s="20" t="s">
        <v>443</v>
      </c>
      <c r="F1608" s="17" t="s">
        <v>212</v>
      </c>
      <c r="G1608" s="17" t="s">
        <v>123</v>
      </c>
      <c r="H1608" s="17" t="s">
        <v>4304</v>
      </c>
      <c r="I1608" s="17" t="s">
        <v>98</v>
      </c>
      <c r="J1608" s="22" t="s">
        <v>144</v>
      </c>
      <c r="K1608" s="23" t="s">
        <v>108</v>
      </c>
      <c r="L1608" s="24" t="s">
        <v>91</v>
      </c>
      <c r="M1608" s="2">
        <v>52.0</v>
      </c>
      <c r="N1608" s="25">
        <v>30.0</v>
      </c>
      <c r="O1608" s="25"/>
      <c r="P1608" s="25"/>
    </row>
    <row r="1609">
      <c r="A1609" s="16">
        <v>1607.0</v>
      </c>
      <c r="B1609" s="17" t="s">
        <v>610</v>
      </c>
      <c r="C1609" s="18">
        <v>7.0</v>
      </c>
      <c r="D1609" s="19" t="s">
        <v>2327</v>
      </c>
      <c r="E1609" s="20" t="s">
        <v>443</v>
      </c>
      <c r="F1609" s="17" t="s">
        <v>133</v>
      </c>
      <c r="G1609" s="17" t="s">
        <v>123</v>
      </c>
      <c r="H1609" s="17" t="s">
        <v>4305</v>
      </c>
      <c r="I1609" s="17" t="s">
        <v>98</v>
      </c>
      <c r="J1609" s="22" t="s">
        <v>144</v>
      </c>
      <c r="K1609" s="23" t="s">
        <v>108</v>
      </c>
      <c r="L1609" s="24" t="s">
        <v>91</v>
      </c>
      <c r="M1609" s="2">
        <v>52.0</v>
      </c>
      <c r="N1609" s="25">
        <v>30.0</v>
      </c>
      <c r="O1609" s="25"/>
      <c r="P1609" s="25"/>
    </row>
    <row r="1610">
      <c r="A1610" s="16">
        <v>1608.0</v>
      </c>
      <c r="B1610" s="17" t="s">
        <v>610</v>
      </c>
      <c r="C1610" s="18">
        <v>8.0</v>
      </c>
      <c r="D1610" s="19" t="s">
        <v>2327</v>
      </c>
      <c r="E1610" s="20" t="s">
        <v>443</v>
      </c>
      <c r="F1610" s="17" t="s">
        <v>218</v>
      </c>
      <c r="G1610" s="17" t="s">
        <v>123</v>
      </c>
      <c r="H1610" s="17" t="s">
        <v>4306</v>
      </c>
      <c r="I1610" s="17" t="s">
        <v>98</v>
      </c>
      <c r="J1610" s="22" t="s">
        <v>144</v>
      </c>
      <c r="K1610" s="23" t="s">
        <v>108</v>
      </c>
      <c r="L1610" s="24" t="s">
        <v>91</v>
      </c>
      <c r="M1610" s="2">
        <v>52.0</v>
      </c>
      <c r="N1610" s="25">
        <v>30.0</v>
      </c>
      <c r="O1610" s="25"/>
      <c r="P1610" s="25"/>
    </row>
    <row r="1611">
      <c r="A1611" s="16">
        <v>1609.0</v>
      </c>
      <c r="B1611" s="17" t="s">
        <v>610</v>
      </c>
      <c r="C1611" s="18">
        <v>9.0</v>
      </c>
      <c r="D1611" s="19" t="s">
        <v>2327</v>
      </c>
      <c r="E1611" s="20" t="s">
        <v>443</v>
      </c>
      <c r="F1611" s="17" t="s">
        <v>126</v>
      </c>
      <c r="G1611" s="17" t="s">
        <v>123</v>
      </c>
      <c r="H1611" s="17" t="s">
        <v>4307</v>
      </c>
      <c r="I1611" s="17" t="s">
        <v>98</v>
      </c>
      <c r="J1611" s="22" t="s">
        <v>144</v>
      </c>
      <c r="K1611" s="23" t="s">
        <v>108</v>
      </c>
      <c r="L1611" s="24" t="s">
        <v>91</v>
      </c>
      <c r="M1611" s="2">
        <v>52.0</v>
      </c>
      <c r="N1611" s="25">
        <v>30.0</v>
      </c>
      <c r="O1611" s="25"/>
      <c r="P1611" s="25"/>
    </row>
    <row r="1612">
      <c r="A1612" s="16">
        <v>1610.0</v>
      </c>
      <c r="B1612" s="17" t="s">
        <v>610</v>
      </c>
      <c r="C1612" s="18">
        <v>10.0</v>
      </c>
      <c r="D1612" s="19" t="s">
        <v>2327</v>
      </c>
      <c r="E1612" s="20" t="s">
        <v>443</v>
      </c>
      <c r="F1612" s="17" t="s">
        <v>687</v>
      </c>
      <c r="G1612" s="17" t="s">
        <v>123</v>
      </c>
      <c r="H1612" s="17" t="s">
        <v>4308</v>
      </c>
      <c r="I1612" s="17" t="s">
        <v>98</v>
      </c>
      <c r="J1612" s="22" t="s">
        <v>144</v>
      </c>
      <c r="K1612" s="23" t="s">
        <v>108</v>
      </c>
      <c r="L1612" s="24" t="s">
        <v>91</v>
      </c>
      <c r="M1612" s="2">
        <v>52.0</v>
      </c>
      <c r="N1612" s="25">
        <v>30.0</v>
      </c>
      <c r="O1612" s="25"/>
      <c r="P1612" s="25"/>
    </row>
    <row r="1613">
      <c r="A1613" s="16">
        <v>1611.0</v>
      </c>
      <c r="B1613" s="17" t="s">
        <v>610</v>
      </c>
      <c r="C1613" s="18">
        <v>11.0</v>
      </c>
      <c r="D1613" s="19" t="s">
        <v>2327</v>
      </c>
      <c r="E1613" s="20" t="s">
        <v>443</v>
      </c>
      <c r="F1613" s="17" t="s">
        <v>232</v>
      </c>
      <c r="G1613" s="17" t="s">
        <v>123</v>
      </c>
      <c r="H1613" s="17" t="s">
        <v>1000</v>
      </c>
      <c r="I1613" s="17" t="s">
        <v>98</v>
      </c>
      <c r="J1613" s="22" t="s">
        <v>144</v>
      </c>
      <c r="K1613" s="23" t="s">
        <v>108</v>
      </c>
      <c r="L1613" s="24" t="s">
        <v>91</v>
      </c>
      <c r="M1613" s="2">
        <v>52.0</v>
      </c>
      <c r="N1613" s="25">
        <v>30.0</v>
      </c>
      <c r="O1613" s="25"/>
      <c r="P1613" s="25"/>
    </row>
    <row r="1614">
      <c r="A1614" s="16">
        <v>1612.0</v>
      </c>
      <c r="B1614" s="17" t="s">
        <v>610</v>
      </c>
      <c r="C1614" s="18">
        <v>12.0</v>
      </c>
      <c r="D1614" s="19" t="s">
        <v>2328</v>
      </c>
      <c r="E1614" s="20" t="s">
        <v>443</v>
      </c>
      <c r="F1614" s="17" t="s">
        <v>1137</v>
      </c>
      <c r="G1614" s="17" t="s">
        <v>4309</v>
      </c>
      <c r="H1614" s="17" t="s">
        <v>4310</v>
      </c>
      <c r="I1614" s="17" t="s">
        <v>125</v>
      </c>
      <c r="J1614" s="22" t="s">
        <v>144</v>
      </c>
      <c r="K1614" s="23" t="s">
        <v>108</v>
      </c>
      <c r="L1614" s="24" t="s">
        <v>91</v>
      </c>
      <c r="M1614" s="2">
        <v>52.0</v>
      </c>
      <c r="N1614" s="25">
        <v>31.0</v>
      </c>
      <c r="O1614" s="25"/>
      <c r="P1614" s="25"/>
    </row>
    <row r="1615">
      <c r="A1615" s="16">
        <v>1613.0</v>
      </c>
      <c r="B1615" s="17" t="s">
        <v>610</v>
      </c>
      <c r="C1615" s="18">
        <v>13.0</v>
      </c>
      <c r="D1615" s="19" t="s">
        <v>2328</v>
      </c>
      <c r="E1615" s="20" t="s">
        <v>443</v>
      </c>
      <c r="F1615" s="17" t="s">
        <v>749</v>
      </c>
      <c r="G1615" s="17" t="s">
        <v>751</v>
      </c>
      <c r="H1615" s="17" t="s">
        <v>1498</v>
      </c>
      <c r="I1615" s="17" t="s">
        <v>125</v>
      </c>
      <c r="J1615" s="22" t="s">
        <v>144</v>
      </c>
      <c r="K1615" s="23" t="s">
        <v>108</v>
      </c>
      <c r="L1615" s="24" t="s">
        <v>91</v>
      </c>
      <c r="M1615" s="2">
        <v>52.0</v>
      </c>
      <c r="N1615" s="25">
        <v>31.0</v>
      </c>
      <c r="O1615" s="25"/>
      <c r="P1615" s="25"/>
    </row>
    <row r="1616">
      <c r="A1616" s="16">
        <v>1614.0</v>
      </c>
      <c r="B1616" s="17" t="s">
        <v>610</v>
      </c>
      <c r="C1616" s="18">
        <v>14.0</v>
      </c>
      <c r="D1616" s="19" t="s">
        <v>2328</v>
      </c>
      <c r="E1616" s="20" t="s">
        <v>443</v>
      </c>
      <c r="F1616" s="17" t="s">
        <v>638</v>
      </c>
      <c r="G1616" s="17" t="s">
        <v>4311</v>
      </c>
      <c r="H1616" s="17" t="s">
        <v>4312</v>
      </c>
      <c r="I1616" s="17" t="s">
        <v>125</v>
      </c>
      <c r="J1616" s="22" t="s">
        <v>144</v>
      </c>
      <c r="K1616" s="23" t="s">
        <v>108</v>
      </c>
      <c r="L1616" s="24" t="s">
        <v>91</v>
      </c>
      <c r="M1616" s="2">
        <v>52.0</v>
      </c>
      <c r="N1616" s="25">
        <v>31.0</v>
      </c>
      <c r="O1616" s="25"/>
      <c r="P1616" s="25"/>
    </row>
    <row r="1617">
      <c r="A1617" s="16">
        <v>1615.0</v>
      </c>
      <c r="B1617" s="17" t="s">
        <v>610</v>
      </c>
      <c r="C1617" s="18">
        <v>15.0</v>
      </c>
      <c r="D1617" s="19" t="s">
        <v>2327</v>
      </c>
      <c r="E1617" s="20" t="s">
        <v>443</v>
      </c>
      <c r="F1617" s="17" t="s">
        <v>128</v>
      </c>
      <c r="G1617" s="17" t="s">
        <v>1504</v>
      </c>
      <c r="H1617" s="17" t="s">
        <v>4313</v>
      </c>
      <c r="I1617" s="17" t="s">
        <v>125</v>
      </c>
      <c r="J1617" s="22" t="s">
        <v>144</v>
      </c>
      <c r="K1617" s="23" t="s">
        <v>108</v>
      </c>
      <c r="L1617" s="24" t="s">
        <v>91</v>
      </c>
      <c r="M1617" s="2">
        <v>52.0</v>
      </c>
      <c r="N1617" s="25">
        <v>31.0</v>
      </c>
      <c r="O1617" s="25"/>
      <c r="P1617" s="25"/>
    </row>
    <row r="1618">
      <c r="A1618" s="16">
        <v>1616.0</v>
      </c>
      <c r="B1618" s="17" t="s">
        <v>610</v>
      </c>
      <c r="C1618" s="18">
        <v>16.0</v>
      </c>
      <c r="D1618" s="19" t="s">
        <v>2327</v>
      </c>
      <c r="E1618" s="20" t="s">
        <v>443</v>
      </c>
      <c r="F1618" s="17" t="s">
        <v>1138</v>
      </c>
      <c r="G1618" s="17" t="s">
        <v>4314</v>
      </c>
      <c r="H1618" s="17" t="s">
        <v>4315</v>
      </c>
      <c r="I1618" s="17" t="s">
        <v>125</v>
      </c>
      <c r="J1618" s="22" t="s">
        <v>144</v>
      </c>
      <c r="K1618" s="23" t="s">
        <v>108</v>
      </c>
      <c r="L1618" s="24" t="s">
        <v>91</v>
      </c>
      <c r="M1618" s="2">
        <v>52.0</v>
      </c>
      <c r="N1618" s="25">
        <v>31.0</v>
      </c>
      <c r="O1618" s="25"/>
      <c r="P1618" s="25"/>
    </row>
    <row r="1619">
      <c r="A1619" s="16">
        <v>1617.0</v>
      </c>
      <c r="B1619" s="17" t="s">
        <v>610</v>
      </c>
      <c r="C1619" s="18">
        <v>17.0</v>
      </c>
      <c r="D1619" s="19" t="s">
        <v>2327</v>
      </c>
      <c r="E1619" s="20" t="s">
        <v>443</v>
      </c>
      <c r="F1619" s="17" t="s">
        <v>699</v>
      </c>
      <c r="G1619" s="17" t="s">
        <v>123</v>
      </c>
      <c r="H1619" s="17" t="s">
        <v>4316</v>
      </c>
      <c r="I1619" s="17" t="s">
        <v>125</v>
      </c>
      <c r="J1619" s="22" t="s">
        <v>144</v>
      </c>
      <c r="K1619" s="23" t="s">
        <v>108</v>
      </c>
      <c r="L1619" s="24" t="s">
        <v>91</v>
      </c>
      <c r="M1619" s="2">
        <v>52.0</v>
      </c>
      <c r="N1619" s="25">
        <v>31.0</v>
      </c>
      <c r="O1619" s="25"/>
      <c r="P1619" s="25"/>
    </row>
    <row r="1620">
      <c r="A1620" s="16">
        <v>1618.0</v>
      </c>
      <c r="B1620" s="17" t="s">
        <v>610</v>
      </c>
      <c r="C1620" s="18">
        <v>18.0</v>
      </c>
      <c r="D1620" s="19" t="s">
        <v>2327</v>
      </c>
      <c r="E1620" s="20" t="s">
        <v>443</v>
      </c>
      <c r="F1620" s="17" t="s">
        <v>403</v>
      </c>
      <c r="G1620" s="17" t="s">
        <v>4317</v>
      </c>
      <c r="H1620" s="17" t="s">
        <v>4318</v>
      </c>
      <c r="I1620" s="17" t="s">
        <v>125</v>
      </c>
      <c r="J1620" s="22" t="s">
        <v>144</v>
      </c>
      <c r="K1620" s="23" t="s">
        <v>108</v>
      </c>
      <c r="L1620" s="24" t="s">
        <v>91</v>
      </c>
      <c r="M1620" s="2">
        <v>52.0</v>
      </c>
      <c r="N1620" s="25">
        <v>31.0</v>
      </c>
      <c r="O1620" s="25"/>
      <c r="P1620" s="25"/>
    </row>
    <row r="1621">
      <c r="A1621" s="16">
        <v>1619.0</v>
      </c>
      <c r="B1621" s="17" t="s">
        <v>610</v>
      </c>
      <c r="C1621" s="18">
        <v>19.0</v>
      </c>
      <c r="D1621" s="19" t="s">
        <v>2327</v>
      </c>
      <c r="E1621" s="20" t="s">
        <v>443</v>
      </c>
      <c r="F1621" s="17" t="s">
        <v>825</v>
      </c>
      <c r="G1621" s="17" t="s">
        <v>1421</v>
      </c>
      <c r="H1621" s="17" t="s">
        <v>4319</v>
      </c>
      <c r="I1621" s="17" t="s">
        <v>125</v>
      </c>
      <c r="J1621" s="22" t="s">
        <v>144</v>
      </c>
      <c r="K1621" s="23" t="s">
        <v>108</v>
      </c>
      <c r="L1621" s="24" t="s">
        <v>91</v>
      </c>
      <c r="M1621" s="2">
        <v>52.0</v>
      </c>
      <c r="N1621" s="25">
        <v>31.0</v>
      </c>
      <c r="O1621" s="25"/>
      <c r="P1621" s="25"/>
    </row>
    <row r="1622">
      <c r="A1622" s="16">
        <v>1620.0</v>
      </c>
      <c r="B1622" s="17" t="s">
        <v>610</v>
      </c>
      <c r="C1622" s="18">
        <v>20.0</v>
      </c>
      <c r="D1622" s="19" t="s">
        <v>2327</v>
      </c>
      <c r="E1622" s="20" t="s">
        <v>443</v>
      </c>
      <c r="F1622" s="17" t="s">
        <v>254</v>
      </c>
      <c r="G1622" s="17" t="s">
        <v>4320</v>
      </c>
      <c r="H1622" s="17" t="s">
        <v>4321</v>
      </c>
      <c r="I1622" s="17" t="s">
        <v>125</v>
      </c>
      <c r="J1622" s="22" t="s">
        <v>144</v>
      </c>
      <c r="K1622" s="23" t="s">
        <v>108</v>
      </c>
      <c r="L1622" s="24" t="s">
        <v>91</v>
      </c>
      <c r="M1622" s="2">
        <v>52.0</v>
      </c>
      <c r="N1622" s="25">
        <v>31.0</v>
      </c>
      <c r="O1622" s="25"/>
      <c r="P1622" s="25"/>
    </row>
    <row r="1623">
      <c r="A1623" s="16">
        <v>1621.0</v>
      </c>
      <c r="B1623" s="17" t="s">
        <v>610</v>
      </c>
      <c r="C1623" s="18">
        <v>21.0</v>
      </c>
      <c r="D1623" s="19" t="s">
        <v>2327</v>
      </c>
      <c r="E1623" s="20" t="s">
        <v>443</v>
      </c>
      <c r="F1623" s="17" t="s">
        <v>388</v>
      </c>
      <c r="G1623" s="17" t="s">
        <v>1107</v>
      </c>
      <c r="H1623" s="17" t="s">
        <v>1108</v>
      </c>
      <c r="I1623" s="17" t="s">
        <v>125</v>
      </c>
      <c r="J1623" s="22" t="s">
        <v>144</v>
      </c>
      <c r="K1623" s="23" t="s">
        <v>108</v>
      </c>
      <c r="L1623" s="24" t="s">
        <v>91</v>
      </c>
      <c r="M1623" s="2">
        <v>52.0</v>
      </c>
      <c r="N1623" s="25">
        <v>31.0</v>
      </c>
      <c r="O1623" s="25"/>
      <c r="P1623" s="25"/>
    </row>
    <row r="1624">
      <c r="A1624" s="16">
        <v>1622.0</v>
      </c>
      <c r="B1624" s="17" t="s">
        <v>610</v>
      </c>
      <c r="C1624" s="18">
        <v>22.0</v>
      </c>
      <c r="D1624" s="19" t="s">
        <v>2327</v>
      </c>
      <c r="E1624" s="20" t="s">
        <v>443</v>
      </c>
      <c r="F1624" s="17" t="s">
        <v>613</v>
      </c>
      <c r="G1624" s="17" t="s">
        <v>123</v>
      </c>
      <c r="H1624" s="17" t="s">
        <v>4322</v>
      </c>
      <c r="I1624" s="17" t="s">
        <v>125</v>
      </c>
      <c r="J1624" s="22" t="s">
        <v>144</v>
      </c>
      <c r="K1624" s="23" t="s">
        <v>108</v>
      </c>
      <c r="L1624" s="24" t="s">
        <v>91</v>
      </c>
      <c r="M1624" s="2">
        <v>52.0</v>
      </c>
      <c r="N1624" s="25">
        <v>31.0</v>
      </c>
      <c r="O1624" s="25"/>
      <c r="P1624" s="25"/>
    </row>
    <row r="1625">
      <c r="A1625" s="16">
        <v>1623.0</v>
      </c>
      <c r="B1625" s="17" t="s">
        <v>610</v>
      </c>
      <c r="C1625" s="18">
        <v>23.0</v>
      </c>
      <c r="D1625" s="19" t="s">
        <v>2327</v>
      </c>
      <c r="E1625" s="20" t="s">
        <v>443</v>
      </c>
      <c r="F1625" s="17" t="s">
        <v>1139</v>
      </c>
      <c r="G1625" s="17" t="s">
        <v>4323</v>
      </c>
      <c r="H1625" s="17" t="s">
        <v>4324</v>
      </c>
      <c r="I1625" s="17" t="s">
        <v>125</v>
      </c>
      <c r="J1625" s="22" t="s">
        <v>144</v>
      </c>
      <c r="K1625" s="23" t="s">
        <v>108</v>
      </c>
      <c r="L1625" s="24" t="s">
        <v>91</v>
      </c>
      <c r="M1625" s="2">
        <v>52.0</v>
      </c>
      <c r="N1625" s="25">
        <v>31.0</v>
      </c>
      <c r="O1625" s="25"/>
      <c r="P1625" s="25"/>
    </row>
    <row r="1626">
      <c r="A1626" s="16">
        <v>1624.0</v>
      </c>
      <c r="B1626" s="17" t="s">
        <v>610</v>
      </c>
      <c r="C1626" s="18">
        <v>24.0</v>
      </c>
      <c r="D1626" s="19" t="s">
        <v>2327</v>
      </c>
      <c r="E1626" s="20" t="s">
        <v>443</v>
      </c>
      <c r="F1626" s="17" t="s">
        <v>1</v>
      </c>
      <c r="G1626" s="17" t="s">
        <v>4325</v>
      </c>
      <c r="H1626" s="17" t="s">
        <v>4326</v>
      </c>
      <c r="I1626" s="17" t="s">
        <v>125</v>
      </c>
      <c r="J1626" s="22" t="s">
        <v>144</v>
      </c>
      <c r="K1626" s="23" t="s">
        <v>108</v>
      </c>
      <c r="L1626" s="24" t="s">
        <v>91</v>
      </c>
      <c r="M1626" s="2">
        <v>52.0</v>
      </c>
      <c r="N1626" s="25">
        <v>31.0</v>
      </c>
      <c r="O1626" s="25"/>
      <c r="P1626" s="25"/>
    </row>
    <row r="1627">
      <c r="A1627" s="16">
        <v>1625.0</v>
      </c>
      <c r="B1627" s="17" t="s">
        <v>610</v>
      </c>
      <c r="C1627" s="18">
        <v>25.0</v>
      </c>
      <c r="D1627" s="19" t="s">
        <v>2327</v>
      </c>
      <c r="E1627" s="20" t="s">
        <v>443</v>
      </c>
      <c r="F1627" s="17" t="s">
        <v>198</v>
      </c>
      <c r="G1627" s="17" t="s">
        <v>4327</v>
      </c>
      <c r="H1627" s="17" t="s">
        <v>4328</v>
      </c>
      <c r="I1627" s="17" t="s">
        <v>125</v>
      </c>
      <c r="J1627" s="22" t="s">
        <v>144</v>
      </c>
      <c r="K1627" s="23" t="s">
        <v>108</v>
      </c>
      <c r="L1627" s="24" t="s">
        <v>91</v>
      </c>
      <c r="M1627" s="2">
        <v>52.0</v>
      </c>
      <c r="N1627" s="25">
        <v>31.0</v>
      </c>
      <c r="O1627" s="25"/>
      <c r="P1627" s="25"/>
    </row>
    <row r="1628">
      <c r="A1628" s="16">
        <v>1626.0</v>
      </c>
      <c r="B1628" s="17" t="s">
        <v>610</v>
      </c>
      <c r="C1628" s="18">
        <v>26.0</v>
      </c>
      <c r="D1628" s="19" t="s">
        <v>2327</v>
      </c>
      <c r="E1628" s="20" t="s">
        <v>443</v>
      </c>
      <c r="F1628" s="17" t="s">
        <v>168</v>
      </c>
      <c r="G1628" s="17" t="s">
        <v>4329</v>
      </c>
      <c r="H1628" s="17" t="s">
        <v>4330</v>
      </c>
      <c r="I1628" s="17" t="s">
        <v>125</v>
      </c>
      <c r="J1628" s="22" t="s">
        <v>144</v>
      </c>
      <c r="K1628" s="23" t="s">
        <v>108</v>
      </c>
      <c r="L1628" s="24" t="s">
        <v>91</v>
      </c>
      <c r="M1628" s="2">
        <v>52.0</v>
      </c>
      <c r="N1628" s="25">
        <v>31.0</v>
      </c>
      <c r="O1628" s="25"/>
      <c r="P1628" s="25"/>
    </row>
    <row r="1629">
      <c r="A1629" s="16">
        <v>1627.0</v>
      </c>
      <c r="B1629" s="17" t="s">
        <v>610</v>
      </c>
      <c r="C1629" s="18">
        <v>27.0</v>
      </c>
      <c r="D1629" s="19" t="s">
        <v>2327</v>
      </c>
      <c r="E1629" s="20" t="s">
        <v>443</v>
      </c>
      <c r="F1629" s="17" t="s">
        <v>617</v>
      </c>
      <c r="G1629" s="17" t="s">
        <v>2015</v>
      </c>
      <c r="H1629" s="17" t="s">
        <v>4331</v>
      </c>
      <c r="I1629" s="17" t="s">
        <v>125</v>
      </c>
      <c r="J1629" s="22" t="s">
        <v>144</v>
      </c>
      <c r="K1629" s="23" t="s">
        <v>108</v>
      </c>
      <c r="L1629" s="24" t="s">
        <v>91</v>
      </c>
      <c r="M1629" s="2">
        <v>52.0</v>
      </c>
      <c r="N1629" s="25">
        <v>31.0</v>
      </c>
      <c r="O1629" s="25"/>
      <c r="P1629" s="25"/>
    </row>
    <row r="1630">
      <c r="A1630" s="16">
        <v>1628.0</v>
      </c>
      <c r="B1630" s="17" t="s">
        <v>610</v>
      </c>
      <c r="C1630" s="18">
        <v>28.0</v>
      </c>
      <c r="D1630" s="19" t="s">
        <v>2327</v>
      </c>
      <c r="E1630" s="20" t="s">
        <v>443</v>
      </c>
      <c r="F1630" s="17" t="s">
        <v>251</v>
      </c>
      <c r="G1630" s="17" t="s">
        <v>1401</v>
      </c>
      <c r="H1630" s="17" t="s">
        <v>4332</v>
      </c>
      <c r="I1630" s="17" t="s">
        <v>125</v>
      </c>
      <c r="J1630" s="22" t="s">
        <v>144</v>
      </c>
      <c r="K1630" s="23" t="s">
        <v>108</v>
      </c>
      <c r="L1630" s="24" t="s">
        <v>91</v>
      </c>
      <c r="M1630" s="2">
        <v>52.0</v>
      </c>
      <c r="N1630" s="25">
        <v>31.0</v>
      </c>
      <c r="O1630" s="25"/>
      <c r="P1630" s="25"/>
    </row>
    <row r="1631">
      <c r="A1631" s="16">
        <v>1629.0</v>
      </c>
      <c r="B1631" s="17" t="s">
        <v>610</v>
      </c>
      <c r="C1631" s="18">
        <v>29.0</v>
      </c>
      <c r="D1631" s="19" t="s">
        <v>2327</v>
      </c>
      <c r="E1631" s="20" t="s">
        <v>443</v>
      </c>
      <c r="F1631" s="17" t="s">
        <v>1140</v>
      </c>
      <c r="G1631" s="17" t="s">
        <v>4333</v>
      </c>
      <c r="H1631" s="17" t="s">
        <v>4334</v>
      </c>
      <c r="I1631" s="17" t="s">
        <v>125</v>
      </c>
      <c r="J1631" s="22" t="s">
        <v>144</v>
      </c>
      <c r="K1631" s="23" t="s">
        <v>108</v>
      </c>
      <c r="L1631" s="24" t="s">
        <v>91</v>
      </c>
      <c r="M1631" s="2">
        <v>52.0</v>
      </c>
      <c r="N1631" s="25">
        <v>31.0</v>
      </c>
      <c r="O1631" s="25"/>
      <c r="P1631" s="25"/>
    </row>
    <row r="1632">
      <c r="A1632" s="16">
        <v>1630.0</v>
      </c>
      <c r="B1632" s="17" t="s">
        <v>610</v>
      </c>
      <c r="C1632" s="18">
        <v>30.0</v>
      </c>
      <c r="D1632" s="19" t="s">
        <v>2327</v>
      </c>
      <c r="E1632" s="20" t="s">
        <v>443</v>
      </c>
      <c r="F1632" s="17" t="s">
        <v>225</v>
      </c>
      <c r="G1632" s="17" t="s">
        <v>4335</v>
      </c>
      <c r="H1632" s="17" t="s">
        <v>4336</v>
      </c>
      <c r="I1632" s="17" t="s">
        <v>125</v>
      </c>
      <c r="J1632" s="22" t="s">
        <v>144</v>
      </c>
      <c r="K1632" s="23" t="s">
        <v>108</v>
      </c>
      <c r="L1632" s="24" t="s">
        <v>91</v>
      </c>
      <c r="M1632" s="2">
        <v>52.0</v>
      </c>
      <c r="N1632" s="25">
        <v>31.0</v>
      </c>
      <c r="O1632" s="25"/>
      <c r="P1632" s="25"/>
    </row>
    <row r="1633">
      <c r="A1633" s="16">
        <v>1631.0</v>
      </c>
      <c r="B1633" s="17" t="s">
        <v>610</v>
      </c>
      <c r="C1633" s="18">
        <v>31.0</v>
      </c>
      <c r="D1633" s="19" t="s">
        <v>2327</v>
      </c>
      <c r="E1633" s="20" t="s">
        <v>443</v>
      </c>
      <c r="F1633" s="17" t="s">
        <v>910</v>
      </c>
      <c r="G1633" s="17" t="s">
        <v>123</v>
      </c>
      <c r="H1633" s="17" t="s">
        <v>4337</v>
      </c>
      <c r="I1633" s="17" t="s">
        <v>125</v>
      </c>
      <c r="J1633" s="22" t="s">
        <v>144</v>
      </c>
      <c r="K1633" s="23" t="s">
        <v>108</v>
      </c>
      <c r="L1633" s="24" t="s">
        <v>91</v>
      </c>
      <c r="M1633" s="2">
        <v>52.0</v>
      </c>
      <c r="N1633" s="25">
        <v>31.0</v>
      </c>
      <c r="O1633" s="25"/>
      <c r="P1633" s="25"/>
    </row>
    <row r="1634">
      <c r="A1634" s="16">
        <v>1632.0</v>
      </c>
      <c r="B1634" s="17" t="s">
        <v>610</v>
      </c>
      <c r="C1634" s="18">
        <v>32.0</v>
      </c>
      <c r="D1634" s="19" t="s">
        <v>2327</v>
      </c>
      <c r="E1634" s="20" t="s">
        <v>443</v>
      </c>
      <c r="F1634" s="17" t="s">
        <v>29</v>
      </c>
      <c r="G1634" s="17" t="s">
        <v>123</v>
      </c>
      <c r="H1634" s="17" t="s">
        <v>4338</v>
      </c>
      <c r="I1634" s="17" t="s">
        <v>125</v>
      </c>
      <c r="J1634" s="22" t="s">
        <v>144</v>
      </c>
      <c r="K1634" s="23" t="s">
        <v>108</v>
      </c>
      <c r="L1634" s="24" t="s">
        <v>91</v>
      </c>
      <c r="M1634" s="2">
        <v>52.0</v>
      </c>
      <c r="N1634" s="25">
        <v>31.0</v>
      </c>
      <c r="O1634" s="25"/>
      <c r="P1634" s="25"/>
    </row>
    <row r="1635">
      <c r="A1635" s="16">
        <v>1633.0</v>
      </c>
      <c r="B1635" s="17" t="s">
        <v>610</v>
      </c>
      <c r="C1635" s="18">
        <v>33.0</v>
      </c>
      <c r="D1635" s="19" t="s">
        <v>2327</v>
      </c>
      <c r="E1635" s="20" t="s">
        <v>443</v>
      </c>
      <c r="F1635" s="17" t="s">
        <v>904</v>
      </c>
      <c r="G1635" s="17" t="s">
        <v>123</v>
      </c>
      <c r="H1635" s="17" t="s">
        <v>4339</v>
      </c>
      <c r="I1635" s="17" t="s">
        <v>125</v>
      </c>
      <c r="J1635" s="22" t="s">
        <v>144</v>
      </c>
      <c r="K1635" s="23" t="s">
        <v>108</v>
      </c>
      <c r="L1635" s="24" t="s">
        <v>91</v>
      </c>
      <c r="M1635" s="2">
        <v>52.0</v>
      </c>
      <c r="N1635" s="25">
        <v>31.0</v>
      </c>
      <c r="O1635" s="25"/>
      <c r="P1635" s="25"/>
    </row>
    <row r="1636">
      <c r="A1636" s="16">
        <v>1634.0</v>
      </c>
      <c r="B1636" s="17" t="s">
        <v>610</v>
      </c>
      <c r="C1636" s="18">
        <v>34.0</v>
      </c>
      <c r="D1636" s="19" t="s">
        <v>2327</v>
      </c>
      <c r="E1636" s="20" t="s">
        <v>443</v>
      </c>
      <c r="F1636" s="17" t="s">
        <v>31</v>
      </c>
      <c r="G1636" s="17" t="s">
        <v>123</v>
      </c>
      <c r="H1636" s="17" t="s">
        <v>4340</v>
      </c>
      <c r="I1636" s="17" t="s">
        <v>125</v>
      </c>
      <c r="J1636" s="22" t="s">
        <v>144</v>
      </c>
      <c r="K1636" s="23" t="s">
        <v>108</v>
      </c>
      <c r="L1636" s="24" t="s">
        <v>91</v>
      </c>
      <c r="M1636" s="2">
        <v>52.0</v>
      </c>
      <c r="N1636" s="25">
        <v>31.0</v>
      </c>
      <c r="O1636" s="25"/>
      <c r="P1636" s="25"/>
    </row>
    <row r="1637">
      <c r="A1637" s="16">
        <v>1635.0</v>
      </c>
      <c r="B1637" s="17" t="s">
        <v>610</v>
      </c>
      <c r="C1637" s="18">
        <v>35.0</v>
      </c>
      <c r="D1637" s="19" t="s">
        <v>2327</v>
      </c>
      <c r="E1637" s="20" t="s">
        <v>443</v>
      </c>
      <c r="F1637" s="17" t="s">
        <v>838</v>
      </c>
      <c r="G1637" s="17" t="s">
        <v>1290</v>
      </c>
      <c r="H1637" s="17" t="s">
        <v>4341</v>
      </c>
      <c r="I1637" s="17" t="s">
        <v>125</v>
      </c>
      <c r="J1637" s="22" t="s">
        <v>144</v>
      </c>
      <c r="K1637" s="23" t="s">
        <v>108</v>
      </c>
      <c r="L1637" s="24" t="s">
        <v>91</v>
      </c>
      <c r="M1637" s="2">
        <v>52.0</v>
      </c>
      <c r="N1637" s="25">
        <v>31.0</v>
      </c>
      <c r="O1637" s="25"/>
      <c r="P1637" s="25"/>
    </row>
    <row r="1638">
      <c r="A1638" s="16">
        <v>1636.0</v>
      </c>
      <c r="B1638" s="17" t="s">
        <v>610</v>
      </c>
      <c r="C1638" s="18">
        <v>36.0</v>
      </c>
      <c r="D1638" s="19" t="s">
        <v>2327</v>
      </c>
      <c r="E1638" s="20" t="s">
        <v>443</v>
      </c>
      <c r="F1638" s="17" t="s">
        <v>421</v>
      </c>
      <c r="G1638" s="17" t="s">
        <v>4342</v>
      </c>
      <c r="H1638" s="17" t="s">
        <v>4324</v>
      </c>
      <c r="I1638" s="17" t="s">
        <v>125</v>
      </c>
      <c r="J1638" s="22" t="s">
        <v>144</v>
      </c>
      <c r="K1638" s="23" t="s">
        <v>108</v>
      </c>
      <c r="L1638" s="24" t="s">
        <v>91</v>
      </c>
      <c r="M1638" s="2">
        <v>52.0</v>
      </c>
      <c r="N1638" s="25">
        <v>31.0</v>
      </c>
      <c r="O1638" s="25"/>
      <c r="P1638" s="25"/>
    </row>
    <row r="1639">
      <c r="A1639" s="16">
        <v>1637.0</v>
      </c>
      <c r="B1639" s="17" t="s">
        <v>610</v>
      </c>
      <c r="C1639" s="18">
        <v>37.0</v>
      </c>
      <c r="D1639" s="19" t="s">
        <v>2327</v>
      </c>
      <c r="E1639" s="20" t="s">
        <v>443</v>
      </c>
      <c r="F1639" s="17" t="s">
        <v>961</v>
      </c>
      <c r="G1639" s="17" t="s">
        <v>1485</v>
      </c>
      <c r="H1639" s="17" t="s">
        <v>1463</v>
      </c>
      <c r="I1639" s="17" t="s">
        <v>125</v>
      </c>
      <c r="J1639" s="22" t="s">
        <v>144</v>
      </c>
      <c r="K1639" s="23" t="s">
        <v>108</v>
      </c>
      <c r="L1639" s="24" t="s">
        <v>91</v>
      </c>
      <c r="M1639" s="2">
        <v>52.0</v>
      </c>
      <c r="N1639" s="25">
        <v>31.0</v>
      </c>
      <c r="O1639" s="25"/>
      <c r="P1639" s="25"/>
    </row>
    <row r="1640">
      <c r="A1640" s="16">
        <v>1638.0</v>
      </c>
      <c r="B1640" s="17" t="s">
        <v>610</v>
      </c>
      <c r="C1640" s="18">
        <v>38.0</v>
      </c>
      <c r="D1640" s="19" t="s">
        <v>2327</v>
      </c>
      <c r="E1640" s="20" t="s">
        <v>443</v>
      </c>
      <c r="F1640" s="17" t="s">
        <v>827</v>
      </c>
      <c r="G1640" s="17" t="s">
        <v>926</v>
      </c>
      <c r="H1640" s="17" t="s">
        <v>4343</v>
      </c>
      <c r="I1640" s="17" t="s">
        <v>125</v>
      </c>
      <c r="J1640" s="22" t="s">
        <v>144</v>
      </c>
      <c r="K1640" s="23" t="s">
        <v>108</v>
      </c>
      <c r="L1640" s="24" t="s">
        <v>91</v>
      </c>
      <c r="M1640" s="2">
        <v>52.0</v>
      </c>
      <c r="N1640" s="25">
        <v>31.0</v>
      </c>
      <c r="O1640" s="25"/>
      <c r="P1640" s="25"/>
    </row>
    <row r="1641">
      <c r="A1641" s="16">
        <v>1639.0</v>
      </c>
      <c r="B1641" s="27" t="s">
        <v>610</v>
      </c>
      <c r="C1641" s="18">
        <v>39.0</v>
      </c>
      <c r="D1641" s="19" t="s">
        <v>2327</v>
      </c>
      <c r="E1641" s="20" t="s">
        <v>443</v>
      </c>
      <c r="F1641" s="27" t="s">
        <v>922</v>
      </c>
      <c r="G1641" s="17" t="s">
        <v>123</v>
      </c>
      <c r="H1641" s="17" t="s">
        <v>4344</v>
      </c>
      <c r="I1641" s="17" t="s">
        <v>125</v>
      </c>
      <c r="J1641" s="22" t="s">
        <v>144</v>
      </c>
      <c r="K1641" s="23" t="s">
        <v>108</v>
      </c>
      <c r="L1641" s="24"/>
      <c r="M1641" s="2">
        <v>52.0</v>
      </c>
      <c r="N1641" s="25">
        <v>31.0</v>
      </c>
      <c r="O1641" s="25"/>
      <c r="P1641" s="25"/>
    </row>
    <row r="1642">
      <c r="A1642" s="16">
        <v>1640.0</v>
      </c>
      <c r="B1642" s="27" t="s">
        <v>610</v>
      </c>
      <c r="C1642" s="18">
        <v>40.0</v>
      </c>
      <c r="D1642" s="19" t="s">
        <v>2327</v>
      </c>
      <c r="E1642" s="20" t="s">
        <v>443</v>
      </c>
      <c r="F1642" s="27" t="s">
        <v>871</v>
      </c>
      <c r="G1642" s="17" t="s">
        <v>872</v>
      </c>
      <c r="H1642" s="17" t="s">
        <v>4345</v>
      </c>
      <c r="I1642" s="17" t="s">
        <v>125</v>
      </c>
      <c r="J1642" s="22" t="s">
        <v>144</v>
      </c>
      <c r="K1642" s="23" t="s">
        <v>108</v>
      </c>
      <c r="L1642" s="24"/>
      <c r="M1642" s="2">
        <v>52.0</v>
      </c>
      <c r="N1642" s="25">
        <v>31.0</v>
      </c>
      <c r="O1642" s="25"/>
      <c r="P1642" s="25"/>
    </row>
    <row r="1643">
      <c r="A1643" s="16">
        <v>1641.0</v>
      </c>
      <c r="B1643" s="27" t="s">
        <v>610</v>
      </c>
      <c r="C1643" s="18">
        <v>41.0</v>
      </c>
      <c r="D1643" s="19" t="s">
        <v>2327</v>
      </c>
      <c r="E1643" s="20" t="s">
        <v>443</v>
      </c>
      <c r="F1643" s="27" t="s">
        <v>931</v>
      </c>
      <c r="G1643" s="17" t="s">
        <v>1939</v>
      </c>
      <c r="H1643" s="17" t="s">
        <v>1940</v>
      </c>
      <c r="I1643" s="17" t="s">
        <v>125</v>
      </c>
      <c r="J1643" s="22" t="s">
        <v>144</v>
      </c>
      <c r="K1643" s="23" t="s">
        <v>108</v>
      </c>
      <c r="L1643" s="24"/>
      <c r="M1643" s="2">
        <v>52.0</v>
      </c>
      <c r="N1643" s="25">
        <v>31.0</v>
      </c>
      <c r="O1643" s="25"/>
      <c r="P1643" s="25"/>
    </row>
    <row r="1644">
      <c r="A1644" s="16">
        <v>1642.0</v>
      </c>
      <c r="B1644" s="27" t="s">
        <v>610</v>
      </c>
      <c r="C1644" s="18">
        <v>42.0</v>
      </c>
      <c r="D1644" s="19" t="s">
        <v>2327</v>
      </c>
      <c r="E1644" s="20" t="s">
        <v>443</v>
      </c>
      <c r="F1644" s="27" t="s">
        <v>1863</v>
      </c>
      <c r="G1644" s="17" t="s">
        <v>123</v>
      </c>
      <c r="H1644" s="17" t="s">
        <v>1864</v>
      </c>
      <c r="I1644" s="17" t="s">
        <v>125</v>
      </c>
      <c r="J1644" s="22" t="s">
        <v>144</v>
      </c>
      <c r="K1644" s="23" t="s">
        <v>108</v>
      </c>
      <c r="L1644" s="24"/>
      <c r="M1644" s="2">
        <v>52.0</v>
      </c>
      <c r="N1644" s="25">
        <v>31.0</v>
      </c>
      <c r="O1644" s="25"/>
      <c r="P1644" s="25"/>
    </row>
    <row r="1645">
      <c r="A1645" s="16">
        <v>1643.0</v>
      </c>
      <c r="B1645" s="27" t="s">
        <v>610</v>
      </c>
      <c r="C1645" s="18">
        <v>43.0</v>
      </c>
      <c r="D1645" s="19" t="s">
        <v>2327</v>
      </c>
      <c r="E1645" s="20" t="s">
        <v>443</v>
      </c>
      <c r="F1645" s="27" t="s">
        <v>461</v>
      </c>
      <c r="G1645" s="17" t="s">
        <v>4346</v>
      </c>
      <c r="H1645" s="17" t="s">
        <v>4347</v>
      </c>
      <c r="I1645" s="17" t="s">
        <v>125</v>
      </c>
      <c r="J1645" s="22" t="s">
        <v>144</v>
      </c>
      <c r="K1645" s="23" t="s">
        <v>108</v>
      </c>
      <c r="L1645" s="24"/>
      <c r="M1645" s="2">
        <v>52.0</v>
      </c>
      <c r="N1645" s="25">
        <v>31.0</v>
      </c>
      <c r="O1645" s="25"/>
      <c r="P1645" s="25"/>
    </row>
    <row r="1646">
      <c r="A1646" s="16">
        <v>1644.0</v>
      </c>
      <c r="B1646" s="27" t="s">
        <v>610</v>
      </c>
      <c r="C1646" s="18">
        <v>44.0</v>
      </c>
      <c r="D1646" s="19" t="s">
        <v>2327</v>
      </c>
      <c r="E1646" s="20" t="s">
        <v>443</v>
      </c>
      <c r="F1646" s="27" t="s">
        <v>925</v>
      </c>
      <c r="G1646" s="17" t="s">
        <v>4348</v>
      </c>
      <c r="H1646" s="17" t="s">
        <v>1486</v>
      </c>
      <c r="I1646" s="17" t="s">
        <v>125</v>
      </c>
      <c r="J1646" s="22" t="s">
        <v>144</v>
      </c>
      <c r="K1646" s="23" t="s">
        <v>108</v>
      </c>
      <c r="L1646" s="24"/>
      <c r="M1646" s="2">
        <v>52.0</v>
      </c>
      <c r="N1646" s="25">
        <v>31.0</v>
      </c>
      <c r="O1646" s="25"/>
      <c r="P1646" s="25"/>
    </row>
    <row r="1647">
      <c r="A1647" s="16">
        <v>1645.0</v>
      </c>
      <c r="B1647" s="27" t="s">
        <v>610</v>
      </c>
      <c r="C1647" s="18">
        <v>45.0</v>
      </c>
      <c r="D1647" s="19" t="s">
        <v>2327</v>
      </c>
      <c r="E1647" s="20" t="s">
        <v>443</v>
      </c>
      <c r="F1647" s="27" t="s">
        <v>933</v>
      </c>
      <c r="G1647" s="17" t="s">
        <v>4349</v>
      </c>
      <c r="H1647" s="17" t="s">
        <v>4350</v>
      </c>
      <c r="I1647" s="17" t="s">
        <v>125</v>
      </c>
      <c r="J1647" s="22" t="s">
        <v>144</v>
      </c>
      <c r="K1647" s="23" t="s">
        <v>108</v>
      </c>
      <c r="L1647" s="24"/>
      <c r="M1647" s="2">
        <v>52.0</v>
      </c>
      <c r="N1647" s="25">
        <v>31.0</v>
      </c>
      <c r="O1647" s="25"/>
      <c r="P1647" s="25"/>
    </row>
    <row r="1648">
      <c r="A1648" s="16">
        <v>1646.0</v>
      </c>
      <c r="B1648" s="27" t="s">
        <v>610</v>
      </c>
      <c r="C1648" s="18">
        <v>46.0</v>
      </c>
      <c r="D1648" s="19" t="s">
        <v>2327</v>
      </c>
      <c r="E1648" s="20" t="s">
        <v>443</v>
      </c>
      <c r="F1648" s="27" t="s">
        <v>4351</v>
      </c>
      <c r="G1648" s="17" t="s">
        <v>4352</v>
      </c>
      <c r="H1648" s="17" t="s">
        <v>4353</v>
      </c>
      <c r="I1648" s="17" t="s">
        <v>125</v>
      </c>
      <c r="J1648" s="22" t="s">
        <v>144</v>
      </c>
      <c r="K1648" s="23" t="s">
        <v>108</v>
      </c>
      <c r="L1648" s="24"/>
      <c r="M1648" s="2">
        <v>52.0</v>
      </c>
      <c r="N1648" s="25">
        <v>31.0</v>
      </c>
      <c r="O1648" s="25"/>
      <c r="P1648" s="25"/>
    </row>
    <row r="1649">
      <c r="A1649" s="16">
        <v>1647.0</v>
      </c>
      <c r="B1649" s="27" t="s">
        <v>610</v>
      </c>
      <c r="C1649" s="18">
        <v>47.0</v>
      </c>
      <c r="D1649" s="19" t="s">
        <v>2327</v>
      </c>
      <c r="E1649" s="20" t="s">
        <v>443</v>
      </c>
      <c r="F1649" s="27" t="s">
        <v>1156</v>
      </c>
      <c r="G1649" s="17" t="s">
        <v>1348</v>
      </c>
      <c r="H1649" s="17" t="s">
        <v>4354</v>
      </c>
      <c r="I1649" s="17" t="s">
        <v>125</v>
      </c>
      <c r="J1649" s="22" t="s">
        <v>144</v>
      </c>
      <c r="K1649" s="23" t="s">
        <v>108</v>
      </c>
      <c r="L1649" s="24"/>
      <c r="M1649" s="2">
        <v>52.0</v>
      </c>
      <c r="N1649" s="25">
        <v>31.0</v>
      </c>
      <c r="O1649" s="25"/>
      <c r="P1649" s="25"/>
    </row>
    <row r="1650">
      <c r="A1650" s="16">
        <v>1648.0</v>
      </c>
      <c r="B1650" s="27" t="s">
        <v>610</v>
      </c>
      <c r="C1650" s="18">
        <v>48.0</v>
      </c>
      <c r="D1650" s="19" t="s">
        <v>2327</v>
      </c>
      <c r="E1650" s="20" t="s">
        <v>443</v>
      </c>
      <c r="F1650" s="27" t="s">
        <v>1125</v>
      </c>
      <c r="G1650" s="17" t="s">
        <v>4355</v>
      </c>
      <c r="H1650" s="17" t="s">
        <v>4356</v>
      </c>
      <c r="I1650" s="17" t="s">
        <v>125</v>
      </c>
      <c r="J1650" s="22" t="s">
        <v>144</v>
      </c>
      <c r="K1650" s="23" t="s">
        <v>108</v>
      </c>
      <c r="L1650" s="24"/>
      <c r="M1650" s="2">
        <v>52.0</v>
      </c>
      <c r="N1650" s="25">
        <v>31.0</v>
      </c>
      <c r="O1650" s="25"/>
      <c r="P1650" s="25"/>
    </row>
    <row r="1651">
      <c r="A1651" s="16">
        <v>1649.0</v>
      </c>
      <c r="B1651" s="17" t="s">
        <v>610</v>
      </c>
      <c r="C1651" s="18">
        <v>49.0</v>
      </c>
      <c r="D1651" s="19" t="s">
        <v>2327</v>
      </c>
      <c r="E1651" s="20" t="s">
        <v>443</v>
      </c>
      <c r="F1651" s="17" t="s">
        <v>835</v>
      </c>
      <c r="G1651" s="17" t="s">
        <v>1499</v>
      </c>
      <c r="H1651" s="17" t="s">
        <v>4357</v>
      </c>
      <c r="I1651" s="17" t="s">
        <v>125</v>
      </c>
      <c r="J1651" s="22" t="s">
        <v>144</v>
      </c>
      <c r="K1651" s="23" t="s">
        <v>108</v>
      </c>
      <c r="L1651" s="24" t="s">
        <v>939</v>
      </c>
      <c r="M1651" s="2">
        <v>52.0</v>
      </c>
      <c r="N1651" s="25">
        <v>36.0</v>
      </c>
      <c r="O1651" s="25"/>
      <c r="P1651" s="25"/>
    </row>
    <row r="1652">
      <c r="A1652" s="16">
        <v>1650.0</v>
      </c>
      <c r="B1652" s="17" t="s">
        <v>610</v>
      </c>
      <c r="C1652" s="18">
        <v>50.0</v>
      </c>
      <c r="D1652" s="19" t="s">
        <v>2327</v>
      </c>
      <c r="E1652" s="20" t="s">
        <v>443</v>
      </c>
      <c r="F1652" s="17" t="s">
        <v>408</v>
      </c>
      <c r="G1652" s="17" t="s">
        <v>4358</v>
      </c>
      <c r="H1652" s="17" t="s">
        <v>4359</v>
      </c>
      <c r="I1652" s="17" t="s">
        <v>125</v>
      </c>
      <c r="J1652" s="22" t="s">
        <v>144</v>
      </c>
      <c r="K1652" s="23" t="s">
        <v>108</v>
      </c>
      <c r="L1652" s="24" t="s">
        <v>939</v>
      </c>
      <c r="M1652" s="2">
        <v>52.0</v>
      </c>
      <c r="N1652" s="25">
        <v>36.0</v>
      </c>
      <c r="O1652" s="25"/>
      <c r="P1652" s="25"/>
    </row>
    <row r="1653">
      <c r="A1653" s="16">
        <v>1651.0</v>
      </c>
      <c r="B1653" s="17" t="s">
        <v>1778</v>
      </c>
      <c r="C1653" s="18">
        <v>1.0</v>
      </c>
      <c r="D1653" s="19" t="s">
        <v>3779</v>
      </c>
      <c r="E1653" s="20" t="s">
        <v>91</v>
      </c>
      <c r="F1653" s="17" t="s">
        <v>1412</v>
      </c>
      <c r="G1653" s="17" t="s">
        <v>4360</v>
      </c>
      <c r="H1653" s="17" t="s">
        <v>4361</v>
      </c>
      <c r="I1653" s="17" t="s">
        <v>98</v>
      </c>
      <c r="J1653" s="22" t="s">
        <v>100</v>
      </c>
      <c r="K1653" s="23" t="s">
        <v>108</v>
      </c>
      <c r="L1653" s="24" t="s">
        <v>91</v>
      </c>
      <c r="M1653" s="2">
        <v>53.0</v>
      </c>
      <c r="N1653" s="25">
        <v>10.0</v>
      </c>
      <c r="O1653" s="25"/>
      <c r="P1653" s="25"/>
    </row>
    <row r="1654">
      <c r="A1654" s="16">
        <v>1652.0</v>
      </c>
      <c r="B1654" s="17" t="s">
        <v>1778</v>
      </c>
      <c r="C1654" s="18">
        <v>2.0</v>
      </c>
      <c r="D1654" s="19" t="s">
        <v>2573</v>
      </c>
      <c r="E1654" s="20" t="s">
        <v>91</v>
      </c>
      <c r="F1654" s="17" t="s">
        <v>644</v>
      </c>
      <c r="G1654" s="17" t="s">
        <v>123</v>
      </c>
      <c r="H1654" s="17" t="s">
        <v>4362</v>
      </c>
      <c r="I1654" s="17" t="s">
        <v>125</v>
      </c>
      <c r="J1654" s="22" t="s">
        <v>100</v>
      </c>
      <c r="K1654" s="23" t="s">
        <v>108</v>
      </c>
      <c r="L1654" s="24" t="s">
        <v>1010</v>
      </c>
      <c r="M1654" s="2">
        <v>53.0</v>
      </c>
      <c r="N1654" s="25">
        <v>16.0</v>
      </c>
      <c r="O1654" s="25"/>
      <c r="P1654" s="25"/>
    </row>
    <row r="1655">
      <c r="A1655" s="16">
        <v>1653.0</v>
      </c>
      <c r="B1655" s="17" t="s">
        <v>1778</v>
      </c>
      <c r="C1655" s="18">
        <v>3.0</v>
      </c>
      <c r="D1655" s="19" t="s">
        <v>3779</v>
      </c>
      <c r="E1655" s="20" t="s">
        <v>91</v>
      </c>
      <c r="F1655" s="17" t="s">
        <v>1413</v>
      </c>
      <c r="G1655" s="17" t="s">
        <v>4363</v>
      </c>
      <c r="H1655" s="17" t="s">
        <v>4364</v>
      </c>
      <c r="I1655" s="17" t="s">
        <v>98</v>
      </c>
      <c r="J1655" s="22" t="s">
        <v>135</v>
      </c>
      <c r="K1655" s="23" t="s">
        <v>108</v>
      </c>
      <c r="L1655" s="24" t="s">
        <v>91</v>
      </c>
      <c r="M1655" s="2">
        <v>53.0</v>
      </c>
      <c r="N1655" s="25">
        <v>20.0</v>
      </c>
      <c r="O1655" s="25"/>
      <c r="P1655" s="25"/>
    </row>
    <row r="1656">
      <c r="A1656" s="16">
        <v>1654.0</v>
      </c>
      <c r="B1656" s="17" t="s">
        <v>1778</v>
      </c>
      <c r="C1656" s="18">
        <v>4.0</v>
      </c>
      <c r="D1656" s="19" t="s">
        <v>3779</v>
      </c>
      <c r="E1656" s="20" t="s">
        <v>91</v>
      </c>
      <c r="F1656" s="17" t="s">
        <v>1157</v>
      </c>
      <c r="G1656" s="17" t="s">
        <v>123</v>
      </c>
      <c r="H1656" s="17" t="s">
        <v>4365</v>
      </c>
      <c r="I1656" s="17" t="s">
        <v>98</v>
      </c>
      <c r="J1656" s="22" t="s">
        <v>135</v>
      </c>
      <c r="K1656" s="23" t="s">
        <v>108</v>
      </c>
      <c r="L1656" s="24" t="s">
        <v>91</v>
      </c>
      <c r="M1656" s="2">
        <v>53.0</v>
      </c>
      <c r="N1656" s="25">
        <v>20.0</v>
      </c>
      <c r="O1656" s="25"/>
      <c r="P1656" s="25"/>
    </row>
    <row r="1657">
      <c r="A1657" s="16">
        <v>1655.0</v>
      </c>
      <c r="B1657" s="17" t="s">
        <v>1778</v>
      </c>
      <c r="C1657" s="18">
        <v>5.0</v>
      </c>
      <c r="D1657" s="19" t="s">
        <v>3779</v>
      </c>
      <c r="E1657" s="20" t="s">
        <v>91</v>
      </c>
      <c r="F1657" s="17" t="s">
        <v>981</v>
      </c>
      <c r="G1657" s="17" t="s">
        <v>4366</v>
      </c>
      <c r="H1657" s="17" t="s">
        <v>4367</v>
      </c>
      <c r="I1657" s="17" t="s">
        <v>98</v>
      </c>
      <c r="J1657" s="22" t="s">
        <v>135</v>
      </c>
      <c r="K1657" s="23" t="s">
        <v>108</v>
      </c>
      <c r="L1657" s="24" t="s">
        <v>91</v>
      </c>
      <c r="M1657" s="2">
        <v>53.0</v>
      </c>
      <c r="N1657" s="25">
        <v>20.0</v>
      </c>
      <c r="O1657" s="25"/>
      <c r="P1657" s="25"/>
    </row>
    <row r="1658">
      <c r="A1658" s="16">
        <v>1656.0</v>
      </c>
      <c r="B1658" s="17" t="s">
        <v>1778</v>
      </c>
      <c r="C1658" s="18">
        <v>6.0</v>
      </c>
      <c r="D1658" s="19" t="s">
        <v>3779</v>
      </c>
      <c r="E1658" s="20" t="s">
        <v>91</v>
      </c>
      <c r="F1658" s="17" t="s">
        <v>1094</v>
      </c>
      <c r="G1658" s="17" t="s">
        <v>4368</v>
      </c>
      <c r="H1658" s="17" t="s">
        <v>4369</v>
      </c>
      <c r="I1658" s="17" t="s">
        <v>98</v>
      </c>
      <c r="J1658" s="22" t="s">
        <v>135</v>
      </c>
      <c r="K1658" s="23" t="s">
        <v>108</v>
      </c>
      <c r="L1658" s="24" t="s">
        <v>91</v>
      </c>
      <c r="M1658" s="2">
        <v>53.0</v>
      </c>
      <c r="N1658" s="25">
        <v>20.0</v>
      </c>
      <c r="O1658" s="25"/>
      <c r="P1658" s="25"/>
    </row>
    <row r="1659">
      <c r="A1659" s="16">
        <v>1657.0</v>
      </c>
      <c r="B1659" s="17" t="s">
        <v>1778</v>
      </c>
      <c r="C1659" s="18">
        <v>7.0</v>
      </c>
      <c r="D1659" s="19" t="s">
        <v>3779</v>
      </c>
      <c r="E1659" s="20" t="s">
        <v>91</v>
      </c>
      <c r="F1659" s="17" t="s">
        <v>1141</v>
      </c>
      <c r="G1659" s="17" t="s">
        <v>4370</v>
      </c>
      <c r="H1659" s="17" t="s">
        <v>4371</v>
      </c>
      <c r="I1659" s="17" t="s">
        <v>98</v>
      </c>
      <c r="J1659" s="22" t="s">
        <v>135</v>
      </c>
      <c r="K1659" s="23" t="s">
        <v>108</v>
      </c>
      <c r="L1659" s="24" t="s">
        <v>91</v>
      </c>
      <c r="M1659" s="2">
        <v>53.0</v>
      </c>
      <c r="N1659" s="25">
        <v>20.0</v>
      </c>
      <c r="O1659" s="25"/>
      <c r="P1659" s="25"/>
    </row>
    <row r="1660">
      <c r="A1660" s="16">
        <v>1658.0</v>
      </c>
      <c r="B1660" s="17" t="s">
        <v>1778</v>
      </c>
      <c r="C1660" s="18">
        <v>8.0</v>
      </c>
      <c r="D1660" s="19" t="s">
        <v>3779</v>
      </c>
      <c r="E1660" s="20" t="s">
        <v>91</v>
      </c>
      <c r="F1660" s="17" t="s">
        <v>19</v>
      </c>
      <c r="G1660" s="17" t="s">
        <v>1512</v>
      </c>
      <c r="H1660" s="17" t="s">
        <v>4372</v>
      </c>
      <c r="I1660" s="17" t="s">
        <v>98</v>
      </c>
      <c r="J1660" s="22" t="s">
        <v>135</v>
      </c>
      <c r="K1660" s="23" t="s">
        <v>108</v>
      </c>
      <c r="L1660" s="24" t="s">
        <v>91</v>
      </c>
      <c r="M1660" s="2">
        <v>53.0</v>
      </c>
      <c r="N1660" s="25">
        <v>20.0</v>
      </c>
      <c r="O1660" s="25"/>
      <c r="P1660" s="25"/>
    </row>
    <row r="1661">
      <c r="A1661" s="16">
        <v>1659.0</v>
      </c>
      <c r="B1661" s="17" t="s">
        <v>1778</v>
      </c>
      <c r="C1661" s="18">
        <v>9.0</v>
      </c>
      <c r="D1661" s="19" t="s">
        <v>3779</v>
      </c>
      <c r="E1661" s="20" t="s">
        <v>91</v>
      </c>
      <c r="F1661" s="17" t="s">
        <v>702</v>
      </c>
      <c r="G1661" s="17" t="s">
        <v>2637</v>
      </c>
      <c r="H1661" s="17" t="s">
        <v>4373</v>
      </c>
      <c r="I1661" s="17" t="s">
        <v>98</v>
      </c>
      <c r="J1661" s="22" t="s">
        <v>135</v>
      </c>
      <c r="K1661" s="23" t="s">
        <v>108</v>
      </c>
      <c r="L1661" s="24" t="s">
        <v>91</v>
      </c>
      <c r="M1661" s="2">
        <v>53.0</v>
      </c>
      <c r="N1661" s="25">
        <v>20.0</v>
      </c>
      <c r="O1661" s="25"/>
      <c r="P1661" s="25"/>
    </row>
    <row r="1662">
      <c r="A1662" s="16">
        <v>1660.0</v>
      </c>
      <c r="B1662" s="17" t="s">
        <v>1778</v>
      </c>
      <c r="C1662" s="18">
        <v>10.0</v>
      </c>
      <c r="D1662" s="19" t="s">
        <v>3779</v>
      </c>
      <c r="E1662" s="20" t="s">
        <v>91</v>
      </c>
      <c r="F1662" s="17" t="s">
        <v>582</v>
      </c>
      <c r="G1662" s="17" t="s">
        <v>4374</v>
      </c>
      <c r="H1662" s="17" t="s">
        <v>4375</v>
      </c>
      <c r="I1662" s="17" t="s">
        <v>98</v>
      </c>
      <c r="J1662" s="22" t="s">
        <v>135</v>
      </c>
      <c r="K1662" s="23" t="s">
        <v>108</v>
      </c>
      <c r="L1662" s="24" t="s">
        <v>91</v>
      </c>
      <c r="M1662" s="2">
        <v>53.0</v>
      </c>
      <c r="N1662" s="25">
        <v>20.0</v>
      </c>
      <c r="O1662" s="25"/>
      <c r="P1662" s="25"/>
    </row>
    <row r="1663">
      <c r="A1663" s="16">
        <v>1661.0</v>
      </c>
      <c r="B1663" s="17" t="s">
        <v>1778</v>
      </c>
      <c r="C1663" s="18">
        <v>11.0</v>
      </c>
      <c r="D1663" s="19" t="s">
        <v>3779</v>
      </c>
      <c r="E1663" s="20" t="s">
        <v>91</v>
      </c>
      <c r="F1663" s="17" t="s">
        <v>1142</v>
      </c>
      <c r="G1663" s="17" t="s">
        <v>4376</v>
      </c>
      <c r="H1663" s="17" t="s">
        <v>4377</v>
      </c>
      <c r="I1663" s="17" t="s">
        <v>98</v>
      </c>
      <c r="J1663" s="22" t="s">
        <v>135</v>
      </c>
      <c r="K1663" s="23" t="s">
        <v>108</v>
      </c>
      <c r="L1663" s="24" t="s">
        <v>91</v>
      </c>
      <c r="M1663" s="2">
        <v>53.0</v>
      </c>
      <c r="N1663" s="25">
        <v>20.0</v>
      </c>
      <c r="O1663" s="25"/>
      <c r="P1663" s="25"/>
    </row>
    <row r="1664">
      <c r="A1664" s="16">
        <v>1662.0</v>
      </c>
      <c r="B1664" s="17" t="s">
        <v>1778</v>
      </c>
      <c r="C1664" s="18">
        <v>12.0</v>
      </c>
      <c r="D1664" s="19" t="s">
        <v>3779</v>
      </c>
      <c r="E1664" s="20" t="s">
        <v>91</v>
      </c>
      <c r="F1664" s="17" t="s">
        <v>1416</v>
      </c>
      <c r="G1664" s="17" t="s">
        <v>4378</v>
      </c>
      <c r="H1664" s="17" t="s">
        <v>4379</v>
      </c>
      <c r="I1664" s="17" t="s">
        <v>98</v>
      </c>
      <c r="J1664" s="22" t="s">
        <v>135</v>
      </c>
      <c r="K1664" s="23" t="s">
        <v>108</v>
      </c>
      <c r="L1664" s="24" t="s">
        <v>91</v>
      </c>
      <c r="M1664" s="2">
        <v>53.0</v>
      </c>
      <c r="N1664" s="25">
        <v>20.0</v>
      </c>
      <c r="O1664" s="25"/>
      <c r="P1664" s="25"/>
    </row>
    <row r="1665">
      <c r="A1665" s="16">
        <v>1663.0</v>
      </c>
      <c r="B1665" s="17" t="s">
        <v>1778</v>
      </c>
      <c r="C1665" s="18">
        <v>13.0</v>
      </c>
      <c r="D1665" s="19" t="s">
        <v>3779</v>
      </c>
      <c r="E1665" s="20" t="s">
        <v>91</v>
      </c>
      <c r="F1665" s="17" t="s">
        <v>687</v>
      </c>
      <c r="G1665" s="17" t="s">
        <v>123</v>
      </c>
      <c r="H1665" s="17" t="s">
        <v>4380</v>
      </c>
      <c r="I1665" s="17" t="s">
        <v>98</v>
      </c>
      <c r="J1665" s="22" t="s">
        <v>135</v>
      </c>
      <c r="K1665" s="23" t="s">
        <v>108</v>
      </c>
      <c r="L1665" s="24" t="s">
        <v>91</v>
      </c>
      <c r="M1665" s="2">
        <v>53.0</v>
      </c>
      <c r="N1665" s="25">
        <v>20.0</v>
      </c>
      <c r="O1665" s="25"/>
      <c r="P1665" s="25"/>
    </row>
    <row r="1666">
      <c r="A1666" s="16">
        <v>1664.0</v>
      </c>
      <c r="B1666" s="27" t="s">
        <v>1778</v>
      </c>
      <c r="C1666" s="18">
        <v>14.0</v>
      </c>
      <c r="D1666" s="19" t="s">
        <v>3779</v>
      </c>
      <c r="E1666" s="20" t="s">
        <v>91</v>
      </c>
      <c r="F1666" s="27" t="s">
        <v>1137</v>
      </c>
      <c r="G1666" s="17" t="s">
        <v>4381</v>
      </c>
      <c r="H1666" s="17" t="s">
        <v>4382</v>
      </c>
      <c r="I1666" s="17" t="s">
        <v>98</v>
      </c>
      <c r="J1666" s="22" t="s">
        <v>135</v>
      </c>
      <c r="K1666" s="23" t="s">
        <v>108</v>
      </c>
      <c r="L1666" s="24"/>
      <c r="M1666" s="2">
        <v>53.0</v>
      </c>
      <c r="N1666" s="25">
        <v>20.0</v>
      </c>
      <c r="O1666" s="25"/>
      <c r="P1666" s="25"/>
    </row>
    <row r="1667">
      <c r="A1667" s="16">
        <v>1665.0</v>
      </c>
      <c r="B1667" s="27" t="s">
        <v>1778</v>
      </c>
      <c r="C1667" s="18">
        <v>15.0</v>
      </c>
      <c r="D1667" s="19" t="s">
        <v>3779</v>
      </c>
      <c r="E1667" s="20" t="s">
        <v>91</v>
      </c>
      <c r="F1667" s="27" t="s">
        <v>4122</v>
      </c>
      <c r="G1667" s="17" t="s">
        <v>4383</v>
      </c>
      <c r="H1667" s="17" t="s">
        <v>4384</v>
      </c>
      <c r="I1667" s="17" t="s">
        <v>98</v>
      </c>
      <c r="J1667" s="22" t="s">
        <v>135</v>
      </c>
      <c r="K1667" s="23" t="s">
        <v>108</v>
      </c>
      <c r="L1667" s="24"/>
      <c r="M1667" s="2">
        <v>53.0</v>
      </c>
      <c r="N1667" s="25">
        <v>20.0</v>
      </c>
      <c r="O1667" s="25"/>
      <c r="P1667" s="25"/>
    </row>
    <row r="1668">
      <c r="A1668" s="16">
        <v>1666.0</v>
      </c>
      <c r="B1668" s="27" t="s">
        <v>1778</v>
      </c>
      <c r="C1668" s="18">
        <v>16.0</v>
      </c>
      <c r="D1668" s="19" t="s">
        <v>3779</v>
      </c>
      <c r="E1668" s="20" t="s">
        <v>91</v>
      </c>
      <c r="F1668" s="27" t="s">
        <v>1198</v>
      </c>
      <c r="G1668" s="17" t="s">
        <v>4385</v>
      </c>
      <c r="H1668" s="17" t="s">
        <v>4386</v>
      </c>
      <c r="I1668" s="17" t="s">
        <v>98</v>
      </c>
      <c r="J1668" s="22" t="s">
        <v>135</v>
      </c>
      <c r="K1668" s="23" t="s">
        <v>108</v>
      </c>
      <c r="L1668" s="24"/>
      <c r="M1668" s="2">
        <v>53.0</v>
      </c>
      <c r="N1668" s="25">
        <v>20.0</v>
      </c>
      <c r="O1668" s="25"/>
      <c r="P1668" s="25"/>
    </row>
    <row r="1669">
      <c r="A1669" s="16">
        <v>1667.0</v>
      </c>
      <c r="B1669" s="27" t="s">
        <v>1778</v>
      </c>
      <c r="C1669" s="18">
        <v>17.0</v>
      </c>
      <c r="D1669" s="19" t="s">
        <v>3779</v>
      </c>
      <c r="E1669" s="20" t="s">
        <v>91</v>
      </c>
      <c r="F1669" s="27" t="s">
        <v>1197</v>
      </c>
      <c r="G1669" s="17" t="s">
        <v>4387</v>
      </c>
      <c r="H1669" s="17" t="s">
        <v>4388</v>
      </c>
      <c r="I1669" s="17" t="s">
        <v>98</v>
      </c>
      <c r="J1669" s="22" t="s">
        <v>135</v>
      </c>
      <c r="K1669" s="23" t="s">
        <v>108</v>
      </c>
      <c r="L1669" s="24"/>
      <c r="M1669" s="2">
        <v>53.0</v>
      </c>
      <c r="N1669" s="25">
        <v>20.0</v>
      </c>
      <c r="O1669" s="25"/>
      <c r="P1669" s="25"/>
    </row>
    <row r="1670">
      <c r="A1670" s="16">
        <v>1668.0</v>
      </c>
      <c r="B1670" s="17" t="s">
        <v>1778</v>
      </c>
      <c r="C1670" s="18">
        <v>18.0</v>
      </c>
      <c r="D1670" s="19" t="s">
        <v>2573</v>
      </c>
      <c r="E1670" s="20" t="s">
        <v>91</v>
      </c>
      <c r="F1670" s="17" t="s">
        <v>833</v>
      </c>
      <c r="G1670" s="17" t="s">
        <v>123</v>
      </c>
      <c r="H1670" s="17" t="s">
        <v>4389</v>
      </c>
      <c r="I1670" s="17" t="s">
        <v>125</v>
      </c>
      <c r="J1670" s="22" t="s">
        <v>135</v>
      </c>
      <c r="K1670" s="23" t="s">
        <v>108</v>
      </c>
      <c r="L1670" s="24" t="s">
        <v>91</v>
      </c>
      <c r="M1670" s="2">
        <v>53.0</v>
      </c>
      <c r="N1670" s="25">
        <v>21.0</v>
      </c>
      <c r="O1670" s="25"/>
      <c r="P1670" s="25"/>
    </row>
    <row r="1671">
      <c r="A1671" s="16">
        <v>1669.0</v>
      </c>
      <c r="B1671" s="17" t="s">
        <v>1778</v>
      </c>
      <c r="C1671" s="18">
        <v>19.0</v>
      </c>
      <c r="D1671" s="19" t="s">
        <v>2573</v>
      </c>
      <c r="E1671" s="20" t="s">
        <v>91</v>
      </c>
      <c r="F1671" s="17" t="s">
        <v>1026</v>
      </c>
      <c r="G1671" s="17" t="s">
        <v>123</v>
      </c>
      <c r="H1671" s="17" t="s">
        <v>4390</v>
      </c>
      <c r="I1671" s="17" t="s">
        <v>125</v>
      </c>
      <c r="J1671" s="22" t="s">
        <v>135</v>
      </c>
      <c r="K1671" s="23" t="s">
        <v>108</v>
      </c>
      <c r="L1671" s="24" t="s">
        <v>91</v>
      </c>
      <c r="M1671" s="2">
        <v>53.0</v>
      </c>
      <c r="N1671" s="25">
        <v>21.0</v>
      </c>
      <c r="O1671" s="25"/>
      <c r="P1671" s="25"/>
    </row>
    <row r="1672">
      <c r="A1672" s="16">
        <v>1670.0</v>
      </c>
      <c r="B1672" s="17" t="s">
        <v>1778</v>
      </c>
      <c r="C1672" s="18">
        <v>20.0</v>
      </c>
      <c r="D1672" s="19" t="s">
        <v>3779</v>
      </c>
      <c r="E1672" s="20" t="s">
        <v>91</v>
      </c>
      <c r="F1672" s="17" t="s">
        <v>925</v>
      </c>
      <c r="G1672" s="17" t="s">
        <v>123</v>
      </c>
      <c r="H1672" s="17" t="s">
        <v>4391</v>
      </c>
      <c r="I1672" s="17" t="s">
        <v>98</v>
      </c>
      <c r="J1672" s="22" t="s">
        <v>144</v>
      </c>
      <c r="K1672" s="23" t="s">
        <v>108</v>
      </c>
      <c r="L1672" s="24" t="s">
        <v>91</v>
      </c>
      <c r="M1672" s="2">
        <v>53.0</v>
      </c>
      <c r="N1672" s="25">
        <v>30.0</v>
      </c>
      <c r="O1672" s="25"/>
      <c r="P1672" s="25"/>
    </row>
    <row r="1673">
      <c r="A1673" s="16">
        <v>1671.0</v>
      </c>
      <c r="B1673" s="17" t="s">
        <v>1778</v>
      </c>
      <c r="C1673" s="18">
        <v>21.0</v>
      </c>
      <c r="D1673" s="19" t="s">
        <v>3779</v>
      </c>
      <c r="E1673" s="20" t="s">
        <v>91</v>
      </c>
      <c r="F1673" s="17" t="s">
        <v>81</v>
      </c>
      <c r="G1673" s="17" t="s">
        <v>123</v>
      </c>
      <c r="H1673" s="17" t="s">
        <v>4392</v>
      </c>
      <c r="I1673" s="17" t="s">
        <v>98</v>
      </c>
      <c r="J1673" s="22" t="s">
        <v>144</v>
      </c>
      <c r="K1673" s="23" t="s">
        <v>108</v>
      </c>
      <c r="L1673" s="24" t="s">
        <v>91</v>
      </c>
      <c r="M1673" s="2">
        <v>53.0</v>
      </c>
      <c r="N1673" s="25">
        <v>30.0</v>
      </c>
      <c r="O1673" s="25"/>
      <c r="P1673" s="25"/>
    </row>
    <row r="1674">
      <c r="A1674" s="16">
        <v>1672.0</v>
      </c>
      <c r="B1674" s="17" t="s">
        <v>1778</v>
      </c>
      <c r="C1674" s="18">
        <v>22.0</v>
      </c>
      <c r="D1674" s="19" t="s">
        <v>3779</v>
      </c>
      <c r="E1674" s="20" t="s">
        <v>91</v>
      </c>
      <c r="F1674" s="17" t="s">
        <v>40</v>
      </c>
      <c r="G1674" s="17" t="s">
        <v>123</v>
      </c>
      <c r="H1674" s="17" t="s">
        <v>4393</v>
      </c>
      <c r="I1674" s="17" t="s">
        <v>98</v>
      </c>
      <c r="J1674" s="22" t="s">
        <v>144</v>
      </c>
      <c r="K1674" s="23" t="s">
        <v>108</v>
      </c>
      <c r="L1674" s="24" t="s">
        <v>91</v>
      </c>
      <c r="M1674" s="2">
        <v>53.0</v>
      </c>
      <c r="N1674" s="25">
        <v>30.0</v>
      </c>
      <c r="O1674" s="25"/>
      <c r="P1674" s="25"/>
    </row>
    <row r="1675">
      <c r="A1675" s="16">
        <v>1673.0</v>
      </c>
      <c r="B1675" s="17" t="s">
        <v>1778</v>
      </c>
      <c r="C1675" s="18">
        <v>23.0</v>
      </c>
      <c r="D1675" s="19" t="s">
        <v>2573</v>
      </c>
      <c r="E1675" s="20" t="s">
        <v>91</v>
      </c>
      <c r="F1675" s="17" t="s">
        <v>1160</v>
      </c>
      <c r="G1675" s="17" t="s">
        <v>4394</v>
      </c>
      <c r="H1675" s="17" t="s">
        <v>4395</v>
      </c>
      <c r="I1675" s="17" t="s">
        <v>125</v>
      </c>
      <c r="J1675" s="22" t="s">
        <v>144</v>
      </c>
      <c r="K1675" s="23" t="s">
        <v>108</v>
      </c>
      <c r="L1675" s="24" t="s">
        <v>91</v>
      </c>
      <c r="M1675" s="2">
        <v>53.0</v>
      </c>
      <c r="N1675" s="25">
        <v>31.0</v>
      </c>
      <c r="O1675" s="25"/>
      <c r="P1675" s="25"/>
    </row>
    <row r="1676">
      <c r="A1676" s="16">
        <v>1674.0</v>
      </c>
      <c r="B1676" s="17" t="s">
        <v>1778</v>
      </c>
      <c r="C1676" s="18">
        <v>24.0</v>
      </c>
      <c r="D1676" s="19" t="s">
        <v>2573</v>
      </c>
      <c r="E1676" s="20" t="s">
        <v>91</v>
      </c>
      <c r="F1676" s="17" t="s">
        <v>859</v>
      </c>
      <c r="G1676" s="17" t="s">
        <v>2194</v>
      </c>
      <c r="H1676" s="17" t="s">
        <v>4396</v>
      </c>
      <c r="I1676" s="17" t="s">
        <v>125</v>
      </c>
      <c r="J1676" s="22" t="s">
        <v>144</v>
      </c>
      <c r="K1676" s="23" t="s">
        <v>108</v>
      </c>
      <c r="L1676" s="24" t="s">
        <v>91</v>
      </c>
      <c r="M1676" s="2">
        <v>53.0</v>
      </c>
      <c r="N1676" s="25">
        <v>31.0</v>
      </c>
      <c r="O1676" s="25"/>
      <c r="P1676" s="25"/>
    </row>
    <row r="1677">
      <c r="A1677" s="16">
        <v>1675.0</v>
      </c>
      <c r="B1677" s="17" t="s">
        <v>1778</v>
      </c>
      <c r="C1677" s="18">
        <v>25.0</v>
      </c>
      <c r="D1677" s="19" t="s">
        <v>2573</v>
      </c>
      <c r="E1677" s="20" t="s">
        <v>91</v>
      </c>
      <c r="F1677" s="17" t="s">
        <v>987</v>
      </c>
      <c r="G1677" s="17" t="s">
        <v>4397</v>
      </c>
      <c r="H1677" s="17" t="s">
        <v>4398</v>
      </c>
      <c r="I1677" s="17" t="s">
        <v>125</v>
      </c>
      <c r="J1677" s="22" t="s">
        <v>144</v>
      </c>
      <c r="K1677" s="23" t="s">
        <v>108</v>
      </c>
      <c r="L1677" s="24" t="s">
        <v>91</v>
      </c>
      <c r="M1677" s="2">
        <v>53.0</v>
      </c>
      <c r="N1677" s="25">
        <v>31.0</v>
      </c>
      <c r="O1677" s="25"/>
      <c r="P1677" s="25"/>
    </row>
    <row r="1678">
      <c r="A1678" s="16">
        <v>1676.0</v>
      </c>
      <c r="B1678" s="17" t="s">
        <v>1778</v>
      </c>
      <c r="C1678" s="18">
        <v>26.0</v>
      </c>
      <c r="D1678" s="19" t="s">
        <v>2573</v>
      </c>
      <c r="E1678" s="20" t="s">
        <v>91</v>
      </c>
      <c r="F1678" s="17" t="s">
        <v>425</v>
      </c>
      <c r="G1678" s="17" t="s">
        <v>4399</v>
      </c>
      <c r="H1678" s="17" t="s">
        <v>4400</v>
      </c>
      <c r="I1678" s="17" t="s">
        <v>125</v>
      </c>
      <c r="J1678" s="22" t="s">
        <v>144</v>
      </c>
      <c r="K1678" s="23" t="s">
        <v>108</v>
      </c>
      <c r="L1678" s="24" t="s">
        <v>91</v>
      </c>
      <c r="M1678" s="2">
        <v>53.0</v>
      </c>
      <c r="N1678" s="25">
        <v>31.0</v>
      </c>
      <c r="O1678" s="25"/>
      <c r="P1678" s="25"/>
    </row>
    <row r="1679">
      <c r="A1679" s="16">
        <v>1677.0</v>
      </c>
      <c r="B1679" s="17" t="s">
        <v>1778</v>
      </c>
      <c r="C1679" s="18">
        <v>27.0</v>
      </c>
      <c r="D1679" s="19" t="s">
        <v>2573</v>
      </c>
      <c r="E1679" s="20" t="s">
        <v>91</v>
      </c>
      <c r="F1679" s="17" t="s">
        <v>136</v>
      </c>
      <c r="G1679" s="17" t="s">
        <v>1058</v>
      </c>
      <c r="H1679" s="17" t="s">
        <v>4401</v>
      </c>
      <c r="I1679" s="17" t="s">
        <v>125</v>
      </c>
      <c r="J1679" s="22" t="s">
        <v>144</v>
      </c>
      <c r="K1679" s="23" t="s">
        <v>108</v>
      </c>
      <c r="L1679" s="24" t="s">
        <v>91</v>
      </c>
      <c r="M1679" s="2">
        <v>53.0</v>
      </c>
      <c r="N1679" s="25">
        <v>31.0</v>
      </c>
      <c r="O1679" s="25"/>
      <c r="P1679" s="25"/>
    </row>
    <row r="1680">
      <c r="A1680" s="16">
        <v>1678.0</v>
      </c>
      <c r="B1680" s="17" t="s">
        <v>1778</v>
      </c>
      <c r="C1680" s="18">
        <v>28.0</v>
      </c>
      <c r="D1680" s="19" t="s">
        <v>2573</v>
      </c>
      <c r="E1680" s="20" t="s">
        <v>91</v>
      </c>
      <c r="F1680" s="17" t="s">
        <v>254</v>
      </c>
      <c r="G1680" s="17" t="s">
        <v>123</v>
      </c>
      <c r="H1680" s="17" t="s">
        <v>4402</v>
      </c>
      <c r="I1680" s="17" t="s">
        <v>125</v>
      </c>
      <c r="J1680" s="22" t="s">
        <v>144</v>
      </c>
      <c r="K1680" s="23" t="s">
        <v>108</v>
      </c>
      <c r="L1680" s="24" t="s">
        <v>91</v>
      </c>
      <c r="M1680" s="2">
        <v>53.0</v>
      </c>
      <c r="N1680" s="25">
        <v>31.0</v>
      </c>
      <c r="O1680" s="25"/>
      <c r="P1680" s="25"/>
    </row>
    <row r="1681">
      <c r="A1681" s="16">
        <v>1679.0</v>
      </c>
      <c r="B1681" s="17" t="s">
        <v>1778</v>
      </c>
      <c r="C1681" s="18">
        <v>29.0</v>
      </c>
      <c r="D1681" s="19" t="s">
        <v>2573</v>
      </c>
      <c r="E1681" s="20" t="s">
        <v>91</v>
      </c>
      <c r="F1681" s="17" t="s">
        <v>1140</v>
      </c>
      <c r="G1681" s="17" t="s">
        <v>4333</v>
      </c>
      <c r="H1681" s="17" t="s">
        <v>4403</v>
      </c>
      <c r="I1681" s="17" t="s">
        <v>125</v>
      </c>
      <c r="J1681" s="22" t="s">
        <v>144</v>
      </c>
      <c r="K1681" s="23" t="s">
        <v>108</v>
      </c>
      <c r="L1681" s="24" t="s">
        <v>91</v>
      </c>
      <c r="M1681" s="2">
        <v>53.0</v>
      </c>
      <c r="N1681" s="25">
        <v>31.0</v>
      </c>
      <c r="O1681" s="25"/>
      <c r="P1681" s="25"/>
    </row>
    <row r="1682">
      <c r="A1682" s="16">
        <v>1680.0</v>
      </c>
      <c r="B1682" s="17" t="s">
        <v>1778</v>
      </c>
      <c r="C1682" s="18">
        <v>30.0</v>
      </c>
      <c r="D1682" s="19" t="s">
        <v>2573</v>
      </c>
      <c r="E1682" s="20" t="s">
        <v>91</v>
      </c>
      <c r="F1682" s="17" t="s">
        <v>904</v>
      </c>
      <c r="G1682" s="17" t="s">
        <v>4404</v>
      </c>
      <c r="H1682" s="17" t="s">
        <v>4405</v>
      </c>
      <c r="I1682" s="17" t="s">
        <v>125</v>
      </c>
      <c r="J1682" s="22" t="s">
        <v>144</v>
      </c>
      <c r="K1682" s="23" t="s">
        <v>108</v>
      </c>
      <c r="L1682" s="24" t="s">
        <v>91</v>
      </c>
      <c r="M1682" s="2">
        <v>53.0</v>
      </c>
      <c r="N1682" s="25">
        <v>31.0</v>
      </c>
      <c r="O1682" s="25"/>
      <c r="P1682" s="25"/>
    </row>
    <row r="1683">
      <c r="A1683" s="16">
        <v>1681.0</v>
      </c>
      <c r="B1683" s="17" t="s">
        <v>1214</v>
      </c>
      <c r="C1683" s="18">
        <v>1.0</v>
      </c>
      <c r="D1683" s="19" t="s">
        <v>3795</v>
      </c>
      <c r="E1683" s="20" t="s">
        <v>91</v>
      </c>
      <c r="F1683" s="17" t="s">
        <v>699</v>
      </c>
      <c r="G1683" s="17" t="s">
        <v>123</v>
      </c>
      <c r="H1683" s="17" t="s">
        <v>4316</v>
      </c>
      <c r="I1683" s="17" t="s">
        <v>125</v>
      </c>
      <c r="J1683" s="22" t="s">
        <v>100</v>
      </c>
      <c r="K1683" s="23" t="s">
        <v>108</v>
      </c>
      <c r="L1683" s="24" t="s">
        <v>91</v>
      </c>
      <c r="M1683" s="2">
        <v>54.0</v>
      </c>
      <c r="N1683" s="25">
        <v>11.0</v>
      </c>
      <c r="O1683" s="25"/>
      <c r="P1683" s="25"/>
    </row>
    <row r="1684">
      <c r="A1684" s="16">
        <v>1682.0</v>
      </c>
      <c r="B1684" s="17" t="s">
        <v>1214</v>
      </c>
      <c r="C1684" s="18">
        <v>2.0</v>
      </c>
      <c r="D1684" s="19" t="s">
        <v>3795</v>
      </c>
      <c r="E1684" s="20" t="s">
        <v>91</v>
      </c>
      <c r="F1684" s="17" t="s">
        <v>985</v>
      </c>
      <c r="G1684" s="17" t="s">
        <v>123</v>
      </c>
      <c r="H1684" s="17" t="s">
        <v>4406</v>
      </c>
      <c r="I1684" s="17" t="s">
        <v>125</v>
      </c>
      <c r="J1684" s="22" t="s">
        <v>100</v>
      </c>
      <c r="K1684" s="23" t="s">
        <v>108</v>
      </c>
      <c r="L1684" s="24" t="s">
        <v>91</v>
      </c>
      <c r="M1684" s="2">
        <v>54.0</v>
      </c>
      <c r="N1684" s="25">
        <v>11.0</v>
      </c>
      <c r="O1684" s="25"/>
      <c r="P1684" s="25"/>
    </row>
    <row r="1685">
      <c r="A1685" s="16">
        <v>1683.0</v>
      </c>
      <c r="B1685" s="17" t="s">
        <v>1214</v>
      </c>
      <c r="C1685" s="18">
        <v>3.0</v>
      </c>
      <c r="D1685" s="19" t="s">
        <v>3795</v>
      </c>
      <c r="E1685" s="20" t="s">
        <v>91</v>
      </c>
      <c r="F1685" s="17" t="s">
        <v>1054</v>
      </c>
      <c r="G1685" s="17" t="s">
        <v>1996</v>
      </c>
      <c r="H1685" s="17" t="s">
        <v>4407</v>
      </c>
      <c r="I1685" s="17" t="s">
        <v>125</v>
      </c>
      <c r="J1685" s="22" t="s">
        <v>100</v>
      </c>
      <c r="K1685" s="23" t="s">
        <v>108</v>
      </c>
      <c r="L1685" s="24" t="s">
        <v>91</v>
      </c>
      <c r="M1685" s="2">
        <v>54.0</v>
      </c>
      <c r="N1685" s="25">
        <v>11.0</v>
      </c>
      <c r="O1685" s="25"/>
      <c r="P1685" s="25"/>
    </row>
    <row r="1686">
      <c r="A1686" s="16">
        <v>1684.0</v>
      </c>
      <c r="B1686" s="17" t="s">
        <v>1214</v>
      </c>
      <c r="C1686" s="18">
        <v>4.0</v>
      </c>
      <c r="D1686" s="19" t="s">
        <v>2590</v>
      </c>
      <c r="E1686" s="20" t="s">
        <v>91</v>
      </c>
      <c r="F1686" s="17" t="s">
        <v>1217</v>
      </c>
      <c r="G1686" s="17" t="s">
        <v>123</v>
      </c>
      <c r="H1686" s="17" t="s">
        <v>4408</v>
      </c>
      <c r="I1686" s="17" t="s">
        <v>125</v>
      </c>
      <c r="J1686" s="22" t="s">
        <v>100</v>
      </c>
      <c r="K1686" s="23" t="s">
        <v>108</v>
      </c>
      <c r="L1686" s="24" t="s">
        <v>91</v>
      </c>
      <c r="M1686" s="2">
        <v>54.0</v>
      </c>
      <c r="N1686" s="25">
        <v>11.0</v>
      </c>
      <c r="O1686" s="25"/>
      <c r="P1686" s="25"/>
    </row>
    <row r="1687">
      <c r="A1687" s="16">
        <v>1685.0</v>
      </c>
      <c r="B1687" s="17" t="s">
        <v>1214</v>
      </c>
      <c r="C1687" s="18">
        <v>5.0</v>
      </c>
      <c r="D1687" s="19" t="s">
        <v>3795</v>
      </c>
      <c r="E1687" s="20" t="s">
        <v>91</v>
      </c>
      <c r="F1687" s="17" t="s">
        <v>1064</v>
      </c>
      <c r="G1687" s="17" t="s">
        <v>123</v>
      </c>
      <c r="H1687" s="17" t="s">
        <v>4409</v>
      </c>
      <c r="I1687" s="17" t="s">
        <v>125</v>
      </c>
      <c r="J1687" s="22" t="s">
        <v>135</v>
      </c>
      <c r="K1687" s="23" t="s">
        <v>108</v>
      </c>
      <c r="L1687" s="24" t="s">
        <v>91</v>
      </c>
      <c r="M1687" s="2">
        <v>54.0</v>
      </c>
      <c r="N1687" s="25">
        <v>21.0</v>
      </c>
      <c r="O1687" s="25"/>
      <c r="P1687" s="25"/>
    </row>
    <row r="1688">
      <c r="A1688" s="16">
        <v>1686.0</v>
      </c>
      <c r="B1688" s="17" t="s">
        <v>1214</v>
      </c>
      <c r="C1688" s="18">
        <v>6.0</v>
      </c>
      <c r="D1688" s="19" t="s">
        <v>3795</v>
      </c>
      <c r="E1688" s="20" t="s">
        <v>91</v>
      </c>
      <c r="F1688" s="17" t="s">
        <v>1216</v>
      </c>
      <c r="G1688" s="17" t="s">
        <v>4410</v>
      </c>
      <c r="H1688" s="17" t="s">
        <v>4411</v>
      </c>
      <c r="I1688" s="17" t="s">
        <v>125</v>
      </c>
      <c r="J1688" s="22" t="s">
        <v>144</v>
      </c>
      <c r="K1688" s="23" t="s">
        <v>108</v>
      </c>
      <c r="L1688" s="24" t="s">
        <v>91</v>
      </c>
      <c r="M1688" s="2">
        <v>54.0</v>
      </c>
      <c r="N1688" s="25">
        <v>31.0</v>
      </c>
      <c r="O1688" s="25"/>
      <c r="P1688" s="25"/>
    </row>
    <row r="1689">
      <c r="A1689" s="16">
        <v>1687.0</v>
      </c>
      <c r="B1689" s="17" t="s">
        <v>1214</v>
      </c>
      <c r="C1689" s="18">
        <v>7.0</v>
      </c>
      <c r="D1689" s="19" t="s">
        <v>3795</v>
      </c>
      <c r="E1689" s="20" t="s">
        <v>91</v>
      </c>
      <c r="F1689" s="17" t="s">
        <v>1093</v>
      </c>
      <c r="G1689" s="17" t="s">
        <v>4412</v>
      </c>
      <c r="H1689" s="17" t="s">
        <v>4413</v>
      </c>
      <c r="I1689" s="17" t="s">
        <v>125</v>
      </c>
      <c r="J1689" s="22" t="s">
        <v>144</v>
      </c>
      <c r="K1689" s="23" t="s">
        <v>108</v>
      </c>
      <c r="L1689" s="24" t="s">
        <v>91</v>
      </c>
      <c r="M1689" s="2">
        <v>54.0</v>
      </c>
      <c r="N1689" s="25">
        <v>31.0</v>
      </c>
      <c r="O1689" s="25"/>
      <c r="P1689" s="25"/>
    </row>
    <row r="1690">
      <c r="A1690" s="16">
        <v>1688.0</v>
      </c>
      <c r="B1690" s="17" t="s">
        <v>1214</v>
      </c>
      <c r="C1690" s="18">
        <v>8.0</v>
      </c>
      <c r="D1690" s="19" t="s">
        <v>3795</v>
      </c>
      <c r="E1690" s="20" t="s">
        <v>91</v>
      </c>
      <c r="F1690" s="17" t="s">
        <v>702</v>
      </c>
      <c r="G1690" s="17" t="s">
        <v>4414</v>
      </c>
      <c r="H1690" s="17" t="s">
        <v>4415</v>
      </c>
      <c r="I1690" s="17" t="s">
        <v>125</v>
      </c>
      <c r="J1690" s="22" t="s">
        <v>144</v>
      </c>
      <c r="K1690" s="23" t="s">
        <v>108</v>
      </c>
      <c r="L1690" s="24" t="s">
        <v>91</v>
      </c>
      <c r="M1690" s="2">
        <v>54.0</v>
      </c>
      <c r="N1690" s="25">
        <v>31.0</v>
      </c>
      <c r="O1690" s="25"/>
      <c r="P1690" s="25"/>
    </row>
    <row r="1691">
      <c r="A1691" s="16">
        <v>1689.0</v>
      </c>
      <c r="B1691" s="17" t="s">
        <v>1214</v>
      </c>
      <c r="C1691" s="18">
        <v>9.0</v>
      </c>
      <c r="D1691" s="19" t="s">
        <v>3795</v>
      </c>
      <c r="E1691" s="20" t="s">
        <v>91</v>
      </c>
      <c r="F1691" s="17" t="s">
        <v>943</v>
      </c>
      <c r="G1691" s="17" t="s">
        <v>4416</v>
      </c>
      <c r="H1691" s="17" t="s">
        <v>4417</v>
      </c>
      <c r="I1691" s="17" t="s">
        <v>125</v>
      </c>
      <c r="J1691" s="22" t="s">
        <v>144</v>
      </c>
      <c r="K1691" s="23" t="s">
        <v>108</v>
      </c>
      <c r="L1691" s="24" t="s">
        <v>91</v>
      </c>
      <c r="M1691" s="2">
        <v>54.0</v>
      </c>
      <c r="N1691" s="25">
        <v>31.0</v>
      </c>
      <c r="O1691" s="25"/>
      <c r="P1691" s="25"/>
    </row>
    <row r="1692">
      <c r="A1692" s="16">
        <v>1690.0</v>
      </c>
      <c r="B1692" s="17" t="s">
        <v>1214</v>
      </c>
      <c r="C1692" s="18">
        <v>10.0</v>
      </c>
      <c r="D1692" s="19" t="s">
        <v>3795</v>
      </c>
      <c r="E1692" s="20" t="s">
        <v>91</v>
      </c>
      <c r="F1692" s="17" t="s">
        <v>1079</v>
      </c>
      <c r="G1692" s="17" t="s">
        <v>3198</v>
      </c>
      <c r="H1692" s="17" t="s">
        <v>4418</v>
      </c>
      <c r="I1692" s="17" t="s">
        <v>125</v>
      </c>
      <c r="J1692" s="22" t="s">
        <v>144</v>
      </c>
      <c r="K1692" s="23" t="s">
        <v>108</v>
      </c>
      <c r="L1692" s="24" t="s">
        <v>91</v>
      </c>
      <c r="M1692" s="2">
        <v>54.0</v>
      </c>
      <c r="N1692" s="25">
        <v>31.0</v>
      </c>
      <c r="O1692" s="25"/>
      <c r="P1692" s="25"/>
    </row>
    <row r="1693">
      <c r="A1693" s="16">
        <v>1691.0</v>
      </c>
      <c r="B1693" s="17" t="s">
        <v>1214</v>
      </c>
      <c r="C1693" s="18">
        <v>11.0</v>
      </c>
      <c r="D1693" s="19" t="s">
        <v>3795</v>
      </c>
      <c r="E1693" s="20" t="s">
        <v>91</v>
      </c>
      <c r="F1693" s="17" t="s">
        <v>475</v>
      </c>
      <c r="G1693" s="17" t="s">
        <v>3215</v>
      </c>
      <c r="H1693" s="17" t="s">
        <v>3939</v>
      </c>
      <c r="I1693" s="17" t="s">
        <v>125</v>
      </c>
      <c r="J1693" s="22" t="s">
        <v>144</v>
      </c>
      <c r="K1693" s="23" t="s">
        <v>108</v>
      </c>
      <c r="L1693" s="24" t="s">
        <v>91</v>
      </c>
      <c r="M1693" s="2">
        <v>54.0</v>
      </c>
      <c r="N1693" s="25">
        <v>31.0</v>
      </c>
      <c r="O1693" s="25"/>
      <c r="P1693" s="25"/>
    </row>
    <row r="1694">
      <c r="A1694" s="16">
        <v>1692.0</v>
      </c>
      <c r="B1694" s="17" t="s">
        <v>1214</v>
      </c>
      <c r="C1694" s="18">
        <v>12.0</v>
      </c>
      <c r="D1694" s="19" t="s">
        <v>3795</v>
      </c>
      <c r="E1694" s="20" t="s">
        <v>91</v>
      </c>
      <c r="F1694" s="17" t="s">
        <v>455</v>
      </c>
      <c r="G1694" s="17" t="s">
        <v>1975</v>
      </c>
      <c r="H1694" s="17" t="s">
        <v>2123</v>
      </c>
      <c r="I1694" s="17" t="s">
        <v>125</v>
      </c>
      <c r="J1694" s="22" t="s">
        <v>144</v>
      </c>
      <c r="K1694" s="23" t="s">
        <v>108</v>
      </c>
      <c r="L1694" s="24" t="s">
        <v>91</v>
      </c>
      <c r="M1694" s="2">
        <v>54.0</v>
      </c>
      <c r="N1694" s="25">
        <v>31.0</v>
      </c>
      <c r="O1694" s="25"/>
      <c r="P1694" s="25"/>
    </row>
    <row r="1695">
      <c r="A1695" s="16">
        <v>1693.0</v>
      </c>
      <c r="B1695" s="17" t="s">
        <v>1214</v>
      </c>
      <c r="C1695" s="18">
        <v>13.0</v>
      </c>
      <c r="D1695" s="19" t="s">
        <v>3795</v>
      </c>
      <c r="E1695" s="20" t="s">
        <v>91</v>
      </c>
      <c r="F1695" s="17" t="s">
        <v>1134</v>
      </c>
      <c r="G1695" s="17" t="s">
        <v>4419</v>
      </c>
      <c r="H1695" s="17" t="s">
        <v>4420</v>
      </c>
      <c r="I1695" s="17" t="s">
        <v>125</v>
      </c>
      <c r="J1695" s="22" t="s">
        <v>144</v>
      </c>
      <c r="K1695" s="23" t="s">
        <v>108</v>
      </c>
      <c r="L1695" s="24" t="s">
        <v>91</v>
      </c>
      <c r="M1695" s="2">
        <v>54.0</v>
      </c>
      <c r="N1695" s="25">
        <v>31.0</v>
      </c>
      <c r="O1695" s="25"/>
      <c r="P1695" s="25"/>
    </row>
    <row r="1696">
      <c r="A1696" s="16">
        <v>1694.0</v>
      </c>
      <c r="B1696" s="17" t="s">
        <v>1214</v>
      </c>
      <c r="C1696" s="18">
        <v>14.0</v>
      </c>
      <c r="D1696" s="19" t="s">
        <v>3795</v>
      </c>
      <c r="E1696" s="20" t="s">
        <v>91</v>
      </c>
      <c r="F1696" s="17" t="s">
        <v>833</v>
      </c>
      <c r="G1696" s="17" t="s">
        <v>4421</v>
      </c>
      <c r="H1696" s="17" t="s">
        <v>4422</v>
      </c>
      <c r="I1696" s="17" t="s">
        <v>125</v>
      </c>
      <c r="J1696" s="22" t="s">
        <v>144</v>
      </c>
      <c r="K1696" s="23" t="s">
        <v>108</v>
      </c>
      <c r="L1696" s="24" t="s">
        <v>91</v>
      </c>
      <c r="M1696" s="2">
        <v>54.0</v>
      </c>
      <c r="N1696" s="25">
        <v>31.0</v>
      </c>
      <c r="O1696" s="25"/>
      <c r="P1696" s="25"/>
    </row>
    <row r="1697">
      <c r="A1697" s="16">
        <v>1695.0</v>
      </c>
      <c r="B1697" s="17" t="s">
        <v>1214</v>
      </c>
      <c r="C1697" s="18">
        <v>15.0</v>
      </c>
      <c r="D1697" s="19" t="s">
        <v>3795</v>
      </c>
      <c r="E1697" s="20" t="s">
        <v>91</v>
      </c>
      <c r="F1697" s="17" t="s">
        <v>1198</v>
      </c>
      <c r="G1697" s="17" t="s">
        <v>4385</v>
      </c>
      <c r="H1697" s="17" t="s">
        <v>4423</v>
      </c>
      <c r="I1697" s="17" t="s">
        <v>125</v>
      </c>
      <c r="J1697" s="22" t="s">
        <v>144</v>
      </c>
      <c r="K1697" s="23" t="s">
        <v>108</v>
      </c>
      <c r="L1697" s="24" t="s">
        <v>91</v>
      </c>
      <c r="M1697" s="2">
        <v>54.0</v>
      </c>
      <c r="N1697" s="25">
        <v>31.0</v>
      </c>
      <c r="O1697" s="25"/>
      <c r="P1697" s="25"/>
    </row>
    <row r="1698">
      <c r="A1698" s="16">
        <v>1696.0</v>
      </c>
      <c r="B1698" s="27" t="s">
        <v>1214</v>
      </c>
      <c r="C1698" s="18">
        <v>16.0</v>
      </c>
      <c r="D1698" s="19" t="s">
        <v>3795</v>
      </c>
      <c r="E1698" s="20" t="s">
        <v>91</v>
      </c>
      <c r="F1698" s="27" t="s">
        <v>1278</v>
      </c>
      <c r="G1698" s="17" t="s">
        <v>1548</v>
      </c>
      <c r="H1698" s="17" t="s">
        <v>4424</v>
      </c>
      <c r="I1698" s="17" t="s">
        <v>125</v>
      </c>
      <c r="J1698" s="22" t="s">
        <v>144</v>
      </c>
      <c r="K1698" s="23" t="s">
        <v>108</v>
      </c>
      <c r="L1698" s="24"/>
      <c r="M1698" s="2">
        <v>54.0</v>
      </c>
      <c r="N1698" s="25">
        <v>31.0</v>
      </c>
      <c r="O1698" s="25"/>
      <c r="P1698" s="25"/>
    </row>
    <row r="1699">
      <c r="A1699" s="16">
        <v>1697.0</v>
      </c>
      <c r="B1699" s="27" t="s">
        <v>1214</v>
      </c>
      <c r="C1699" s="18">
        <v>17.0</v>
      </c>
      <c r="D1699" s="19" t="s">
        <v>3795</v>
      </c>
      <c r="E1699" s="20" t="s">
        <v>91</v>
      </c>
      <c r="F1699" s="27" t="s">
        <v>961</v>
      </c>
      <c r="G1699" s="17" t="s">
        <v>1485</v>
      </c>
      <c r="H1699" s="17" t="s">
        <v>4425</v>
      </c>
      <c r="I1699" s="17" t="s">
        <v>125</v>
      </c>
      <c r="J1699" s="22" t="s">
        <v>144</v>
      </c>
      <c r="K1699" s="23" t="s">
        <v>108</v>
      </c>
      <c r="L1699" s="24"/>
      <c r="M1699" s="2">
        <v>54.0</v>
      </c>
      <c r="N1699" s="25">
        <v>31.0</v>
      </c>
      <c r="O1699" s="25"/>
      <c r="P1699" s="25"/>
    </row>
    <row r="1700">
      <c r="A1700" s="16">
        <v>1698.0</v>
      </c>
      <c r="B1700" s="17" t="s">
        <v>1214</v>
      </c>
      <c r="C1700" s="18">
        <v>18.0</v>
      </c>
      <c r="D1700" s="19" t="s">
        <v>2590</v>
      </c>
      <c r="E1700" s="20" t="s">
        <v>91</v>
      </c>
      <c r="F1700" s="17" t="s">
        <v>1094</v>
      </c>
      <c r="G1700" s="17" t="s">
        <v>2646</v>
      </c>
      <c r="H1700" s="17" t="s">
        <v>2647</v>
      </c>
      <c r="I1700" s="17" t="s">
        <v>125</v>
      </c>
      <c r="J1700" s="22" t="s">
        <v>144</v>
      </c>
      <c r="K1700" s="23" t="s">
        <v>108</v>
      </c>
      <c r="L1700" s="24" t="s">
        <v>91</v>
      </c>
      <c r="M1700" s="2">
        <v>54.0</v>
      </c>
      <c r="N1700" s="25">
        <v>31.0</v>
      </c>
      <c r="O1700" s="25"/>
      <c r="P1700" s="25"/>
    </row>
    <row r="1701">
      <c r="A1701" s="16">
        <v>1699.0</v>
      </c>
      <c r="B1701" s="17" t="s">
        <v>1214</v>
      </c>
      <c r="C1701" s="18">
        <v>19.0</v>
      </c>
      <c r="D1701" s="19" t="s">
        <v>2590</v>
      </c>
      <c r="E1701" s="20" t="s">
        <v>91</v>
      </c>
      <c r="F1701" s="17" t="s">
        <v>421</v>
      </c>
      <c r="G1701" s="17" t="s">
        <v>4426</v>
      </c>
      <c r="H1701" s="17" t="s">
        <v>4427</v>
      </c>
      <c r="I1701" s="17" t="s">
        <v>125</v>
      </c>
      <c r="J1701" s="22" t="s">
        <v>144</v>
      </c>
      <c r="K1701" s="23" t="s">
        <v>108</v>
      </c>
      <c r="L1701" s="24" t="s">
        <v>91</v>
      </c>
      <c r="M1701" s="2">
        <v>54.0</v>
      </c>
      <c r="N1701" s="25">
        <v>31.0</v>
      </c>
      <c r="O1701" s="25"/>
      <c r="P1701" s="25"/>
    </row>
    <row r="1702">
      <c r="A1702" s="16">
        <v>1700.0</v>
      </c>
      <c r="B1702" s="17" t="s">
        <v>1214</v>
      </c>
      <c r="C1702" s="18">
        <v>20.0</v>
      </c>
      <c r="D1702" s="19" t="s">
        <v>2590</v>
      </c>
      <c r="E1702" s="20" t="s">
        <v>91</v>
      </c>
      <c r="F1702" s="17" t="s">
        <v>1092</v>
      </c>
      <c r="G1702" s="17" t="s">
        <v>4428</v>
      </c>
      <c r="H1702" s="17" t="s">
        <v>4429</v>
      </c>
      <c r="I1702" s="17" t="s">
        <v>125</v>
      </c>
      <c r="J1702" s="22" t="s">
        <v>144</v>
      </c>
      <c r="K1702" s="23" t="s">
        <v>108</v>
      </c>
      <c r="L1702" s="24" t="s">
        <v>91</v>
      </c>
      <c r="M1702" s="2">
        <v>54.0</v>
      </c>
      <c r="N1702" s="25">
        <v>31.0</v>
      </c>
      <c r="O1702" s="25"/>
      <c r="P1702" s="25"/>
    </row>
    <row r="1703">
      <c r="A1703" s="16">
        <v>1701.0</v>
      </c>
      <c r="B1703" s="17" t="s">
        <v>1214</v>
      </c>
      <c r="C1703" s="18">
        <v>21.0</v>
      </c>
      <c r="D1703" s="19" t="s">
        <v>2590</v>
      </c>
      <c r="E1703" s="20" t="s">
        <v>91</v>
      </c>
      <c r="F1703" s="17" t="s">
        <v>1417</v>
      </c>
      <c r="G1703" s="17" t="s">
        <v>4430</v>
      </c>
      <c r="H1703" s="17" t="s">
        <v>4431</v>
      </c>
      <c r="I1703" s="17" t="s">
        <v>125</v>
      </c>
      <c r="J1703" s="22" t="s">
        <v>144</v>
      </c>
      <c r="K1703" s="23" t="s">
        <v>108</v>
      </c>
      <c r="L1703" s="24" t="s">
        <v>91</v>
      </c>
      <c r="M1703" s="2">
        <v>54.0</v>
      </c>
      <c r="N1703" s="25">
        <v>31.0</v>
      </c>
      <c r="O1703" s="25"/>
      <c r="P1703" s="25"/>
    </row>
    <row r="1704">
      <c r="A1704" s="16">
        <v>1702.0</v>
      </c>
      <c r="B1704" s="17" t="s">
        <v>1214</v>
      </c>
      <c r="C1704" s="18">
        <v>22.0</v>
      </c>
      <c r="D1704" s="19" t="s">
        <v>2590</v>
      </c>
      <c r="E1704" s="20" t="s">
        <v>91</v>
      </c>
      <c r="F1704" s="17" t="s">
        <v>1097</v>
      </c>
      <c r="G1704" s="17" t="s">
        <v>2648</v>
      </c>
      <c r="H1704" s="17" t="s">
        <v>4432</v>
      </c>
      <c r="I1704" s="17" t="s">
        <v>125</v>
      </c>
      <c r="J1704" s="22" t="s">
        <v>144</v>
      </c>
      <c r="K1704" s="23" t="s">
        <v>108</v>
      </c>
      <c r="L1704" s="24" t="s">
        <v>91</v>
      </c>
      <c r="M1704" s="2">
        <v>54.0</v>
      </c>
      <c r="N1704" s="25">
        <v>31.0</v>
      </c>
      <c r="O1704" s="25"/>
      <c r="P1704" s="25"/>
    </row>
    <row r="1705">
      <c r="A1705" s="16">
        <v>1703.0</v>
      </c>
      <c r="B1705" s="17" t="s">
        <v>1214</v>
      </c>
      <c r="C1705" s="18">
        <v>23.0</v>
      </c>
      <c r="D1705" s="19" t="s">
        <v>2590</v>
      </c>
      <c r="E1705" s="20" t="s">
        <v>91</v>
      </c>
      <c r="F1705" s="17" t="s">
        <v>1098</v>
      </c>
      <c r="G1705" s="17" t="s">
        <v>4433</v>
      </c>
      <c r="H1705" s="17" t="s">
        <v>4434</v>
      </c>
      <c r="I1705" s="17" t="s">
        <v>125</v>
      </c>
      <c r="J1705" s="22" t="s">
        <v>144</v>
      </c>
      <c r="K1705" s="23" t="s">
        <v>108</v>
      </c>
      <c r="L1705" s="24" t="s">
        <v>91</v>
      </c>
      <c r="M1705" s="2">
        <v>54.0</v>
      </c>
      <c r="N1705" s="25">
        <v>31.0</v>
      </c>
      <c r="O1705" s="25"/>
      <c r="P1705" s="25"/>
    </row>
    <row r="1706">
      <c r="A1706" s="16">
        <v>1704.0</v>
      </c>
      <c r="B1706" s="17" t="s">
        <v>1214</v>
      </c>
      <c r="C1706" s="18">
        <v>24.0</v>
      </c>
      <c r="D1706" s="19" t="s">
        <v>2590</v>
      </c>
      <c r="E1706" s="20" t="s">
        <v>91</v>
      </c>
      <c r="F1706" s="17" t="s">
        <v>1080</v>
      </c>
      <c r="G1706" s="17" t="s">
        <v>123</v>
      </c>
      <c r="H1706" s="17" t="s">
        <v>4435</v>
      </c>
      <c r="I1706" s="17" t="s">
        <v>125</v>
      </c>
      <c r="J1706" s="22" t="s">
        <v>144</v>
      </c>
      <c r="K1706" s="23" t="s">
        <v>108</v>
      </c>
      <c r="L1706" s="24" t="s">
        <v>91</v>
      </c>
      <c r="M1706" s="2">
        <v>54.0</v>
      </c>
      <c r="N1706" s="25">
        <v>31.0</v>
      </c>
      <c r="O1706" s="25"/>
      <c r="P1706" s="25"/>
    </row>
    <row r="1707">
      <c r="A1707" s="16">
        <v>1705.0</v>
      </c>
      <c r="B1707" s="17" t="s">
        <v>1214</v>
      </c>
      <c r="C1707" s="18">
        <v>25.0</v>
      </c>
      <c r="D1707" s="19" t="s">
        <v>2590</v>
      </c>
      <c r="E1707" s="20" t="s">
        <v>91</v>
      </c>
      <c r="F1707" s="17" t="s">
        <v>1218</v>
      </c>
      <c r="G1707" s="17" t="s">
        <v>2653</v>
      </c>
      <c r="H1707" s="17" t="s">
        <v>4436</v>
      </c>
      <c r="I1707" s="17" t="s">
        <v>125</v>
      </c>
      <c r="J1707" s="22" t="s">
        <v>144</v>
      </c>
      <c r="K1707" s="23" t="s">
        <v>108</v>
      </c>
      <c r="L1707" s="24" t="s">
        <v>91</v>
      </c>
      <c r="M1707" s="2">
        <v>54.0</v>
      </c>
      <c r="N1707" s="25">
        <v>31.0</v>
      </c>
      <c r="O1707" s="25"/>
      <c r="P1707" s="25"/>
    </row>
    <row r="1708">
      <c r="A1708" s="16">
        <v>1706.0</v>
      </c>
      <c r="B1708" s="17" t="s">
        <v>1214</v>
      </c>
      <c r="C1708" s="18">
        <v>26.0</v>
      </c>
      <c r="D1708" s="19" t="s">
        <v>2590</v>
      </c>
      <c r="E1708" s="20" t="s">
        <v>91</v>
      </c>
      <c r="F1708" s="17" t="s">
        <v>1418</v>
      </c>
      <c r="G1708" s="17" t="s">
        <v>4437</v>
      </c>
      <c r="H1708" s="17" t="s">
        <v>4438</v>
      </c>
      <c r="I1708" s="17" t="s">
        <v>125</v>
      </c>
      <c r="J1708" s="22" t="s">
        <v>144</v>
      </c>
      <c r="K1708" s="23" t="s">
        <v>108</v>
      </c>
      <c r="L1708" s="24" t="s">
        <v>91</v>
      </c>
      <c r="M1708" s="2">
        <v>54.0</v>
      </c>
      <c r="N1708" s="25">
        <v>31.0</v>
      </c>
      <c r="O1708" s="25"/>
      <c r="P1708" s="25"/>
    </row>
    <row r="1709">
      <c r="A1709" s="16">
        <v>1707.0</v>
      </c>
      <c r="B1709" s="17" t="s">
        <v>1214</v>
      </c>
      <c r="C1709" s="18">
        <v>27.0</v>
      </c>
      <c r="D1709" s="19" t="s">
        <v>2590</v>
      </c>
      <c r="E1709" s="20" t="s">
        <v>91</v>
      </c>
      <c r="F1709" s="17" t="s">
        <v>942</v>
      </c>
      <c r="G1709" s="17" t="s">
        <v>4439</v>
      </c>
      <c r="H1709" s="17" t="s">
        <v>4440</v>
      </c>
      <c r="I1709" s="17" t="s">
        <v>125</v>
      </c>
      <c r="J1709" s="22" t="s">
        <v>144</v>
      </c>
      <c r="K1709" s="23" t="s">
        <v>108</v>
      </c>
      <c r="L1709" s="24" t="s">
        <v>91</v>
      </c>
      <c r="M1709" s="2">
        <v>54.0</v>
      </c>
      <c r="N1709" s="25">
        <v>31.0</v>
      </c>
      <c r="O1709" s="25"/>
      <c r="P1709" s="25"/>
    </row>
    <row r="1710">
      <c r="A1710" s="16">
        <v>1708.0</v>
      </c>
      <c r="B1710" s="17" t="s">
        <v>1214</v>
      </c>
      <c r="C1710" s="18">
        <v>28.0</v>
      </c>
      <c r="D1710" s="19" t="s">
        <v>2590</v>
      </c>
      <c r="E1710" s="20" t="s">
        <v>91</v>
      </c>
      <c r="F1710" s="17" t="s">
        <v>1065</v>
      </c>
      <c r="G1710" s="17" t="s">
        <v>4441</v>
      </c>
      <c r="H1710" s="17" t="s">
        <v>4442</v>
      </c>
      <c r="I1710" s="17" t="s">
        <v>125</v>
      </c>
      <c r="J1710" s="22" t="s">
        <v>144</v>
      </c>
      <c r="K1710" s="23" t="s">
        <v>108</v>
      </c>
      <c r="L1710" s="24" t="s">
        <v>91</v>
      </c>
      <c r="M1710" s="2">
        <v>54.0</v>
      </c>
      <c r="N1710" s="25">
        <v>31.0</v>
      </c>
      <c r="O1710" s="25"/>
      <c r="P1710" s="25"/>
    </row>
    <row r="1711">
      <c r="A1711" s="16">
        <v>1709.0</v>
      </c>
      <c r="B1711" s="17" t="s">
        <v>1214</v>
      </c>
      <c r="C1711" s="18">
        <v>29.0</v>
      </c>
      <c r="D1711" s="19" t="s">
        <v>2590</v>
      </c>
      <c r="E1711" s="20" t="s">
        <v>91</v>
      </c>
      <c r="F1711" s="17" t="s">
        <v>925</v>
      </c>
      <c r="G1711" s="17" t="s">
        <v>4443</v>
      </c>
      <c r="H1711" s="17" t="s">
        <v>4444</v>
      </c>
      <c r="I1711" s="17" t="s">
        <v>125</v>
      </c>
      <c r="J1711" s="22" t="s">
        <v>144</v>
      </c>
      <c r="K1711" s="23" t="s">
        <v>108</v>
      </c>
      <c r="L1711" s="24" t="s">
        <v>91</v>
      </c>
      <c r="M1711" s="2">
        <v>54.0</v>
      </c>
      <c r="N1711" s="25">
        <v>31.0</v>
      </c>
      <c r="O1711" s="25"/>
      <c r="P1711" s="25"/>
    </row>
    <row r="1712">
      <c r="A1712" s="16">
        <v>1710.0</v>
      </c>
      <c r="B1712" s="17" t="s">
        <v>1214</v>
      </c>
      <c r="C1712" s="18">
        <v>30.0</v>
      </c>
      <c r="D1712" s="19" t="s">
        <v>2590</v>
      </c>
      <c r="E1712" s="20" t="s">
        <v>91</v>
      </c>
      <c r="F1712" s="17" t="s">
        <v>1197</v>
      </c>
      <c r="G1712" s="17" t="s">
        <v>4445</v>
      </c>
      <c r="H1712" s="17" t="s">
        <v>4446</v>
      </c>
      <c r="I1712" s="17" t="s">
        <v>125</v>
      </c>
      <c r="J1712" s="22" t="s">
        <v>144</v>
      </c>
      <c r="K1712" s="23" t="s">
        <v>108</v>
      </c>
      <c r="L1712" s="24" t="s">
        <v>91</v>
      </c>
      <c r="M1712" s="2">
        <v>54.0</v>
      </c>
      <c r="N1712" s="25">
        <v>31.0</v>
      </c>
      <c r="O1712" s="25"/>
      <c r="P1712" s="25"/>
    </row>
    <row r="1713">
      <c r="A1713" s="16">
        <v>1711.0</v>
      </c>
      <c r="B1713" s="17" t="s">
        <v>1</v>
      </c>
      <c r="C1713" s="18">
        <v>1.0</v>
      </c>
      <c r="D1713" s="19" t="s">
        <v>2615</v>
      </c>
      <c r="E1713" s="20" t="s">
        <v>91</v>
      </c>
      <c r="F1713" s="17" t="s">
        <v>1138</v>
      </c>
      <c r="G1713" s="17" t="s">
        <v>4447</v>
      </c>
      <c r="H1713" s="17" t="s">
        <v>4448</v>
      </c>
      <c r="I1713" s="17" t="s">
        <v>98</v>
      </c>
      <c r="J1713" s="22" t="s">
        <v>100</v>
      </c>
      <c r="K1713" s="23" t="s">
        <v>108</v>
      </c>
      <c r="L1713" s="24" t="s">
        <v>91</v>
      </c>
      <c r="M1713" s="2">
        <v>55.0</v>
      </c>
      <c r="N1713" s="25">
        <v>10.0</v>
      </c>
      <c r="O1713" s="25"/>
      <c r="P1713" s="25"/>
    </row>
    <row r="1714">
      <c r="A1714" s="16">
        <v>1712.0</v>
      </c>
      <c r="B1714" s="17" t="s">
        <v>1</v>
      </c>
      <c r="C1714" s="18">
        <v>2.0</v>
      </c>
      <c r="D1714" s="19" t="s">
        <v>3818</v>
      </c>
      <c r="E1714" s="20" t="s">
        <v>91</v>
      </c>
      <c r="F1714" s="17" t="s">
        <v>29</v>
      </c>
      <c r="G1714" s="17" t="s">
        <v>2019</v>
      </c>
      <c r="H1714" s="17" t="s">
        <v>4449</v>
      </c>
      <c r="I1714" s="17" t="s">
        <v>98</v>
      </c>
      <c r="J1714" s="22" t="s">
        <v>100</v>
      </c>
      <c r="K1714" s="23" t="s">
        <v>108</v>
      </c>
      <c r="L1714" s="24" t="s">
        <v>91</v>
      </c>
      <c r="M1714" s="2">
        <v>55.0</v>
      </c>
      <c r="N1714" s="25">
        <v>10.0</v>
      </c>
      <c r="O1714" s="25"/>
      <c r="P1714" s="25"/>
    </row>
    <row r="1715">
      <c r="A1715" s="16">
        <v>1713.0</v>
      </c>
      <c r="B1715" s="17" t="s">
        <v>1</v>
      </c>
      <c r="C1715" s="18">
        <v>3.0</v>
      </c>
      <c r="D1715" s="19" t="s">
        <v>3818</v>
      </c>
      <c r="E1715" s="20" t="s">
        <v>91</v>
      </c>
      <c r="F1715" s="17" t="s">
        <v>845</v>
      </c>
      <c r="G1715" s="17" t="s">
        <v>123</v>
      </c>
      <c r="H1715" s="17" t="s">
        <v>4450</v>
      </c>
      <c r="I1715" s="17" t="s">
        <v>125</v>
      </c>
      <c r="J1715" s="22" t="s">
        <v>100</v>
      </c>
      <c r="K1715" s="23" t="s">
        <v>108</v>
      </c>
      <c r="L1715" s="24" t="s">
        <v>91</v>
      </c>
      <c r="M1715" s="2">
        <v>55.0</v>
      </c>
      <c r="N1715" s="25">
        <v>11.0</v>
      </c>
      <c r="O1715" s="25"/>
      <c r="P1715" s="25"/>
    </row>
    <row r="1716">
      <c r="A1716" s="16">
        <v>1714.0</v>
      </c>
      <c r="B1716" s="17" t="s">
        <v>1</v>
      </c>
      <c r="C1716" s="18">
        <v>4.0</v>
      </c>
      <c r="D1716" s="19" t="s">
        <v>2615</v>
      </c>
      <c r="E1716" s="20" t="s">
        <v>91</v>
      </c>
      <c r="F1716" s="17" t="s">
        <v>81</v>
      </c>
      <c r="G1716" s="17" t="s">
        <v>4451</v>
      </c>
      <c r="H1716" s="17" t="s">
        <v>4452</v>
      </c>
      <c r="I1716" s="17" t="s">
        <v>98</v>
      </c>
      <c r="J1716" s="22" t="s">
        <v>135</v>
      </c>
      <c r="K1716" s="23" t="s">
        <v>108</v>
      </c>
      <c r="L1716" s="24" t="s">
        <v>91</v>
      </c>
      <c r="M1716" s="2">
        <v>55.0</v>
      </c>
      <c r="N1716" s="25">
        <v>20.0</v>
      </c>
      <c r="O1716" s="25"/>
      <c r="P1716" s="25"/>
    </row>
    <row r="1717">
      <c r="A1717" s="16">
        <v>1715.0</v>
      </c>
      <c r="B1717" s="17" t="s">
        <v>1</v>
      </c>
      <c r="C1717" s="18">
        <v>5.0</v>
      </c>
      <c r="D1717" s="19" t="s">
        <v>2615</v>
      </c>
      <c r="E1717" s="20" t="s">
        <v>91</v>
      </c>
      <c r="F1717" s="17" t="s">
        <v>218</v>
      </c>
      <c r="G1717" s="17" t="s">
        <v>4453</v>
      </c>
      <c r="H1717" s="17" t="s">
        <v>4454</v>
      </c>
      <c r="I1717" s="17" t="s">
        <v>98</v>
      </c>
      <c r="J1717" s="22" t="s">
        <v>135</v>
      </c>
      <c r="K1717" s="23" t="s">
        <v>108</v>
      </c>
      <c r="L1717" s="24" t="s">
        <v>91</v>
      </c>
      <c r="M1717" s="2">
        <v>55.0</v>
      </c>
      <c r="N1717" s="25">
        <v>20.0</v>
      </c>
      <c r="O1717" s="25"/>
      <c r="P1717" s="25"/>
    </row>
    <row r="1718">
      <c r="A1718" s="16">
        <v>1716.0</v>
      </c>
      <c r="B1718" s="27" t="s">
        <v>1</v>
      </c>
      <c r="C1718" s="18">
        <v>6.0</v>
      </c>
      <c r="D1718" s="19" t="s">
        <v>2615</v>
      </c>
      <c r="E1718" s="20" t="s">
        <v>91</v>
      </c>
      <c r="F1718" s="27" t="s">
        <v>871</v>
      </c>
      <c r="G1718" s="17" t="s">
        <v>872</v>
      </c>
      <c r="H1718" s="17" t="s">
        <v>4345</v>
      </c>
      <c r="I1718" s="17" t="s">
        <v>98</v>
      </c>
      <c r="J1718" s="22" t="s">
        <v>135</v>
      </c>
      <c r="K1718" s="23" t="s">
        <v>108</v>
      </c>
      <c r="L1718" s="24"/>
      <c r="M1718" s="2">
        <v>55.0</v>
      </c>
      <c r="N1718" s="25">
        <v>20.0</v>
      </c>
      <c r="O1718" s="25"/>
      <c r="P1718" s="25"/>
    </row>
    <row r="1719">
      <c r="A1719" s="16">
        <v>1717.0</v>
      </c>
      <c r="B1719" s="17" t="s">
        <v>1</v>
      </c>
      <c r="C1719" s="18">
        <v>7.0</v>
      </c>
      <c r="D1719" s="19" t="s">
        <v>3818</v>
      </c>
      <c r="E1719" s="20" t="s">
        <v>91</v>
      </c>
      <c r="F1719" s="17" t="s">
        <v>859</v>
      </c>
      <c r="G1719" s="17" t="s">
        <v>4455</v>
      </c>
      <c r="H1719" s="17" t="s">
        <v>4456</v>
      </c>
      <c r="I1719" s="17" t="s">
        <v>98</v>
      </c>
      <c r="J1719" s="22" t="s">
        <v>135</v>
      </c>
      <c r="K1719" s="23" t="s">
        <v>108</v>
      </c>
      <c r="L1719" s="24" t="s">
        <v>91</v>
      </c>
      <c r="M1719" s="2">
        <v>55.0</v>
      </c>
      <c r="N1719" s="25">
        <v>20.0</v>
      </c>
      <c r="O1719" s="25"/>
      <c r="P1719" s="25"/>
    </row>
    <row r="1720">
      <c r="A1720" s="16">
        <v>1718.0</v>
      </c>
      <c r="B1720" s="27" t="s">
        <v>1</v>
      </c>
      <c r="C1720" s="18">
        <v>8.0</v>
      </c>
      <c r="D1720" s="19" t="s">
        <v>3818</v>
      </c>
      <c r="E1720" s="20" t="s">
        <v>91</v>
      </c>
      <c r="F1720" s="27" t="s">
        <v>1863</v>
      </c>
      <c r="G1720" s="17" t="s">
        <v>4457</v>
      </c>
      <c r="H1720" s="17" t="s">
        <v>4458</v>
      </c>
      <c r="I1720" s="17" t="s">
        <v>98</v>
      </c>
      <c r="J1720" s="22" t="s">
        <v>135</v>
      </c>
      <c r="K1720" s="23" t="s">
        <v>108</v>
      </c>
      <c r="L1720" s="24"/>
      <c r="M1720" s="2">
        <v>55.0</v>
      </c>
      <c r="N1720" s="25">
        <v>20.0</v>
      </c>
      <c r="O1720" s="25"/>
      <c r="P1720" s="25"/>
    </row>
    <row r="1721">
      <c r="A1721" s="16">
        <v>1719.0</v>
      </c>
      <c r="B1721" s="17" t="s">
        <v>1</v>
      </c>
      <c r="C1721" s="18">
        <v>9.0</v>
      </c>
      <c r="D1721" s="19" t="s">
        <v>2615</v>
      </c>
      <c r="E1721" s="20" t="s">
        <v>91</v>
      </c>
      <c r="F1721" s="17" t="s">
        <v>392</v>
      </c>
      <c r="G1721" s="17" t="s">
        <v>4459</v>
      </c>
      <c r="H1721" s="17" t="s">
        <v>4460</v>
      </c>
      <c r="I1721" s="17" t="s">
        <v>98</v>
      </c>
      <c r="J1721" s="22" t="s">
        <v>144</v>
      </c>
      <c r="K1721" s="23" t="s">
        <v>108</v>
      </c>
      <c r="L1721" s="24" t="s">
        <v>91</v>
      </c>
      <c r="M1721" s="2">
        <v>55.0</v>
      </c>
      <c r="N1721" s="25">
        <v>30.0</v>
      </c>
      <c r="O1721" s="25"/>
      <c r="P1721" s="25"/>
    </row>
    <row r="1722">
      <c r="A1722" s="16">
        <v>1720.0</v>
      </c>
      <c r="B1722" s="17" t="s">
        <v>1</v>
      </c>
      <c r="C1722" s="18">
        <v>10.0</v>
      </c>
      <c r="D1722" s="19" t="s">
        <v>2615</v>
      </c>
      <c r="E1722" s="20" t="s">
        <v>91</v>
      </c>
      <c r="F1722" s="17" t="s">
        <v>212</v>
      </c>
      <c r="G1722" s="17" t="s">
        <v>4461</v>
      </c>
      <c r="H1722" s="17" t="s">
        <v>4462</v>
      </c>
      <c r="I1722" s="17" t="s">
        <v>98</v>
      </c>
      <c r="J1722" s="22" t="s">
        <v>144</v>
      </c>
      <c r="K1722" s="23" t="s">
        <v>108</v>
      </c>
      <c r="L1722" s="24" t="s">
        <v>91</v>
      </c>
      <c r="M1722" s="2">
        <v>55.0</v>
      </c>
      <c r="N1722" s="25">
        <v>30.0</v>
      </c>
      <c r="O1722" s="25"/>
      <c r="P1722" s="25"/>
    </row>
    <row r="1723">
      <c r="A1723" s="16">
        <v>1721.0</v>
      </c>
      <c r="B1723" s="17" t="s">
        <v>1</v>
      </c>
      <c r="C1723" s="18">
        <v>11.0</v>
      </c>
      <c r="D1723" s="19" t="s">
        <v>2615</v>
      </c>
      <c r="E1723" s="20" t="s">
        <v>91</v>
      </c>
      <c r="F1723" s="17" t="s">
        <v>133</v>
      </c>
      <c r="G1723" s="17" t="s">
        <v>4463</v>
      </c>
      <c r="H1723" s="17" t="s">
        <v>4464</v>
      </c>
      <c r="I1723" s="17" t="s">
        <v>98</v>
      </c>
      <c r="J1723" s="22" t="s">
        <v>144</v>
      </c>
      <c r="K1723" s="23" t="s">
        <v>108</v>
      </c>
      <c r="L1723" s="24" t="s">
        <v>91</v>
      </c>
      <c r="M1723" s="2">
        <v>55.0</v>
      </c>
      <c r="N1723" s="25">
        <v>30.0</v>
      </c>
      <c r="O1723" s="25"/>
      <c r="P1723" s="25"/>
    </row>
    <row r="1724">
      <c r="A1724" s="16">
        <v>1722.0</v>
      </c>
      <c r="B1724" s="17" t="s">
        <v>1</v>
      </c>
      <c r="C1724" s="18">
        <v>12.0</v>
      </c>
      <c r="D1724" s="19" t="s">
        <v>3818</v>
      </c>
      <c r="E1724" s="20" t="s">
        <v>91</v>
      </c>
      <c r="F1724" s="17" t="s">
        <v>566</v>
      </c>
      <c r="G1724" s="17" t="s">
        <v>4465</v>
      </c>
      <c r="H1724" s="17" t="s">
        <v>4466</v>
      </c>
      <c r="I1724" s="17" t="s">
        <v>98</v>
      </c>
      <c r="J1724" s="22" t="s">
        <v>144</v>
      </c>
      <c r="K1724" s="23" t="s">
        <v>108</v>
      </c>
      <c r="L1724" s="24" t="s">
        <v>91</v>
      </c>
      <c r="M1724" s="2">
        <v>55.0</v>
      </c>
      <c r="N1724" s="25">
        <v>30.0</v>
      </c>
      <c r="O1724" s="25"/>
      <c r="P1724" s="25"/>
    </row>
    <row r="1725">
      <c r="A1725" s="16">
        <v>1723.0</v>
      </c>
      <c r="B1725" s="17" t="s">
        <v>1</v>
      </c>
      <c r="C1725" s="18">
        <v>13.0</v>
      </c>
      <c r="D1725" s="19" t="s">
        <v>3818</v>
      </c>
      <c r="E1725" s="20" t="s">
        <v>91</v>
      </c>
      <c r="F1725" s="17" t="s">
        <v>40</v>
      </c>
      <c r="G1725" s="17" t="s">
        <v>1543</v>
      </c>
      <c r="H1725" s="17" t="s">
        <v>4458</v>
      </c>
      <c r="I1725" s="17" t="s">
        <v>98</v>
      </c>
      <c r="J1725" s="22" t="s">
        <v>144</v>
      </c>
      <c r="K1725" s="23" t="s">
        <v>108</v>
      </c>
      <c r="L1725" s="24" t="s">
        <v>91</v>
      </c>
      <c r="M1725" s="2">
        <v>55.0</v>
      </c>
      <c r="N1725" s="25">
        <v>30.0</v>
      </c>
      <c r="O1725" s="25"/>
      <c r="P1725" s="25"/>
    </row>
    <row r="1726">
      <c r="A1726" s="16">
        <v>1724.0</v>
      </c>
      <c r="B1726" s="17" t="s">
        <v>1</v>
      </c>
      <c r="C1726" s="18">
        <v>14.0</v>
      </c>
      <c r="D1726" s="19" t="s">
        <v>3818</v>
      </c>
      <c r="E1726" s="20" t="s">
        <v>91</v>
      </c>
      <c r="F1726" s="17" t="s">
        <v>186</v>
      </c>
      <c r="G1726" s="17" t="s">
        <v>4467</v>
      </c>
      <c r="H1726" s="17" t="s">
        <v>4468</v>
      </c>
      <c r="I1726" s="17" t="s">
        <v>98</v>
      </c>
      <c r="J1726" s="22" t="s">
        <v>144</v>
      </c>
      <c r="K1726" s="23" t="s">
        <v>108</v>
      </c>
      <c r="L1726" s="24" t="s">
        <v>91</v>
      </c>
      <c r="M1726" s="2">
        <v>55.0</v>
      </c>
      <c r="N1726" s="25">
        <v>30.0</v>
      </c>
      <c r="O1726" s="25"/>
      <c r="P1726" s="25"/>
    </row>
    <row r="1727">
      <c r="A1727" s="16">
        <v>1725.0</v>
      </c>
      <c r="B1727" s="17" t="s">
        <v>1</v>
      </c>
      <c r="C1727" s="18">
        <v>15.0</v>
      </c>
      <c r="D1727" s="19" t="s">
        <v>3818</v>
      </c>
      <c r="E1727" s="20" t="s">
        <v>91</v>
      </c>
      <c r="F1727" s="17" t="s">
        <v>402</v>
      </c>
      <c r="G1727" s="17" t="s">
        <v>4469</v>
      </c>
      <c r="H1727" s="17" t="s">
        <v>4470</v>
      </c>
      <c r="I1727" s="17" t="s">
        <v>98</v>
      </c>
      <c r="J1727" s="22" t="s">
        <v>144</v>
      </c>
      <c r="K1727" s="23" t="s">
        <v>108</v>
      </c>
      <c r="L1727" s="24" t="s">
        <v>91</v>
      </c>
      <c r="M1727" s="2">
        <v>55.0</v>
      </c>
      <c r="N1727" s="25">
        <v>30.0</v>
      </c>
      <c r="O1727" s="25"/>
      <c r="P1727" s="25"/>
    </row>
    <row r="1728">
      <c r="A1728" s="16">
        <v>1726.0</v>
      </c>
      <c r="B1728" s="17" t="s">
        <v>1</v>
      </c>
      <c r="C1728" s="18">
        <v>16.0</v>
      </c>
      <c r="D1728" s="19" t="s">
        <v>3818</v>
      </c>
      <c r="E1728" s="20" t="s">
        <v>91</v>
      </c>
      <c r="F1728" s="17" t="s">
        <v>31</v>
      </c>
      <c r="G1728" s="17" t="s">
        <v>4471</v>
      </c>
      <c r="H1728" s="17" t="s">
        <v>4472</v>
      </c>
      <c r="I1728" s="17" t="s">
        <v>98</v>
      </c>
      <c r="J1728" s="22" t="s">
        <v>144</v>
      </c>
      <c r="K1728" s="23" t="s">
        <v>108</v>
      </c>
      <c r="L1728" s="24" t="s">
        <v>91</v>
      </c>
      <c r="M1728" s="2">
        <v>55.0</v>
      </c>
      <c r="N1728" s="25">
        <v>30.0</v>
      </c>
      <c r="O1728" s="25"/>
      <c r="P1728" s="25"/>
    </row>
    <row r="1729">
      <c r="A1729" s="16">
        <v>1727.0</v>
      </c>
      <c r="B1729" s="17" t="s">
        <v>1</v>
      </c>
      <c r="C1729" s="18">
        <v>17.0</v>
      </c>
      <c r="D1729" s="19" t="s">
        <v>3818</v>
      </c>
      <c r="E1729" s="20" t="s">
        <v>91</v>
      </c>
      <c r="F1729" s="17" t="s">
        <v>35</v>
      </c>
      <c r="G1729" s="17" t="s">
        <v>4473</v>
      </c>
      <c r="H1729" s="17" t="s">
        <v>4474</v>
      </c>
      <c r="I1729" s="17" t="s">
        <v>98</v>
      </c>
      <c r="J1729" s="22" t="s">
        <v>144</v>
      </c>
      <c r="K1729" s="23" t="s">
        <v>108</v>
      </c>
      <c r="L1729" s="24" t="s">
        <v>91</v>
      </c>
      <c r="M1729" s="2">
        <v>55.0</v>
      </c>
      <c r="N1729" s="25">
        <v>30.0</v>
      </c>
      <c r="O1729" s="25"/>
      <c r="P1729" s="25"/>
    </row>
    <row r="1730">
      <c r="A1730" s="16">
        <v>1728.0</v>
      </c>
      <c r="B1730" s="17" t="s">
        <v>1</v>
      </c>
      <c r="C1730" s="18">
        <v>18.0</v>
      </c>
      <c r="D1730" s="19" t="s">
        <v>3818</v>
      </c>
      <c r="E1730" s="20" t="s">
        <v>91</v>
      </c>
      <c r="F1730" s="17" t="s">
        <v>1137</v>
      </c>
      <c r="G1730" s="17" t="s">
        <v>4475</v>
      </c>
      <c r="H1730" s="17" t="s">
        <v>4476</v>
      </c>
      <c r="I1730" s="17" t="s">
        <v>98</v>
      </c>
      <c r="J1730" s="22" t="s">
        <v>144</v>
      </c>
      <c r="K1730" s="23" t="s">
        <v>108</v>
      </c>
      <c r="L1730" s="24" t="s">
        <v>91</v>
      </c>
      <c r="M1730" s="2">
        <v>55.0</v>
      </c>
      <c r="N1730" s="25">
        <v>30.0</v>
      </c>
      <c r="O1730" s="25"/>
      <c r="P1730" s="25"/>
    </row>
    <row r="1731">
      <c r="A1731" s="16">
        <v>1729.0</v>
      </c>
      <c r="B1731" s="17" t="s">
        <v>1</v>
      </c>
      <c r="C1731" s="18">
        <v>19.0</v>
      </c>
      <c r="D1731" s="19" t="s">
        <v>3818</v>
      </c>
      <c r="E1731" s="20" t="s">
        <v>91</v>
      </c>
      <c r="F1731" s="17" t="s">
        <v>126</v>
      </c>
      <c r="G1731" s="17" t="s">
        <v>4477</v>
      </c>
      <c r="H1731" s="17" t="s">
        <v>4452</v>
      </c>
      <c r="I1731" s="17" t="s">
        <v>98</v>
      </c>
      <c r="J1731" s="22" t="s">
        <v>144</v>
      </c>
      <c r="K1731" s="23" t="s">
        <v>108</v>
      </c>
      <c r="L1731" s="24" t="s">
        <v>91</v>
      </c>
      <c r="M1731" s="2">
        <v>55.0</v>
      </c>
      <c r="N1731" s="25">
        <v>30.0</v>
      </c>
      <c r="O1731" s="25"/>
      <c r="P1731" s="25"/>
    </row>
    <row r="1732">
      <c r="A1732" s="16">
        <v>1730.0</v>
      </c>
      <c r="B1732" s="17" t="s">
        <v>1</v>
      </c>
      <c r="C1732" s="18">
        <v>20.0</v>
      </c>
      <c r="D1732" s="19" t="s">
        <v>2615</v>
      </c>
      <c r="E1732" s="20" t="s">
        <v>91</v>
      </c>
      <c r="F1732" s="17" t="s">
        <v>825</v>
      </c>
      <c r="G1732" s="17" t="s">
        <v>4478</v>
      </c>
      <c r="H1732" s="17" t="s">
        <v>4479</v>
      </c>
      <c r="I1732" s="17" t="s">
        <v>125</v>
      </c>
      <c r="J1732" s="22" t="s">
        <v>144</v>
      </c>
      <c r="K1732" s="23" t="s">
        <v>108</v>
      </c>
      <c r="L1732" s="24" t="s">
        <v>91</v>
      </c>
      <c r="M1732" s="2">
        <v>55.0</v>
      </c>
      <c r="N1732" s="25">
        <v>31.0</v>
      </c>
      <c r="O1732" s="25"/>
      <c r="P1732" s="25"/>
    </row>
    <row r="1733">
      <c r="A1733" s="16">
        <v>1731.0</v>
      </c>
      <c r="B1733" s="17" t="s">
        <v>1</v>
      </c>
      <c r="C1733" s="18">
        <v>21.0</v>
      </c>
      <c r="D1733" s="19" t="s">
        <v>2615</v>
      </c>
      <c r="E1733" s="20" t="s">
        <v>91</v>
      </c>
      <c r="F1733" s="17" t="s">
        <v>251</v>
      </c>
      <c r="G1733" s="17" t="s">
        <v>4480</v>
      </c>
      <c r="H1733" s="17" t="s">
        <v>4481</v>
      </c>
      <c r="I1733" s="17" t="s">
        <v>125</v>
      </c>
      <c r="J1733" s="22" t="s">
        <v>144</v>
      </c>
      <c r="K1733" s="23" t="s">
        <v>108</v>
      </c>
      <c r="L1733" s="24" t="s">
        <v>91</v>
      </c>
      <c r="M1733" s="2">
        <v>55.0</v>
      </c>
      <c r="N1733" s="25">
        <v>31.0</v>
      </c>
      <c r="O1733" s="25"/>
      <c r="P1733" s="25"/>
    </row>
    <row r="1734">
      <c r="A1734" s="16">
        <v>1732.0</v>
      </c>
      <c r="B1734" s="17" t="s">
        <v>1</v>
      </c>
      <c r="C1734" s="18">
        <v>22.0</v>
      </c>
      <c r="D1734" s="19" t="s">
        <v>2615</v>
      </c>
      <c r="E1734" s="20" t="s">
        <v>91</v>
      </c>
      <c r="F1734" s="17" t="s">
        <v>1140</v>
      </c>
      <c r="G1734" s="17" t="s">
        <v>4482</v>
      </c>
      <c r="H1734" s="17" t="s">
        <v>4483</v>
      </c>
      <c r="I1734" s="17" t="s">
        <v>125</v>
      </c>
      <c r="J1734" s="22" t="s">
        <v>144</v>
      </c>
      <c r="K1734" s="23" t="s">
        <v>108</v>
      </c>
      <c r="L1734" s="24" t="s">
        <v>91</v>
      </c>
      <c r="M1734" s="2">
        <v>55.0</v>
      </c>
      <c r="N1734" s="25">
        <v>31.0</v>
      </c>
      <c r="O1734" s="25"/>
      <c r="P1734" s="25"/>
    </row>
    <row r="1735">
      <c r="A1735" s="16">
        <v>1733.0</v>
      </c>
      <c r="B1735" s="17" t="s">
        <v>1</v>
      </c>
      <c r="C1735" s="18">
        <v>23.0</v>
      </c>
      <c r="D1735" s="19" t="s">
        <v>3818</v>
      </c>
      <c r="E1735" s="20" t="s">
        <v>91</v>
      </c>
      <c r="F1735" s="17" t="s">
        <v>699</v>
      </c>
      <c r="G1735" s="17" t="s">
        <v>123</v>
      </c>
      <c r="H1735" s="17" t="s">
        <v>4316</v>
      </c>
      <c r="I1735" s="17" t="s">
        <v>125</v>
      </c>
      <c r="J1735" s="22" t="s">
        <v>144</v>
      </c>
      <c r="K1735" s="23" t="s">
        <v>108</v>
      </c>
      <c r="L1735" s="24" t="s">
        <v>91</v>
      </c>
      <c r="M1735" s="2">
        <v>55.0</v>
      </c>
      <c r="N1735" s="25">
        <v>31.0</v>
      </c>
      <c r="O1735" s="25"/>
      <c r="P1735" s="25"/>
    </row>
    <row r="1736">
      <c r="A1736" s="16">
        <v>1734.0</v>
      </c>
      <c r="B1736" s="17" t="s">
        <v>1</v>
      </c>
      <c r="C1736" s="18">
        <v>24.0</v>
      </c>
      <c r="D1736" s="19" t="s">
        <v>3818</v>
      </c>
      <c r="E1736" s="20" t="s">
        <v>91</v>
      </c>
      <c r="F1736" s="17" t="s">
        <v>101</v>
      </c>
      <c r="G1736" s="17" t="s">
        <v>4484</v>
      </c>
      <c r="H1736" s="17" t="s">
        <v>4485</v>
      </c>
      <c r="I1736" s="17" t="s">
        <v>125</v>
      </c>
      <c r="J1736" s="22" t="s">
        <v>144</v>
      </c>
      <c r="K1736" s="23" t="s">
        <v>108</v>
      </c>
      <c r="L1736" s="24" t="s">
        <v>91</v>
      </c>
      <c r="M1736" s="2">
        <v>55.0</v>
      </c>
      <c r="N1736" s="25">
        <v>31.0</v>
      </c>
      <c r="O1736" s="25"/>
      <c r="P1736" s="25"/>
    </row>
    <row r="1737">
      <c r="A1737" s="16">
        <v>1735.0</v>
      </c>
      <c r="B1737" s="17" t="s">
        <v>1</v>
      </c>
      <c r="C1737" s="18">
        <v>25.0</v>
      </c>
      <c r="D1737" s="19" t="s">
        <v>3818</v>
      </c>
      <c r="E1737" s="20" t="s">
        <v>91</v>
      </c>
      <c r="F1737" s="17" t="s">
        <v>1139</v>
      </c>
      <c r="G1737" s="17" t="s">
        <v>4323</v>
      </c>
      <c r="H1737" s="17" t="s">
        <v>4324</v>
      </c>
      <c r="I1737" s="17" t="s">
        <v>125</v>
      </c>
      <c r="J1737" s="22" t="s">
        <v>144</v>
      </c>
      <c r="K1737" s="23" t="s">
        <v>108</v>
      </c>
      <c r="L1737" s="24" t="s">
        <v>91</v>
      </c>
      <c r="M1737" s="2">
        <v>55.0</v>
      </c>
      <c r="N1737" s="25">
        <v>31.0</v>
      </c>
      <c r="O1737" s="25"/>
      <c r="P1737" s="25"/>
    </row>
    <row r="1738">
      <c r="A1738" s="16">
        <v>1736.0</v>
      </c>
      <c r="B1738" s="17" t="s">
        <v>1</v>
      </c>
      <c r="C1738" s="18">
        <v>26.0</v>
      </c>
      <c r="D1738" s="19" t="s">
        <v>3818</v>
      </c>
      <c r="E1738" s="20" t="s">
        <v>91</v>
      </c>
      <c r="F1738" s="17" t="s">
        <v>168</v>
      </c>
      <c r="G1738" s="17" t="s">
        <v>4486</v>
      </c>
      <c r="H1738" s="17" t="s">
        <v>4487</v>
      </c>
      <c r="I1738" s="17" t="s">
        <v>125</v>
      </c>
      <c r="J1738" s="22" t="s">
        <v>144</v>
      </c>
      <c r="K1738" s="23" t="s">
        <v>108</v>
      </c>
      <c r="L1738" s="24" t="s">
        <v>91</v>
      </c>
      <c r="M1738" s="2">
        <v>55.0</v>
      </c>
      <c r="N1738" s="25">
        <v>31.0</v>
      </c>
      <c r="O1738" s="25"/>
      <c r="P1738" s="25"/>
    </row>
    <row r="1739">
      <c r="A1739" s="16">
        <v>1737.0</v>
      </c>
      <c r="B1739" s="17" t="s">
        <v>1</v>
      </c>
      <c r="C1739" s="18">
        <v>27.0</v>
      </c>
      <c r="D1739" s="19" t="s">
        <v>3818</v>
      </c>
      <c r="E1739" s="20" t="s">
        <v>91</v>
      </c>
      <c r="F1739" s="17" t="s">
        <v>910</v>
      </c>
      <c r="G1739" s="17" t="s">
        <v>911</v>
      </c>
      <c r="H1739" s="17" t="s">
        <v>4488</v>
      </c>
      <c r="I1739" s="17" t="s">
        <v>125</v>
      </c>
      <c r="J1739" s="22" t="s">
        <v>144</v>
      </c>
      <c r="K1739" s="23" t="s">
        <v>108</v>
      </c>
      <c r="L1739" s="24" t="s">
        <v>91</v>
      </c>
      <c r="M1739" s="2">
        <v>55.0</v>
      </c>
      <c r="N1739" s="25">
        <v>31.0</v>
      </c>
      <c r="O1739" s="25"/>
      <c r="P1739" s="25"/>
    </row>
    <row r="1740">
      <c r="A1740" s="16">
        <v>1738.0</v>
      </c>
      <c r="B1740" s="17" t="s">
        <v>1</v>
      </c>
      <c r="C1740" s="18">
        <v>28.0</v>
      </c>
      <c r="D1740" s="19" t="s">
        <v>3818</v>
      </c>
      <c r="E1740" s="20" t="s">
        <v>91</v>
      </c>
      <c r="F1740" s="17" t="s">
        <v>904</v>
      </c>
      <c r="G1740" s="17" t="s">
        <v>123</v>
      </c>
      <c r="H1740" s="17" t="s">
        <v>4339</v>
      </c>
      <c r="I1740" s="17" t="s">
        <v>125</v>
      </c>
      <c r="J1740" s="22" t="s">
        <v>144</v>
      </c>
      <c r="K1740" s="23" t="s">
        <v>108</v>
      </c>
      <c r="L1740" s="24" t="s">
        <v>91</v>
      </c>
      <c r="M1740" s="2">
        <v>55.0</v>
      </c>
      <c r="N1740" s="25">
        <v>31.0</v>
      </c>
      <c r="O1740" s="25"/>
      <c r="P1740" s="25"/>
    </row>
    <row r="1741">
      <c r="A1741" s="16">
        <v>1739.0</v>
      </c>
      <c r="B1741" s="17" t="s">
        <v>1</v>
      </c>
      <c r="C1741" s="18">
        <v>29.0</v>
      </c>
      <c r="D1741" s="19" t="s">
        <v>3818</v>
      </c>
      <c r="E1741" s="20" t="s">
        <v>91</v>
      </c>
      <c r="F1741" s="17" t="s">
        <v>838</v>
      </c>
      <c r="G1741" s="17" t="s">
        <v>4489</v>
      </c>
      <c r="H1741" s="17" t="s">
        <v>4490</v>
      </c>
      <c r="I1741" s="17" t="s">
        <v>125</v>
      </c>
      <c r="J1741" s="22" t="s">
        <v>144</v>
      </c>
      <c r="K1741" s="23" t="s">
        <v>108</v>
      </c>
      <c r="L1741" s="24" t="s">
        <v>91</v>
      </c>
      <c r="M1741" s="2">
        <v>55.0</v>
      </c>
      <c r="N1741" s="25">
        <v>31.0</v>
      </c>
      <c r="O1741" s="25"/>
      <c r="P1741" s="25"/>
    </row>
    <row r="1742">
      <c r="A1742" s="16">
        <v>1740.0</v>
      </c>
      <c r="B1742" s="17" t="s">
        <v>1</v>
      </c>
      <c r="C1742" s="18">
        <v>30.0</v>
      </c>
      <c r="D1742" s="19" t="s">
        <v>3812</v>
      </c>
      <c r="E1742" s="20" t="s">
        <v>91</v>
      </c>
      <c r="F1742" s="17" t="s">
        <v>82</v>
      </c>
      <c r="G1742" s="17" t="s">
        <v>4491</v>
      </c>
      <c r="H1742" s="17" t="s">
        <v>4460</v>
      </c>
      <c r="I1742" s="17" t="s">
        <v>98</v>
      </c>
      <c r="J1742" s="22" t="s">
        <v>144</v>
      </c>
      <c r="K1742" s="23" t="s">
        <v>108</v>
      </c>
      <c r="L1742" s="24" t="s">
        <v>939</v>
      </c>
      <c r="M1742" s="2">
        <v>55.0</v>
      </c>
      <c r="N1742" s="25">
        <v>35.0</v>
      </c>
      <c r="O1742" s="25"/>
      <c r="P1742" s="25"/>
    </row>
    <row r="1743">
      <c r="A1743" s="16">
        <v>1741.0</v>
      </c>
      <c r="B1743" s="17" t="s">
        <v>392</v>
      </c>
      <c r="C1743" s="18">
        <v>1.0</v>
      </c>
      <c r="D1743" s="19" t="s">
        <v>3837</v>
      </c>
      <c r="E1743" s="20" t="s">
        <v>91</v>
      </c>
      <c r="F1743" s="17" t="s">
        <v>232</v>
      </c>
      <c r="G1743" s="17" t="s">
        <v>123</v>
      </c>
      <c r="H1743" s="17" t="s">
        <v>4492</v>
      </c>
      <c r="I1743" s="17" t="s">
        <v>125</v>
      </c>
      <c r="J1743" s="22" t="s">
        <v>100</v>
      </c>
      <c r="K1743" s="23" t="s">
        <v>108</v>
      </c>
      <c r="L1743" s="24" t="s">
        <v>91</v>
      </c>
      <c r="M1743" s="2">
        <v>56.0</v>
      </c>
      <c r="N1743" s="25">
        <v>11.0</v>
      </c>
      <c r="O1743" s="25"/>
      <c r="P1743" s="25"/>
    </row>
    <row r="1744">
      <c r="A1744" s="16">
        <v>1742.0</v>
      </c>
      <c r="B1744" s="17" t="s">
        <v>392</v>
      </c>
      <c r="C1744" s="18">
        <v>2.0</v>
      </c>
      <c r="D1744" s="19" t="s">
        <v>3837</v>
      </c>
      <c r="E1744" s="20" t="s">
        <v>91</v>
      </c>
      <c r="F1744" s="17" t="s">
        <v>133</v>
      </c>
      <c r="G1744" s="17" t="s">
        <v>4493</v>
      </c>
      <c r="H1744" s="17" t="s">
        <v>4494</v>
      </c>
      <c r="I1744" s="17" t="s">
        <v>125</v>
      </c>
      <c r="J1744" s="22" t="s">
        <v>100</v>
      </c>
      <c r="K1744" s="23" t="s">
        <v>108</v>
      </c>
      <c r="L1744" s="24" t="s">
        <v>91</v>
      </c>
      <c r="M1744" s="2">
        <v>56.0</v>
      </c>
      <c r="N1744" s="25">
        <v>11.0</v>
      </c>
      <c r="O1744" s="25"/>
      <c r="P1744" s="25"/>
    </row>
    <row r="1745">
      <c r="A1745" s="16">
        <v>1743.0</v>
      </c>
      <c r="B1745" s="17" t="s">
        <v>392</v>
      </c>
      <c r="C1745" s="18">
        <v>3.0</v>
      </c>
      <c r="D1745" s="19" t="s">
        <v>3837</v>
      </c>
      <c r="E1745" s="20" t="s">
        <v>91</v>
      </c>
      <c r="F1745" s="17" t="s">
        <v>78</v>
      </c>
      <c r="G1745" s="17" t="s">
        <v>2592</v>
      </c>
      <c r="H1745" s="17" t="s">
        <v>2593</v>
      </c>
      <c r="I1745" s="17" t="s">
        <v>125</v>
      </c>
      <c r="J1745" s="22" t="s">
        <v>100</v>
      </c>
      <c r="K1745" s="23" t="s">
        <v>108</v>
      </c>
      <c r="L1745" s="24" t="s">
        <v>91</v>
      </c>
      <c r="M1745" s="2">
        <v>56.0</v>
      </c>
      <c r="N1745" s="25">
        <v>11.0</v>
      </c>
      <c r="O1745" s="25"/>
      <c r="P1745" s="25"/>
    </row>
    <row r="1746">
      <c r="A1746" s="16">
        <v>1744.0</v>
      </c>
      <c r="B1746" s="17" t="s">
        <v>392</v>
      </c>
      <c r="C1746" s="18">
        <v>4.0</v>
      </c>
      <c r="D1746" s="19" t="s">
        <v>3837</v>
      </c>
      <c r="E1746" s="20" t="s">
        <v>91</v>
      </c>
      <c r="F1746" s="17" t="s">
        <v>749</v>
      </c>
      <c r="G1746" s="17" t="s">
        <v>123</v>
      </c>
      <c r="H1746" s="17" t="s">
        <v>4495</v>
      </c>
      <c r="I1746" s="17" t="s">
        <v>125</v>
      </c>
      <c r="J1746" s="22" t="s">
        <v>135</v>
      </c>
      <c r="K1746" s="23" t="s">
        <v>108</v>
      </c>
      <c r="L1746" s="24" t="s">
        <v>91</v>
      </c>
      <c r="M1746" s="2">
        <v>56.0</v>
      </c>
      <c r="N1746" s="25">
        <v>21.0</v>
      </c>
      <c r="O1746" s="25"/>
      <c r="P1746" s="25"/>
    </row>
    <row r="1747">
      <c r="A1747" s="16">
        <v>1745.0</v>
      </c>
      <c r="B1747" s="17" t="s">
        <v>392</v>
      </c>
      <c r="C1747" s="18">
        <v>5.0</v>
      </c>
      <c r="D1747" s="19" t="s">
        <v>3837</v>
      </c>
      <c r="E1747" s="20" t="s">
        <v>91</v>
      </c>
      <c r="F1747" s="17" t="s">
        <v>81</v>
      </c>
      <c r="G1747" s="17" t="s">
        <v>4496</v>
      </c>
      <c r="H1747" s="17" t="s">
        <v>4497</v>
      </c>
      <c r="I1747" s="17" t="s">
        <v>125</v>
      </c>
      <c r="J1747" s="22" t="s">
        <v>135</v>
      </c>
      <c r="K1747" s="23" t="s">
        <v>108</v>
      </c>
      <c r="L1747" s="24" t="s">
        <v>91</v>
      </c>
      <c r="M1747" s="2">
        <v>56.0</v>
      </c>
      <c r="N1747" s="25">
        <v>21.0</v>
      </c>
      <c r="O1747" s="25"/>
      <c r="P1747" s="25"/>
    </row>
    <row r="1748">
      <c r="A1748" s="16">
        <v>1746.0</v>
      </c>
      <c r="B1748" s="17" t="s">
        <v>392</v>
      </c>
      <c r="C1748" s="18">
        <v>6.0</v>
      </c>
      <c r="D1748" s="19" t="s">
        <v>3837</v>
      </c>
      <c r="E1748" s="20" t="s">
        <v>91</v>
      </c>
      <c r="F1748" s="17" t="s">
        <v>566</v>
      </c>
      <c r="G1748" s="17" t="s">
        <v>123</v>
      </c>
      <c r="H1748" s="17" t="s">
        <v>4498</v>
      </c>
      <c r="I1748" s="17" t="s">
        <v>125</v>
      </c>
      <c r="J1748" s="22" t="s">
        <v>144</v>
      </c>
      <c r="K1748" s="23" t="s">
        <v>108</v>
      </c>
      <c r="L1748" s="24" t="s">
        <v>91</v>
      </c>
      <c r="M1748" s="2">
        <v>56.0</v>
      </c>
      <c r="N1748" s="25">
        <v>31.0</v>
      </c>
      <c r="O1748" s="25"/>
      <c r="P1748" s="25"/>
    </row>
    <row r="1749">
      <c r="A1749" s="16">
        <v>1747.0</v>
      </c>
      <c r="B1749" s="17" t="s">
        <v>392</v>
      </c>
      <c r="C1749" s="18">
        <v>7.0</v>
      </c>
      <c r="D1749" s="19" t="s">
        <v>3837</v>
      </c>
      <c r="E1749" s="20" t="s">
        <v>91</v>
      </c>
      <c r="F1749" s="17" t="s">
        <v>1138</v>
      </c>
      <c r="G1749" s="17" t="s">
        <v>4314</v>
      </c>
      <c r="H1749" s="17" t="s">
        <v>4315</v>
      </c>
      <c r="I1749" s="17" t="s">
        <v>125</v>
      </c>
      <c r="J1749" s="22" t="s">
        <v>144</v>
      </c>
      <c r="K1749" s="23" t="s">
        <v>108</v>
      </c>
      <c r="L1749" s="24" t="s">
        <v>91</v>
      </c>
      <c r="M1749" s="2">
        <v>56.0</v>
      </c>
      <c r="N1749" s="25">
        <v>31.0</v>
      </c>
      <c r="O1749" s="25"/>
      <c r="P1749" s="25"/>
    </row>
    <row r="1750">
      <c r="A1750" s="16">
        <v>1748.0</v>
      </c>
      <c r="B1750" s="17" t="s">
        <v>392</v>
      </c>
      <c r="C1750" s="18">
        <v>8.0</v>
      </c>
      <c r="D1750" s="19" t="s">
        <v>3837</v>
      </c>
      <c r="E1750" s="20" t="s">
        <v>91</v>
      </c>
      <c r="F1750" s="17" t="s">
        <v>825</v>
      </c>
      <c r="G1750" s="17" t="s">
        <v>1421</v>
      </c>
      <c r="H1750" s="17" t="s">
        <v>4319</v>
      </c>
      <c r="I1750" s="17" t="s">
        <v>125</v>
      </c>
      <c r="J1750" s="22" t="s">
        <v>144</v>
      </c>
      <c r="K1750" s="23" t="s">
        <v>108</v>
      </c>
      <c r="L1750" s="24" t="s">
        <v>91</v>
      </c>
      <c r="M1750" s="2">
        <v>56.0</v>
      </c>
      <c r="N1750" s="25">
        <v>31.0</v>
      </c>
      <c r="O1750" s="25"/>
      <c r="P1750" s="25"/>
    </row>
    <row r="1751">
      <c r="A1751" s="16">
        <v>1749.0</v>
      </c>
      <c r="B1751" s="17" t="s">
        <v>392</v>
      </c>
      <c r="C1751" s="18">
        <v>9.0</v>
      </c>
      <c r="D1751" s="19" t="s">
        <v>3837</v>
      </c>
      <c r="E1751" s="20" t="s">
        <v>91</v>
      </c>
      <c r="F1751" s="17" t="s">
        <v>1139</v>
      </c>
      <c r="G1751" s="17" t="s">
        <v>4323</v>
      </c>
      <c r="H1751" s="17" t="s">
        <v>4324</v>
      </c>
      <c r="I1751" s="17" t="s">
        <v>125</v>
      </c>
      <c r="J1751" s="22" t="s">
        <v>144</v>
      </c>
      <c r="K1751" s="23" t="s">
        <v>108</v>
      </c>
      <c r="L1751" s="24" t="s">
        <v>91</v>
      </c>
      <c r="M1751" s="2">
        <v>56.0</v>
      </c>
      <c r="N1751" s="25">
        <v>31.0</v>
      </c>
      <c r="O1751" s="25"/>
      <c r="P1751" s="25"/>
    </row>
    <row r="1752">
      <c r="A1752" s="16">
        <v>1750.0</v>
      </c>
      <c r="B1752" s="17" t="s">
        <v>392</v>
      </c>
      <c r="C1752" s="18">
        <v>10.0</v>
      </c>
      <c r="D1752" s="19" t="s">
        <v>3837</v>
      </c>
      <c r="E1752" s="20" t="s">
        <v>91</v>
      </c>
      <c r="F1752" s="17" t="s">
        <v>212</v>
      </c>
      <c r="G1752" s="17" t="s">
        <v>123</v>
      </c>
      <c r="H1752" s="17" t="s">
        <v>4499</v>
      </c>
      <c r="I1752" s="17" t="s">
        <v>125</v>
      </c>
      <c r="J1752" s="22" t="s">
        <v>144</v>
      </c>
      <c r="K1752" s="23" t="s">
        <v>108</v>
      </c>
      <c r="L1752" s="24" t="s">
        <v>91</v>
      </c>
      <c r="M1752" s="2">
        <v>56.0</v>
      </c>
      <c r="N1752" s="25">
        <v>31.0</v>
      </c>
      <c r="O1752" s="25"/>
      <c r="P1752" s="25"/>
    </row>
    <row r="1753">
      <c r="A1753" s="16">
        <v>1751.0</v>
      </c>
      <c r="B1753" s="17" t="s">
        <v>392</v>
      </c>
      <c r="C1753" s="18">
        <v>11.0</v>
      </c>
      <c r="D1753" s="19" t="s">
        <v>3837</v>
      </c>
      <c r="E1753" s="20" t="s">
        <v>91</v>
      </c>
      <c r="F1753" s="17" t="s">
        <v>617</v>
      </c>
      <c r="G1753" s="17" t="s">
        <v>2015</v>
      </c>
      <c r="H1753" s="17" t="s">
        <v>2016</v>
      </c>
      <c r="I1753" s="17" t="s">
        <v>125</v>
      </c>
      <c r="J1753" s="22" t="s">
        <v>144</v>
      </c>
      <c r="K1753" s="23" t="s">
        <v>108</v>
      </c>
      <c r="L1753" s="24" t="s">
        <v>91</v>
      </c>
      <c r="M1753" s="2">
        <v>56.0</v>
      </c>
      <c r="N1753" s="25">
        <v>31.0</v>
      </c>
      <c r="O1753" s="25"/>
      <c r="P1753" s="25"/>
    </row>
    <row r="1754">
      <c r="A1754" s="16">
        <v>1752.0</v>
      </c>
      <c r="B1754" s="17" t="s">
        <v>392</v>
      </c>
      <c r="C1754" s="18">
        <v>12.0</v>
      </c>
      <c r="D1754" s="19" t="s">
        <v>3837</v>
      </c>
      <c r="E1754" s="20" t="s">
        <v>91</v>
      </c>
      <c r="F1754" s="17" t="s">
        <v>638</v>
      </c>
      <c r="G1754" s="17" t="s">
        <v>1551</v>
      </c>
      <c r="H1754" s="17" t="s">
        <v>4500</v>
      </c>
      <c r="I1754" s="17" t="s">
        <v>125</v>
      </c>
      <c r="J1754" s="22" t="s">
        <v>144</v>
      </c>
      <c r="K1754" s="23" t="s">
        <v>108</v>
      </c>
      <c r="L1754" s="24" t="s">
        <v>91</v>
      </c>
      <c r="M1754" s="2">
        <v>56.0</v>
      </c>
      <c r="N1754" s="25">
        <v>31.0</v>
      </c>
      <c r="O1754" s="25"/>
      <c r="P1754" s="25"/>
    </row>
    <row r="1755">
      <c r="A1755" s="16">
        <v>1753.0</v>
      </c>
      <c r="B1755" s="17" t="s">
        <v>392</v>
      </c>
      <c r="C1755" s="18">
        <v>13.0</v>
      </c>
      <c r="D1755" s="19" t="s">
        <v>3837</v>
      </c>
      <c r="E1755" s="20" t="s">
        <v>91</v>
      </c>
      <c r="F1755" s="17" t="s">
        <v>402</v>
      </c>
      <c r="G1755" s="17" t="s">
        <v>1144</v>
      </c>
      <c r="H1755" s="17" t="s">
        <v>4501</v>
      </c>
      <c r="I1755" s="17" t="s">
        <v>125</v>
      </c>
      <c r="J1755" s="22" t="s">
        <v>144</v>
      </c>
      <c r="K1755" s="23" t="s">
        <v>108</v>
      </c>
      <c r="L1755" s="24" t="s">
        <v>91</v>
      </c>
      <c r="M1755" s="2">
        <v>56.0</v>
      </c>
      <c r="N1755" s="25">
        <v>31.0</v>
      </c>
      <c r="O1755" s="25"/>
      <c r="P1755" s="25"/>
    </row>
    <row r="1756">
      <c r="A1756" s="16">
        <v>1754.0</v>
      </c>
      <c r="B1756" s="17" t="s">
        <v>392</v>
      </c>
      <c r="C1756" s="18">
        <v>14.0</v>
      </c>
      <c r="D1756" s="19" t="s">
        <v>3837</v>
      </c>
      <c r="E1756" s="20" t="s">
        <v>91</v>
      </c>
      <c r="F1756" s="17" t="s">
        <v>910</v>
      </c>
      <c r="G1756" s="17" t="s">
        <v>911</v>
      </c>
      <c r="H1756" s="17" t="s">
        <v>4488</v>
      </c>
      <c r="I1756" s="17" t="s">
        <v>125</v>
      </c>
      <c r="J1756" s="22" t="s">
        <v>144</v>
      </c>
      <c r="K1756" s="23" t="s">
        <v>108</v>
      </c>
      <c r="L1756" s="24" t="s">
        <v>91</v>
      </c>
      <c r="M1756" s="2">
        <v>56.0</v>
      </c>
      <c r="N1756" s="25">
        <v>31.0</v>
      </c>
      <c r="O1756" s="25"/>
      <c r="P1756" s="25"/>
    </row>
    <row r="1757">
      <c r="A1757" s="16">
        <v>1755.0</v>
      </c>
      <c r="B1757" s="17" t="s">
        <v>392</v>
      </c>
      <c r="C1757" s="18">
        <v>15.0</v>
      </c>
      <c r="D1757" s="19" t="s">
        <v>3837</v>
      </c>
      <c r="E1757" s="20" t="s">
        <v>91</v>
      </c>
      <c r="F1757" s="17" t="s">
        <v>904</v>
      </c>
      <c r="G1757" s="17" t="s">
        <v>4404</v>
      </c>
      <c r="H1757" s="17" t="s">
        <v>4405</v>
      </c>
      <c r="I1757" s="17" t="s">
        <v>125</v>
      </c>
      <c r="J1757" s="22" t="s">
        <v>144</v>
      </c>
      <c r="K1757" s="23" t="s">
        <v>108</v>
      </c>
      <c r="L1757" s="24" t="s">
        <v>91</v>
      </c>
      <c r="M1757" s="2">
        <v>56.0</v>
      </c>
      <c r="N1757" s="25">
        <v>31.0</v>
      </c>
      <c r="O1757" s="25"/>
      <c r="P1757" s="25"/>
    </row>
    <row r="1758">
      <c r="A1758" s="16">
        <v>1756.0</v>
      </c>
      <c r="B1758" s="17" t="s">
        <v>392</v>
      </c>
      <c r="C1758" s="18">
        <v>16.0</v>
      </c>
      <c r="D1758" s="19" t="s">
        <v>3837</v>
      </c>
      <c r="E1758" s="20" t="s">
        <v>91</v>
      </c>
      <c r="F1758" s="17" t="s">
        <v>31</v>
      </c>
      <c r="G1758" s="17" t="s">
        <v>4471</v>
      </c>
      <c r="H1758" s="17" t="s">
        <v>4502</v>
      </c>
      <c r="I1758" s="17" t="s">
        <v>125</v>
      </c>
      <c r="J1758" s="22" t="s">
        <v>144</v>
      </c>
      <c r="K1758" s="23" t="s">
        <v>108</v>
      </c>
      <c r="L1758" s="24" t="s">
        <v>91</v>
      </c>
      <c r="M1758" s="2">
        <v>56.0</v>
      </c>
      <c r="N1758" s="25">
        <v>31.0</v>
      </c>
      <c r="O1758" s="25"/>
      <c r="P1758" s="25"/>
    </row>
    <row r="1759">
      <c r="A1759" s="16">
        <v>1757.0</v>
      </c>
      <c r="B1759" s="17" t="s">
        <v>392</v>
      </c>
      <c r="C1759" s="18">
        <v>17.0</v>
      </c>
      <c r="D1759" s="19" t="s">
        <v>3837</v>
      </c>
      <c r="E1759" s="20" t="s">
        <v>91</v>
      </c>
      <c r="F1759" s="17" t="s">
        <v>218</v>
      </c>
      <c r="G1759" s="17" t="s">
        <v>123</v>
      </c>
      <c r="H1759" s="17" t="s">
        <v>4306</v>
      </c>
      <c r="I1759" s="17" t="s">
        <v>125</v>
      </c>
      <c r="J1759" s="22" t="s">
        <v>144</v>
      </c>
      <c r="K1759" s="23" t="s">
        <v>108</v>
      </c>
      <c r="L1759" s="24" t="s">
        <v>91</v>
      </c>
      <c r="M1759" s="2">
        <v>56.0</v>
      </c>
      <c r="N1759" s="25">
        <v>31.0</v>
      </c>
      <c r="O1759" s="25"/>
      <c r="P1759" s="25"/>
    </row>
    <row r="1760">
      <c r="A1760" s="16">
        <v>1758.0</v>
      </c>
      <c r="B1760" s="17" t="s">
        <v>392</v>
      </c>
      <c r="C1760" s="18">
        <v>18.0</v>
      </c>
      <c r="D1760" s="19" t="s">
        <v>3837</v>
      </c>
      <c r="E1760" s="20" t="s">
        <v>91</v>
      </c>
      <c r="F1760" s="17" t="s">
        <v>838</v>
      </c>
      <c r="G1760" s="17" t="s">
        <v>1290</v>
      </c>
      <c r="H1760" s="17" t="s">
        <v>4341</v>
      </c>
      <c r="I1760" s="17" t="s">
        <v>125</v>
      </c>
      <c r="J1760" s="22" t="s">
        <v>144</v>
      </c>
      <c r="K1760" s="23" t="s">
        <v>108</v>
      </c>
      <c r="L1760" s="24" t="s">
        <v>91</v>
      </c>
      <c r="M1760" s="2">
        <v>56.0</v>
      </c>
      <c r="N1760" s="25">
        <v>31.0</v>
      </c>
      <c r="O1760" s="25"/>
      <c r="P1760" s="25"/>
    </row>
    <row r="1761">
      <c r="A1761" s="16">
        <v>1759.0</v>
      </c>
      <c r="B1761" s="17" t="s">
        <v>392</v>
      </c>
      <c r="C1761" s="18">
        <v>19.0</v>
      </c>
      <c r="D1761" s="19" t="s">
        <v>3837</v>
      </c>
      <c r="E1761" s="20" t="s">
        <v>91</v>
      </c>
      <c r="F1761" s="17" t="s">
        <v>1137</v>
      </c>
      <c r="G1761" s="17" t="s">
        <v>4503</v>
      </c>
      <c r="H1761" s="17" t="s">
        <v>4504</v>
      </c>
      <c r="I1761" s="17" t="s">
        <v>125</v>
      </c>
      <c r="J1761" s="22" t="s">
        <v>144</v>
      </c>
      <c r="K1761" s="23" t="s">
        <v>108</v>
      </c>
      <c r="L1761" s="24" t="s">
        <v>91</v>
      </c>
      <c r="M1761" s="2">
        <v>56.0</v>
      </c>
      <c r="N1761" s="25">
        <v>31.0</v>
      </c>
      <c r="O1761" s="25"/>
      <c r="P1761" s="25"/>
    </row>
    <row r="1762">
      <c r="A1762" s="16">
        <v>1760.0</v>
      </c>
      <c r="B1762" s="27" t="s">
        <v>392</v>
      </c>
      <c r="C1762" s="18">
        <v>20.0</v>
      </c>
      <c r="D1762" s="19" t="s">
        <v>3837</v>
      </c>
      <c r="E1762" s="20" t="s">
        <v>91</v>
      </c>
      <c r="F1762" s="27" t="s">
        <v>588</v>
      </c>
      <c r="G1762" s="17" t="s">
        <v>589</v>
      </c>
      <c r="H1762" s="17" t="s">
        <v>4505</v>
      </c>
      <c r="I1762" s="17" t="s">
        <v>125</v>
      </c>
      <c r="J1762" s="22" t="s">
        <v>144</v>
      </c>
      <c r="K1762" s="23" t="s">
        <v>108</v>
      </c>
      <c r="L1762" s="24"/>
      <c r="M1762" s="2">
        <v>56.0</v>
      </c>
      <c r="N1762" s="25">
        <v>31.0</v>
      </c>
      <c r="O1762" s="25"/>
      <c r="P1762" s="25"/>
    </row>
    <row r="1763">
      <c r="A1763" s="16">
        <v>1761.0</v>
      </c>
      <c r="B1763" s="27" t="s">
        <v>392</v>
      </c>
      <c r="C1763" s="18">
        <v>21.0</v>
      </c>
      <c r="D1763" s="19" t="s">
        <v>3837</v>
      </c>
      <c r="E1763" s="20" t="s">
        <v>91</v>
      </c>
      <c r="F1763" s="27" t="s">
        <v>461</v>
      </c>
      <c r="G1763" s="17" t="s">
        <v>4346</v>
      </c>
      <c r="H1763" s="17" t="s">
        <v>4347</v>
      </c>
      <c r="I1763" s="17" t="s">
        <v>125</v>
      </c>
      <c r="J1763" s="22" t="s">
        <v>144</v>
      </c>
      <c r="K1763" s="23" t="s">
        <v>108</v>
      </c>
      <c r="L1763" s="24"/>
      <c r="M1763" s="2">
        <v>56.0</v>
      </c>
      <c r="N1763" s="25">
        <v>31.0</v>
      </c>
      <c r="O1763" s="25"/>
      <c r="P1763" s="25"/>
    </row>
    <row r="1764">
      <c r="A1764" s="16">
        <v>1762.0</v>
      </c>
      <c r="B1764" s="17" t="s">
        <v>392</v>
      </c>
      <c r="C1764" s="18">
        <v>22.0</v>
      </c>
      <c r="D1764" s="19" t="s">
        <v>2639</v>
      </c>
      <c r="E1764" s="20" t="s">
        <v>91</v>
      </c>
      <c r="F1764" s="17" t="s">
        <v>610</v>
      </c>
      <c r="G1764" s="17" t="s">
        <v>123</v>
      </c>
      <c r="H1764" s="17" t="s">
        <v>4506</v>
      </c>
      <c r="I1764" s="17" t="s">
        <v>125</v>
      </c>
      <c r="J1764" s="22" t="s">
        <v>144</v>
      </c>
      <c r="K1764" s="23" t="s">
        <v>108</v>
      </c>
      <c r="L1764" s="24" t="s">
        <v>91</v>
      </c>
      <c r="M1764" s="2">
        <v>56.0</v>
      </c>
      <c r="N1764" s="25">
        <v>31.0</v>
      </c>
      <c r="O1764" s="25"/>
      <c r="P1764" s="25"/>
    </row>
    <row r="1765">
      <c r="A1765" s="16">
        <v>1763.0</v>
      </c>
      <c r="B1765" s="27" t="s">
        <v>392</v>
      </c>
      <c r="C1765" s="18">
        <v>23.0</v>
      </c>
      <c r="D1765" s="19" t="s">
        <v>2639</v>
      </c>
      <c r="E1765" s="20" t="s">
        <v>91</v>
      </c>
      <c r="F1765" s="27" t="s">
        <v>4351</v>
      </c>
      <c r="G1765" s="17" t="s">
        <v>4352</v>
      </c>
      <c r="H1765" s="17" t="s">
        <v>4353</v>
      </c>
      <c r="I1765" s="17" t="s">
        <v>125</v>
      </c>
      <c r="J1765" s="22" t="s">
        <v>144</v>
      </c>
      <c r="K1765" s="23" t="s">
        <v>108</v>
      </c>
      <c r="L1765" s="24"/>
      <c r="M1765" s="2">
        <v>56.0</v>
      </c>
      <c r="N1765" s="25">
        <v>31.0</v>
      </c>
      <c r="O1765" s="25"/>
      <c r="P1765" s="25"/>
    </row>
    <row r="1766">
      <c r="A1766" s="16">
        <v>1764.0</v>
      </c>
      <c r="B1766" s="17" t="s">
        <v>367</v>
      </c>
      <c r="C1766" s="18">
        <v>1.0</v>
      </c>
      <c r="D1766" s="19" t="s">
        <v>2351</v>
      </c>
      <c r="E1766" s="20" t="s">
        <v>443</v>
      </c>
      <c r="F1766" s="17" t="s">
        <v>315</v>
      </c>
      <c r="G1766" s="17" t="s">
        <v>4507</v>
      </c>
      <c r="H1766" s="17" t="s">
        <v>4508</v>
      </c>
      <c r="I1766" s="17" t="s">
        <v>125</v>
      </c>
      <c r="J1766" s="22" t="s">
        <v>100</v>
      </c>
      <c r="K1766" s="23" t="s">
        <v>108</v>
      </c>
      <c r="L1766" s="24" t="s">
        <v>91</v>
      </c>
      <c r="M1766" s="2">
        <v>57.0</v>
      </c>
      <c r="N1766" s="25">
        <v>11.0</v>
      </c>
      <c r="O1766" s="25"/>
      <c r="P1766" s="25"/>
    </row>
    <row r="1767">
      <c r="A1767" s="16">
        <v>1765.0</v>
      </c>
      <c r="B1767" s="17" t="s">
        <v>367</v>
      </c>
      <c r="C1767" s="18">
        <v>2.0</v>
      </c>
      <c r="D1767" s="19" t="s">
        <v>2351</v>
      </c>
      <c r="E1767" s="20" t="s">
        <v>443</v>
      </c>
      <c r="F1767" s="17" t="s">
        <v>229</v>
      </c>
      <c r="G1767" s="17" t="s">
        <v>4509</v>
      </c>
      <c r="H1767" s="17" t="s">
        <v>4510</v>
      </c>
      <c r="I1767" s="17" t="s">
        <v>125</v>
      </c>
      <c r="J1767" s="22" t="s">
        <v>100</v>
      </c>
      <c r="K1767" s="23" t="s">
        <v>108</v>
      </c>
      <c r="L1767" s="24" t="s">
        <v>91</v>
      </c>
      <c r="M1767" s="2">
        <v>57.0</v>
      </c>
      <c r="N1767" s="25">
        <v>11.0</v>
      </c>
      <c r="O1767" s="25"/>
      <c r="P1767" s="25"/>
    </row>
    <row r="1768">
      <c r="A1768" s="16">
        <v>1766.0</v>
      </c>
      <c r="B1768" s="17" t="s">
        <v>367</v>
      </c>
      <c r="C1768" s="18">
        <v>3.0</v>
      </c>
      <c r="D1768" s="19" t="s">
        <v>2346</v>
      </c>
      <c r="E1768" s="20" t="s">
        <v>443</v>
      </c>
      <c r="F1768" s="17" t="s">
        <v>1143</v>
      </c>
      <c r="G1768" s="17" t="s">
        <v>4511</v>
      </c>
      <c r="H1768" s="17" t="s">
        <v>4512</v>
      </c>
      <c r="I1768" s="17" t="s">
        <v>125</v>
      </c>
      <c r="J1768" s="22" t="s">
        <v>100</v>
      </c>
      <c r="K1768" s="23" t="s">
        <v>108</v>
      </c>
      <c r="L1768" s="24" t="s">
        <v>91</v>
      </c>
      <c r="M1768" s="2">
        <v>57.0</v>
      </c>
      <c r="N1768" s="25">
        <v>11.0</v>
      </c>
      <c r="O1768" s="25"/>
      <c r="P1768" s="25"/>
    </row>
    <row r="1769">
      <c r="A1769" s="16">
        <v>1767.0</v>
      </c>
      <c r="B1769" s="17" t="s">
        <v>367</v>
      </c>
      <c r="C1769" s="18">
        <v>4.0</v>
      </c>
      <c r="D1769" s="19" t="s">
        <v>2346</v>
      </c>
      <c r="E1769" s="20" t="s">
        <v>443</v>
      </c>
      <c r="F1769" s="17" t="s">
        <v>794</v>
      </c>
      <c r="G1769" s="17" t="s">
        <v>4513</v>
      </c>
      <c r="H1769" s="17" t="s">
        <v>4514</v>
      </c>
      <c r="I1769" s="17" t="s">
        <v>125</v>
      </c>
      <c r="J1769" s="22" t="s">
        <v>100</v>
      </c>
      <c r="K1769" s="23" t="s">
        <v>108</v>
      </c>
      <c r="L1769" s="24" t="s">
        <v>91</v>
      </c>
      <c r="M1769" s="2">
        <v>57.0</v>
      </c>
      <c r="N1769" s="25">
        <v>11.0</v>
      </c>
      <c r="O1769" s="25"/>
      <c r="P1769" s="25"/>
    </row>
    <row r="1770">
      <c r="A1770" s="16">
        <v>1768.0</v>
      </c>
      <c r="B1770" s="17" t="s">
        <v>367</v>
      </c>
      <c r="C1770" s="18">
        <v>5.0</v>
      </c>
      <c r="D1770" s="19" t="s">
        <v>2351</v>
      </c>
      <c r="E1770" s="20" t="s">
        <v>443</v>
      </c>
      <c r="F1770" s="17" t="s">
        <v>905</v>
      </c>
      <c r="G1770" s="17" t="s">
        <v>4515</v>
      </c>
      <c r="H1770" s="17" t="s">
        <v>4516</v>
      </c>
      <c r="I1770" s="17" t="s">
        <v>98</v>
      </c>
      <c r="J1770" s="22" t="s">
        <v>135</v>
      </c>
      <c r="K1770" s="23" t="s">
        <v>108</v>
      </c>
      <c r="L1770" s="24" t="s">
        <v>91</v>
      </c>
      <c r="M1770" s="2">
        <v>57.0</v>
      </c>
      <c r="N1770" s="25">
        <v>20.0</v>
      </c>
      <c r="O1770" s="25"/>
      <c r="P1770" s="25"/>
    </row>
    <row r="1771">
      <c r="A1771" s="16">
        <v>1769.0</v>
      </c>
      <c r="B1771" s="17" t="s">
        <v>367</v>
      </c>
      <c r="C1771" s="18">
        <v>6.0</v>
      </c>
      <c r="D1771" s="19" t="s">
        <v>2351</v>
      </c>
      <c r="E1771" s="20" t="s">
        <v>443</v>
      </c>
      <c r="F1771" s="17" t="s">
        <v>7</v>
      </c>
      <c r="G1771" s="17" t="s">
        <v>4517</v>
      </c>
      <c r="H1771" s="17" t="s">
        <v>4518</v>
      </c>
      <c r="I1771" s="17" t="s">
        <v>98</v>
      </c>
      <c r="J1771" s="22" t="s">
        <v>135</v>
      </c>
      <c r="K1771" s="23" t="s">
        <v>108</v>
      </c>
      <c r="L1771" s="24" t="s">
        <v>91</v>
      </c>
      <c r="M1771" s="2">
        <v>57.0</v>
      </c>
      <c r="N1771" s="25">
        <v>20.0</v>
      </c>
      <c r="O1771" s="25"/>
      <c r="P1771" s="25"/>
    </row>
    <row r="1772">
      <c r="A1772" s="16">
        <v>1770.0</v>
      </c>
      <c r="B1772" s="17" t="s">
        <v>367</v>
      </c>
      <c r="C1772" s="18">
        <v>7.0</v>
      </c>
      <c r="D1772" s="19" t="s">
        <v>2351</v>
      </c>
      <c r="E1772" s="20" t="s">
        <v>443</v>
      </c>
      <c r="F1772" s="17" t="s">
        <v>565</v>
      </c>
      <c r="G1772" s="17" t="s">
        <v>4519</v>
      </c>
      <c r="H1772" s="17" t="s">
        <v>4520</v>
      </c>
      <c r="I1772" s="17" t="s">
        <v>98</v>
      </c>
      <c r="J1772" s="22" t="s">
        <v>135</v>
      </c>
      <c r="K1772" s="23" t="s">
        <v>108</v>
      </c>
      <c r="L1772" s="24" t="s">
        <v>91</v>
      </c>
      <c r="M1772" s="2">
        <v>57.0</v>
      </c>
      <c r="N1772" s="25">
        <v>20.0</v>
      </c>
      <c r="O1772" s="25"/>
      <c r="P1772" s="25"/>
    </row>
    <row r="1773">
      <c r="A1773" s="16">
        <v>1771.0</v>
      </c>
      <c r="B1773" s="17" t="s">
        <v>367</v>
      </c>
      <c r="C1773" s="18">
        <v>8.0</v>
      </c>
      <c r="D1773" s="19" t="s">
        <v>2346</v>
      </c>
      <c r="E1773" s="20" t="s">
        <v>443</v>
      </c>
      <c r="F1773" s="17" t="s">
        <v>166</v>
      </c>
      <c r="G1773" s="17" t="s">
        <v>4521</v>
      </c>
      <c r="H1773" s="17" t="s">
        <v>4522</v>
      </c>
      <c r="I1773" s="17" t="s">
        <v>98</v>
      </c>
      <c r="J1773" s="22" t="s">
        <v>135</v>
      </c>
      <c r="K1773" s="23" t="s">
        <v>108</v>
      </c>
      <c r="L1773" s="24" t="s">
        <v>91</v>
      </c>
      <c r="M1773" s="2">
        <v>57.0</v>
      </c>
      <c r="N1773" s="25">
        <v>20.0</v>
      </c>
      <c r="O1773" s="25"/>
      <c r="P1773" s="25"/>
    </row>
    <row r="1774">
      <c r="A1774" s="16">
        <v>1772.0</v>
      </c>
      <c r="B1774" s="17" t="s">
        <v>367</v>
      </c>
      <c r="C1774" s="18">
        <v>9.0</v>
      </c>
      <c r="D1774" s="19" t="s">
        <v>2346</v>
      </c>
      <c r="E1774" s="20" t="s">
        <v>443</v>
      </c>
      <c r="F1774" s="17" t="s">
        <v>165</v>
      </c>
      <c r="G1774" s="17" t="s">
        <v>4523</v>
      </c>
      <c r="H1774" s="17" t="s">
        <v>4524</v>
      </c>
      <c r="I1774" s="17" t="s">
        <v>98</v>
      </c>
      <c r="J1774" s="22" t="s">
        <v>135</v>
      </c>
      <c r="K1774" s="23" t="s">
        <v>108</v>
      </c>
      <c r="L1774" s="24" t="s">
        <v>91</v>
      </c>
      <c r="M1774" s="2">
        <v>57.0</v>
      </c>
      <c r="N1774" s="25">
        <v>20.0</v>
      </c>
      <c r="O1774" s="25"/>
      <c r="P1774" s="25"/>
    </row>
    <row r="1775">
      <c r="A1775" s="16">
        <v>1773.0</v>
      </c>
      <c r="B1775" s="17" t="s">
        <v>367</v>
      </c>
      <c r="C1775" s="18">
        <v>10.0</v>
      </c>
      <c r="D1775" s="19" t="s">
        <v>2346</v>
      </c>
      <c r="E1775" s="20" t="s">
        <v>443</v>
      </c>
      <c r="F1775" s="17" t="s">
        <v>270</v>
      </c>
      <c r="G1775" s="17" t="s">
        <v>4525</v>
      </c>
      <c r="H1775" s="17" t="s">
        <v>4526</v>
      </c>
      <c r="I1775" s="17" t="s">
        <v>98</v>
      </c>
      <c r="J1775" s="22" t="s">
        <v>135</v>
      </c>
      <c r="K1775" s="23" t="s">
        <v>108</v>
      </c>
      <c r="L1775" s="24" t="s">
        <v>91</v>
      </c>
      <c r="M1775" s="2">
        <v>57.0</v>
      </c>
      <c r="N1775" s="25">
        <v>20.0</v>
      </c>
      <c r="O1775" s="25"/>
      <c r="P1775" s="25"/>
    </row>
    <row r="1776">
      <c r="A1776" s="16">
        <v>1774.0</v>
      </c>
      <c r="B1776" s="17" t="s">
        <v>367</v>
      </c>
      <c r="C1776" s="18">
        <v>11.0</v>
      </c>
      <c r="D1776" s="19" t="s">
        <v>2351</v>
      </c>
      <c r="E1776" s="20" t="s">
        <v>443</v>
      </c>
      <c r="F1776" s="17" t="s">
        <v>115</v>
      </c>
      <c r="G1776" s="17" t="s">
        <v>4527</v>
      </c>
      <c r="H1776" s="17" t="s">
        <v>4528</v>
      </c>
      <c r="I1776" s="17" t="s">
        <v>125</v>
      </c>
      <c r="J1776" s="22" t="s">
        <v>135</v>
      </c>
      <c r="K1776" s="23" t="s">
        <v>108</v>
      </c>
      <c r="L1776" s="24" t="s">
        <v>91</v>
      </c>
      <c r="M1776" s="2">
        <v>57.0</v>
      </c>
      <c r="N1776" s="25">
        <v>21.0</v>
      </c>
      <c r="O1776" s="25"/>
      <c r="P1776" s="25"/>
    </row>
    <row r="1777">
      <c r="A1777" s="16">
        <v>1775.0</v>
      </c>
      <c r="B1777" s="17" t="s">
        <v>367</v>
      </c>
      <c r="C1777" s="18">
        <v>12.0</v>
      </c>
      <c r="D1777" s="19" t="s">
        <v>2351</v>
      </c>
      <c r="E1777" s="20" t="s">
        <v>443</v>
      </c>
      <c r="F1777" s="17" t="s">
        <v>206</v>
      </c>
      <c r="G1777" s="17" t="s">
        <v>4529</v>
      </c>
      <c r="H1777" s="17" t="s">
        <v>4530</v>
      </c>
      <c r="I1777" s="17" t="s">
        <v>98</v>
      </c>
      <c r="J1777" s="22" t="s">
        <v>144</v>
      </c>
      <c r="K1777" s="23" t="s">
        <v>108</v>
      </c>
      <c r="L1777" s="24" t="s">
        <v>91</v>
      </c>
      <c r="M1777" s="2">
        <v>57.0</v>
      </c>
      <c r="N1777" s="25">
        <v>30.0</v>
      </c>
      <c r="O1777" s="25"/>
      <c r="P1777" s="25"/>
    </row>
    <row r="1778">
      <c r="A1778" s="16">
        <v>1776.0</v>
      </c>
      <c r="B1778" s="17" t="s">
        <v>367</v>
      </c>
      <c r="C1778" s="18">
        <v>13.0</v>
      </c>
      <c r="D1778" s="19" t="s">
        <v>2351</v>
      </c>
      <c r="E1778" s="20" t="s">
        <v>443</v>
      </c>
      <c r="F1778" s="17" t="s">
        <v>276</v>
      </c>
      <c r="G1778" s="17" t="s">
        <v>123</v>
      </c>
      <c r="H1778" s="17" t="s">
        <v>4531</v>
      </c>
      <c r="I1778" s="17" t="s">
        <v>98</v>
      </c>
      <c r="J1778" s="22" t="s">
        <v>144</v>
      </c>
      <c r="K1778" s="23" t="s">
        <v>108</v>
      </c>
      <c r="L1778" s="24" t="s">
        <v>91</v>
      </c>
      <c r="M1778" s="2">
        <v>57.0</v>
      </c>
      <c r="N1778" s="25">
        <v>30.0</v>
      </c>
      <c r="O1778" s="25"/>
      <c r="P1778" s="25"/>
    </row>
    <row r="1779">
      <c r="A1779" s="16">
        <v>1777.0</v>
      </c>
      <c r="B1779" s="17" t="s">
        <v>367</v>
      </c>
      <c r="C1779" s="18">
        <v>14.0</v>
      </c>
      <c r="D1779" s="19" t="s">
        <v>2351</v>
      </c>
      <c r="E1779" s="20" t="s">
        <v>443</v>
      </c>
      <c r="F1779" s="17" t="s">
        <v>116</v>
      </c>
      <c r="G1779" s="17" t="s">
        <v>4532</v>
      </c>
      <c r="H1779" s="17" t="s">
        <v>4533</v>
      </c>
      <c r="I1779" s="17" t="s">
        <v>125</v>
      </c>
      <c r="J1779" s="22" t="s">
        <v>144</v>
      </c>
      <c r="K1779" s="23" t="s">
        <v>108</v>
      </c>
      <c r="L1779" s="24" t="s">
        <v>91</v>
      </c>
      <c r="M1779" s="2">
        <v>57.0</v>
      </c>
      <c r="N1779" s="25">
        <v>31.0</v>
      </c>
      <c r="O1779" s="25"/>
      <c r="P1779" s="25"/>
    </row>
    <row r="1780">
      <c r="A1780" s="16">
        <v>1778.0</v>
      </c>
      <c r="B1780" s="17" t="s">
        <v>367</v>
      </c>
      <c r="C1780" s="18">
        <v>15.0</v>
      </c>
      <c r="D1780" s="19" t="s">
        <v>2351</v>
      </c>
      <c r="E1780" s="20" t="s">
        <v>443</v>
      </c>
      <c r="F1780" s="17" t="s">
        <v>432</v>
      </c>
      <c r="G1780" s="17" t="s">
        <v>4534</v>
      </c>
      <c r="H1780" s="17" t="s">
        <v>4535</v>
      </c>
      <c r="I1780" s="17" t="s">
        <v>125</v>
      </c>
      <c r="J1780" s="22" t="s">
        <v>144</v>
      </c>
      <c r="K1780" s="23" t="s">
        <v>108</v>
      </c>
      <c r="L1780" s="24" t="s">
        <v>91</v>
      </c>
      <c r="M1780" s="2">
        <v>57.0</v>
      </c>
      <c r="N1780" s="25">
        <v>31.0</v>
      </c>
      <c r="O1780" s="25"/>
      <c r="P1780" s="25"/>
    </row>
    <row r="1781">
      <c r="A1781" s="16">
        <v>1779.0</v>
      </c>
      <c r="B1781" s="17" t="s">
        <v>367</v>
      </c>
      <c r="C1781" s="18">
        <v>16.0</v>
      </c>
      <c r="D1781" s="19" t="s">
        <v>2351</v>
      </c>
      <c r="E1781" s="20" t="s">
        <v>443</v>
      </c>
      <c r="F1781" s="17" t="s">
        <v>118</v>
      </c>
      <c r="G1781" s="17" t="s">
        <v>4536</v>
      </c>
      <c r="H1781" s="17" t="s">
        <v>4537</v>
      </c>
      <c r="I1781" s="17" t="s">
        <v>125</v>
      </c>
      <c r="J1781" s="22" t="s">
        <v>144</v>
      </c>
      <c r="K1781" s="23" t="s">
        <v>108</v>
      </c>
      <c r="L1781" s="24" t="s">
        <v>91</v>
      </c>
      <c r="M1781" s="2">
        <v>57.0</v>
      </c>
      <c r="N1781" s="25">
        <v>31.0</v>
      </c>
      <c r="O1781" s="25"/>
      <c r="P1781" s="25"/>
    </row>
    <row r="1782">
      <c r="A1782" s="16">
        <v>1780.0</v>
      </c>
      <c r="B1782" s="17" t="s">
        <v>367</v>
      </c>
      <c r="C1782" s="18">
        <v>17.0</v>
      </c>
      <c r="D1782" s="19" t="s">
        <v>2351</v>
      </c>
      <c r="E1782" s="20" t="s">
        <v>443</v>
      </c>
      <c r="F1782" s="17" t="s">
        <v>203</v>
      </c>
      <c r="G1782" s="17" t="s">
        <v>123</v>
      </c>
      <c r="H1782" s="17" t="s">
        <v>4538</v>
      </c>
      <c r="I1782" s="17" t="s">
        <v>125</v>
      </c>
      <c r="J1782" s="22" t="s">
        <v>144</v>
      </c>
      <c r="K1782" s="23" t="s">
        <v>108</v>
      </c>
      <c r="L1782" s="24" t="s">
        <v>91</v>
      </c>
      <c r="M1782" s="2">
        <v>57.0</v>
      </c>
      <c r="N1782" s="25">
        <v>31.0</v>
      </c>
      <c r="O1782" s="25"/>
      <c r="P1782" s="25"/>
    </row>
    <row r="1783">
      <c r="A1783" s="16">
        <v>1781.0</v>
      </c>
      <c r="B1783" s="17" t="s">
        <v>367</v>
      </c>
      <c r="C1783" s="18">
        <v>18.0</v>
      </c>
      <c r="D1783" s="19" t="s">
        <v>2351</v>
      </c>
      <c r="E1783" s="20" t="s">
        <v>443</v>
      </c>
      <c r="F1783" s="17" t="s">
        <v>240</v>
      </c>
      <c r="G1783" s="17" t="s">
        <v>4539</v>
      </c>
      <c r="H1783" s="17" t="s">
        <v>4540</v>
      </c>
      <c r="I1783" s="17" t="s">
        <v>125</v>
      </c>
      <c r="J1783" s="22" t="s">
        <v>144</v>
      </c>
      <c r="K1783" s="23" t="s">
        <v>108</v>
      </c>
      <c r="L1783" s="24" t="s">
        <v>91</v>
      </c>
      <c r="M1783" s="2">
        <v>57.0</v>
      </c>
      <c r="N1783" s="25">
        <v>31.0</v>
      </c>
      <c r="O1783" s="25"/>
      <c r="P1783" s="25"/>
    </row>
    <row r="1784">
      <c r="A1784" s="16">
        <v>1782.0</v>
      </c>
      <c r="B1784" s="17" t="s">
        <v>367</v>
      </c>
      <c r="C1784" s="18">
        <v>19.0</v>
      </c>
      <c r="D1784" s="19" t="s">
        <v>2351</v>
      </c>
      <c r="E1784" s="20" t="s">
        <v>443</v>
      </c>
      <c r="F1784" s="17" t="s">
        <v>902</v>
      </c>
      <c r="G1784" s="17" t="s">
        <v>4541</v>
      </c>
      <c r="H1784" s="17" t="s">
        <v>4542</v>
      </c>
      <c r="I1784" s="17" t="s">
        <v>125</v>
      </c>
      <c r="J1784" s="22" t="s">
        <v>144</v>
      </c>
      <c r="K1784" s="23" t="s">
        <v>108</v>
      </c>
      <c r="L1784" s="24" t="s">
        <v>91</v>
      </c>
      <c r="M1784" s="2">
        <v>57.0</v>
      </c>
      <c r="N1784" s="25">
        <v>31.0</v>
      </c>
      <c r="O1784" s="25"/>
      <c r="P1784" s="25"/>
    </row>
    <row r="1785">
      <c r="A1785" s="16">
        <v>1783.0</v>
      </c>
      <c r="B1785" s="17" t="s">
        <v>367</v>
      </c>
      <c r="C1785" s="18">
        <v>20.0</v>
      </c>
      <c r="D1785" s="19" t="s">
        <v>2351</v>
      </c>
      <c r="E1785" s="20" t="s">
        <v>443</v>
      </c>
      <c r="F1785" s="17" t="s">
        <v>119</v>
      </c>
      <c r="G1785" s="17" t="s">
        <v>123</v>
      </c>
      <c r="H1785" s="17" t="s">
        <v>4543</v>
      </c>
      <c r="I1785" s="17" t="s">
        <v>125</v>
      </c>
      <c r="J1785" s="22" t="s">
        <v>144</v>
      </c>
      <c r="K1785" s="23" t="s">
        <v>108</v>
      </c>
      <c r="L1785" s="24" t="s">
        <v>91</v>
      </c>
      <c r="M1785" s="2">
        <v>57.0</v>
      </c>
      <c r="N1785" s="25">
        <v>31.0</v>
      </c>
      <c r="O1785" s="25"/>
      <c r="P1785" s="25"/>
    </row>
    <row r="1786">
      <c r="A1786" s="16">
        <v>1784.0</v>
      </c>
      <c r="B1786" s="17" t="s">
        <v>367</v>
      </c>
      <c r="C1786" s="18">
        <v>21.0</v>
      </c>
      <c r="D1786" s="19" t="s">
        <v>2351</v>
      </c>
      <c r="E1786" s="20" t="s">
        <v>443</v>
      </c>
      <c r="F1786" s="17" t="s">
        <v>488</v>
      </c>
      <c r="G1786" s="17" t="s">
        <v>4544</v>
      </c>
      <c r="H1786" s="17" t="s">
        <v>4545</v>
      </c>
      <c r="I1786" s="17" t="s">
        <v>125</v>
      </c>
      <c r="J1786" s="22" t="s">
        <v>144</v>
      </c>
      <c r="K1786" s="23" t="s">
        <v>108</v>
      </c>
      <c r="L1786" s="24" t="s">
        <v>91</v>
      </c>
      <c r="M1786" s="2">
        <v>57.0</v>
      </c>
      <c r="N1786" s="25">
        <v>31.0</v>
      </c>
      <c r="O1786" s="25"/>
      <c r="P1786" s="25"/>
    </row>
    <row r="1787">
      <c r="A1787" s="16">
        <v>1785.0</v>
      </c>
      <c r="B1787" s="17" t="s">
        <v>367</v>
      </c>
      <c r="C1787" s="18">
        <v>22.0</v>
      </c>
      <c r="D1787" s="19" t="s">
        <v>2351</v>
      </c>
      <c r="E1787" s="20" t="s">
        <v>443</v>
      </c>
      <c r="F1787" s="17" t="s">
        <v>586</v>
      </c>
      <c r="G1787" s="17" t="s">
        <v>4546</v>
      </c>
      <c r="H1787" s="17" t="s">
        <v>4547</v>
      </c>
      <c r="I1787" s="17" t="s">
        <v>125</v>
      </c>
      <c r="J1787" s="22" t="s">
        <v>144</v>
      </c>
      <c r="K1787" s="23" t="s">
        <v>108</v>
      </c>
      <c r="L1787" s="24" t="s">
        <v>91</v>
      </c>
      <c r="M1787" s="2">
        <v>57.0</v>
      </c>
      <c r="N1787" s="25">
        <v>31.0</v>
      </c>
      <c r="O1787" s="25"/>
      <c r="P1787" s="25"/>
    </row>
    <row r="1788">
      <c r="A1788" s="16">
        <v>1786.0</v>
      </c>
      <c r="B1788" s="17" t="s">
        <v>367</v>
      </c>
      <c r="C1788" s="18">
        <v>23.0</v>
      </c>
      <c r="D1788" s="19" t="s">
        <v>2351</v>
      </c>
      <c r="E1788" s="20" t="s">
        <v>443</v>
      </c>
      <c r="F1788" s="17" t="s">
        <v>520</v>
      </c>
      <c r="G1788" s="17" t="s">
        <v>4548</v>
      </c>
      <c r="H1788" s="17" t="s">
        <v>4542</v>
      </c>
      <c r="I1788" s="17" t="s">
        <v>125</v>
      </c>
      <c r="J1788" s="22" t="s">
        <v>144</v>
      </c>
      <c r="K1788" s="23" t="s">
        <v>108</v>
      </c>
      <c r="L1788" s="24" t="s">
        <v>91</v>
      </c>
      <c r="M1788" s="2">
        <v>57.0</v>
      </c>
      <c r="N1788" s="25">
        <v>31.0</v>
      </c>
      <c r="O1788" s="25"/>
      <c r="P1788" s="25"/>
    </row>
    <row r="1789">
      <c r="A1789" s="16">
        <v>1787.0</v>
      </c>
      <c r="B1789" s="17" t="s">
        <v>367</v>
      </c>
      <c r="C1789" s="18">
        <v>24.0</v>
      </c>
      <c r="D1789" s="19" t="s">
        <v>2351</v>
      </c>
      <c r="E1789" s="20" t="s">
        <v>443</v>
      </c>
      <c r="F1789" s="17" t="s">
        <v>209</v>
      </c>
      <c r="G1789" s="17" t="s">
        <v>4549</v>
      </c>
      <c r="H1789" s="17" t="s">
        <v>4550</v>
      </c>
      <c r="I1789" s="17" t="s">
        <v>125</v>
      </c>
      <c r="J1789" s="22" t="s">
        <v>144</v>
      </c>
      <c r="K1789" s="23" t="s">
        <v>108</v>
      </c>
      <c r="L1789" s="24" t="s">
        <v>91</v>
      </c>
      <c r="M1789" s="2">
        <v>57.0</v>
      </c>
      <c r="N1789" s="25">
        <v>31.0</v>
      </c>
      <c r="O1789" s="25"/>
      <c r="P1789" s="25"/>
    </row>
    <row r="1790">
      <c r="A1790" s="16">
        <v>1788.0</v>
      </c>
      <c r="B1790" s="17" t="s">
        <v>367</v>
      </c>
      <c r="C1790" s="18">
        <v>25.0</v>
      </c>
      <c r="D1790" s="19" t="s">
        <v>2351</v>
      </c>
      <c r="E1790" s="20" t="s">
        <v>443</v>
      </c>
      <c r="F1790" s="17" t="s">
        <v>797</v>
      </c>
      <c r="G1790" s="17" t="s">
        <v>4551</v>
      </c>
      <c r="H1790" s="17" t="s">
        <v>4552</v>
      </c>
      <c r="I1790" s="17" t="s">
        <v>125</v>
      </c>
      <c r="J1790" s="22" t="s">
        <v>144</v>
      </c>
      <c r="K1790" s="23" t="s">
        <v>108</v>
      </c>
      <c r="L1790" s="24" t="s">
        <v>91</v>
      </c>
      <c r="M1790" s="2">
        <v>57.0</v>
      </c>
      <c r="N1790" s="25">
        <v>31.0</v>
      </c>
      <c r="O1790" s="25"/>
      <c r="P1790" s="25"/>
    </row>
    <row r="1791">
      <c r="A1791" s="16">
        <v>1789.0</v>
      </c>
      <c r="B1791" s="17" t="s">
        <v>367</v>
      </c>
      <c r="C1791" s="18">
        <v>26.0</v>
      </c>
      <c r="D1791" s="19" t="s">
        <v>2351</v>
      </c>
      <c r="E1791" s="20" t="s">
        <v>443</v>
      </c>
      <c r="F1791" s="17" t="s">
        <v>682</v>
      </c>
      <c r="G1791" s="17" t="s">
        <v>4553</v>
      </c>
      <c r="H1791" s="17" t="s">
        <v>4554</v>
      </c>
      <c r="I1791" s="17" t="s">
        <v>125</v>
      </c>
      <c r="J1791" s="22" t="s">
        <v>144</v>
      </c>
      <c r="K1791" s="23" t="s">
        <v>108</v>
      </c>
      <c r="L1791" s="24" t="s">
        <v>91</v>
      </c>
      <c r="M1791" s="2">
        <v>57.0</v>
      </c>
      <c r="N1791" s="25">
        <v>31.0</v>
      </c>
      <c r="O1791" s="25"/>
      <c r="P1791" s="25"/>
    </row>
    <row r="1792">
      <c r="A1792" s="16">
        <v>1790.0</v>
      </c>
      <c r="B1792" s="17" t="s">
        <v>367</v>
      </c>
      <c r="C1792" s="18">
        <v>27.0</v>
      </c>
      <c r="D1792" s="19" t="s">
        <v>2351</v>
      </c>
      <c r="E1792" s="20" t="s">
        <v>443</v>
      </c>
      <c r="F1792" s="17" t="s">
        <v>380</v>
      </c>
      <c r="G1792" s="17" t="s">
        <v>4536</v>
      </c>
      <c r="H1792" s="17" t="s">
        <v>4537</v>
      </c>
      <c r="I1792" s="17" t="s">
        <v>125</v>
      </c>
      <c r="J1792" s="22" t="s">
        <v>144</v>
      </c>
      <c r="K1792" s="23" t="s">
        <v>108</v>
      </c>
      <c r="L1792" s="24" t="s">
        <v>91</v>
      </c>
      <c r="M1792" s="2">
        <v>57.0</v>
      </c>
      <c r="N1792" s="25">
        <v>31.0</v>
      </c>
      <c r="O1792" s="25"/>
      <c r="P1792" s="25"/>
    </row>
    <row r="1793">
      <c r="A1793" s="16">
        <v>1791.0</v>
      </c>
      <c r="B1793" s="17" t="s">
        <v>367</v>
      </c>
      <c r="C1793" s="18">
        <v>28.0</v>
      </c>
      <c r="D1793" s="19" t="s">
        <v>2351</v>
      </c>
      <c r="E1793" s="20" t="s">
        <v>443</v>
      </c>
      <c r="F1793" s="17" t="s">
        <v>26</v>
      </c>
      <c r="G1793" s="17" t="s">
        <v>4555</v>
      </c>
      <c r="H1793" s="17" t="s">
        <v>4556</v>
      </c>
      <c r="I1793" s="17" t="s">
        <v>125</v>
      </c>
      <c r="J1793" s="22" t="s">
        <v>144</v>
      </c>
      <c r="K1793" s="23" t="s">
        <v>108</v>
      </c>
      <c r="L1793" s="24" t="s">
        <v>91</v>
      </c>
      <c r="M1793" s="2">
        <v>57.0</v>
      </c>
      <c r="N1793" s="25">
        <v>31.0</v>
      </c>
      <c r="O1793" s="25"/>
      <c r="P1793" s="25"/>
    </row>
    <row r="1794">
      <c r="A1794" s="16">
        <v>1792.0</v>
      </c>
      <c r="B1794" s="27" t="s">
        <v>367</v>
      </c>
      <c r="C1794" s="18">
        <v>29.0</v>
      </c>
      <c r="D1794" s="19" t="s">
        <v>2351</v>
      </c>
      <c r="E1794" s="20" t="s">
        <v>443</v>
      </c>
      <c r="F1794" s="27" t="s">
        <v>1059</v>
      </c>
      <c r="G1794" s="17" t="s">
        <v>4557</v>
      </c>
      <c r="H1794" s="17" t="s">
        <v>4558</v>
      </c>
      <c r="I1794" s="17" t="s">
        <v>125</v>
      </c>
      <c r="J1794" s="22" t="s">
        <v>144</v>
      </c>
      <c r="K1794" s="23" t="s">
        <v>108</v>
      </c>
      <c r="L1794" s="24"/>
      <c r="M1794" s="2">
        <v>57.0</v>
      </c>
      <c r="N1794" s="25">
        <v>31.0</v>
      </c>
      <c r="O1794" s="25"/>
      <c r="P1794" s="25"/>
    </row>
    <row r="1795">
      <c r="A1795" s="16">
        <v>1793.0</v>
      </c>
      <c r="B1795" s="27" t="s">
        <v>367</v>
      </c>
      <c r="C1795" s="18">
        <v>30.0</v>
      </c>
      <c r="D1795" s="19" t="s">
        <v>2351</v>
      </c>
      <c r="E1795" s="20" t="s">
        <v>443</v>
      </c>
      <c r="F1795" s="27" t="s">
        <v>1267</v>
      </c>
      <c r="G1795" s="17" t="s">
        <v>4559</v>
      </c>
      <c r="H1795" s="17" t="s">
        <v>4560</v>
      </c>
      <c r="I1795" s="17" t="s">
        <v>125</v>
      </c>
      <c r="J1795" s="22" t="s">
        <v>144</v>
      </c>
      <c r="K1795" s="23" t="s">
        <v>108</v>
      </c>
      <c r="L1795" s="24"/>
      <c r="M1795" s="2">
        <v>57.0</v>
      </c>
      <c r="N1795" s="25">
        <v>31.0</v>
      </c>
      <c r="O1795" s="25"/>
      <c r="P1795" s="25"/>
    </row>
    <row r="1796">
      <c r="A1796" s="16">
        <v>1794.0</v>
      </c>
      <c r="B1796" s="27" t="s">
        <v>367</v>
      </c>
      <c r="C1796" s="18">
        <v>31.0</v>
      </c>
      <c r="D1796" s="19" t="s">
        <v>2351</v>
      </c>
      <c r="E1796" s="20" t="s">
        <v>443</v>
      </c>
      <c r="F1796" s="27" t="s">
        <v>938</v>
      </c>
      <c r="G1796" s="17" t="s">
        <v>4561</v>
      </c>
      <c r="H1796" s="17" t="s">
        <v>4562</v>
      </c>
      <c r="I1796" s="17" t="s">
        <v>125</v>
      </c>
      <c r="J1796" s="22" t="s">
        <v>144</v>
      </c>
      <c r="K1796" s="23" t="s">
        <v>108</v>
      </c>
      <c r="L1796" s="24"/>
      <c r="M1796" s="2">
        <v>57.0</v>
      </c>
      <c r="N1796" s="25">
        <v>31.0</v>
      </c>
      <c r="O1796" s="25"/>
      <c r="P1796" s="25"/>
    </row>
    <row r="1797">
      <c r="A1797" s="16">
        <v>1795.0</v>
      </c>
      <c r="B1797" s="27" t="s">
        <v>367</v>
      </c>
      <c r="C1797" s="18">
        <v>32.0</v>
      </c>
      <c r="D1797" s="19" t="s">
        <v>2351</v>
      </c>
      <c r="E1797" s="20" t="s">
        <v>443</v>
      </c>
      <c r="F1797" s="27" t="s">
        <v>1135</v>
      </c>
      <c r="G1797" s="17" t="s">
        <v>4563</v>
      </c>
      <c r="H1797" s="17" t="s">
        <v>4542</v>
      </c>
      <c r="I1797" s="17" t="s">
        <v>125</v>
      </c>
      <c r="J1797" s="22" t="s">
        <v>144</v>
      </c>
      <c r="K1797" s="23" t="s">
        <v>108</v>
      </c>
      <c r="L1797" s="24"/>
      <c r="M1797" s="2">
        <v>57.0</v>
      </c>
      <c r="N1797" s="25">
        <v>31.0</v>
      </c>
      <c r="O1797" s="25"/>
      <c r="P1797" s="25"/>
    </row>
    <row r="1798">
      <c r="A1798" s="16">
        <v>1796.0</v>
      </c>
      <c r="B1798" s="27" t="s">
        <v>367</v>
      </c>
      <c r="C1798" s="18">
        <v>33.0</v>
      </c>
      <c r="D1798" s="19" t="s">
        <v>2351</v>
      </c>
      <c r="E1798" s="20" t="s">
        <v>443</v>
      </c>
      <c r="F1798" s="27" t="s">
        <v>952</v>
      </c>
      <c r="G1798" s="17" t="s">
        <v>4564</v>
      </c>
      <c r="H1798" s="17" t="s">
        <v>4542</v>
      </c>
      <c r="I1798" s="17" t="s">
        <v>125</v>
      </c>
      <c r="J1798" s="22" t="s">
        <v>144</v>
      </c>
      <c r="K1798" s="23" t="s">
        <v>108</v>
      </c>
      <c r="L1798" s="24"/>
      <c r="M1798" s="2">
        <v>57.0</v>
      </c>
      <c r="N1798" s="25">
        <v>31.0</v>
      </c>
      <c r="O1798" s="25"/>
      <c r="P1798" s="25"/>
    </row>
    <row r="1799">
      <c r="A1799" s="16">
        <v>1797.0</v>
      </c>
      <c r="B1799" s="17" t="s">
        <v>367</v>
      </c>
      <c r="C1799" s="18">
        <v>34.0</v>
      </c>
      <c r="D1799" s="19" t="s">
        <v>2346</v>
      </c>
      <c r="E1799" s="20" t="s">
        <v>443</v>
      </c>
      <c r="F1799" s="17" t="s">
        <v>1014</v>
      </c>
      <c r="G1799" s="17" t="s">
        <v>4565</v>
      </c>
      <c r="H1799" s="17" t="s">
        <v>4566</v>
      </c>
      <c r="I1799" s="17" t="s">
        <v>125</v>
      </c>
      <c r="J1799" s="22" t="s">
        <v>144</v>
      </c>
      <c r="K1799" s="23" t="s">
        <v>108</v>
      </c>
      <c r="L1799" s="24" t="s">
        <v>91</v>
      </c>
      <c r="M1799" s="2">
        <v>57.0</v>
      </c>
      <c r="N1799" s="25">
        <v>31.0</v>
      </c>
      <c r="O1799" s="25"/>
      <c r="P1799" s="25"/>
    </row>
    <row r="1800">
      <c r="A1800" s="16">
        <v>1798.0</v>
      </c>
      <c r="B1800" s="17" t="s">
        <v>367</v>
      </c>
      <c r="C1800" s="18">
        <v>35.0</v>
      </c>
      <c r="D1800" s="19" t="s">
        <v>2346</v>
      </c>
      <c r="E1800" s="20" t="s">
        <v>443</v>
      </c>
      <c r="F1800" s="17" t="s">
        <v>357</v>
      </c>
      <c r="G1800" s="17" t="s">
        <v>4567</v>
      </c>
      <c r="H1800" s="17" t="s">
        <v>4568</v>
      </c>
      <c r="I1800" s="17" t="s">
        <v>125</v>
      </c>
      <c r="J1800" s="22" t="s">
        <v>144</v>
      </c>
      <c r="K1800" s="23" t="s">
        <v>108</v>
      </c>
      <c r="L1800" s="24" t="s">
        <v>91</v>
      </c>
      <c r="M1800" s="2">
        <v>57.0</v>
      </c>
      <c r="N1800" s="25">
        <v>31.0</v>
      </c>
      <c r="O1800" s="25"/>
      <c r="P1800" s="25"/>
    </row>
    <row r="1801">
      <c r="A1801" s="16">
        <v>1799.0</v>
      </c>
      <c r="B1801" s="17" t="s">
        <v>367</v>
      </c>
      <c r="C1801" s="18">
        <v>36.0</v>
      </c>
      <c r="D1801" s="19" t="s">
        <v>2346</v>
      </c>
      <c r="E1801" s="20" t="s">
        <v>443</v>
      </c>
      <c r="F1801" s="17" t="s">
        <v>74</v>
      </c>
      <c r="G1801" s="17" t="s">
        <v>123</v>
      </c>
      <c r="H1801" s="17" t="s">
        <v>4226</v>
      </c>
      <c r="I1801" s="17" t="s">
        <v>125</v>
      </c>
      <c r="J1801" s="22" t="s">
        <v>144</v>
      </c>
      <c r="K1801" s="23" t="s">
        <v>108</v>
      </c>
      <c r="L1801" s="24" t="s">
        <v>91</v>
      </c>
      <c r="M1801" s="2">
        <v>57.0</v>
      </c>
      <c r="N1801" s="25">
        <v>31.0</v>
      </c>
      <c r="O1801" s="25"/>
      <c r="P1801" s="25"/>
    </row>
    <row r="1802">
      <c r="A1802" s="16">
        <v>1800.0</v>
      </c>
      <c r="B1802" s="17" t="s">
        <v>367</v>
      </c>
      <c r="C1802" s="18">
        <v>37.0</v>
      </c>
      <c r="D1802" s="19" t="s">
        <v>2346</v>
      </c>
      <c r="E1802" s="20" t="s">
        <v>443</v>
      </c>
      <c r="F1802" s="17" t="s">
        <v>109</v>
      </c>
      <c r="G1802" s="17" t="s">
        <v>141</v>
      </c>
      <c r="H1802" s="17" t="s">
        <v>4569</v>
      </c>
      <c r="I1802" s="17" t="s">
        <v>125</v>
      </c>
      <c r="J1802" s="22" t="s">
        <v>144</v>
      </c>
      <c r="K1802" s="23" t="s">
        <v>108</v>
      </c>
      <c r="L1802" s="24" t="s">
        <v>91</v>
      </c>
      <c r="M1802" s="2">
        <v>57.0</v>
      </c>
      <c r="N1802" s="25">
        <v>31.0</v>
      </c>
      <c r="O1802" s="25"/>
      <c r="P1802" s="25"/>
    </row>
    <row r="1803">
      <c r="A1803" s="16">
        <v>1801.0</v>
      </c>
      <c r="B1803" s="17" t="s">
        <v>367</v>
      </c>
      <c r="C1803" s="18">
        <v>38.0</v>
      </c>
      <c r="D1803" s="19" t="s">
        <v>2346</v>
      </c>
      <c r="E1803" s="20" t="s">
        <v>443</v>
      </c>
      <c r="F1803" s="17" t="s">
        <v>868</v>
      </c>
      <c r="G1803" s="17" t="s">
        <v>4570</v>
      </c>
      <c r="H1803" s="17" t="s">
        <v>4571</v>
      </c>
      <c r="I1803" s="17" t="s">
        <v>125</v>
      </c>
      <c r="J1803" s="22" t="s">
        <v>144</v>
      </c>
      <c r="K1803" s="23" t="s">
        <v>108</v>
      </c>
      <c r="L1803" s="24" t="s">
        <v>91</v>
      </c>
      <c r="M1803" s="2">
        <v>57.0</v>
      </c>
      <c r="N1803" s="25">
        <v>31.0</v>
      </c>
      <c r="O1803" s="25"/>
      <c r="P1803" s="25"/>
    </row>
    <row r="1804">
      <c r="A1804" s="16">
        <v>1802.0</v>
      </c>
      <c r="B1804" s="17" t="s">
        <v>367</v>
      </c>
      <c r="C1804" s="18">
        <v>39.0</v>
      </c>
      <c r="D1804" s="19" t="s">
        <v>2346</v>
      </c>
      <c r="E1804" s="20" t="s">
        <v>443</v>
      </c>
      <c r="F1804" s="17" t="s">
        <v>472</v>
      </c>
      <c r="G1804" s="17" t="s">
        <v>4572</v>
      </c>
      <c r="H1804" s="17" t="s">
        <v>4573</v>
      </c>
      <c r="I1804" s="17" t="s">
        <v>125</v>
      </c>
      <c r="J1804" s="22" t="s">
        <v>144</v>
      </c>
      <c r="K1804" s="23" t="s">
        <v>108</v>
      </c>
      <c r="L1804" s="24" t="s">
        <v>91</v>
      </c>
      <c r="M1804" s="2">
        <v>57.0</v>
      </c>
      <c r="N1804" s="25">
        <v>31.0</v>
      </c>
      <c r="O1804" s="25"/>
      <c r="P1804" s="25"/>
    </row>
    <row r="1805">
      <c r="A1805" s="16">
        <v>1803.0</v>
      </c>
      <c r="B1805" s="17" t="s">
        <v>367</v>
      </c>
      <c r="C1805" s="18">
        <v>40.0</v>
      </c>
      <c r="D1805" s="19" t="s">
        <v>2346</v>
      </c>
      <c r="E1805" s="20" t="s">
        <v>443</v>
      </c>
      <c r="F1805" s="17" t="s">
        <v>744</v>
      </c>
      <c r="G1805" s="17" t="s">
        <v>4574</v>
      </c>
      <c r="H1805" s="17" t="s">
        <v>4575</v>
      </c>
      <c r="I1805" s="17" t="s">
        <v>125</v>
      </c>
      <c r="J1805" s="22" t="s">
        <v>144</v>
      </c>
      <c r="K1805" s="23" t="s">
        <v>108</v>
      </c>
      <c r="L1805" s="24" t="s">
        <v>91</v>
      </c>
      <c r="M1805" s="2">
        <v>57.0</v>
      </c>
      <c r="N1805" s="25">
        <v>31.0</v>
      </c>
      <c r="O1805" s="25"/>
      <c r="P1805" s="25"/>
    </row>
    <row r="1806">
      <c r="A1806" s="16">
        <v>1804.0</v>
      </c>
      <c r="B1806" s="17" t="s">
        <v>367</v>
      </c>
      <c r="C1806" s="18">
        <v>41.0</v>
      </c>
      <c r="D1806" s="19" t="s">
        <v>2346</v>
      </c>
      <c r="E1806" s="20" t="s">
        <v>443</v>
      </c>
      <c r="F1806" s="17" t="s">
        <v>137</v>
      </c>
      <c r="G1806" s="17" t="s">
        <v>4576</v>
      </c>
      <c r="H1806" s="17" t="s">
        <v>4577</v>
      </c>
      <c r="I1806" s="17" t="s">
        <v>125</v>
      </c>
      <c r="J1806" s="22" t="s">
        <v>144</v>
      </c>
      <c r="K1806" s="23" t="s">
        <v>108</v>
      </c>
      <c r="L1806" s="24" t="s">
        <v>91</v>
      </c>
      <c r="M1806" s="2">
        <v>57.0</v>
      </c>
      <c r="N1806" s="25">
        <v>31.0</v>
      </c>
      <c r="O1806" s="25"/>
      <c r="P1806" s="25"/>
    </row>
    <row r="1807">
      <c r="A1807" s="16">
        <v>1805.0</v>
      </c>
      <c r="B1807" s="17" t="s">
        <v>367</v>
      </c>
      <c r="C1807" s="18">
        <v>42.0</v>
      </c>
      <c r="D1807" s="19" t="s">
        <v>2346</v>
      </c>
      <c r="E1807" s="20" t="s">
        <v>443</v>
      </c>
      <c r="F1807" s="17" t="s">
        <v>886</v>
      </c>
      <c r="G1807" s="17" t="s">
        <v>3243</v>
      </c>
      <c r="H1807" s="17" t="s">
        <v>4578</v>
      </c>
      <c r="I1807" s="17" t="s">
        <v>125</v>
      </c>
      <c r="J1807" s="22" t="s">
        <v>144</v>
      </c>
      <c r="K1807" s="23" t="s">
        <v>108</v>
      </c>
      <c r="L1807" s="24" t="s">
        <v>91</v>
      </c>
      <c r="M1807" s="2">
        <v>57.0</v>
      </c>
      <c r="N1807" s="25">
        <v>31.0</v>
      </c>
      <c r="O1807" s="25"/>
      <c r="P1807" s="25"/>
    </row>
    <row r="1808">
      <c r="A1808" s="16">
        <v>1806.0</v>
      </c>
      <c r="B1808" s="27" t="s">
        <v>367</v>
      </c>
      <c r="C1808" s="18">
        <v>43.0</v>
      </c>
      <c r="D1808" s="19" t="s">
        <v>2346</v>
      </c>
      <c r="E1808" s="20" t="s">
        <v>443</v>
      </c>
      <c r="F1808" s="27" t="s">
        <v>990</v>
      </c>
      <c r="G1808" s="17" t="s">
        <v>4579</v>
      </c>
      <c r="H1808" s="17" t="s">
        <v>4580</v>
      </c>
      <c r="I1808" s="17" t="s">
        <v>125</v>
      </c>
      <c r="J1808" s="22" t="s">
        <v>144</v>
      </c>
      <c r="K1808" s="23" t="s">
        <v>108</v>
      </c>
      <c r="L1808" s="24"/>
      <c r="M1808" s="2">
        <v>57.0</v>
      </c>
      <c r="N1808" s="25">
        <v>31.0</v>
      </c>
      <c r="O1808" s="25"/>
      <c r="P1808" s="25"/>
    </row>
    <row r="1809">
      <c r="A1809" s="16">
        <v>1807.0</v>
      </c>
      <c r="B1809" s="27" t="s">
        <v>367</v>
      </c>
      <c r="C1809" s="18">
        <v>44.0</v>
      </c>
      <c r="D1809" s="19" t="s">
        <v>2346</v>
      </c>
      <c r="E1809" s="20" t="s">
        <v>443</v>
      </c>
      <c r="F1809" s="27" t="s">
        <v>1003</v>
      </c>
      <c r="G1809" s="17" t="s">
        <v>4581</v>
      </c>
      <c r="H1809" s="17" t="s">
        <v>4582</v>
      </c>
      <c r="I1809" s="17" t="s">
        <v>125</v>
      </c>
      <c r="J1809" s="22" t="s">
        <v>144</v>
      </c>
      <c r="K1809" s="23" t="s">
        <v>108</v>
      </c>
      <c r="L1809" s="24"/>
      <c r="M1809" s="2">
        <v>57.0</v>
      </c>
      <c r="N1809" s="25">
        <v>31.0</v>
      </c>
      <c r="O1809" s="25"/>
      <c r="P1809" s="25"/>
    </row>
    <row r="1810">
      <c r="A1810" s="16">
        <v>1808.0</v>
      </c>
      <c r="B1810" s="27" t="s">
        <v>367</v>
      </c>
      <c r="C1810" s="18">
        <v>45.0</v>
      </c>
      <c r="D1810" s="19" t="s">
        <v>2346</v>
      </c>
      <c r="E1810" s="20" t="s">
        <v>443</v>
      </c>
      <c r="F1810" s="27" t="s">
        <v>977</v>
      </c>
      <c r="G1810" s="17" t="s">
        <v>4583</v>
      </c>
      <c r="H1810" s="17" t="s">
        <v>4584</v>
      </c>
      <c r="I1810" s="17" t="s">
        <v>125</v>
      </c>
      <c r="J1810" s="22" t="s">
        <v>144</v>
      </c>
      <c r="K1810" s="23" t="s">
        <v>108</v>
      </c>
      <c r="L1810" s="24"/>
      <c r="M1810" s="2">
        <v>57.0</v>
      </c>
      <c r="N1810" s="25">
        <v>31.0</v>
      </c>
      <c r="O1810" s="25"/>
      <c r="P1810" s="25"/>
    </row>
    <row r="1811">
      <c r="A1811" s="16">
        <v>1809.0</v>
      </c>
      <c r="B1811" s="17" t="s">
        <v>109</v>
      </c>
      <c r="C1811" s="18">
        <v>1.0</v>
      </c>
      <c r="D1811" s="19" t="s">
        <v>3874</v>
      </c>
      <c r="E1811" s="20" t="s">
        <v>91</v>
      </c>
      <c r="F1811" s="17" t="s">
        <v>85</v>
      </c>
      <c r="G1811" s="17" t="s">
        <v>123</v>
      </c>
      <c r="H1811" s="17" t="s">
        <v>4585</v>
      </c>
      <c r="I1811" s="17" t="s">
        <v>98</v>
      </c>
      <c r="J1811" s="22" t="s">
        <v>100</v>
      </c>
      <c r="K1811" s="23" t="s">
        <v>108</v>
      </c>
      <c r="L1811" s="24" t="s">
        <v>91</v>
      </c>
      <c r="M1811" s="2">
        <v>58.0</v>
      </c>
      <c r="N1811" s="25">
        <v>10.0</v>
      </c>
      <c r="O1811" s="25"/>
      <c r="P1811" s="25"/>
    </row>
    <row r="1812">
      <c r="A1812" s="16">
        <v>1810.0</v>
      </c>
      <c r="B1812" s="17" t="s">
        <v>109</v>
      </c>
      <c r="C1812" s="18">
        <v>2.0</v>
      </c>
      <c r="D1812" s="19" t="s">
        <v>2694</v>
      </c>
      <c r="E1812" s="20" t="s">
        <v>91</v>
      </c>
      <c r="F1812" s="17" t="s">
        <v>163</v>
      </c>
      <c r="G1812" s="17" t="s">
        <v>4586</v>
      </c>
      <c r="H1812" s="17" t="s">
        <v>4587</v>
      </c>
      <c r="I1812" s="17" t="s">
        <v>125</v>
      </c>
      <c r="J1812" s="22" t="s">
        <v>100</v>
      </c>
      <c r="K1812" s="23" t="s">
        <v>108</v>
      </c>
      <c r="L1812" s="24" t="s">
        <v>91</v>
      </c>
      <c r="M1812" s="2">
        <v>58.0</v>
      </c>
      <c r="N1812" s="25">
        <v>11.0</v>
      </c>
      <c r="O1812" s="25"/>
      <c r="P1812" s="25"/>
    </row>
    <row r="1813">
      <c r="A1813" s="16">
        <v>1811.0</v>
      </c>
      <c r="B1813" s="17" t="s">
        <v>109</v>
      </c>
      <c r="C1813" s="18">
        <v>3.0</v>
      </c>
      <c r="D1813" s="19" t="s">
        <v>3880</v>
      </c>
      <c r="E1813" s="20" t="s">
        <v>91</v>
      </c>
      <c r="F1813" s="17" t="s">
        <v>113</v>
      </c>
      <c r="G1813" s="17" t="s">
        <v>4588</v>
      </c>
      <c r="H1813" s="17" t="s">
        <v>4589</v>
      </c>
      <c r="I1813" s="17" t="s">
        <v>125</v>
      </c>
      <c r="J1813" s="22" t="s">
        <v>100</v>
      </c>
      <c r="K1813" s="23" t="s">
        <v>108</v>
      </c>
      <c r="L1813" s="24" t="s">
        <v>91</v>
      </c>
      <c r="M1813" s="2">
        <v>58.0</v>
      </c>
      <c r="N1813" s="25">
        <v>11.0</v>
      </c>
      <c r="O1813" s="25"/>
      <c r="P1813" s="25"/>
    </row>
    <row r="1814">
      <c r="A1814" s="16">
        <v>1812.0</v>
      </c>
      <c r="B1814" s="17" t="s">
        <v>109</v>
      </c>
      <c r="C1814" s="18">
        <v>4.0</v>
      </c>
      <c r="D1814" s="19" t="s">
        <v>3889</v>
      </c>
      <c r="E1814" s="20" t="s">
        <v>91</v>
      </c>
      <c r="F1814" s="17" t="s">
        <v>853</v>
      </c>
      <c r="G1814" s="17" t="s">
        <v>123</v>
      </c>
      <c r="H1814" s="17" t="s">
        <v>4590</v>
      </c>
      <c r="I1814" s="17" t="s">
        <v>125</v>
      </c>
      <c r="J1814" s="22" t="s">
        <v>100</v>
      </c>
      <c r="K1814" s="23" t="s">
        <v>108</v>
      </c>
      <c r="L1814" s="24" t="s">
        <v>91</v>
      </c>
      <c r="M1814" s="2">
        <v>58.0</v>
      </c>
      <c r="N1814" s="25">
        <v>11.0</v>
      </c>
      <c r="O1814" s="25"/>
      <c r="P1814" s="25"/>
    </row>
    <row r="1815">
      <c r="A1815" s="16">
        <v>1813.0</v>
      </c>
      <c r="B1815" s="17" t="s">
        <v>109</v>
      </c>
      <c r="C1815" s="18">
        <v>5.0</v>
      </c>
      <c r="D1815" s="19" t="s">
        <v>3874</v>
      </c>
      <c r="E1815" s="20" t="s">
        <v>91</v>
      </c>
      <c r="F1815" s="17" t="s">
        <v>453</v>
      </c>
      <c r="G1815" s="17" t="s">
        <v>2258</v>
      </c>
      <c r="H1815" s="17" t="s">
        <v>4591</v>
      </c>
      <c r="I1815" s="17" t="s">
        <v>98</v>
      </c>
      <c r="J1815" s="22" t="s">
        <v>135</v>
      </c>
      <c r="K1815" s="23" t="s">
        <v>108</v>
      </c>
      <c r="L1815" s="24" t="s">
        <v>91</v>
      </c>
      <c r="M1815" s="2">
        <v>58.0</v>
      </c>
      <c r="N1815" s="25">
        <v>20.0</v>
      </c>
      <c r="O1815" s="25"/>
      <c r="P1815" s="25"/>
    </row>
    <row r="1816">
      <c r="A1816" s="16">
        <v>1814.0</v>
      </c>
      <c r="B1816" s="17" t="s">
        <v>109</v>
      </c>
      <c r="C1816" s="18">
        <v>6.0</v>
      </c>
      <c r="D1816" s="19" t="s">
        <v>3889</v>
      </c>
      <c r="E1816" s="20" t="s">
        <v>91</v>
      </c>
      <c r="F1816" s="17" t="s">
        <v>579</v>
      </c>
      <c r="G1816" s="17" t="s">
        <v>123</v>
      </c>
      <c r="H1816" s="17" t="s">
        <v>4592</v>
      </c>
      <c r="I1816" s="17" t="s">
        <v>125</v>
      </c>
      <c r="J1816" s="22" t="s">
        <v>135</v>
      </c>
      <c r="K1816" s="23" t="s">
        <v>108</v>
      </c>
      <c r="L1816" s="24" t="s">
        <v>91</v>
      </c>
      <c r="M1816" s="2">
        <v>58.0</v>
      </c>
      <c r="N1816" s="25">
        <v>21.0</v>
      </c>
      <c r="O1816" s="25"/>
      <c r="P1816" s="25"/>
    </row>
    <row r="1817">
      <c r="A1817" s="16">
        <v>1815.0</v>
      </c>
      <c r="B1817" s="17" t="s">
        <v>109</v>
      </c>
      <c r="C1817" s="18">
        <v>7.0</v>
      </c>
      <c r="D1817" s="19" t="s">
        <v>3874</v>
      </c>
      <c r="E1817" s="20" t="s">
        <v>91</v>
      </c>
      <c r="F1817" s="17" t="s">
        <v>906</v>
      </c>
      <c r="G1817" s="17" t="s">
        <v>4593</v>
      </c>
      <c r="H1817" s="17" t="s">
        <v>4594</v>
      </c>
      <c r="I1817" s="17" t="s">
        <v>98</v>
      </c>
      <c r="J1817" s="22" t="s">
        <v>144</v>
      </c>
      <c r="K1817" s="23" t="s">
        <v>108</v>
      </c>
      <c r="L1817" s="24" t="s">
        <v>91</v>
      </c>
      <c r="M1817" s="2">
        <v>58.0</v>
      </c>
      <c r="N1817" s="25">
        <v>30.0</v>
      </c>
      <c r="O1817" s="25"/>
      <c r="P1817" s="25"/>
    </row>
    <row r="1818">
      <c r="A1818" s="16">
        <v>1816.0</v>
      </c>
      <c r="B1818" s="17" t="s">
        <v>109</v>
      </c>
      <c r="C1818" s="18">
        <v>8.0</v>
      </c>
      <c r="D1818" s="19" t="s">
        <v>2694</v>
      </c>
      <c r="E1818" s="20" t="s">
        <v>91</v>
      </c>
      <c r="F1818" s="17" t="s">
        <v>491</v>
      </c>
      <c r="G1818" s="17" t="s">
        <v>4595</v>
      </c>
      <c r="H1818" s="17" t="s">
        <v>4596</v>
      </c>
      <c r="I1818" s="17" t="s">
        <v>125</v>
      </c>
      <c r="J1818" s="22" t="s">
        <v>144</v>
      </c>
      <c r="K1818" s="23" t="s">
        <v>108</v>
      </c>
      <c r="L1818" s="24" t="s">
        <v>91</v>
      </c>
      <c r="M1818" s="2">
        <v>58.0</v>
      </c>
      <c r="N1818" s="25">
        <v>31.0</v>
      </c>
      <c r="O1818" s="25"/>
      <c r="P1818" s="25"/>
    </row>
    <row r="1819">
      <c r="A1819" s="16">
        <v>1817.0</v>
      </c>
      <c r="B1819" s="17" t="s">
        <v>109</v>
      </c>
      <c r="C1819" s="18">
        <v>9.0</v>
      </c>
      <c r="D1819" s="19" t="s">
        <v>2694</v>
      </c>
      <c r="E1819" s="20" t="s">
        <v>91</v>
      </c>
      <c r="F1819" s="17" t="s">
        <v>905</v>
      </c>
      <c r="G1819" s="17" t="s">
        <v>4515</v>
      </c>
      <c r="H1819" s="17" t="s">
        <v>4597</v>
      </c>
      <c r="I1819" s="17" t="s">
        <v>125</v>
      </c>
      <c r="J1819" s="22" t="s">
        <v>144</v>
      </c>
      <c r="K1819" s="23" t="s">
        <v>108</v>
      </c>
      <c r="L1819" s="24" t="s">
        <v>91</v>
      </c>
      <c r="M1819" s="2">
        <v>58.0</v>
      </c>
      <c r="N1819" s="25">
        <v>31.0</v>
      </c>
      <c r="O1819" s="25"/>
      <c r="P1819" s="25"/>
    </row>
    <row r="1820">
      <c r="A1820" s="16">
        <v>1818.0</v>
      </c>
      <c r="B1820" s="17" t="s">
        <v>109</v>
      </c>
      <c r="C1820" s="18">
        <v>10.0</v>
      </c>
      <c r="D1820" s="19" t="s">
        <v>2694</v>
      </c>
      <c r="E1820" s="20" t="s">
        <v>91</v>
      </c>
      <c r="F1820" s="17" t="s">
        <v>642</v>
      </c>
      <c r="G1820" s="17" t="s">
        <v>4598</v>
      </c>
      <c r="H1820" s="17" t="s">
        <v>4599</v>
      </c>
      <c r="I1820" s="17" t="s">
        <v>125</v>
      </c>
      <c r="J1820" s="22" t="s">
        <v>144</v>
      </c>
      <c r="K1820" s="23" t="s">
        <v>108</v>
      </c>
      <c r="L1820" s="24" t="s">
        <v>91</v>
      </c>
      <c r="M1820" s="2">
        <v>58.0</v>
      </c>
      <c r="N1820" s="25">
        <v>31.0</v>
      </c>
      <c r="O1820" s="25"/>
      <c r="P1820" s="25"/>
    </row>
    <row r="1821">
      <c r="A1821" s="16">
        <v>1819.0</v>
      </c>
      <c r="B1821" s="17" t="s">
        <v>109</v>
      </c>
      <c r="C1821" s="18">
        <v>11.0</v>
      </c>
      <c r="D1821" s="19" t="s">
        <v>2694</v>
      </c>
      <c r="E1821" s="20" t="s">
        <v>91</v>
      </c>
      <c r="F1821" s="17" t="s">
        <v>753</v>
      </c>
      <c r="G1821" s="17" t="s">
        <v>4600</v>
      </c>
      <c r="H1821" s="17" t="s">
        <v>4601</v>
      </c>
      <c r="I1821" s="17" t="s">
        <v>125</v>
      </c>
      <c r="J1821" s="22" t="s">
        <v>144</v>
      </c>
      <c r="K1821" s="23" t="s">
        <v>108</v>
      </c>
      <c r="L1821" s="24" t="s">
        <v>91</v>
      </c>
      <c r="M1821" s="2">
        <v>58.0</v>
      </c>
      <c r="N1821" s="25">
        <v>31.0</v>
      </c>
      <c r="O1821" s="25"/>
      <c r="P1821" s="25"/>
    </row>
    <row r="1822">
      <c r="A1822" s="16">
        <v>1820.0</v>
      </c>
      <c r="B1822" s="17" t="s">
        <v>109</v>
      </c>
      <c r="C1822" s="18">
        <v>12.0</v>
      </c>
      <c r="D1822" s="19" t="s">
        <v>3874</v>
      </c>
      <c r="E1822" s="20" t="s">
        <v>91</v>
      </c>
      <c r="F1822" s="17" t="s">
        <v>357</v>
      </c>
      <c r="G1822" s="17" t="s">
        <v>4602</v>
      </c>
      <c r="H1822" s="17" t="s">
        <v>4603</v>
      </c>
      <c r="I1822" s="17" t="s">
        <v>125</v>
      </c>
      <c r="J1822" s="22" t="s">
        <v>144</v>
      </c>
      <c r="K1822" s="23" t="s">
        <v>108</v>
      </c>
      <c r="L1822" s="24" t="s">
        <v>91</v>
      </c>
      <c r="M1822" s="2">
        <v>58.0</v>
      </c>
      <c r="N1822" s="25">
        <v>31.0</v>
      </c>
      <c r="O1822" s="25"/>
      <c r="P1822" s="25"/>
    </row>
    <row r="1823">
      <c r="A1823" s="16">
        <v>1821.0</v>
      </c>
      <c r="B1823" s="17" t="s">
        <v>109</v>
      </c>
      <c r="C1823" s="18">
        <v>13.0</v>
      </c>
      <c r="D1823" s="19" t="s">
        <v>3874</v>
      </c>
      <c r="E1823" s="20" t="s">
        <v>91</v>
      </c>
      <c r="F1823" s="17" t="s">
        <v>969</v>
      </c>
      <c r="G1823" s="17" t="s">
        <v>123</v>
      </c>
      <c r="H1823" s="17" t="s">
        <v>4604</v>
      </c>
      <c r="I1823" s="17" t="s">
        <v>125</v>
      </c>
      <c r="J1823" s="22" t="s">
        <v>144</v>
      </c>
      <c r="K1823" s="23" t="s">
        <v>108</v>
      </c>
      <c r="L1823" s="24" t="s">
        <v>91</v>
      </c>
      <c r="M1823" s="2">
        <v>58.0</v>
      </c>
      <c r="N1823" s="25">
        <v>31.0</v>
      </c>
      <c r="O1823" s="25"/>
      <c r="P1823" s="25"/>
    </row>
    <row r="1824">
      <c r="A1824" s="16">
        <v>1822.0</v>
      </c>
      <c r="B1824" s="17" t="s">
        <v>109</v>
      </c>
      <c r="C1824" s="18">
        <v>14.0</v>
      </c>
      <c r="D1824" s="19" t="s">
        <v>3874</v>
      </c>
      <c r="E1824" s="20" t="s">
        <v>91</v>
      </c>
      <c r="F1824" s="17" t="s">
        <v>554</v>
      </c>
      <c r="G1824" s="17" t="s">
        <v>4605</v>
      </c>
      <c r="H1824" s="17" t="s">
        <v>4606</v>
      </c>
      <c r="I1824" s="17" t="s">
        <v>125</v>
      </c>
      <c r="J1824" s="22" t="s">
        <v>144</v>
      </c>
      <c r="K1824" s="23" t="s">
        <v>108</v>
      </c>
      <c r="L1824" s="24" t="s">
        <v>91</v>
      </c>
      <c r="M1824" s="2">
        <v>58.0</v>
      </c>
      <c r="N1824" s="25">
        <v>31.0</v>
      </c>
      <c r="O1824" s="25"/>
      <c r="P1824" s="25"/>
    </row>
    <row r="1825">
      <c r="A1825" s="16">
        <v>1823.0</v>
      </c>
      <c r="B1825" s="27" t="s">
        <v>109</v>
      </c>
      <c r="C1825" s="18">
        <v>15.0</v>
      </c>
      <c r="D1825" s="19" t="s">
        <v>3874</v>
      </c>
      <c r="E1825" s="20" t="s">
        <v>91</v>
      </c>
      <c r="F1825" s="27" t="s">
        <v>1440</v>
      </c>
      <c r="G1825" s="17" t="s">
        <v>4607</v>
      </c>
      <c r="H1825" s="17" t="s">
        <v>4608</v>
      </c>
      <c r="I1825" s="17" t="s">
        <v>125</v>
      </c>
      <c r="J1825" s="22" t="s">
        <v>144</v>
      </c>
      <c r="K1825" s="23" t="s">
        <v>108</v>
      </c>
      <c r="L1825" s="24"/>
      <c r="M1825" s="2">
        <v>58.0</v>
      </c>
      <c r="N1825" s="25">
        <v>31.0</v>
      </c>
      <c r="O1825" s="25"/>
      <c r="P1825" s="25"/>
    </row>
    <row r="1826">
      <c r="A1826" s="16">
        <v>1824.0</v>
      </c>
      <c r="B1826" s="17" t="s">
        <v>109</v>
      </c>
      <c r="C1826" s="18">
        <v>16.0</v>
      </c>
      <c r="D1826" s="19" t="s">
        <v>3889</v>
      </c>
      <c r="E1826" s="20" t="s">
        <v>91</v>
      </c>
      <c r="F1826" s="17" t="s">
        <v>593</v>
      </c>
      <c r="G1826" s="17" t="s">
        <v>4609</v>
      </c>
      <c r="H1826" s="17" t="s">
        <v>4610</v>
      </c>
      <c r="I1826" s="17" t="s">
        <v>125</v>
      </c>
      <c r="J1826" s="22" t="s">
        <v>144</v>
      </c>
      <c r="K1826" s="23" t="s">
        <v>108</v>
      </c>
      <c r="L1826" s="24" t="s">
        <v>91</v>
      </c>
      <c r="M1826" s="2">
        <v>58.0</v>
      </c>
      <c r="N1826" s="25">
        <v>31.0</v>
      </c>
      <c r="O1826" s="25"/>
      <c r="P1826" s="25"/>
    </row>
    <row r="1827">
      <c r="A1827" s="16">
        <v>1825.0</v>
      </c>
      <c r="B1827" s="17" t="s">
        <v>109</v>
      </c>
      <c r="C1827" s="18">
        <v>17.0</v>
      </c>
      <c r="D1827" s="19" t="s">
        <v>3889</v>
      </c>
      <c r="E1827" s="20" t="s">
        <v>91</v>
      </c>
      <c r="F1827" s="17" t="s">
        <v>695</v>
      </c>
      <c r="G1827" s="17" t="s">
        <v>123</v>
      </c>
      <c r="H1827" s="17" t="s">
        <v>4611</v>
      </c>
      <c r="I1827" s="17" t="s">
        <v>125</v>
      </c>
      <c r="J1827" s="22" t="s">
        <v>144</v>
      </c>
      <c r="K1827" s="23" t="s">
        <v>108</v>
      </c>
      <c r="L1827" s="24" t="s">
        <v>91</v>
      </c>
      <c r="M1827" s="2">
        <v>58.0</v>
      </c>
      <c r="N1827" s="25">
        <v>31.0</v>
      </c>
      <c r="O1827" s="25"/>
      <c r="P1827" s="25"/>
    </row>
    <row r="1828">
      <c r="A1828" s="16">
        <v>1826.0</v>
      </c>
      <c r="B1828" s="17" t="s">
        <v>109</v>
      </c>
      <c r="C1828" s="18">
        <v>18.0</v>
      </c>
      <c r="D1828" s="19" t="s">
        <v>3889</v>
      </c>
      <c r="E1828" s="20" t="s">
        <v>91</v>
      </c>
      <c r="F1828" s="17" t="s">
        <v>801</v>
      </c>
      <c r="G1828" s="17" t="s">
        <v>123</v>
      </c>
      <c r="H1828" s="17" t="s">
        <v>4612</v>
      </c>
      <c r="I1828" s="17" t="s">
        <v>125</v>
      </c>
      <c r="J1828" s="22" t="s">
        <v>144</v>
      </c>
      <c r="K1828" s="23" t="s">
        <v>108</v>
      </c>
      <c r="L1828" s="24" t="s">
        <v>91</v>
      </c>
      <c r="M1828" s="2">
        <v>58.0</v>
      </c>
      <c r="N1828" s="25">
        <v>31.0</v>
      </c>
      <c r="O1828" s="25"/>
      <c r="P1828" s="25"/>
    </row>
    <row r="1829">
      <c r="A1829" s="16">
        <v>1827.0</v>
      </c>
      <c r="B1829" s="17" t="s">
        <v>109</v>
      </c>
      <c r="C1829" s="18">
        <v>19.0</v>
      </c>
      <c r="D1829" s="19" t="s">
        <v>3889</v>
      </c>
      <c r="E1829" s="20" t="s">
        <v>91</v>
      </c>
      <c r="F1829" s="17" t="s">
        <v>907</v>
      </c>
      <c r="G1829" s="17" t="s">
        <v>123</v>
      </c>
      <c r="H1829" s="17" t="s">
        <v>4613</v>
      </c>
      <c r="I1829" s="17" t="s">
        <v>125</v>
      </c>
      <c r="J1829" s="22" t="s">
        <v>144</v>
      </c>
      <c r="K1829" s="23" t="s">
        <v>108</v>
      </c>
      <c r="L1829" s="24" t="s">
        <v>91</v>
      </c>
      <c r="M1829" s="2">
        <v>58.0</v>
      </c>
      <c r="N1829" s="25">
        <v>31.0</v>
      </c>
      <c r="O1829" s="25"/>
      <c r="P1829" s="25"/>
    </row>
    <row r="1830">
      <c r="A1830" s="16">
        <v>1828.0</v>
      </c>
      <c r="B1830" s="17" t="s">
        <v>969</v>
      </c>
      <c r="C1830" s="18">
        <v>1.0</v>
      </c>
      <c r="D1830" s="19" t="s">
        <v>3908</v>
      </c>
      <c r="E1830" s="20" t="s">
        <v>91</v>
      </c>
      <c r="F1830" s="17" t="s">
        <v>56</v>
      </c>
      <c r="G1830" s="17" t="s">
        <v>3622</v>
      </c>
      <c r="H1830" s="17" t="s">
        <v>4614</v>
      </c>
      <c r="I1830" s="17" t="s">
        <v>125</v>
      </c>
      <c r="J1830" s="22" t="s">
        <v>100</v>
      </c>
      <c r="K1830" s="23" t="s">
        <v>108</v>
      </c>
      <c r="L1830" s="24" t="s">
        <v>91</v>
      </c>
      <c r="M1830" s="2">
        <v>59.0</v>
      </c>
      <c r="N1830" s="25">
        <v>11.0</v>
      </c>
      <c r="O1830" s="25"/>
      <c r="P1830" s="25"/>
    </row>
    <row r="1831">
      <c r="A1831" s="16">
        <v>1829.0</v>
      </c>
      <c r="B1831" s="17" t="s">
        <v>969</v>
      </c>
      <c r="C1831" s="18">
        <v>2.0</v>
      </c>
      <c r="D1831" s="19" t="s">
        <v>2715</v>
      </c>
      <c r="E1831" s="20" t="s">
        <v>91</v>
      </c>
      <c r="F1831" s="17" t="s">
        <v>192</v>
      </c>
      <c r="G1831" s="17" t="s">
        <v>4615</v>
      </c>
      <c r="H1831" s="17" t="s">
        <v>4616</v>
      </c>
      <c r="I1831" s="17" t="s">
        <v>125</v>
      </c>
      <c r="J1831" s="22" t="s">
        <v>100</v>
      </c>
      <c r="K1831" s="23" t="s">
        <v>108</v>
      </c>
      <c r="L1831" s="24" t="s">
        <v>91</v>
      </c>
      <c r="M1831" s="2">
        <v>59.0</v>
      </c>
      <c r="N1831" s="25">
        <v>11.0</v>
      </c>
      <c r="O1831" s="25"/>
      <c r="P1831" s="25"/>
    </row>
    <row r="1832">
      <c r="A1832" s="16">
        <v>1830.0</v>
      </c>
      <c r="B1832" s="17" t="s">
        <v>969</v>
      </c>
      <c r="C1832" s="18">
        <v>3.0</v>
      </c>
      <c r="D1832" s="19" t="s">
        <v>3908</v>
      </c>
      <c r="E1832" s="20" t="s">
        <v>91</v>
      </c>
      <c r="F1832" s="17" t="s">
        <v>801</v>
      </c>
      <c r="G1832" s="17" t="s">
        <v>4617</v>
      </c>
      <c r="H1832" s="17" t="s">
        <v>4618</v>
      </c>
      <c r="I1832" s="17" t="s">
        <v>125</v>
      </c>
      <c r="J1832" s="22" t="s">
        <v>135</v>
      </c>
      <c r="K1832" s="23" t="s">
        <v>108</v>
      </c>
      <c r="L1832" s="24" t="s">
        <v>91</v>
      </c>
      <c r="M1832" s="2">
        <v>59.0</v>
      </c>
      <c r="N1832" s="25">
        <v>21.0</v>
      </c>
      <c r="O1832" s="25"/>
      <c r="P1832" s="25"/>
    </row>
    <row r="1833">
      <c r="A1833" s="16">
        <v>1831.0</v>
      </c>
      <c r="B1833" s="17" t="s">
        <v>969</v>
      </c>
      <c r="C1833" s="18">
        <v>4.0</v>
      </c>
      <c r="D1833" s="19" t="s">
        <v>2715</v>
      </c>
      <c r="E1833" s="20" t="s">
        <v>91</v>
      </c>
      <c r="F1833" s="17" t="s">
        <v>753</v>
      </c>
      <c r="G1833" s="17" t="s">
        <v>3022</v>
      </c>
      <c r="H1833" s="17" t="s">
        <v>4619</v>
      </c>
      <c r="I1833" s="17" t="s">
        <v>125</v>
      </c>
      <c r="J1833" s="22" t="s">
        <v>135</v>
      </c>
      <c r="K1833" s="23" t="s">
        <v>108</v>
      </c>
      <c r="L1833" s="24" t="s">
        <v>91</v>
      </c>
      <c r="M1833" s="2">
        <v>59.0</v>
      </c>
      <c r="N1833" s="25">
        <v>21.0</v>
      </c>
      <c r="O1833" s="25"/>
      <c r="P1833" s="25"/>
    </row>
    <row r="1834">
      <c r="A1834" s="16">
        <v>1832.0</v>
      </c>
      <c r="B1834" s="17" t="s">
        <v>969</v>
      </c>
      <c r="C1834" s="18">
        <v>5.0</v>
      </c>
      <c r="D1834" s="19" t="s">
        <v>3908</v>
      </c>
      <c r="E1834" s="20" t="s">
        <v>91</v>
      </c>
      <c r="F1834" s="17" t="s">
        <v>360</v>
      </c>
      <c r="G1834" s="17" t="s">
        <v>4620</v>
      </c>
      <c r="H1834" s="17" t="s">
        <v>4621</v>
      </c>
      <c r="I1834" s="17" t="s">
        <v>125</v>
      </c>
      <c r="J1834" s="22" t="s">
        <v>144</v>
      </c>
      <c r="K1834" s="23" t="s">
        <v>108</v>
      </c>
      <c r="L1834" s="24" t="s">
        <v>91</v>
      </c>
      <c r="M1834" s="2">
        <v>59.0</v>
      </c>
      <c r="N1834" s="25">
        <v>31.0</v>
      </c>
      <c r="O1834" s="25"/>
      <c r="P1834" s="25"/>
    </row>
    <row r="1835">
      <c r="A1835" s="16">
        <v>1833.0</v>
      </c>
      <c r="B1835" s="17" t="s">
        <v>969</v>
      </c>
      <c r="C1835" s="18">
        <v>6.0</v>
      </c>
      <c r="D1835" s="19" t="s">
        <v>3908</v>
      </c>
      <c r="E1835" s="20" t="s">
        <v>91</v>
      </c>
      <c r="F1835" s="17" t="s">
        <v>491</v>
      </c>
      <c r="G1835" s="17" t="s">
        <v>4622</v>
      </c>
      <c r="H1835" s="17" t="s">
        <v>4623</v>
      </c>
      <c r="I1835" s="17" t="s">
        <v>125</v>
      </c>
      <c r="J1835" s="22" t="s">
        <v>144</v>
      </c>
      <c r="K1835" s="23" t="s">
        <v>108</v>
      </c>
      <c r="L1835" s="24" t="s">
        <v>91</v>
      </c>
      <c r="M1835" s="2">
        <v>59.0</v>
      </c>
      <c r="N1835" s="25">
        <v>31.0</v>
      </c>
      <c r="O1835" s="25"/>
      <c r="P1835" s="25"/>
    </row>
    <row r="1836">
      <c r="A1836" s="16">
        <v>1834.0</v>
      </c>
      <c r="B1836" s="17" t="s">
        <v>969</v>
      </c>
      <c r="C1836" s="18">
        <v>7.0</v>
      </c>
      <c r="D1836" s="19" t="s">
        <v>3908</v>
      </c>
      <c r="E1836" s="20" t="s">
        <v>91</v>
      </c>
      <c r="F1836" s="17" t="s">
        <v>106</v>
      </c>
      <c r="G1836" s="17" t="s">
        <v>4624</v>
      </c>
      <c r="H1836" s="17" t="s">
        <v>4625</v>
      </c>
      <c r="I1836" s="17" t="s">
        <v>125</v>
      </c>
      <c r="J1836" s="22" t="s">
        <v>144</v>
      </c>
      <c r="K1836" s="23" t="s">
        <v>108</v>
      </c>
      <c r="L1836" s="24" t="s">
        <v>91</v>
      </c>
      <c r="M1836" s="2">
        <v>59.0</v>
      </c>
      <c r="N1836" s="25">
        <v>31.0</v>
      </c>
      <c r="O1836" s="25"/>
      <c r="P1836" s="25"/>
    </row>
    <row r="1837">
      <c r="A1837" s="16">
        <v>1835.0</v>
      </c>
      <c r="B1837" s="17" t="s">
        <v>969</v>
      </c>
      <c r="C1837" s="18">
        <v>8.0</v>
      </c>
      <c r="D1837" s="19" t="s">
        <v>3908</v>
      </c>
      <c r="E1837" s="20" t="s">
        <v>91</v>
      </c>
      <c r="F1837" s="17" t="s">
        <v>593</v>
      </c>
      <c r="G1837" s="17" t="s">
        <v>4609</v>
      </c>
      <c r="H1837" s="17" t="s">
        <v>4626</v>
      </c>
      <c r="I1837" s="17" t="s">
        <v>125</v>
      </c>
      <c r="J1837" s="22" t="s">
        <v>144</v>
      </c>
      <c r="K1837" s="23" t="s">
        <v>108</v>
      </c>
      <c r="L1837" s="24" t="s">
        <v>91</v>
      </c>
      <c r="M1837" s="2">
        <v>59.0</v>
      </c>
      <c r="N1837" s="25">
        <v>31.0</v>
      </c>
      <c r="O1837" s="25"/>
      <c r="P1837" s="25"/>
    </row>
    <row r="1838">
      <c r="A1838" s="16">
        <v>1836.0</v>
      </c>
      <c r="B1838" s="17" t="s">
        <v>969</v>
      </c>
      <c r="C1838" s="18">
        <v>9.0</v>
      </c>
      <c r="D1838" s="19" t="s">
        <v>3908</v>
      </c>
      <c r="E1838" s="20" t="s">
        <v>91</v>
      </c>
      <c r="F1838" s="17" t="s">
        <v>118</v>
      </c>
      <c r="G1838" s="17" t="s">
        <v>4627</v>
      </c>
      <c r="H1838" s="17" t="s">
        <v>4621</v>
      </c>
      <c r="I1838" s="17" t="s">
        <v>125</v>
      </c>
      <c r="J1838" s="22" t="s">
        <v>144</v>
      </c>
      <c r="K1838" s="23" t="s">
        <v>108</v>
      </c>
      <c r="L1838" s="24" t="s">
        <v>91</v>
      </c>
      <c r="M1838" s="2">
        <v>59.0</v>
      </c>
      <c r="N1838" s="25">
        <v>31.0</v>
      </c>
      <c r="O1838" s="25"/>
      <c r="P1838" s="25"/>
    </row>
    <row r="1839">
      <c r="A1839" s="16">
        <v>1837.0</v>
      </c>
      <c r="B1839" s="17" t="s">
        <v>969</v>
      </c>
      <c r="C1839" s="18">
        <v>10.0</v>
      </c>
      <c r="D1839" s="19" t="s">
        <v>3908</v>
      </c>
      <c r="E1839" s="20" t="s">
        <v>91</v>
      </c>
      <c r="F1839" s="17" t="s">
        <v>579</v>
      </c>
      <c r="G1839" s="17" t="s">
        <v>123</v>
      </c>
      <c r="H1839" s="17" t="s">
        <v>4592</v>
      </c>
      <c r="I1839" s="17" t="s">
        <v>125</v>
      </c>
      <c r="J1839" s="22" t="s">
        <v>144</v>
      </c>
      <c r="K1839" s="23" t="s">
        <v>108</v>
      </c>
      <c r="L1839" s="24" t="s">
        <v>91</v>
      </c>
      <c r="M1839" s="2">
        <v>59.0</v>
      </c>
      <c r="N1839" s="25">
        <v>31.0</v>
      </c>
      <c r="O1839" s="25"/>
      <c r="P1839" s="25"/>
    </row>
    <row r="1840">
      <c r="A1840" s="16">
        <v>1838.0</v>
      </c>
      <c r="B1840" s="17" t="s">
        <v>969</v>
      </c>
      <c r="C1840" s="18">
        <v>11.0</v>
      </c>
      <c r="D1840" s="19" t="s">
        <v>3908</v>
      </c>
      <c r="E1840" s="20" t="s">
        <v>91</v>
      </c>
      <c r="F1840" s="17" t="s">
        <v>1061</v>
      </c>
      <c r="G1840" s="17" t="s">
        <v>4628</v>
      </c>
      <c r="H1840" s="17" t="s">
        <v>4629</v>
      </c>
      <c r="I1840" s="17" t="s">
        <v>125</v>
      </c>
      <c r="J1840" s="22" t="s">
        <v>144</v>
      </c>
      <c r="K1840" s="23" t="s">
        <v>108</v>
      </c>
      <c r="L1840" s="24" t="s">
        <v>91</v>
      </c>
      <c r="M1840" s="2">
        <v>59.0</v>
      </c>
      <c r="N1840" s="25">
        <v>31.0</v>
      </c>
      <c r="O1840" s="25"/>
      <c r="P1840" s="25"/>
    </row>
    <row r="1841">
      <c r="A1841" s="16">
        <v>1839.0</v>
      </c>
      <c r="B1841" s="17" t="s">
        <v>969</v>
      </c>
      <c r="C1841" s="18">
        <v>12.0</v>
      </c>
      <c r="D1841" s="19" t="s">
        <v>3908</v>
      </c>
      <c r="E1841" s="20" t="s">
        <v>91</v>
      </c>
      <c r="F1841" s="17" t="s">
        <v>1230</v>
      </c>
      <c r="G1841" s="17" t="s">
        <v>4630</v>
      </c>
      <c r="H1841" s="17" t="s">
        <v>4631</v>
      </c>
      <c r="I1841" s="17" t="s">
        <v>125</v>
      </c>
      <c r="J1841" s="22" t="s">
        <v>144</v>
      </c>
      <c r="K1841" s="23" t="s">
        <v>108</v>
      </c>
      <c r="L1841" s="24" t="s">
        <v>91</v>
      </c>
      <c r="M1841" s="2">
        <v>59.0</v>
      </c>
      <c r="N1841" s="25">
        <v>31.0</v>
      </c>
      <c r="O1841" s="25"/>
      <c r="P1841" s="25"/>
    </row>
    <row r="1842">
      <c r="A1842" s="16">
        <v>1840.0</v>
      </c>
      <c r="B1842" s="17" t="s">
        <v>969</v>
      </c>
      <c r="C1842" s="18">
        <v>13.0</v>
      </c>
      <c r="D1842" s="19" t="s">
        <v>3908</v>
      </c>
      <c r="E1842" s="20" t="s">
        <v>91</v>
      </c>
      <c r="F1842" s="17" t="s">
        <v>380</v>
      </c>
      <c r="G1842" s="17" t="s">
        <v>4632</v>
      </c>
      <c r="H1842" s="17" t="s">
        <v>4621</v>
      </c>
      <c r="I1842" s="17" t="s">
        <v>125</v>
      </c>
      <c r="J1842" s="22" t="s">
        <v>144</v>
      </c>
      <c r="K1842" s="23" t="s">
        <v>108</v>
      </c>
      <c r="L1842" s="24" t="s">
        <v>91</v>
      </c>
      <c r="M1842" s="2">
        <v>59.0</v>
      </c>
      <c r="N1842" s="25">
        <v>31.0</v>
      </c>
      <c r="O1842" s="25"/>
      <c r="P1842" s="25"/>
    </row>
    <row r="1843">
      <c r="A1843" s="16">
        <v>1841.0</v>
      </c>
      <c r="B1843" s="17" t="s">
        <v>969</v>
      </c>
      <c r="C1843" s="18">
        <v>14.0</v>
      </c>
      <c r="D1843" s="19" t="s">
        <v>3908</v>
      </c>
      <c r="E1843" s="20" t="s">
        <v>91</v>
      </c>
      <c r="F1843" s="17" t="s">
        <v>155</v>
      </c>
      <c r="G1843" s="17" t="s">
        <v>4633</v>
      </c>
      <c r="H1843" s="17" t="s">
        <v>4634</v>
      </c>
      <c r="I1843" s="17" t="s">
        <v>125</v>
      </c>
      <c r="J1843" s="22" t="s">
        <v>144</v>
      </c>
      <c r="K1843" s="23" t="s">
        <v>108</v>
      </c>
      <c r="L1843" s="24" t="s">
        <v>91</v>
      </c>
      <c r="M1843" s="2">
        <v>59.0</v>
      </c>
      <c r="N1843" s="25">
        <v>31.0</v>
      </c>
      <c r="O1843" s="25"/>
      <c r="P1843" s="25"/>
    </row>
    <row r="1844">
      <c r="A1844" s="16">
        <v>1842.0</v>
      </c>
      <c r="B1844" s="17" t="s">
        <v>969</v>
      </c>
      <c r="C1844" s="18">
        <v>15.0</v>
      </c>
      <c r="D1844" s="19" t="s">
        <v>3908</v>
      </c>
      <c r="E1844" s="20" t="s">
        <v>91</v>
      </c>
      <c r="F1844" s="17" t="s">
        <v>83</v>
      </c>
      <c r="G1844" s="17" t="s">
        <v>4635</v>
      </c>
      <c r="H1844" s="17" t="s">
        <v>4636</v>
      </c>
      <c r="I1844" s="17" t="s">
        <v>125</v>
      </c>
      <c r="J1844" s="22" t="s">
        <v>144</v>
      </c>
      <c r="K1844" s="23" t="s">
        <v>108</v>
      </c>
      <c r="L1844" s="24" t="s">
        <v>91</v>
      </c>
      <c r="M1844" s="2">
        <v>59.0</v>
      </c>
      <c r="N1844" s="25">
        <v>31.0</v>
      </c>
      <c r="O1844" s="25"/>
      <c r="P1844" s="25"/>
    </row>
    <row r="1845">
      <c r="A1845" s="16">
        <v>1843.0</v>
      </c>
      <c r="B1845" s="17" t="s">
        <v>969</v>
      </c>
      <c r="C1845" s="18">
        <v>16.0</v>
      </c>
      <c r="D1845" s="19" t="s">
        <v>3908</v>
      </c>
      <c r="E1845" s="20" t="s">
        <v>91</v>
      </c>
      <c r="F1845" s="17" t="s">
        <v>243</v>
      </c>
      <c r="G1845" s="17" t="s">
        <v>123</v>
      </c>
      <c r="H1845" s="17" t="s">
        <v>4637</v>
      </c>
      <c r="I1845" s="17" t="s">
        <v>125</v>
      </c>
      <c r="J1845" s="22" t="s">
        <v>144</v>
      </c>
      <c r="K1845" s="23" t="s">
        <v>108</v>
      </c>
      <c r="L1845" s="24" t="s">
        <v>91</v>
      </c>
      <c r="M1845" s="2">
        <v>59.0</v>
      </c>
      <c r="N1845" s="25">
        <v>31.0</v>
      </c>
      <c r="O1845" s="25"/>
      <c r="P1845" s="25"/>
    </row>
    <row r="1846">
      <c r="A1846" s="16">
        <v>1844.0</v>
      </c>
      <c r="B1846" s="17" t="s">
        <v>969</v>
      </c>
      <c r="C1846" s="18">
        <v>17.0</v>
      </c>
      <c r="D1846" s="19" t="s">
        <v>2715</v>
      </c>
      <c r="E1846" s="20" t="s">
        <v>91</v>
      </c>
      <c r="F1846" s="17" t="s">
        <v>421</v>
      </c>
      <c r="G1846" s="17" t="s">
        <v>4342</v>
      </c>
      <c r="H1846" s="17" t="s">
        <v>4638</v>
      </c>
      <c r="I1846" s="17" t="s">
        <v>125</v>
      </c>
      <c r="J1846" s="22" t="s">
        <v>144</v>
      </c>
      <c r="K1846" s="23" t="s">
        <v>108</v>
      </c>
      <c r="L1846" s="24" t="s">
        <v>91</v>
      </c>
      <c r="M1846" s="2">
        <v>59.0</v>
      </c>
      <c r="N1846" s="25">
        <v>31.0</v>
      </c>
      <c r="O1846" s="25"/>
      <c r="P1846" s="25"/>
    </row>
    <row r="1847">
      <c r="A1847" s="16">
        <v>1845.0</v>
      </c>
      <c r="B1847" s="17" t="s">
        <v>969</v>
      </c>
      <c r="C1847" s="18">
        <v>18.0</v>
      </c>
      <c r="D1847" s="19" t="s">
        <v>3915</v>
      </c>
      <c r="E1847" s="20" t="s">
        <v>91</v>
      </c>
      <c r="F1847" s="17" t="s">
        <v>906</v>
      </c>
      <c r="G1847" s="17" t="s">
        <v>4593</v>
      </c>
      <c r="H1847" s="17" t="s">
        <v>4594</v>
      </c>
      <c r="I1847" s="17" t="s">
        <v>125</v>
      </c>
      <c r="J1847" s="22" t="s">
        <v>144</v>
      </c>
      <c r="K1847" s="23" t="s">
        <v>108</v>
      </c>
      <c r="L1847" s="24" t="s">
        <v>91</v>
      </c>
      <c r="M1847" s="2">
        <v>59.0</v>
      </c>
      <c r="N1847" s="25">
        <v>31.0</v>
      </c>
      <c r="O1847" s="25"/>
      <c r="P1847" s="25"/>
    </row>
    <row r="1848">
      <c r="A1848" s="16">
        <v>1846.0</v>
      </c>
      <c r="B1848" s="17" t="s">
        <v>969</v>
      </c>
      <c r="C1848" s="18">
        <v>19.0</v>
      </c>
      <c r="D1848" s="19" t="s">
        <v>3915</v>
      </c>
      <c r="E1848" s="20" t="s">
        <v>91</v>
      </c>
      <c r="F1848" s="17" t="s">
        <v>554</v>
      </c>
      <c r="G1848" s="17" t="s">
        <v>4605</v>
      </c>
      <c r="H1848" s="17" t="s">
        <v>4606</v>
      </c>
      <c r="I1848" s="17" t="s">
        <v>125</v>
      </c>
      <c r="J1848" s="22" t="s">
        <v>144</v>
      </c>
      <c r="K1848" s="23" t="s">
        <v>108</v>
      </c>
      <c r="L1848" s="24" t="s">
        <v>91</v>
      </c>
      <c r="M1848" s="2">
        <v>59.0</v>
      </c>
      <c r="N1848" s="25">
        <v>31.0</v>
      </c>
      <c r="O1848" s="25"/>
      <c r="P1848" s="25"/>
    </row>
    <row r="1849">
      <c r="A1849" s="16">
        <v>1847.0</v>
      </c>
      <c r="B1849" s="17" t="s">
        <v>969</v>
      </c>
      <c r="C1849" s="18">
        <v>20.0</v>
      </c>
      <c r="D1849" s="19" t="s">
        <v>3915</v>
      </c>
      <c r="E1849" s="20" t="s">
        <v>91</v>
      </c>
      <c r="F1849" s="17" t="s">
        <v>85</v>
      </c>
      <c r="G1849" s="17" t="s">
        <v>123</v>
      </c>
      <c r="H1849" s="17" t="s">
        <v>4639</v>
      </c>
      <c r="I1849" s="17" t="s">
        <v>125</v>
      </c>
      <c r="J1849" s="22" t="s">
        <v>144</v>
      </c>
      <c r="K1849" s="23" t="s">
        <v>108</v>
      </c>
      <c r="L1849" s="24" t="s">
        <v>91</v>
      </c>
      <c r="M1849" s="2">
        <v>59.0</v>
      </c>
      <c r="N1849" s="25">
        <v>31.0</v>
      </c>
      <c r="O1849" s="25"/>
      <c r="P1849" s="25"/>
    </row>
    <row r="1850">
      <c r="A1850" s="16">
        <v>1848.0</v>
      </c>
      <c r="B1850" s="17" t="s">
        <v>270</v>
      </c>
      <c r="C1850" s="18">
        <v>1.0</v>
      </c>
      <c r="D1850" s="19" t="s">
        <v>2091</v>
      </c>
      <c r="E1850" s="20" t="s">
        <v>443</v>
      </c>
      <c r="F1850" s="17" t="s">
        <v>558</v>
      </c>
      <c r="G1850" s="17" t="s">
        <v>3653</v>
      </c>
      <c r="H1850" s="17" t="s">
        <v>4640</v>
      </c>
      <c r="I1850" s="17" t="s">
        <v>125</v>
      </c>
      <c r="J1850" s="22" t="s">
        <v>100</v>
      </c>
      <c r="K1850" s="23" t="s">
        <v>108</v>
      </c>
      <c r="L1850" s="24" t="s">
        <v>91</v>
      </c>
      <c r="M1850" s="2">
        <v>60.0</v>
      </c>
      <c r="N1850" s="25">
        <v>11.0</v>
      </c>
      <c r="O1850" s="25"/>
      <c r="P1850" s="25"/>
    </row>
    <row r="1851">
      <c r="A1851" s="16">
        <v>1849.0</v>
      </c>
      <c r="B1851" s="17" t="s">
        <v>270</v>
      </c>
      <c r="C1851" s="18">
        <v>2.0</v>
      </c>
      <c r="D1851" s="19" t="s">
        <v>2077</v>
      </c>
      <c r="E1851" s="20" t="s">
        <v>443</v>
      </c>
      <c r="F1851" s="17" t="s">
        <v>787</v>
      </c>
      <c r="G1851" s="17" t="s">
        <v>4641</v>
      </c>
      <c r="H1851" s="17" t="s">
        <v>4642</v>
      </c>
      <c r="I1851" s="17" t="s">
        <v>98</v>
      </c>
      <c r="J1851" s="22" t="s">
        <v>135</v>
      </c>
      <c r="K1851" s="23" t="s">
        <v>108</v>
      </c>
      <c r="L1851" s="24" t="s">
        <v>91</v>
      </c>
      <c r="M1851" s="2">
        <v>60.0</v>
      </c>
      <c r="N1851" s="25">
        <v>20.0</v>
      </c>
      <c r="O1851" s="25"/>
      <c r="P1851" s="25"/>
    </row>
    <row r="1852">
      <c r="A1852" s="16">
        <v>1850.0</v>
      </c>
      <c r="B1852" s="17" t="s">
        <v>270</v>
      </c>
      <c r="C1852" s="18">
        <v>3.0</v>
      </c>
      <c r="D1852" s="19" t="s">
        <v>2077</v>
      </c>
      <c r="E1852" s="20" t="s">
        <v>443</v>
      </c>
      <c r="F1852" s="17" t="s">
        <v>1255</v>
      </c>
      <c r="G1852" s="17" t="s">
        <v>3821</v>
      </c>
      <c r="H1852" s="17" t="s">
        <v>4643</v>
      </c>
      <c r="I1852" s="17" t="s">
        <v>98</v>
      </c>
      <c r="J1852" s="22" t="s">
        <v>135</v>
      </c>
      <c r="K1852" s="23" t="s">
        <v>108</v>
      </c>
      <c r="L1852" s="24" t="s">
        <v>91</v>
      </c>
      <c r="M1852" s="2">
        <v>60.0</v>
      </c>
      <c r="N1852" s="25">
        <v>20.0</v>
      </c>
      <c r="O1852" s="25"/>
      <c r="P1852" s="25"/>
    </row>
    <row r="1853">
      <c r="A1853" s="16">
        <v>1851.0</v>
      </c>
      <c r="B1853" s="17" t="s">
        <v>270</v>
      </c>
      <c r="C1853" s="18">
        <v>4.0</v>
      </c>
      <c r="D1853" s="19" t="s">
        <v>2112</v>
      </c>
      <c r="E1853" s="20" t="s">
        <v>443</v>
      </c>
      <c r="F1853" s="17" t="s">
        <v>263</v>
      </c>
      <c r="G1853" s="17" t="s">
        <v>4644</v>
      </c>
      <c r="H1853" s="17" t="s">
        <v>4645</v>
      </c>
      <c r="I1853" s="17" t="s">
        <v>125</v>
      </c>
      <c r="J1853" s="22" t="s">
        <v>135</v>
      </c>
      <c r="K1853" s="23" t="s">
        <v>108</v>
      </c>
      <c r="L1853" s="24" t="s">
        <v>91</v>
      </c>
      <c r="M1853" s="2">
        <v>60.0</v>
      </c>
      <c r="N1853" s="25">
        <v>21.0</v>
      </c>
      <c r="O1853" s="25"/>
      <c r="P1853" s="25"/>
    </row>
    <row r="1854">
      <c r="A1854" s="16">
        <v>1852.0</v>
      </c>
      <c r="B1854" s="17" t="s">
        <v>270</v>
      </c>
      <c r="C1854" s="18">
        <v>5.0</v>
      </c>
      <c r="D1854" s="19" t="s">
        <v>2077</v>
      </c>
      <c r="E1854" s="20" t="s">
        <v>443</v>
      </c>
      <c r="F1854" s="17" t="s">
        <v>794</v>
      </c>
      <c r="G1854" s="17" t="s">
        <v>4646</v>
      </c>
      <c r="H1854" s="17" t="s">
        <v>4647</v>
      </c>
      <c r="I1854" s="17" t="s">
        <v>98</v>
      </c>
      <c r="J1854" s="22" t="s">
        <v>144</v>
      </c>
      <c r="K1854" s="23" t="s">
        <v>108</v>
      </c>
      <c r="L1854" s="24" t="s">
        <v>91</v>
      </c>
      <c r="M1854" s="2">
        <v>60.0</v>
      </c>
      <c r="N1854" s="25">
        <v>30.0</v>
      </c>
      <c r="O1854" s="25"/>
      <c r="P1854" s="25"/>
    </row>
    <row r="1855">
      <c r="A1855" s="16">
        <v>1853.0</v>
      </c>
      <c r="B1855" s="17" t="s">
        <v>270</v>
      </c>
      <c r="C1855" s="18">
        <v>6.0</v>
      </c>
      <c r="D1855" s="19" t="s">
        <v>2077</v>
      </c>
      <c r="E1855" s="20" t="s">
        <v>443</v>
      </c>
      <c r="F1855" s="17" t="s">
        <v>797</v>
      </c>
      <c r="G1855" s="17" t="s">
        <v>123</v>
      </c>
      <c r="H1855" s="17" t="s">
        <v>4648</v>
      </c>
      <c r="I1855" s="17" t="s">
        <v>98</v>
      </c>
      <c r="J1855" s="22" t="s">
        <v>144</v>
      </c>
      <c r="K1855" s="23" t="s">
        <v>108</v>
      </c>
      <c r="L1855" s="24" t="s">
        <v>91</v>
      </c>
      <c r="M1855" s="2">
        <v>60.0</v>
      </c>
      <c r="N1855" s="25">
        <v>30.0</v>
      </c>
      <c r="O1855" s="25"/>
      <c r="P1855" s="25"/>
    </row>
    <row r="1856">
      <c r="A1856" s="16">
        <v>1854.0</v>
      </c>
      <c r="B1856" s="17" t="s">
        <v>270</v>
      </c>
      <c r="C1856" s="18">
        <v>7.0</v>
      </c>
      <c r="D1856" s="19" t="s">
        <v>2107</v>
      </c>
      <c r="E1856" s="20" t="s">
        <v>443</v>
      </c>
      <c r="F1856" s="17" t="s">
        <v>138</v>
      </c>
      <c r="G1856" s="17" t="s">
        <v>3700</v>
      </c>
      <c r="H1856" s="17" t="s">
        <v>3701</v>
      </c>
      <c r="I1856" s="17" t="s">
        <v>98</v>
      </c>
      <c r="J1856" s="22" t="s">
        <v>144</v>
      </c>
      <c r="K1856" s="23" t="s">
        <v>108</v>
      </c>
      <c r="L1856" s="24" t="s">
        <v>91</v>
      </c>
      <c r="M1856" s="2">
        <v>60.0</v>
      </c>
      <c r="N1856" s="25">
        <v>30.0</v>
      </c>
      <c r="O1856" s="25"/>
      <c r="P1856" s="25"/>
    </row>
    <row r="1857">
      <c r="A1857" s="16">
        <v>1855.0</v>
      </c>
      <c r="B1857" s="17" t="s">
        <v>270</v>
      </c>
      <c r="C1857" s="18">
        <v>8.0</v>
      </c>
      <c r="D1857" s="19" t="s">
        <v>2112</v>
      </c>
      <c r="E1857" s="20" t="s">
        <v>443</v>
      </c>
      <c r="F1857" s="17" t="s">
        <v>773</v>
      </c>
      <c r="G1857" s="17" t="s">
        <v>3692</v>
      </c>
      <c r="H1857" s="17" t="s">
        <v>4649</v>
      </c>
      <c r="I1857" s="17" t="s">
        <v>125</v>
      </c>
      <c r="J1857" s="22" t="s">
        <v>144</v>
      </c>
      <c r="K1857" s="23" t="s">
        <v>108</v>
      </c>
      <c r="L1857" s="24" t="s">
        <v>91</v>
      </c>
      <c r="M1857" s="2">
        <v>60.0</v>
      </c>
      <c r="N1857" s="25">
        <v>31.0</v>
      </c>
      <c r="O1857" s="25"/>
      <c r="P1857" s="25"/>
    </row>
    <row r="1858">
      <c r="A1858" s="16">
        <v>1856.0</v>
      </c>
      <c r="B1858" s="17" t="s">
        <v>270</v>
      </c>
      <c r="C1858" s="18">
        <v>9.0</v>
      </c>
      <c r="D1858" s="19" t="s">
        <v>2112</v>
      </c>
      <c r="E1858" s="20" t="s">
        <v>443</v>
      </c>
      <c r="F1858" s="17" t="s">
        <v>777</v>
      </c>
      <c r="G1858" s="17" t="s">
        <v>4650</v>
      </c>
      <c r="H1858" s="17" t="s">
        <v>4651</v>
      </c>
      <c r="I1858" s="17" t="s">
        <v>125</v>
      </c>
      <c r="J1858" s="22" t="s">
        <v>144</v>
      </c>
      <c r="K1858" s="23" t="s">
        <v>108</v>
      </c>
      <c r="L1858" s="24" t="s">
        <v>91</v>
      </c>
      <c r="M1858" s="2">
        <v>60.0</v>
      </c>
      <c r="N1858" s="25">
        <v>31.0</v>
      </c>
      <c r="O1858" s="25"/>
      <c r="P1858" s="25"/>
    </row>
    <row r="1859">
      <c r="A1859" s="16">
        <v>1857.0</v>
      </c>
      <c r="B1859" s="17" t="s">
        <v>270</v>
      </c>
      <c r="C1859" s="18">
        <v>10.0</v>
      </c>
      <c r="D1859" s="19" t="s">
        <v>2112</v>
      </c>
      <c r="E1859" s="20" t="s">
        <v>443</v>
      </c>
      <c r="F1859" s="17" t="s">
        <v>893</v>
      </c>
      <c r="G1859" s="17" t="s">
        <v>4652</v>
      </c>
      <c r="H1859" s="17" t="s">
        <v>4653</v>
      </c>
      <c r="I1859" s="17" t="s">
        <v>125</v>
      </c>
      <c r="J1859" s="22" t="s">
        <v>144</v>
      </c>
      <c r="K1859" s="23" t="s">
        <v>108</v>
      </c>
      <c r="L1859" s="24" t="s">
        <v>91</v>
      </c>
      <c r="M1859" s="2">
        <v>60.0</v>
      </c>
      <c r="N1859" s="25">
        <v>31.0</v>
      </c>
      <c r="O1859" s="25"/>
      <c r="P1859" s="25"/>
    </row>
    <row r="1860">
      <c r="A1860" s="16">
        <v>1858.0</v>
      </c>
      <c r="B1860" s="17" t="s">
        <v>270</v>
      </c>
      <c r="C1860" s="18">
        <v>11.0</v>
      </c>
      <c r="D1860" s="19" t="s">
        <v>2112</v>
      </c>
      <c r="E1860" s="20" t="s">
        <v>443</v>
      </c>
      <c r="F1860" s="17" t="s">
        <v>44</v>
      </c>
      <c r="G1860" s="17" t="s">
        <v>3912</v>
      </c>
      <c r="H1860" s="17" t="s">
        <v>4654</v>
      </c>
      <c r="I1860" s="17" t="s">
        <v>125</v>
      </c>
      <c r="J1860" s="22" t="s">
        <v>144</v>
      </c>
      <c r="K1860" s="23" t="s">
        <v>108</v>
      </c>
      <c r="L1860" s="24" t="s">
        <v>91</v>
      </c>
      <c r="M1860" s="2">
        <v>60.0</v>
      </c>
      <c r="N1860" s="25">
        <v>31.0</v>
      </c>
      <c r="O1860" s="25"/>
      <c r="P1860" s="25"/>
    </row>
    <row r="1861">
      <c r="A1861" s="16">
        <v>1859.0</v>
      </c>
      <c r="B1861" s="17" t="s">
        <v>270</v>
      </c>
      <c r="C1861" s="18">
        <v>12.0</v>
      </c>
      <c r="D1861" s="19" t="s">
        <v>2112</v>
      </c>
      <c r="E1861" s="20" t="s">
        <v>443</v>
      </c>
      <c r="F1861" s="17" t="s">
        <v>1146</v>
      </c>
      <c r="G1861" s="17" t="s">
        <v>4655</v>
      </c>
      <c r="H1861" s="17" t="s">
        <v>4656</v>
      </c>
      <c r="I1861" s="17" t="s">
        <v>125</v>
      </c>
      <c r="J1861" s="22" t="s">
        <v>144</v>
      </c>
      <c r="K1861" s="23" t="s">
        <v>108</v>
      </c>
      <c r="L1861" s="24" t="s">
        <v>91</v>
      </c>
      <c r="M1861" s="2">
        <v>60.0</v>
      </c>
      <c r="N1861" s="25">
        <v>31.0</v>
      </c>
      <c r="O1861" s="25"/>
      <c r="P1861" s="25"/>
    </row>
    <row r="1862">
      <c r="A1862" s="16">
        <v>1860.0</v>
      </c>
      <c r="B1862" s="17" t="s">
        <v>270</v>
      </c>
      <c r="C1862" s="18">
        <v>13.0</v>
      </c>
      <c r="D1862" s="19" t="s">
        <v>2112</v>
      </c>
      <c r="E1862" s="20" t="s">
        <v>443</v>
      </c>
      <c r="F1862" s="17" t="s">
        <v>1015</v>
      </c>
      <c r="G1862" s="17" t="s">
        <v>4657</v>
      </c>
      <c r="H1862" s="17" t="s">
        <v>4658</v>
      </c>
      <c r="I1862" s="17" t="s">
        <v>125</v>
      </c>
      <c r="J1862" s="22" t="s">
        <v>144</v>
      </c>
      <c r="K1862" s="23" t="s">
        <v>108</v>
      </c>
      <c r="L1862" s="24" t="s">
        <v>91</v>
      </c>
      <c r="M1862" s="2">
        <v>60.0</v>
      </c>
      <c r="N1862" s="25">
        <v>31.0</v>
      </c>
      <c r="O1862" s="25"/>
      <c r="P1862" s="25"/>
    </row>
    <row r="1863">
      <c r="A1863" s="16">
        <v>1861.0</v>
      </c>
      <c r="B1863" s="17" t="s">
        <v>270</v>
      </c>
      <c r="C1863" s="18">
        <v>14.0</v>
      </c>
      <c r="D1863" s="19" t="s">
        <v>2112</v>
      </c>
      <c r="E1863" s="20" t="s">
        <v>443</v>
      </c>
      <c r="F1863" s="17" t="s">
        <v>1419</v>
      </c>
      <c r="G1863" s="17" t="s">
        <v>4659</v>
      </c>
      <c r="H1863" s="17" t="s">
        <v>4660</v>
      </c>
      <c r="I1863" s="17" t="s">
        <v>125</v>
      </c>
      <c r="J1863" s="22" t="s">
        <v>144</v>
      </c>
      <c r="K1863" s="23" t="s">
        <v>108</v>
      </c>
      <c r="L1863" s="24" t="s">
        <v>91</v>
      </c>
      <c r="M1863" s="2">
        <v>60.0</v>
      </c>
      <c r="N1863" s="25">
        <v>31.0</v>
      </c>
      <c r="O1863" s="25"/>
      <c r="P1863" s="25"/>
    </row>
    <row r="1864">
      <c r="A1864" s="16">
        <v>1862.0</v>
      </c>
      <c r="B1864" s="17" t="s">
        <v>270</v>
      </c>
      <c r="C1864" s="18">
        <v>15.0</v>
      </c>
      <c r="D1864" s="19" t="s">
        <v>2112</v>
      </c>
      <c r="E1864" s="20" t="s">
        <v>443</v>
      </c>
      <c r="F1864" s="17" t="s">
        <v>1016</v>
      </c>
      <c r="G1864" s="17" t="s">
        <v>4657</v>
      </c>
      <c r="H1864" s="17" t="s">
        <v>4658</v>
      </c>
      <c r="I1864" s="17" t="s">
        <v>125</v>
      </c>
      <c r="J1864" s="22" t="s">
        <v>144</v>
      </c>
      <c r="K1864" s="23" t="s">
        <v>108</v>
      </c>
      <c r="L1864" s="24" t="s">
        <v>91</v>
      </c>
      <c r="M1864" s="2">
        <v>60.0</v>
      </c>
      <c r="N1864" s="25">
        <v>31.0</v>
      </c>
      <c r="O1864" s="25"/>
      <c r="P1864" s="25"/>
    </row>
    <row r="1865">
      <c r="A1865" s="16">
        <v>1863.0</v>
      </c>
      <c r="B1865" s="17" t="s">
        <v>270</v>
      </c>
      <c r="C1865" s="18">
        <v>16.0</v>
      </c>
      <c r="D1865" s="19" t="s">
        <v>2112</v>
      </c>
      <c r="E1865" s="20" t="s">
        <v>443</v>
      </c>
      <c r="F1865" s="17" t="s">
        <v>707</v>
      </c>
      <c r="G1865" s="17" t="s">
        <v>123</v>
      </c>
      <c r="H1865" s="17" t="s">
        <v>4661</v>
      </c>
      <c r="I1865" s="17" t="s">
        <v>125</v>
      </c>
      <c r="J1865" s="22" t="s">
        <v>144</v>
      </c>
      <c r="K1865" s="23" t="s">
        <v>108</v>
      </c>
      <c r="L1865" s="24" t="s">
        <v>91</v>
      </c>
      <c r="M1865" s="2">
        <v>60.0</v>
      </c>
      <c r="N1865" s="25">
        <v>31.0</v>
      </c>
      <c r="O1865" s="25"/>
      <c r="P1865" s="25"/>
    </row>
    <row r="1866">
      <c r="A1866" s="16">
        <v>1864.0</v>
      </c>
      <c r="B1866" s="17" t="s">
        <v>270</v>
      </c>
      <c r="C1866" s="18">
        <v>17.0</v>
      </c>
      <c r="D1866" s="19" t="s">
        <v>2112</v>
      </c>
      <c r="E1866" s="20" t="s">
        <v>443</v>
      </c>
      <c r="F1866" s="17" t="s">
        <v>1017</v>
      </c>
      <c r="G1866" s="17" t="s">
        <v>4662</v>
      </c>
      <c r="H1866" s="17" t="s">
        <v>4663</v>
      </c>
      <c r="I1866" s="17" t="s">
        <v>125</v>
      </c>
      <c r="J1866" s="22" t="s">
        <v>144</v>
      </c>
      <c r="K1866" s="23" t="s">
        <v>108</v>
      </c>
      <c r="L1866" s="24" t="s">
        <v>91</v>
      </c>
      <c r="M1866" s="2">
        <v>60.0</v>
      </c>
      <c r="N1866" s="25">
        <v>31.0</v>
      </c>
      <c r="O1866" s="25"/>
      <c r="P1866" s="25"/>
    </row>
    <row r="1867">
      <c r="A1867" s="16">
        <v>1865.0</v>
      </c>
      <c r="B1867" s="17" t="s">
        <v>270</v>
      </c>
      <c r="C1867" s="18">
        <v>18.0</v>
      </c>
      <c r="D1867" s="19" t="s">
        <v>2112</v>
      </c>
      <c r="E1867" s="20" t="s">
        <v>443</v>
      </c>
      <c r="F1867" s="17" t="s">
        <v>1147</v>
      </c>
      <c r="G1867" s="17" t="s">
        <v>4664</v>
      </c>
      <c r="H1867" s="17" t="s">
        <v>4665</v>
      </c>
      <c r="I1867" s="17" t="s">
        <v>125</v>
      </c>
      <c r="J1867" s="22" t="s">
        <v>144</v>
      </c>
      <c r="K1867" s="23" t="s">
        <v>108</v>
      </c>
      <c r="L1867" s="24" t="s">
        <v>91</v>
      </c>
      <c r="M1867" s="2">
        <v>60.0</v>
      </c>
      <c r="N1867" s="25">
        <v>31.0</v>
      </c>
      <c r="O1867" s="25"/>
      <c r="P1867" s="25"/>
    </row>
    <row r="1868">
      <c r="A1868" s="16">
        <v>1866.0</v>
      </c>
      <c r="B1868" s="17" t="s">
        <v>270</v>
      </c>
      <c r="C1868" s="18">
        <v>19.0</v>
      </c>
      <c r="D1868" s="19" t="s">
        <v>2112</v>
      </c>
      <c r="E1868" s="20" t="s">
        <v>443</v>
      </c>
      <c r="F1868" s="17" t="s">
        <v>292</v>
      </c>
      <c r="G1868" s="17" t="s">
        <v>4666</v>
      </c>
      <c r="H1868" s="17" t="s">
        <v>4667</v>
      </c>
      <c r="I1868" s="17" t="s">
        <v>125</v>
      </c>
      <c r="J1868" s="22" t="s">
        <v>144</v>
      </c>
      <c r="K1868" s="23" t="s">
        <v>108</v>
      </c>
      <c r="L1868" s="24" t="s">
        <v>91</v>
      </c>
      <c r="M1868" s="2">
        <v>60.0</v>
      </c>
      <c r="N1868" s="25">
        <v>31.0</v>
      </c>
      <c r="O1868" s="25"/>
      <c r="P1868" s="25"/>
    </row>
    <row r="1869">
      <c r="A1869" s="16">
        <v>1867.0</v>
      </c>
      <c r="B1869" s="17" t="s">
        <v>270</v>
      </c>
      <c r="C1869" s="18">
        <v>20.0</v>
      </c>
      <c r="D1869" s="19" t="s">
        <v>2112</v>
      </c>
      <c r="E1869" s="20" t="s">
        <v>443</v>
      </c>
      <c r="F1869" s="17" t="s">
        <v>1043</v>
      </c>
      <c r="G1869" s="17" t="s">
        <v>4668</v>
      </c>
      <c r="H1869" s="17" t="s">
        <v>4669</v>
      </c>
      <c r="I1869" s="17" t="s">
        <v>125</v>
      </c>
      <c r="J1869" s="22" t="s">
        <v>144</v>
      </c>
      <c r="K1869" s="23" t="s">
        <v>108</v>
      </c>
      <c r="L1869" s="24" t="s">
        <v>91</v>
      </c>
      <c r="M1869" s="2">
        <v>60.0</v>
      </c>
      <c r="N1869" s="25">
        <v>31.0</v>
      </c>
      <c r="O1869" s="25"/>
      <c r="P1869" s="25"/>
    </row>
    <row r="1870">
      <c r="A1870" s="16">
        <v>1868.0</v>
      </c>
      <c r="B1870" s="17" t="s">
        <v>270</v>
      </c>
      <c r="C1870" s="18">
        <v>21.0</v>
      </c>
      <c r="D1870" s="19" t="s">
        <v>2112</v>
      </c>
      <c r="E1870" s="20" t="s">
        <v>443</v>
      </c>
      <c r="F1870" s="17" t="s">
        <v>1034</v>
      </c>
      <c r="G1870" s="17" t="s">
        <v>4670</v>
      </c>
      <c r="H1870" s="17" t="s">
        <v>4671</v>
      </c>
      <c r="I1870" s="17" t="s">
        <v>125</v>
      </c>
      <c r="J1870" s="22" t="s">
        <v>144</v>
      </c>
      <c r="K1870" s="23" t="s">
        <v>108</v>
      </c>
      <c r="L1870" s="24" t="s">
        <v>91</v>
      </c>
      <c r="M1870" s="2">
        <v>60.0</v>
      </c>
      <c r="N1870" s="25">
        <v>31.0</v>
      </c>
      <c r="O1870" s="25"/>
      <c r="P1870" s="25"/>
    </row>
    <row r="1871">
      <c r="A1871" s="16">
        <v>1869.0</v>
      </c>
      <c r="B1871" s="17" t="s">
        <v>270</v>
      </c>
      <c r="C1871" s="18">
        <v>22.0</v>
      </c>
      <c r="D1871" s="19" t="s">
        <v>2112</v>
      </c>
      <c r="E1871" s="20" t="s">
        <v>443</v>
      </c>
      <c r="F1871" s="17" t="s">
        <v>859</v>
      </c>
      <c r="G1871" s="17" t="s">
        <v>4672</v>
      </c>
      <c r="H1871" s="17" t="s">
        <v>4673</v>
      </c>
      <c r="I1871" s="17" t="s">
        <v>125</v>
      </c>
      <c r="J1871" s="22" t="s">
        <v>144</v>
      </c>
      <c r="K1871" s="23" t="s">
        <v>108</v>
      </c>
      <c r="L1871" s="24" t="s">
        <v>91</v>
      </c>
      <c r="M1871" s="2">
        <v>60.0</v>
      </c>
      <c r="N1871" s="25">
        <v>31.0</v>
      </c>
      <c r="O1871" s="25"/>
      <c r="P1871" s="25"/>
    </row>
    <row r="1872">
      <c r="A1872" s="16">
        <v>1870.0</v>
      </c>
      <c r="B1872" s="17" t="s">
        <v>270</v>
      </c>
      <c r="C1872" s="18">
        <v>23.0</v>
      </c>
      <c r="D1872" s="19" t="s">
        <v>2112</v>
      </c>
      <c r="E1872" s="20" t="s">
        <v>443</v>
      </c>
      <c r="F1872" s="17" t="s">
        <v>1012</v>
      </c>
      <c r="G1872" s="17" t="s">
        <v>4657</v>
      </c>
      <c r="H1872" s="17" t="s">
        <v>4658</v>
      </c>
      <c r="I1872" s="17" t="s">
        <v>125</v>
      </c>
      <c r="J1872" s="22" t="s">
        <v>144</v>
      </c>
      <c r="K1872" s="23" t="s">
        <v>108</v>
      </c>
      <c r="L1872" s="24" t="s">
        <v>91</v>
      </c>
      <c r="M1872" s="2">
        <v>60.0</v>
      </c>
      <c r="N1872" s="25">
        <v>31.0</v>
      </c>
      <c r="O1872" s="25"/>
      <c r="P1872" s="25"/>
    </row>
    <row r="1873">
      <c r="A1873" s="16">
        <v>1871.0</v>
      </c>
      <c r="B1873" s="17" t="s">
        <v>270</v>
      </c>
      <c r="C1873" s="18">
        <v>24.0</v>
      </c>
      <c r="D1873" s="19" t="s">
        <v>2112</v>
      </c>
      <c r="E1873" s="20" t="s">
        <v>443</v>
      </c>
      <c r="F1873" s="17" t="s">
        <v>949</v>
      </c>
      <c r="G1873" s="17" t="s">
        <v>4674</v>
      </c>
      <c r="H1873" s="17" t="s">
        <v>4675</v>
      </c>
      <c r="I1873" s="17" t="s">
        <v>125</v>
      </c>
      <c r="J1873" s="22" t="s">
        <v>144</v>
      </c>
      <c r="K1873" s="23" t="s">
        <v>108</v>
      </c>
      <c r="L1873" s="24" t="s">
        <v>91</v>
      </c>
      <c r="M1873" s="2">
        <v>60.0</v>
      </c>
      <c r="N1873" s="25">
        <v>31.0</v>
      </c>
      <c r="O1873" s="25"/>
      <c r="P1873" s="25"/>
    </row>
    <row r="1874">
      <c r="A1874" s="16">
        <v>1872.0</v>
      </c>
      <c r="B1874" s="17" t="s">
        <v>270</v>
      </c>
      <c r="C1874" s="18">
        <v>25.0</v>
      </c>
      <c r="D1874" s="19" t="s">
        <v>2112</v>
      </c>
      <c r="E1874" s="20" t="s">
        <v>443</v>
      </c>
      <c r="F1874" s="17" t="s">
        <v>1148</v>
      </c>
      <c r="G1874" s="17" t="s">
        <v>4676</v>
      </c>
      <c r="H1874" s="17" t="s">
        <v>4677</v>
      </c>
      <c r="I1874" s="17" t="s">
        <v>125</v>
      </c>
      <c r="J1874" s="22" t="s">
        <v>144</v>
      </c>
      <c r="K1874" s="23" t="s">
        <v>108</v>
      </c>
      <c r="L1874" s="24" t="s">
        <v>91</v>
      </c>
      <c r="M1874" s="2">
        <v>60.0</v>
      </c>
      <c r="N1874" s="25">
        <v>31.0</v>
      </c>
      <c r="O1874" s="25"/>
      <c r="P1874" s="25"/>
    </row>
    <row r="1875">
      <c r="A1875" s="16">
        <v>1873.0</v>
      </c>
      <c r="B1875" s="17" t="s">
        <v>270</v>
      </c>
      <c r="C1875" s="18">
        <v>26.0</v>
      </c>
      <c r="D1875" s="19" t="s">
        <v>2112</v>
      </c>
      <c r="E1875" s="20" t="s">
        <v>443</v>
      </c>
      <c r="F1875" s="17" t="s">
        <v>883</v>
      </c>
      <c r="G1875" s="17" t="s">
        <v>4678</v>
      </c>
      <c r="H1875" s="17" t="s">
        <v>4679</v>
      </c>
      <c r="I1875" s="17" t="s">
        <v>125</v>
      </c>
      <c r="J1875" s="22" t="s">
        <v>144</v>
      </c>
      <c r="K1875" s="23" t="s">
        <v>108</v>
      </c>
      <c r="L1875" s="24" t="s">
        <v>91</v>
      </c>
      <c r="M1875" s="2">
        <v>60.0</v>
      </c>
      <c r="N1875" s="25">
        <v>31.0</v>
      </c>
      <c r="O1875" s="25"/>
      <c r="P1875" s="25"/>
    </row>
    <row r="1876">
      <c r="A1876" s="16">
        <v>1874.0</v>
      </c>
      <c r="B1876" s="17" t="s">
        <v>270</v>
      </c>
      <c r="C1876" s="18">
        <v>27.0</v>
      </c>
      <c r="D1876" s="19" t="s">
        <v>2112</v>
      </c>
      <c r="E1876" s="20" t="s">
        <v>443</v>
      </c>
      <c r="F1876" s="17" t="s">
        <v>1018</v>
      </c>
      <c r="G1876" s="17" t="s">
        <v>4657</v>
      </c>
      <c r="H1876" s="17" t="s">
        <v>4658</v>
      </c>
      <c r="I1876" s="17" t="s">
        <v>125</v>
      </c>
      <c r="J1876" s="22" t="s">
        <v>144</v>
      </c>
      <c r="K1876" s="23" t="s">
        <v>108</v>
      </c>
      <c r="L1876" s="24" t="s">
        <v>91</v>
      </c>
      <c r="M1876" s="2">
        <v>60.0</v>
      </c>
      <c r="N1876" s="25">
        <v>31.0</v>
      </c>
      <c r="O1876" s="25"/>
      <c r="P1876" s="25"/>
    </row>
    <row r="1877">
      <c r="A1877" s="16">
        <v>1875.0</v>
      </c>
      <c r="B1877" s="17" t="s">
        <v>270</v>
      </c>
      <c r="C1877" s="18">
        <v>28.0</v>
      </c>
      <c r="D1877" s="19" t="s">
        <v>2112</v>
      </c>
      <c r="E1877" s="20" t="s">
        <v>443</v>
      </c>
      <c r="F1877" s="17" t="s">
        <v>979</v>
      </c>
      <c r="G1877" s="17" t="s">
        <v>4657</v>
      </c>
      <c r="H1877" s="17" t="s">
        <v>4658</v>
      </c>
      <c r="I1877" s="17" t="s">
        <v>125</v>
      </c>
      <c r="J1877" s="22" t="s">
        <v>144</v>
      </c>
      <c r="K1877" s="23" t="s">
        <v>108</v>
      </c>
      <c r="L1877" s="24" t="s">
        <v>91</v>
      </c>
      <c r="M1877" s="2">
        <v>60.0</v>
      </c>
      <c r="N1877" s="25">
        <v>31.0</v>
      </c>
      <c r="O1877" s="25"/>
      <c r="P1877" s="25"/>
    </row>
    <row r="1878">
      <c r="A1878" s="16">
        <v>1876.0</v>
      </c>
      <c r="B1878" s="17" t="s">
        <v>270</v>
      </c>
      <c r="C1878" s="18">
        <v>29.0</v>
      </c>
      <c r="D1878" s="19" t="s">
        <v>2112</v>
      </c>
      <c r="E1878" s="20" t="s">
        <v>443</v>
      </c>
      <c r="F1878" s="17" t="s">
        <v>865</v>
      </c>
      <c r="G1878" s="17" t="s">
        <v>4657</v>
      </c>
      <c r="H1878" s="17" t="s">
        <v>4658</v>
      </c>
      <c r="I1878" s="17" t="s">
        <v>125</v>
      </c>
      <c r="J1878" s="22" t="s">
        <v>144</v>
      </c>
      <c r="K1878" s="23" t="s">
        <v>108</v>
      </c>
      <c r="L1878" s="24" t="s">
        <v>91</v>
      </c>
      <c r="M1878" s="2">
        <v>60.0</v>
      </c>
      <c r="N1878" s="25">
        <v>31.0</v>
      </c>
      <c r="O1878" s="25"/>
      <c r="P1878" s="25"/>
    </row>
    <row r="1879">
      <c r="A1879" s="16">
        <v>1877.0</v>
      </c>
      <c r="B1879" s="17" t="s">
        <v>270</v>
      </c>
      <c r="C1879" s="18">
        <v>30.0</v>
      </c>
      <c r="D1879" s="19" t="s">
        <v>2112</v>
      </c>
      <c r="E1879" s="20" t="s">
        <v>443</v>
      </c>
      <c r="F1879" s="17" t="s">
        <v>1420</v>
      </c>
      <c r="G1879" s="17" t="s">
        <v>3534</v>
      </c>
      <c r="H1879" s="17" t="s">
        <v>4680</v>
      </c>
      <c r="I1879" s="17" t="s">
        <v>125</v>
      </c>
      <c r="J1879" s="22" t="s">
        <v>144</v>
      </c>
      <c r="K1879" s="23" t="s">
        <v>108</v>
      </c>
      <c r="L1879" s="24" t="s">
        <v>91</v>
      </c>
      <c r="M1879" s="2">
        <v>60.0</v>
      </c>
      <c r="N1879" s="25">
        <v>31.0</v>
      </c>
      <c r="O1879" s="25"/>
      <c r="P1879" s="25"/>
    </row>
    <row r="1880">
      <c r="A1880" s="16">
        <v>1878.0</v>
      </c>
      <c r="B1880" s="17" t="s">
        <v>270</v>
      </c>
      <c r="C1880" s="18">
        <v>31.0</v>
      </c>
      <c r="D1880" s="19" t="s">
        <v>2112</v>
      </c>
      <c r="E1880" s="20" t="s">
        <v>443</v>
      </c>
      <c r="F1880" s="17" t="s">
        <v>1260</v>
      </c>
      <c r="G1880" s="17" t="s">
        <v>4681</v>
      </c>
      <c r="H1880" s="17" t="s">
        <v>4682</v>
      </c>
      <c r="I1880" s="17" t="s">
        <v>125</v>
      </c>
      <c r="J1880" s="22" t="s">
        <v>144</v>
      </c>
      <c r="K1880" s="23" t="s">
        <v>108</v>
      </c>
      <c r="L1880" s="24" t="s">
        <v>91</v>
      </c>
      <c r="M1880" s="2">
        <v>60.0</v>
      </c>
      <c r="N1880" s="25">
        <v>31.0</v>
      </c>
      <c r="O1880" s="25"/>
      <c r="P1880" s="25"/>
    </row>
    <row r="1881">
      <c r="A1881" s="16">
        <v>1879.0</v>
      </c>
      <c r="B1881" s="17" t="s">
        <v>270</v>
      </c>
      <c r="C1881" s="18">
        <v>32.0</v>
      </c>
      <c r="D1881" s="19" t="s">
        <v>2112</v>
      </c>
      <c r="E1881" s="20" t="s">
        <v>443</v>
      </c>
      <c r="F1881" s="17" t="s">
        <v>1261</v>
      </c>
      <c r="G1881" s="17" t="s">
        <v>4657</v>
      </c>
      <c r="H1881" s="17" t="s">
        <v>4658</v>
      </c>
      <c r="I1881" s="17" t="s">
        <v>125</v>
      </c>
      <c r="J1881" s="22" t="s">
        <v>144</v>
      </c>
      <c r="K1881" s="23" t="s">
        <v>108</v>
      </c>
      <c r="L1881" s="24" t="s">
        <v>91</v>
      </c>
      <c r="M1881" s="2">
        <v>60.0</v>
      </c>
      <c r="N1881" s="25">
        <v>31.0</v>
      </c>
      <c r="O1881" s="25"/>
      <c r="P1881" s="25"/>
    </row>
    <row r="1882">
      <c r="A1882" s="16">
        <v>1880.0</v>
      </c>
      <c r="B1882" s="17" t="s">
        <v>270</v>
      </c>
      <c r="C1882" s="18">
        <v>33.0</v>
      </c>
      <c r="D1882" s="19" t="s">
        <v>2112</v>
      </c>
      <c r="E1882" s="20" t="s">
        <v>443</v>
      </c>
      <c r="F1882" s="17" t="s">
        <v>870</v>
      </c>
      <c r="G1882" s="17" t="s">
        <v>2403</v>
      </c>
      <c r="H1882" s="17" t="s">
        <v>2404</v>
      </c>
      <c r="I1882" s="17" t="s">
        <v>125</v>
      </c>
      <c r="J1882" s="22" t="s">
        <v>144</v>
      </c>
      <c r="K1882" s="23" t="s">
        <v>108</v>
      </c>
      <c r="L1882" s="24" t="s">
        <v>91</v>
      </c>
      <c r="M1882" s="2">
        <v>60.0</v>
      </c>
      <c r="N1882" s="25">
        <v>31.0</v>
      </c>
      <c r="O1882" s="25"/>
      <c r="P1882" s="25"/>
    </row>
    <row r="1883">
      <c r="A1883" s="16">
        <v>1881.0</v>
      </c>
      <c r="B1883" s="17" t="s">
        <v>270</v>
      </c>
      <c r="C1883" s="18">
        <v>34.0</v>
      </c>
      <c r="D1883" s="19" t="s">
        <v>2112</v>
      </c>
      <c r="E1883" s="20" t="s">
        <v>443</v>
      </c>
      <c r="F1883" s="17" t="s">
        <v>1423</v>
      </c>
      <c r="G1883" s="17" t="s">
        <v>3723</v>
      </c>
      <c r="H1883" s="17" t="s">
        <v>3724</v>
      </c>
      <c r="I1883" s="17" t="s">
        <v>125</v>
      </c>
      <c r="J1883" s="22" t="s">
        <v>144</v>
      </c>
      <c r="K1883" s="23" t="s">
        <v>108</v>
      </c>
      <c r="L1883" s="24" t="s">
        <v>91</v>
      </c>
      <c r="M1883" s="2">
        <v>60.0</v>
      </c>
      <c r="N1883" s="25">
        <v>31.0</v>
      </c>
      <c r="O1883" s="25"/>
      <c r="P1883" s="25"/>
    </row>
    <row r="1884">
      <c r="A1884" s="16">
        <v>1882.0</v>
      </c>
      <c r="B1884" s="17" t="s">
        <v>270</v>
      </c>
      <c r="C1884" s="18">
        <v>35.0</v>
      </c>
      <c r="D1884" s="19" t="s">
        <v>2077</v>
      </c>
      <c r="E1884" s="20" t="s">
        <v>443</v>
      </c>
      <c r="F1884" s="17" t="s">
        <v>494</v>
      </c>
      <c r="G1884" s="17" t="s">
        <v>4683</v>
      </c>
      <c r="H1884" s="17" t="s">
        <v>4684</v>
      </c>
      <c r="I1884" s="17" t="s">
        <v>125</v>
      </c>
      <c r="J1884" s="22" t="s">
        <v>144</v>
      </c>
      <c r="K1884" s="23" t="s">
        <v>108</v>
      </c>
      <c r="L1884" s="24" t="s">
        <v>91</v>
      </c>
      <c r="M1884" s="2">
        <v>60.0</v>
      </c>
      <c r="N1884" s="25">
        <v>31.0</v>
      </c>
      <c r="O1884" s="25"/>
      <c r="P1884" s="25"/>
    </row>
    <row r="1885">
      <c r="A1885" s="16">
        <v>1883.0</v>
      </c>
      <c r="B1885" s="17" t="s">
        <v>270</v>
      </c>
      <c r="C1885" s="18">
        <v>36.0</v>
      </c>
      <c r="D1885" s="19" t="s">
        <v>2077</v>
      </c>
      <c r="E1885" s="20" t="s">
        <v>443</v>
      </c>
      <c r="F1885" s="17" t="s">
        <v>240</v>
      </c>
      <c r="G1885" s="17" t="s">
        <v>4685</v>
      </c>
      <c r="H1885" s="17" t="s">
        <v>4686</v>
      </c>
      <c r="I1885" s="17" t="s">
        <v>125</v>
      </c>
      <c r="J1885" s="22" t="s">
        <v>144</v>
      </c>
      <c r="K1885" s="23" t="s">
        <v>108</v>
      </c>
      <c r="L1885" s="24" t="s">
        <v>91</v>
      </c>
      <c r="M1885" s="2">
        <v>60.0</v>
      </c>
      <c r="N1885" s="25">
        <v>31.0</v>
      </c>
      <c r="O1885" s="25"/>
      <c r="P1885" s="25"/>
    </row>
    <row r="1886">
      <c r="A1886" s="16">
        <v>1884.0</v>
      </c>
      <c r="B1886" s="17" t="s">
        <v>270</v>
      </c>
      <c r="C1886" s="18">
        <v>37.0</v>
      </c>
      <c r="D1886" s="19" t="s">
        <v>2077</v>
      </c>
      <c r="E1886" s="20" t="s">
        <v>443</v>
      </c>
      <c r="F1886" s="17" t="s">
        <v>895</v>
      </c>
      <c r="G1886" s="17" t="s">
        <v>123</v>
      </c>
      <c r="H1886" s="17" t="s">
        <v>4687</v>
      </c>
      <c r="I1886" s="17" t="s">
        <v>125</v>
      </c>
      <c r="J1886" s="22" t="s">
        <v>144</v>
      </c>
      <c r="K1886" s="23" t="s">
        <v>108</v>
      </c>
      <c r="L1886" s="24" t="s">
        <v>91</v>
      </c>
      <c r="M1886" s="2">
        <v>60.0</v>
      </c>
      <c r="N1886" s="25">
        <v>31.0</v>
      </c>
      <c r="O1886" s="25"/>
      <c r="P1886" s="25"/>
    </row>
    <row r="1887">
      <c r="A1887" s="16">
        <v>1885.0</v>
      </c>
      <c r="B1887" s="17" t="s">
        <v>270</v>
      </c>
      <c r="C1887" s="18">
        <v>38.0</v>
      </c>
      <c r="D1887" s="19" t="s">
        <v>2077</v>
      </c>
      <c r="E1887" s="20" t="s">
        <v>443</v>
      </c>
      <c r="F1887" s="17" t="s">
        <v>1069</v>
      </c>
      <c r="G1887" s="17" t="s">
        <v>4688</v>
      </c>
      <c r="H1887" s="17" t="s">
        <v>4689</v>
      </c>
      <c r="I1887" s="17" t="s">
        <v>125</v>
      </c>
      <c r="J1887" s="22" t="s">
        <v>144</v>
      </c>
      <c r="K1887" s="23" t="s">
        <v>108</v>
      </c>
      <c r="L1887" s="24" t="s">
        <v>91</v>
      </c>
      <c r="M1887" s="2">
        <v>60.0</v>
      </c>
      <c r="N1887" s="25">
        <v>31.0</v>
      </c>
      <c r="O1887" s="25"/>
      <c r="P1887" s="25"/>
    </row>
    <row r="1888">
      <c r="A1888" s="16">
        <v>1886.0</v>
      </c>
      <c r="B1888" s="17" t="s">
        <v>270</v>
      </c>
      <c r="C1888" s="18">
        <v>39.0</v>
      </c>
      <c r="D1888" s="19" t="s">
        <v>2077</v>
      </c>
      <c r="E1888" s="20" t="s">
        <v>443</v>
      </c>
      <c r="F1888" s="17" t="s">
        <v>862</v>
      </c>
      <c r="G1888" s="17" t="s">
        <v>4690</v>
      </c>
      <c r="H1888" s="17" t="s">
        <v>4691</v>
      </c>
      <c r="I1888" s="17" t="s">
        <v>125</v>
      </c>
      <c r="J1888" s="22" t="s">
        <v>144</v>
      </c>
      <c r="K1888" s="23" t="s">
        <v>108</v>
      </c>
      <c r="L1888" s="24" t="s">
        <v>91</v>
      </c>
      <c r="M1888" s="2">
        <v>60.0</v>
      </c>
      <c r="N1888" s="25">
        <v>31.0</v>
      </c>
      <c r="O1888" s="25"/>
      <c r="P1888" s="25"/>
    </row>
    <row r="1889">
      <c r="A1889" s="16">
        <v>1887.0</v>
      </c>
      <c r="B1889" s="17" t="s">
        <v>270</v>
      </c>
      <c r="C1889" s="18">
        <v>40.0</v>
      </c>
      <c r="D1889" s="19" t="s">
        <v>2077</v>
      </c>
      <c r="E1889" s="20" t="s">
        <v>443</v>
      </c>
      <c r="F1889" s="17" t="s">
        <v>371</v>
      </c>
      <c r="G1889" s="17" t="s">
        <v>373</v>
      </c>
      <c r="H1889" s="17" t="s">
        <v>4692</v>
      </c>
      <c r="I1889" s="17" t="s">
        <v>125</v>
      </c>
      <c r="J1889" s="22" t="s">
        <v>144</v>
      </c>
      <c r="K1889" s="23" t="s">
        <v>108</v>
      </c>
      <c r="L1889" s="24" t="s">
        <v>91</v>
      </c>
      <c r="M1889" s="2">
        <v>60.0</v>
      </c>
      <c r="N1889" s="25">
        <v>31.0</v>
      </c>
      <c r="O1889" s="25"/>
      <c r="P1889" s="25"/>
    </row>
    <row r="1890">
      <c r="A1890" s="16">
        <v>1888.0</v>
      </c>
      <c r="B1890" s="17" t="s">
        <v>270</v>
      </c>
      <c r="C1890" s="18">
        <v>41.0</v>
      </c>
      <c r="D1890" s="19" t="s">
        <v>2077</v>
      </c>
      <c r="E1890" s="20" t="s">
        <v>443</v>
      </c>
      <c r="F1890" s="17" t="s">
        <v>383</v>
      </c>
      <c r="G1890" s="17" t="s">
        <v>4693</v>
      </c>
      <c r="H1890" s="17" t="s">
        <v>4694</v>
      </c>
      <c r="I1890" s="17" t="s">
        <v>125</v>
      </c>
      <c r="J1890" s="22" t="s">
        <v>144</v>
      </c>
      <c r="K1890" s="23" t="s">
        <v>108</v>
      </c>
      <c r="L1890" s="24" t="s">
        <v>91</v>
      </c>
      <c r="M1890" s="2">
        <v>60.0</v>
      </c>
      <c r="N1890" s="25">
        <v>31.0</v>
      </c>
      <c r="O1890" s="25"/>
      <c r="P1890" s="25"/>
    </row>
    <row r="1891">
      <c r="A1891" s="16">
        <v>1889.0</v>
      </c>
      <c r="B1891" s="17" t="s">
        <v>270</v>
      </c>
      <c r="C1891" s="18">
        <v>42.0</v>
      </c>
      <c r="D1891" s="19" t="s">
        <v>2077</v>
      </c>
      <c r="E1891" s="20" t="s">
        <v>443</v>
      </c>
      <c r="F1891" s="17" t="s">
        <v>462</v>
      </c>
      <c r="G1891" s="17" t="s">
        <v>2053</v>
      </c>
      <c r="H1891" s="17" t="s">
        <v>4695</v>
      </c>
      <c r="I1891" s="17" t="s">
        <v>125</v>
      </c>
      <c r="J1891" s="22" t="s">
        <v>144</v>
      </c>
      <c r="K1891" s="23" t="s">
        <v>108</v>
      </c>
      <c r="L1891" s="24" t="s">
        <v>91</v>
      </c>
      <c r="M1891" s="2">
        <v>60.0</v>
      </c>
      <c r="N1891" s="25">
        <v>31.0</v>
      </c>
      <c r="O1891" s="25"/>
      <c r="P1891" s="25"/>
    </row>
    <row r="1892">
      <c r="A1892" s="16">
        <v>1890.0</v>
      </c>
      <c r="B1892" s="17" t="s">
        <v>270</v>
      </c>
      <c r="C1892" s="18">
        <v>43.0</v>
      </c>
      <c r="D1892" s="19" t="s">
        <v>2077</v>
      </c>
      <c r="E1892" s="20" t="s">
        <v>443</v>
      </c>
      <c r="F1892" s="17" t="s">
        <v>137</v>
      </c>
      <c r="G1892" s="17" t="s">
        <v>4696</v>
      </c>
      <c r="H1892" s="17" t="s">
        <v>4697</v>
      </c>
      <c r="I1892" s="17" t="s">
        <v>125</v>
      </c>
      <c r="J1892" s="22" t="s">
        <v>144</v>
      </c>
      <c r="K1892" s="23" t="s">
        <v>108</v>
      </c>
      <c r="L1892" s="24" t="s">
        <v>91</v>
      </c>
      <c r="M1892" s="2">
        <v>60.0</v>
      </c>
      <c r="N1892" s="25">
        <v>31.0</v>
      </c>
      <c r="O1892" s="25"/>
      <c r="P1892" s="25"/>
    </row>
    <row r="1893">
      <c r="A1893" s="16">
        <v>1891.0</v>
      </c>
      <c r="B1893" s="17" t="s">
        <v>270</v>
      </c>
      <c r="C1893" s="18">
        <v>44.0</v>
      </c>
      <c r="D1893" s="19" t="s">
        <v>2077</v>
      </c>
      <c r="E1893" s="20" t="s">
        <v>443</v>
      </c>
      <c r="F1893" s="17" t="s">
        <v>660</v>
      </c>
      <c r="G1893" s="17" t="s">
        <v>4698</v>
      </c>
      <c r="H1893" s="17" t="s">
        <v>4699</v>
      </c>
      <c r="I1893" s="17" t="s">
        <v>125</v>
      </c>
      <c r="J1893" s="22" t="s">
        <v>144</v>
      </c>
      <c r="K1893" s="23" t="s">
        <v>108</v>
      </c>
      <c r="L1893" s="24" t="s">
        <v>91</v>
      </c>
      <c r="M1893" s="2">
        <v>60.0</v>
      </c>
      <c r="N1893" s="25">
        <v>31.0</v>
      </c>
      <c r="O1893" s="25"/>
      <c r="P1893" s="25"/>
    </row>
    <row r="1894">
      <c r="A1894" s="16">
        <v>1892.0</v>
      </c>
      <c r="B1894" s="17" t="s">
        <v>270</v>
      </c>
      <c r="C1894" s="18">
        <v>45.0</v>
      </c>
      <c r="D1894" s="19" t="s">
        <v>2077</v>
      </c>
      <c r="E1894" s="20" t="s">
        <v>443</v>
      </c>
      <c r="F1894" s="17" t="s">
        <v>25</v>
      </c>
      <c r="G1894" s="17" t="s">
        <v>4700</v>
      </c>
      <c r="H1894" s="17" t="s">
        <v>4701</v>
      </c>
      <c r="I1894" s="17" t="s">
        <v>125</v>
      </c>
      <c r="J1894" s="22" t="s">
        <v>144</v>
      </c>
      <c r="K1894" s="23" t="s">
        <v>108</v>
      </c>
      <c r="L1894" s="24" t="s">
        <v>91</v>
      </c>
      <c r="M1894" s="2">
        <v>60.0</v>
      </c>
      <c r="N1894" s="25">
        <v>31.0</v>
      </c>
      <c r="O1894" s="25"/>
      <c r="P1894" s="25"/>
    </row>
    <row r="1895">
      <c r="A1895" s="16">
        <v>1893.0</v>
      </c>
      <c r="B1895" s="17" t="s">
        <v>270</v>
      </c>
      <c r="C1895" s="18">
        <v>46.0</v>
      </c>
      <c r="D1895" s="19" t="s">
        <v>2077</v>
      </c>
      <c r="E1895" s="20" t="s">
        <v>443</v>
      </c>
      <c r="F1895" s="17" t="s">
        <v>664</v>
      </c>
      <c r="G1895" s="17" t="s">
        <v>4702</v>
      </c>
      <c r="H1895" s="17" t="s">
        <v>4703</v>
      </c>
      <c r="I1895" s="17" t="s">
        <v>125</v>
      </c>
      <c r="J1895" s="22" t="s">
        <v>144</v>
      </c>
      <c r="K1895" s="23" t="s">
        <v>108</v>
      </c>
      <c r="L1895" s="24" t="s">
        <v>91</v>
      </c>
      <c r="M1895" s="2">
        <v>60.0</v>
      </c>
      <c r="N1895" s="25">
        <v>31.0</v>
      </c>
      <c r="O1895" s="25"/>
      <c r="P1895" s="25"/>
    </row>
    <row r="1896">
      <c r="A1896" s="16">
        <v>1894.0</v>
      </c>
      <c r="B1896" s="17" t="s">
        <v>270</v>
      </c>
      <c r="C1896" s="18">
        <v>47.0</v>
      </c>
      <c r="D1896" s="19" t="s">
        <v>2077</v>
      </c>
      <c r="E1896" s="20" t="s">
        <v>443</v>
      </c>
      <c r="F1896" s="17" t="s">
        <v>725</v>
      </c>
      <c r="G1896" s="17" t="s">
        <v>4704</v>
      </c>
      <c r="H1896" s="17" t="s">
        <v>4705</v>
      </c>
      <c r="I1896" s="17" t="s">
        <v>125</v>
      </c>
      <c r="J1896" s="22" t="s">
        <v>144</v>
      </c>
      <c r="K1896" s="23" t="s">
        <v>108</v>
      </c>
      <c r="L1896" s="24" t="s">
        <v>91</v>
      </c>
      <c r="M1896" s="2">
        <v>60.0</v>
      </c>
      <c r="N1896" s="25">
        <v>31.0</v>
      </c>
      <c r="O1896" s="25"/>
      <c r="P1896" s="25"/>
    </row>
    <row r="1897">
      <c r="A1897" s="16">
        <v>1895.0</v>
      </c>
      <c r="B1897" s="17" t="s">
        <v>270</v>
      </c>
      <c r="C1897" s="18">
        <v>48.0</v>
      </c>
      <c r="D1897" s="19" t="s">
        <v>2077</v>
      </c>
      <c r="E1897" s="20" t="s">
        <v>443</v>
      </c>
      <c r="F1897" s="17" t="s">
        <v>1044</v>
      </c>
      <c r="G1897" s="17" t="s">
        <v>4706</v>
      </c>
      <c r="H1897" s="17" t="s">
        <v>4707</v>
      </c>
      <c r="I1897" s="17" t="s">
        <v>125</v>
      </c>
      <c r="J1897" s="22" t="s">
        <v>144</v>
      </c>
      <c r="K1897" s="23" t="s">
        <v>108</v>
      </c>
      <c r="L1897" s="24" t="s">
        <v>91</v>
      </c>
      <c r="M1897" s="2">
        <v>60.0</v>
      </c>
      <c r="N1897" s="25">
        <v>31.0</v>
      </c>
      <c r="O1897" s="25"/>
      <c r="P1897" s="25"/>
    </row>
    <row r="1898">
      <c r="A1898" s="16">
        <v>1896.0</v>
      </c>
      <c r="B1898" s="17" t="s">
        <v>270</v>
      </c>
      <c r="C1898" s="18">
        <v>49.0</v>
      </c>
      <c r="D1898" s="19" t="s">
        <v>2077</v>
      </c>
      <c r="E1898" s="20" t="s">
        <v>443</v>
      </c>
      <c r="F1898" s="17" t="s">
        <v>429</v>
      </c>
      <c r="G1898" s="17" t="s">
        <v>1627</v>
      </c>
      <c r="H1898" s="17" t="s">
        <v>4708</v>
      </c>
      <c r="I1898" s="17" t="s">
        <v>125</v>
      </c>
      <c r="J1898" s="22" t="s">
        <v>144</v>
      </c>
      <c r="K1898" s="23" t="s">
        <v>108</v>
      </c>
      <c r="L1898" s="24" t="s">
        <v>91</v>
      </c>
      <c r="M1898" s="2">
        <v>60.0</v>
      </c>
      <c r="N1898" s="25">
        <v>31.0</v>
      </c>
      <c r="O1898" s="25"/>
      <c r="P1898" s="25"/>
    </row>
    <row r="1899">
      <c r="A1899" s="16">
        <v>1897.0</v>
      </c>
      <c r="B1899" s="17" t="s">
        <v>270</v>
      </c>
      <c r="C1899" s="18">
        <v>50.0</v>
      </c>
      <c r="D1899" s="19" t="s">
        <v>2077</v>
      </c>
      <c r="E1899" s="20" t="s">
        <v>443</v>
      </c>
      <c r="F1899" s="17" t="s">
        <v>821</v>
      </c>
      <c r="G1899" s="17" t="s">
        <v>4709</v>
      </c>
      <c r="H1899" s="17" t="s">
        <v>4710</v>
      </c>
      <c r="I1899" s="17" t="s">
        <v>125</v>
      </c>
      <c r="J1899" s="22" t="s">
        <v>144</v>
      </c>
      <c r="K1899" s="23" t="s">
        <v>108</v>
      </c>
      <c r="L1899" s="24" t="s">
        <v>91</v>
      </c>
      <c r="M1899" s="2">
        <v>60.0</v>
      </c>
      <c r="N1899" s="25">
        <v>31.0</v>
      </c>
      <c r="O1899" s="25"/>
      <c r="P1899" s="25"/>
    </row>
    <row r="1900">
      <c r="A1900" s="16">
        <v>1898.0</v>
      </c>
      <c r="B1900" s="17" t="s">
        <v>270</v>
      </c>
      <c r="C1900" s="18">
        <v>51.0</v>
      </c>
      <c r="D1900" s="19" t="s">
        <v>2077</v>
      </c>
      <c r="E1900" s="20" t="s">
        <v>443</v>
      </c>
      <c r="F1900" s="17" t="s">
        <v>119</v>
      </c>
      <c r="G1900" s="17" t="s">
        <v>4711</v>
      </c>
      <c r="H1900" s="17" t="s">
        <v>4712</v>
      </c>
      <c r="I1900" s="17" t="s">
        <v>125</v>
      </c>
      <c r="J1900" s="22" t="s">
        <v>144</v>
      </c>
      <c r="K1900" s="23" t="s">
        <v>108</v>
      </c>
      <c r="L1900" s="24" t="s">
        <v>91</v>
      </c>
      <c r="M1900" s="2">
        <v>60.0</v>
      </c>
      <c r="N1900" s="25">
        <v>31.0</v>
      </c>
      <c r="O1900" s="25"/>
      <c r="P1900" s="25"/>
    </row>
    <row r="1901">
      <c r="A1901" s="16">
        <v>1899.0</v>
      </c>
      <c r="B1901" s="17" t="s">
        <v>270</v>
      </c>
      <c r="C1901" s="18">
        <v>52.0</v>
      </c>
      <c r="D1901" s="19" t="s">
        <v>2077</v>
      </c>
      <c r="E1901" s="20" t="s">
        <v>443</v>
      </c>
      <c r="F1901" s="17" t="s">
        <v>400</v>
      </c>
      <c r="G1901" s="17" t="s">
        <v>4713</v>
      </c>
      <c r="H1901" s="17" t="s">
        <v>4714</v>
      </c>
      <c r="I1901" s="17" t="s">
        <v>125</v>
      </c>
      <c r="J1901" s="22" t="s">
        <v>144</v>
      </c>
      <c r="K1901" s="23" t="s">
        <v>108</v>
      </c>
      <c r="L1901" s="24" t="s">
        <v>91</v>
      </c>
      <c r="M1901" s="2">
        <v>60.0</v>
      </c>
      <c r="N1901" s="25">
        <v>31.0</v>
      </c>
      <c r="O1901" s="25"/>
      <c r="P1901" s="25"/>
    </row>
    <row r="1902">
      <c r="A1902" s="16">
        <v>1900.0</v>
      </c>
      <c r="B1902" s="17" t="s">
        <v>270</v>
      </c>
      <c r="C1902" s="18">
        <v>53.0</v>
      </c>
      <c r="D1902" s="19" t="s">
        <v>2077</v>
      </c>
      <c r="E1902" s="20" t="s">
        <v>443</v>
      </c>
      <c r="F1902" s="17" t="s">
        <v>1149</v>
      </c>
      <c r="G1902" s="17" t="s">
        <v>4715</v>
      </c>
      <c r="H1902" s="17" t="s">
        <v>4716</v>
      </c>
      <c r="I1902" s="17" t="s">
        <v>125</v>
      </c>
      <c r="J1902" s="22" t="s">
        <v>144</v>
      </c>
      <c r="K1902" s="23" t="s">
        <v>108</v>
      </c>
      <c r="L1902" s="24" t="s">
        <v>91</v>
      </c>
      <c r="M1902" s="2">
        <v>60.0</v>
      </c>
      <c r="N1902" s="25">
        <v>31.0</v>
      </c>
      <c r="O1902" s="25"/>
      <c r="P1902" s="25"/>
    </row>
    <row r="1903">
      <c r="A1903" s="16">
        <v>1901.0</v>
      </c>
      <c r="B1903" s="17" t="s">
        <v>270</v>
      </c>
      <c r="C1903" s="18">
        <v>54.0</v>
      </c>
      <c r="D1903" s="19" t="s">
        <v>2077</v>
      </c>
      <c r="E1903" s="20" t="s">
        <v>443</v>
      </c>
      <c r="F1903" s="17" t="s">
        <v>582</v>
      </c>
      <c r="G1903" s="17" t="s">
        <v>4717</v>
      </c>
      <c r="H1903" s="17" t="s">
        <v>4718</v>
      </c>
      <c r="I1903" s="17" t="s">
        <v>125</v>
      </c>
      <c r="J1903" s="22" t="s">
        <v>144</v>
      </c>
      <c r="K1903" s="23" t="s">
        <v>108</v>
      </c>
      <c r="L1903" s="24" t="s">
        <v>91</v>
      </c>
      <c r="M1903" s="2">
        <v>60.0</v>
      </c>
      <c r="N1903" s="25">
        <v>31.0</v>
      </c>
      <c r="O1903" s="25"/>
      <c r="P1903" s="25"/>
    </row>
    <row r="1904">
      <c r="A1904" s="16">
        <v>1902.0</v>
      </c>
      <c r="B1904" s="17" t="s">
        <v>270</v>
      </c>
      <c r="C1904" s="18">
        <v>55.0</v>
      </c>
      <c r="D1904" s="19" t="s">
        <v>2077</v>
      </c>
      <c r="E1904" s="20" t="s">
        <v>443</v>
      </c>
      <c r="F1904" s="17" t="s">
        <v>513</v>
      </c>
      <c r="G1904" s="17" t="s">
        <v>4719</v>
      </c>
      <c r="H1904" s="17" t="s">
        <v>4720</v>
      </c>
      <c r="I1904" s="17" t="s">
        <v>125</v>
      </c>
      <c r="J1904" s="22" t="s">
        <v>144</v>
      </c>
      <c r="K1904" s="23" t="s">
        <v>108</v>
      </c>
      <c r="L1904" s="24" t="s">
        <v>91</v>
      </c>
      <c r="M1904" s="2">
        <v>60.0</v>
      </c>
      <c r="N1904" s="25">
        <v>31.0</v>
      </c>
      <c r="O1904" s="25"/>
      <c r="P1904" s="25"/>
    </row>
    <row r="1905">
      <c r="A1905" s="16">
        <v>1903.0</v>
      </c>
      <c r="B1905" s="17" t="s">
        <v>270</v>
      </c>
      <c r="C1905" s="18">
        <v>56.0</v>
      </c>
      <c r="D1905" s="19" t="s">
        <v>2077</v>
      </c>
      <c r="E1905" s="20" t="s">
        <v>443</v>
      </c>
      <c r="F1905" s="17" t="s">
        <v>596</v>
      </c>
      <c r="G1905" s="17" t="s">
        <v>4721</v>
      </c>
      <c r="H1905" s="17" t="s">
        <v>4722</v>
      </c>
      <c r="I1905" s="17" t="s">
        <v>125</v>
      </c>
      <c r="J1905" s="22" t="s">
        <v>144</v>
      </c>
      <c r="K1905" s="23" t="s">
        <v>108</v>
      </c>
      <c r="L1905" s="24" t="s">
        <v>91</v>
      </c>
      <c r="M1905" s="2">
        <v>60.0</v>
      </c>
      <c r="N1905" s="25">
        <v>31.0</v>
      </c>
      <c r="O1905" s="25"/>
      <c r="P1905" s="25"/>
    </row>
    <row r="1906">
      <c r="A1906" s="16">
        <v>1904.0</v>
      </c>
      <c r="B1906" s="17" t="s">
        <v>270</v>
      </c>
      <c r="C1906" s="18">
        <v>57.0</v>
      </c>
      <c r="D1906" s="19" t="s">
        <v>2077</v>
      </c>
      <c r="E1906" s="20" t="s">
        <v>443</v>
      </c>
      <c r="F1906" s="17" t="s">
        <v>804</v>
      </c>
      <c r="G1906" s="17" t="s">
        <v>4723</v>
      </c>
      <c r="H1906" s="17" t="s">
        <v>4724</v>
      </c>
      <c r="I1906" s="17" t="s">
        <v>125</v>
      </c>
      <c r="J1906" s="22" t="s">
        <v>144</v>
      </c>
      <c r="K1906" s="23" t="s">
        <v>108</v>
      </c>
      <c r="L1906" s="24" t="s">
        <v>91</v>
      </c>
      <c r="M1906" s="2">
        <v>60.0</v>
      </c>
      <c r="N1906" s="25">
        <v>31.0</v>
      </c>
      <c r="O1906" s="25"/>
      <c r="P1906" s="25"/>
    </row>
    <row r="1907">
      <c r="A1907" s="16">
        <v>1905.0</v>
      </c>
      <c r="B1907" s="17" t="s">
        <v>270</v>
      </c>
      <c r="C1907" s="18">
        <v>58.0</v>
      </c>
      <c r="D1907" s="19" t="s">
        <v>2077</v>
      </c>
      <c r="E1907" s="20" t="s">
        <v>443</v>
      </c>
      <c r="F1907" s="17" t="s">
        <v>488</v>
      </c>
      <c r="G1907" s="17" t="s">
        <v>2788</v>
      </c>
      <c r="H1907" s="17" t="s">
        <v>4725</v>
      </c>
      <c r="I1907" s="17" t="s">
        <v>125</v>
      </c>
      <c r="J1907" s="22" t="s">
        <v>144</v>
      </c>
      <c r="K1907" s="23" t="s">
        <v>108</v>
      </c>
      <c r="L1907" s="24" t="s">
        <v>91</v>
      </c>
      <c r="M1907" s="2">
        <v>60.0</v>
      </c>
      <c r="N1907" s="25">
        <v>31.0</v>
      </c>
      <c r="O1907" s="25"/>
      <c r="P1907" s="25"/>
    </row>
    <row r="1908">
      <c r="A1908" s="16">
        <v>1906.0</v>
      </c>
      <c r="B1908" s="17" t="s">
        <v>270</v>
      </c>
      <c r="C1908" s="18">
        <v>59.0</v>
      </c>
      <c r="D1908" s="19" t="s">
        <v>2077</v>
      </c>
      <c r="E1908" s="20" t="s">
        <v>443</v>
      </c>
      <c r="F1908" s="17" t="s">
        <v>741</v>
      </c>
      <c r="G1908" s="17" t="s">
        <v>4726</v>
      </c>
      <c r="H1908" s="17" t="s">
        <v>4727</v>
      </c>
      <c r="I1908" s="17" t="s">
        <v>125</v>
      </c>
      <c r="J1908" s="22" t="s">
        <v>144</v>
      </c>
      <c r="K1908" s="23" t="s">
        <v>108</v>
      </c>
      <c r="L1908" s="24" t="s">
        <v>91</v>
      </c>
      <c r="M1908" s="2">
        <v>60.0</v>
      </c>
      <c r="N1908" s="25">
        <v>31.0</v>
      </c>
      <c r="O1908" s="25"/>
      <c r="P1908" s="25"/>
    </row>
    <row r="1909">
      <c r="A1909" s="16">
        <v>1907.0</v>
      </c>
      <c r="B1909" s="17" t="s">
        <v>270</v>
      </c>
      <c r="C1909" s="18">
        <v>60.0</v>
      </c>
      <c r="D1909" s="19" t="s">
        <v>2077</v>
      </c>
      <c r="E1909" s="20" t="s">
        <v>443</v>
      </c>
      <c r="F1909" s="17" t="s">
        <v>117</v>
      </c>
      <c r="G1909" s="17" t="s">
        <v>123</v>
      </c>
      <c r="H1909" s="17" t="s">
        <v>4728</v>
      </c>
      <c r="I1909" s="17" t="s">
        <v>125</v>
      </c>
      <c r="J1909" s="22" t="s">
        <v>144</v>
      </c>
      <c r="K1909" s="23" t="s">
        <v>108</v>
      </c>
      <c r="L1909" s="24" t="s">
        <v>91</v>
      </c>
      <c r="M1909" s="2">
        <v>60.0</v>
      </c>
      <c r="N1909" s="25">
        <v>31.0</v>
      </c>
      <c r="O1909" s="25"/>
      <c r="P1909" s="25"/>
    </row>
    <row r="1910">
      <c r="A1910" s="16">
        <v>1908.0</v>
      </c>
      <c r="B1910" s="17" t="s">
        <v>270</v>
      </c>
      <c r="C1910" s="18">
        <v>61.0</v>
      </c>
      <c r="D1910" s="19" t="s">
        <v>2077</v>
      </c>
      <c r="E1910" s="20" t="s">
        <v>443</v>
      </c>
      <c r="F1910" s="17" t="s">
        <v>477</v>
      </c>
      <c r="G1910" s="17" t="s">
        <v>4729</v>
      </c>
      <c r="H1910" s="17" t="s">
        <v>4730</v>
      </c>
      <c r="I1910" s="17" t="s">
        <v>125</v>
      </c>
      <c r="J1910" s="22" t="s">
        <v>144</v>
      </c>
      <c r="K1910" s="23" t="s">
        <v>108</v>
      </c>
      <c r="L1910" s="24" t="s">
        <v>91</v>
      </c>
      <c r="M1910" s="2">
        <v>60.0</v>
      </c>
      <c r="N1910" s="25">
        <v>31.0</v>
      </c>
      <c r="O1910" s="25"/>
      <c r="P1910" s="25"/>
    </row>
    <row r="1911">
      <c r="A1911" s="16">
        <v>1909.0</v>
      </c>
      <c r="B1911" s="17" t="s">
        <v>270</v>
      </c>
      <c r="C1911" s="18">
        <v>62.0</v>
      </c>
      <c r="D1911" s="19" t="s">
        <v>2077</v>
      </c>
      <c r="E1911" s="20" t="s">
        <v>443</v>
      </c>
      <c r="F1911" s="17" t="s">
        <v>520</v>
      </c>
      <c r="G1911" s="17" t="s">
        <v>4731</v>
      </c>
      <c r="H1911" s="17" t="s">
        <v>4732</v>
      </c>
      <c r="I1911" s="17" t="s">
        <v>125</v>
      </c>
      <c r="J1911" s="22" t="s">
        <v>144</v>
      </c>
      <c r="K1911" s="23" t="s">
        <v>108</v>
      </c>
      <c r="L1911" s="24" t="s">
        <v>91</v>
      </c>
      <c r="M1911" s="2">
        <v>60.0</v>
      </c>
      <c r="N1911" s="25">
        <v>31.0</v>
      </c>
      <c r="O1911" s="25"/>
      <c r="P1911" s="25"/>
    </row>
    <row r="1912">
      <c r="A1912" s="16">
        <v>1910.0</v>
      </c>
      <c r="B1912" s="17" t="s">
        <v>270</v>
      </c>
      <c r="C1912" s="18">
        <v>63.0</v>
      </c>
      <c r="D1912" s="19" t="s">
        <v>2077</v>
      </c>
      <c r="E1912" s="20" t="s">
        <v>443</v>
      </c>
      <c r="F1912" s="17" t="s">
        <v>360</v>
      </c>
      <c r="G1912" s="17" t="s">
        <v>123</v>
      </c>
      <c r="H1912" s="17" t="s">
        <v>4733</v>
      </c>
      <c r="I1912" s="17" t="s">
        <v>125</v>
      </c>
      <c r="J1912" s="22" t="s">
        <v>144</v>
      </c>
      <c r="K1912" s="23" t="s">
        <v>108</v>
      </c>
      <c r="L1912" s="24" t="s">
        <v>91</v>
      </c>
      <c r="M1912" s="2">
        <v>60.0</v>
      </c>
      <c r="N1912" s="25">
        <v>31.0</v>
      </c>
      <c r="O1912" s="25"/>
      <c r="P1912" s="25"/>
    </row>
    <row r="1913">
      <c r="A1913" s="16">
        <v>1911.0</v>
      </c>
      <c r="B1913" s="17" t="s">
        <v>270</v>
      </c>
      <c r="C1913" s="18">
        <v>64.0</v>
      </c>
      <c r="D1913" s="19" t="s">
        <v>2077</v>
      </c>
      <c r="E1913" s="20" t="s">
        <v>443</v>
      </c>
      <c r="F1913" s="17" t="s">
        <v>899</v>
      </c>
      <c r="G1913" s="17" t="s">
        <v>4734</v>
      </c>
      <c r="H1913" s="17" t="s">
        <v>4735</v>
      </c>
      <c r="I1913" s="17" t="s">
        <v>125</v>
      </c>
      <c r="J1913" s="22" t="s">
        <v>144</v>
      </c>
      <c r="K1913" s="23" t="s">
        <v>108</v>
      </c>
      <c r="L1913" s="24" t="s">
        <v>91</v>
      </c>
      <c r="M1913" s="2">
        <v>60.0</v>
      </c>
      <c r="N1913" s="25">
        <v>31.0</v>
      </c>
      <c r="O1913" s="25"/>
      <c r="P1913" s="25"/>
    </row>
    <row r="1914">
      <c r="A1914" s="16">
        <v>1912.0</v>
      </c>
      <c r="B1914" s="17" t="s">
        <v>270</v>
      </c>
      <c r="C1914" s="18">
        <v>65.0</v>
      </c>
      <c r="D1914" s="19" t="s">
        <v>2077</v>
      </c>
      <c r="E1914" s="20" t="s">
        <v>443</v>
      </c>
      <c r="F1914" s="17" t="s">
        <v>364</v>
      </c>
      <c r="G1914" s="17" t="s">
        <v>4736</v>
      </c>
      <c r="H1914" s="17" t="s">
        <v>4737</v>
      </c>
      <c r="I1914" s="17" t="s">
        <v>125</v>
      </c>
      <c r="J1914" s="22" t="s">
        <v>144</v>
      </c>
      <c r="K1914" s="23" t="s">
        <v>108</v>
      </c>
      <c r="L1914" s="24" t="s">
        <v>91</v>
      </c>
      <c r="M1914" s="2">
        <v>60.0</v>
      </c>
      <c r="N1914" s="25">
        <v>31.0</v>
      </c>
      <c r="O1914" s="25"/>
      <c r="P1914" s="25"/>
    </row>
    <row r="1915">
      <c r="A1915" s="16">
        <v>1913.0</v>
      </c>
      <c r="B1915" s="17" t="s">
        <v>270</v>
      </c>
      <c r="C1915" s="18">
        <v>66.0</v>
      </c>
      <c r="D1915" s="19" t="s">
        <v>2077</v>
      </c>
      <c r="E1915" s="20" t="s">
        <v>443</v>
      </c>
      <c r="F1915" s="17" t="s">
        <v>411</v>
      </c>
      <c r="G1915" s="17" t="s">
        <v>123</v>
      </c>
      <c r="H1915" s="17" t="s">
        <v>4738</v>
      </c>
      <c r="I1915" s="17" t="s">
        <v>125</v>
      </c>
      <c r="J1915" s="22" t="s">
        <v>144</v>
      </c>
      <c r="K1915" s="23" t="s">
        <v>108</v>
      </c>
      <c r="L1915" s="24" t="s">
        <v>91</v>
      </c>
      <c r="M1915" s="2">
        <v>60.0</v>
      </c>
      <c r="N1915" s="25">
        <v>31.0</v>
      </c>
      <c r="O1915" s="25"/>
      <c r="P1915" s="25"/>
    </row>
    <row r="1916">
      <c r="A1916" s="16">
        <v>1914.0</v>
      </c>
      <c r="B1916" s="17" t="s">
        <v>270</v>
      </c>
      <c r="C1916" s="18">
        <v>67.0</v>
      </c>
      <c r="D1916" s="19" t="s">
        <v>2077</v>
      </c>
      <c r="E1916" s="20" t="s">
        <v>443</v>
      </c>
      <c r="F1916" s="17" t="s">
        <v>273</v>
      </c>
      <c r="G1916" s="17" t="s">
        <v>2113</v>
      </c>
      <c r="H1916" s="17" t="s">
        <v>4739</v>
      </c>
      <c r="I1916" s="17" t="s">
        <v>125</v>
      </c>
      <c r="J1916" s="22" t="s">
        <v>144</v>
      </c>
      <c r="K1916" s="23" t="s">
        <v>108</v>
      </c>
      <c r="L1916" s="24" t="s">
        <v>91</v>
      </c>
      <c r="M1916" s="2">
        <v>60.0</v>
      </c>
      <c r="N1916" s="25">
        <v>31.0</v>
      </c>
      <c r="O1916" s="25"/>
      <c r="P1916" s="25"/>
    </row>
    <row r="1917">
      <c r="A1917" s="16">
        <v>1915.0</v>
      </c>
      <c r="B1917" s="17" t="s">
        <v>270</v>
      </c>
      <c r="C1917" s="18">
        <v>68.0</v>
      </c>
      <c r="D1917" s="19" t="s">
        <v>2077</v>
      </c>
      <c r="E1917" s="20" t="s">
        <v>443</v>
      </c>
      <c r="F1917" s="17" t="s">
        <v>113</v>
      </c>
      <c r="G1917" s="17" t="s">
        <v>4588</v>
      </c>
      <c r="H1917" s="17" t="s">
        <v>4589</v>
      </c>
      <c r="I1917" s="17" t="s">
        <v>125</v>
      </c>
      <c r="J1917" s="22" t="s">
        <v>144</v>
      </c>
      <c r="K1917" s="23" t="s">
        <v>108</v>
      </c>
      <c r="L1917" s="24" t="s">
        <v>91</v>
      </c>
      <c r="M1917" s="2">
        <v>60.0</v>
      </c>
      <c r="N1917" s="25">
        <v>31.0</v>
      </c>
      <c r="O1917" s="25"/>
      <c r="P1917" s="25"/>
    </row>
    <row r="1918">
      <c r="A1918" s="16">
        <v>1916.0</v>
      </c>
      <c r="B1918" s="17" t="s">
        <v>270</v>
      </c>
      <c r="C1918" s="18">
        <v>69.0</v>
      </c>
      <c r="D1918" s="19" t="s">
        <v>2077</v>
      </c>
      <c r="E1918" s="20" t="s">
        <v>443</v>
      </c>
      <c r="F1918" s="17" t="s">
        <v>850</v>
      </c>
      <c r="G1918" s="17" t="s">
        <v>4740</v>
      </c>
      <c r="H1918" s="17" t="s">
        <v>4741</v>
      </c>
      <c r="I1918" s="17" t="s">
        <v>125</v>
      </c>
      <c r="J1918" s="22" t="s">
        <v>144</v>
      </c>
      <c r="K1918" s="23" t="s">
        <v>108</v>
      </c>
      <c r="L1918" s="24" t="s">
        <v>91</v>
      </c>
      <c r="M1918" s="2">
        <v>60.0</v>
      </c>
      <c r="N1918" s="25">
        <v>31.0</v>
      </c>
      <c r="O1918" s="25"/>
      <c r="P1918" s="25"/>
    </row>
    <row r="1919">
      <c r="A1919" s="16">
        <v>1917.0</v>
      </c>
      <c r="B1919" s="17" t="s">
        <v>270</v>
      </c>
      <c r="C1919" s="18">
        <v>70.0</v>
      </c>
      <c r="D1919" s="19" t="s">
        <v>2077</v>
      </c>
      <c r="E1919" s="20" t="s">
        <v>443</v>
      </c>
      <c r="F1919" s="17" t="s">
        <v>118</v>
      </c>
      <c r="G1919" s="17" t="s">
        <v>4742</v>
      </c>
      <c r="H1919" s="17" t="s">
        <v>4743</v>
      </c>
      <c r="I1919" s="17" t="s">
        <v>125</v>
      </c>
      <c r="J1919" s="22" t="s">
        <v>144</v>
      </c>
      <c r="K1919" s="23" t="s">
        <v>108</v>
      </c>
      <c r="L1919" s="24" t="s">
        <v>91</v>
      </c>
      <c r="M1919" s="2">
        <v>60.0</v>
      </c>
      <c r="N1919" s="25">
        <v>31.0</v>
      </c>
      <c r="O1919" s="25"/>
      <c r="P1919" s="25"/>
    </row>
    <row r="1920">
      <c r="A1920" s="16">
        <v>1918.0</v>
      </c>
      <c r="B1920" s="17" t="s">
        <v>270</v>
      </c>
      <c r="C1920" s="18">
        <v>71.0</v>
      </c>
      <c r="D1920" s="19" t="s">
        <v>2077</v>
      </c>
      <c r="E1920" s="20" t="s">
        <v>443</v>
      </c>
      <c r="F1920" s="17" t="s">
        <v>131</v>
      </c>
      <c r="G1920" s="17" t="s">
        <v>4744</v>
      </c>
      <c r="H1920" s="17" t="s">
        <v>4745</v>
      </c>
      <c r="I1920" s="17" t="s">
        <v>125</v>
      </c>
      <c r="J1920" s="22" t="s">
        <v>144</v>
      </c>
      <c r="K1920" s="23" t="s">
        <v>108</v>
      </c>
      <c r="L1920" s="24" t="s">
        <v>91</v>
      </c>
      <c r="M1920" s="2">
        <v>60.0</v>
      </c>
      <c r="N1920" s="25">
        <v>31.0</v>
      </c>
      <c r="O1920" s="25"/>
      <c r="P1920" s="25"/>
    </row>
    <row r="1921">
      <c r="A1921" s="16">
        <v>1919.0</v>
      </c>
      <c r="B1921" s="17" t="s">
        <v>270</v>
      </c>
      <c r="C1921" s="18">
        <v>72.0</v>
      </c>
      <c r="D1921" s="19" t="s">
        <v>2077</v>
      </c>
      <c r="E1921" s="20" t="s">
        <v>443</v>
      </c>
      <c r="F1921" s="17" t="s">
        <v>764</v>
      </c>
      <c r="G1921" s="17" t="s">
        <v>123</v>
      </c>
      <c r="H1921" s="17" t="s">
        <v>4746</v>
      </c>
      <c r="I1921" s="17" t="s">
        <v>125</v>
      </c>
      <c r="J1921" s="22" t="s">
        <v>144</v>
      </c>
      <c r="K1921" s="23" t="s">
        <v>108</v>
      </c>
      <c r="L1921" s="24" t="s">
        <v>91</v>
      </c>
      <c r="M1921" s="2">
        <v>60.0</v>
      </c>
      <c r="N1921" s="25">
        <v>31.0</v>
      </c>
      <c r="O1921" s="25"/>
      <c r="P1921" s="25"/>
    </row>
    <row r="1922">
      <c r="A1922" s="16">
        <v>1920.0</v>
      </c>
      <c r="B1922" s="17" t="s">
        <v>270</v>
      </c>
      <c r="C1922" s="18">
        <v>73.0</v>
      </c>
      <c r="D1922" s="19" t="s">
        <v>2077</v>
      </c>
      <c r="E1922" s="20" t="s">
        <v>443</v>
      </c>
      <c r="F1922" s="17" t="s">
        <v>499</v>
      </c>
      <c r="G1922" s="17" t="s">
        <v>2902</v>
      </c>
      <c r="H1922" s="17" t="s">
        <v>4747</v>
      </c>
      <c r="I1922" s="17" t="s">
        <v>125</v>
      </c>
      <c r="J1922" s="22" t="s">
        <v>144</v>
      </c>
      <c r="K1922" s="23" t="s">
        <v>108</v>
      </c>
      <c r="L1922" s="24" t="s">
        <v>91</v>
      </c>
      <c r="M1922" s="2">
        <v>60.0</v>
      </c>
      <c r="N1922" s="25">
        <v>31.0</v>
      </c>
      <c r="O1922" s="25"/>
      <c r="P1922" s="25"/>
    </row>
    <row r="1923">
      <c r="A1923" s="16">
        <v>1921.0</v>
      </c>
      <c r="B1923" s="17" t="s">
        <v>270</v>
      </c>
      <c r="C1923" s="18">
        <v>74.0</v>
      </c>
      <c r="D1923" s="19" t="s">
        <v>2077</v>
      </c>
      <c r="E1923" s="20" t="s">
        <v>443</v>
      </c>
      <c r="F1923" s="17" t="s">
        <v>150</v>
      </c>
      <c r="G1923" s="17" t="s">
        <v>2087</v>
      </c>
      <c r="H1923" s="17" t="s">
        <v>4748</v>
      </c>
      <c r="I1923" s="17" t="s">
        <v>125</v>
      </c>
      <c r="J1923" s="22" t="s">
        <v>144</v>
      </c>
      <c r="K1923" s="23" t="s">
        <v>108</v>
      </c>
      <c r="L1923" s="24" t="s">
        <v>91</v>
      </c>
      <c r="M1923" s="2">
        <v>60.0</v>
      </c>
      <c r="N1923" s="25">
        <v>31.0</v>
      </c>
      <c r="O1923" s="25"/>
      <c r="P1923" s="25"/>
    </row>
    <row r="1924">
      <c r="A1924" s="16">
        <v>1922.0</v>
      </c>
      <c r="B1924" s="17" t="s">
        <v>270</v>
      </c>
      <c r="C1924" s="18">
        <v>75.0</v>
      </c>
      <c r="D1924" s="19" t="s">
        <v>2077</v>
      </c>
      <c r="E1924" s="20" t="s">
        <v>443</v>
      </c>
      <c r="F1924" s="17" t="s">
        <v>93</v>
      </c>
      <c r="G1924" s="17" t="s">
        <v>4749</v>
      </c>
      <c r="H1924" s="17" t="s">
        <v>4750</v>
      </c>
      <c r="I1924" s="17" t="s">
        <v>125</v>
      </c>
      <c r="J1924" s="22" t="s">
        <v>144</v>
      </c>
      <c r="K1924" s="23" t="s">
        <v>108</v>
      </c>
      <c r="L1924" s="24" t="s">
        <v>91</v>
      </c>
      <c r="M1924" s="2">
        <v>60.0</v>
      </c>
      <c r="N1924" s="25">
        <v>31.0</v>
      </c>
      <c r="O1924" s="25"/>
      <c r="P1924" s="25"/>
    </row>
    <row r="1925">
      <c r="A1925" s="16">
        <v>1923.0</v>
      </c>
      <c r="B1925" s="17" t="s">
        <v>270</v>
      </c>
      <c r="C1925" s="18">
        <v>76.0</v>
      </c>
      <c r="D1925" s="19" t="s">
        <v>2077</v>
      </c>
      <c r="E1925" s="20" t="s">
        <v>443</v>
      </c>
      <c r="F1925" s="17" t="s">
        <v>145</v>
      </c>
      <c r="G1925" s="17" t="s">
        <v>4751</v>
      </c>
      <c r="H1925" s="17" t="s">
        <v>4752</v>
      </c>
      <c r="I1925" s="17" t="s">
        <v>125</v>
      </c>
      <c r="J1925" s="22" t="s">
        <v>144</v>
      </c>
      <c r="K1925" s="23" t="s">
        <v>108</v>
      </c>
      <c r="L1925" s="24" t="s">
        <v>91</v>
      </c>
      <c r="M1925" s="2">
        <v>60.0</v>
      </c>
      <c r="N1925" s="25">
        <v>31.0</v>
      </c>
      <c r="O1925" s="25"/>
      <c r="P1925" s="25"/>
    </row>
    <row r="1926">
      <c r="A1926" s="16">
        <v>1924.0</v>
      </c>
      <c r="B1926" s="17" t="s">
        <v>270</v>
      </c>
      <c r="C1926" s="18">
        <v>77.0</v>
      </c>
      <c r="D1926" s="19" t="s">
        <v>2077</v>
      </c>
      <c r="E1926" s="20" t="s">
        <v>443</v>
      </c>
      <c r="F1926" s="17" t="s">
        <v>71</v>
      </c>
      <c r="G1926" s="17" t="s">
        <v>4753</v>
      </c>
      <c r="H1926" s="17" t="s">
        <v>4754</v>
      </c>
      <c r="I1926" s="17" t="s">
        <v>125</v>
      </c>
      <c r="J1926" s="22" t="s">
        <v>144</v>
      </c>
      <c r="K1926" s="23" t="s">
        <v>108</v>
      </c>
      <c r="L1926" s="24" t="s">
        <v>91</v>
      </c>
      <c r="M1926" s="2">
        <v>60.0</v>
      </c>
      <c r="N1926" s="25">
        <v>31.0</v>
      </c>
      <c r="O1926" s="25"/>
      <c r="P1926" s="25"/>
    </row>
    <row r="1927">
      <c r="A1927" s="16">
        <v>1925.0</v>
      </c>
      <c r="B1927" s="17" t="s">
        <v>270</v>
      </c>
      <c r="C1927" s="18">
        <v>78.0</v>
      </c>
      <c r="D1927" s="19" t="s">
        <v>2077</v>
      </c>
      <c r="E1927" s="20" t="s">
        <v>443</v>
      </c>
      <c r="F1927" s="17" t="s">
        <v>101</v>
      </c>
      <c r="G1927" s="17" t="s">
        <v>4755</v>
      </c>
      <c r="H1927" s="17" t="s">
        <v>4756</v>
      </c>
      <c r="I1927" s="17" t="s">
        <v>125</v>
      </c>
      <c r="J1927" s="22" t="s">
        <v>144</v>
      </c>
      <c r="K1927" s="23" t="s">
        <v>108</v>
      </c>
      <c r="L1927" s="24" t="s">
        <v>91</v>
      </c>
      <c r="M1927" s="2">
        <v>60.0</v>
      </c>
      <c r="N1927" s="25">
        <v>31.0</v>
      </c>
      <c r="O1927" s="25"/>
      <c r="P1927" s="25"/>
    </row>
    <row r="1928">
      <c r="A1928" s="16">
        <v>1926.0</v>
      </c>
      <c r="B1928" s="17" t="s">
        <v>270</v>
      </c>
      <c r="C1928" s="18">
        <v>79.0</v>
      </c>
      <c r="D1928" s="19" t="s">
        <v>2077</v>
      </c>
      <c r="E1928" s="20" t="s">
        <v>443</v>
      </c>
      <c r="F1928" s="17" t="s">
        <v>192</v>
      </c>
      <c r="G1928" s="17" t="s">
        <v>4615</v>
      </c>
      <c r="H1928" s="17" t="s">
        <v>4757</v>
      </c>
      <c r="I1928" s="17" t="s">
        <v>125</v>
      </c>
      <c r="J1928" s="22" t="s">
        <v>144</v>
      </c>
      <c r="K1928" s="23" t="s">
        <v>108</v>
      </c>
      <c r="L1928" s="24" t="s">
        <v>91</v>
      </c>
      <c r="M1928" s="2">
        <v>60.0</v>
      </c>
      <c r="N1928" s="25">
        <v>31.0</v>
      </c>
      <c r="O1928" s="25"/>
      <c r="P1928" s="25"/>
    </row>
    <row r="1929">
      <c r="A1929" s="16">
        <v>1927.0</v>
      </c>
      <c r="B1929" s="17" t="s">
        <v>270</v>
      </c>
      <c r="C1929" s="18">
        <v>80.0</v>
      </c>
      <c r="D1929" s="19" t="s">
        <v>2077</v>
      </c>
      <c r="E1929" s="20" t="s">
        <v>443</v>
      </c>
      <c r="F1929" s="17" t="s">
        <v>682</v>
      </c>
      <c r="G1929" s="17" t="s">
        <v>4553</v>
      </c>
      <c r="H1929" s="17" t="s">
        <v>4758</v>
      </c>
      <c r="I1929" s="17" t="s">
        <v>125</v>
      </c>
      <c r="J1929" s="22" t="s">
        <v>144</v>
      </c>
      <c r="K1929" s="23" t="s">
        <v>108</v>
      </c>
      <c r="L1929" s="24" t="s">
        <v>91</v>
      </c>
      <c r="M1929" s="2">
        <v>60.0</v>
      </c>
      <c r="N1929" s="25">
        <v>31.0</v>
      </c>
      <c r="O1929" s="25"/>
      <c r="P1929" s="25"/>
    </row>
    <row r="1930">
      <c r="A1930" s="16">
        <v>1928.0</v>
      </c>
      <c r="B1930" s="17" t="s">
        <v>270</v>
      </c>
      <c r="C1930" s="18">
        <v>81.0</v>
      </c>
      <c r="D1930" s="19" t="s">
        <v>2077</v>
      </c>
      <c r="E1930" s="20" t="s">
        <v>443</v>
      </c>
      <c r="F1930" s="17" t="s">
        <v>309</v>
      </c>
      <c r="G1930" s="17" t="s">
        <v>4759</v>
      </c>
      <c r="H1930" s="17" t="s">
        <v>4760</v>
      </c>
      <c r="I1930" s="17" t="s">
        <v>125</v>
      </c>
      <c r="J1930" s="22" t="s">
        <v>144</v>
      </c>
      <c r="K1930" s="23" t="s">
        <v>108</v>
      </c>
      <c r="L1930" s="24" t="s">
        <v>91</v>
      </c>
      <c r="M1930" s="2">
        <v>60.0</v>
      </c>
      <c r="N1930" s="25">
        <v>31.0</v>
      </c>
      <c r="O1930" s="25"/>
      <c r="P1930" s="25"/>
    </row>
    <row r="1931">
      <c r="A1931" s="16">
        <v>1929.0</v>
      </c>
      <c r="B1931" s="17" t="s">
        <v>270</v>
      </c>
      <c r="C1931" s="18">
        <v>82.0</v>
      </c>
      <c r="D1931" s="19" t="s">
        <v>2077</v>
      </c>
      <c r="E1931" s="20" t="s">
        <v>443</v>
      </c>
      <c r="F1931" s="17" t="s">
        <v>95</v>
      </c>
      <c r="G1931" s="17" t="s">
        <v>4761</v>
      </c>
      <c r="H1931" s="17" t="s">
        <v>4762</v>
      </c>
      <c r="I1931" s="17" t="s">
        <v>125</v>
      </c>
      <c r="J1931" s="22" t="s">
        <v>144</v>
      </c>
      <c r="K1931" s="23" t="s">
        <v>108</v>
      </c>
      <c r="L1931" s="24" t="s">
        <v>91</v>
      </c>
      <c r="M1931" s="2">
        <v>60.0</v>
      </c>
      <c r="N1931" s="25">
        <v>31.0</v>
      </c>
      <c r="O1931" s="25"/>
      <c r="P1931" s="25"/>
    </row>
    <row r="1932">
      <c r="A1932" s="16">
        <v>1930.0</v>
      </c>
      <c r="B1932" s="17" t="s">
        <v>270</v>
      </c>
      <c r="C1932" s="18">
        <v>83.0</v>
      </c>
      <c r="D1932" s="19" t="s">
        <v>2077</v>
      </c>
      <c r="E1932" s="20" t="s">
        <v>443</v>
      </c>
      <c r="F1932" s="17" t="s">
        <v>51</v>
      </c>
      <c r="G1932" s="17" t="s">
        <v>4763</v>
      </c>
      <c r="H1932" s="17" t="s">
        <v>4764</v>
      </c>
      <c r="I1932" s="17" t="s">
        <v>125</v>
      </c>
      <c r="J1932" s="22" t="s">
        <v>144</v>
      </c>
      <c r="K1932" s="23" t="s">
        <v>108</v>
      </c>
      <c r="L1932" s="24" t="s">
        <v>91</v>
      </c>
      <c r="M1932" s="2">
        <v>60.0</v>
      </c>
      <c r="N1932" s="25">
        <v>31.0</v>
      </c>
      <c r="O1932" s="25"/>
      <c r="P1932" s="25"/>
    </row>
    <row r="1933">
      <c r="A1933" s="16">
        <v>1931.0</v>
      </c>
      <c r="B1933" s="17" t="s">
        <v>270</v>
      </c>
      <c r="C1933" s="18">
        <v>84.0</v>
      </c>
      <c r="D1933" s="19" t="s">
        <v>2077</v>
      </c>
      <c r="E1933" s="20" t="s">
        <v>443</v>
      </c>
      <c r="F1933" s="17" t="s">
        <v>885</v>
      </c>
      <c r="G1933" s="17" t="s">
        <v>3202</v>
      </c>
      <c r="H1933" s="17" t="s">
        <v>4765</v>
      </c>
      <c r="I1933" s="17" t="s">
        <v>125</v>
      </c>
      <c r="J1933" s="22" t="s">
        <v>144</v>
      </c>
      <c r="K1933" s="23" t="s">
        <v>108</v>
      </c>
      <c r="L1933" s="24" t="s">
        <v>91</v>
      </c>
      <c r="M1933" s="2">
        <v>60.0</v>
      </c>
      <c r="N1933" s="25">
        <v>31.0</v>
      </c>
      <c r="O1933" s="25"/>
      <c r="P1933" s="25"/>
    </row>
    <row r="1934">
      <c r="A1934" s="16">
        <v>1932.0</v>
      </c>
      <c r="B1934" s="17" t="s">
        <v>270</v>
      </c>
      <c r="C1934" s="18">
        <v>85.0</v>
      </c>
      <c r="D1934" s="19" t="s">
        <v>2077</v>
      </c>
      <c r="E1934" s="20" t="s">
        <v>443</v>
      </c>
      <c r="F1934" s="17" t="s">
        <v>452</v>
      </c>
      <c r="G1934" s="17" t="s">
        <v>4766</v>
      </c>
      <c r="H1934" s="17" t="s">
        <v>4767</v>
      </c>
      <c r="I1934" s="17" t="s">
        <v>125</v>
      </c>
      <c r="J1934" s="22" t="s">
        <v>144</v>
      </c>
      <c r="K1934" s="23" t="s">
        <v>108</v>
      </c>
      <c r="L1934" s="24" t="s">
        <v>91</v>
      </c>
      <c r="M1934" s="2">
        <v>60.0</v>
      </c>
      <c r="N1934" s="25">
        <v>31.0</v>
      </c>
      <c r="O1934" s="25"/>
      <c r="P1934" s="25"/>
    </row>
    <row r="1935">
      <c r="A1935" s="16">
        <v>1933.0</v>
      </c>
      <c r="B1935" s="17" t="s">
        <v>270</v>
      </c>
      <c r="C1935" s="18">
        <v>86.0</v>
      </c>
      <c r="D1935" s="19" t="s">
        <v>2077</v>
      </c>
      <c r="E1935" s="20" t="s">
        <v>443</v>
      </c>
      <c r="F1935" s="17" t="s">
        <v>908</v>
      </c>
      <c r="G1935" s="17" t="s">
        <v>4768</v>
      </c>
      <c r="H1935" s="17" t="s">
        <v>4769</v>
      </c>
      <c r="I1935" s="17" t="s">
        <v>125</v>
      </c>
      <c r="J1935" s="22" t="s">
        <v>144</v>
      </c>
      <c r="K1935" s="23" t="s">
        <v>108</v>
      </c>
      <c r="L1935" s="24" t="s">
        <v>91</v>
      </c>
      <c r="M1935" s="2">
        <v>60.0</v>
      </c>
      <c r="N1935" s="25">
        <v>31.0</v>
      </c>
      <c r="O1935" s="25"/>
      <c r="P1935" s="25"/>
    </row>
    <row r="1936">
      <c r="A1936" s="16">
        <v>1934.0</v>
      </c>
      <c r="B1936" s="17" t="s">
        <v>270</v>
      </c>
      <c r="C1936" s="18">
        <v>87.0</v>
      </c>
      <c r="D1936" s="19" t="s">
        <v>2077</v>
      </c>
      <c r="E1936" s="20" t="s">
        <v>443</v>
      </c>
      <c r="F1936" s="17" t="s">
        <v>287</v>
      </c>
      <c r="G1936" s="17" t="s">
        <v>4770</v>
      </c>
      <c r="H1936" s="17" t="s">
        <v>4771</v>
      </c>
      <c r="I1936" s="17" t="s">
        <v>125</v>
      </c>
      <c r="J1936" s="22" t="s">
        <v>144</v>
      </c>
      <c r="K1936" s="23" t="s">
        <v>108</v>
      </c>
      <c r="L1936" s="24" t="s">
        <v>91</v>
      </c>
      <c r="M1936" s="2">
        <v>60.0</v>
      </c>
      <c r="N1936" s="25">
        <v>31.0</v>
      </c>
      <c r="O1936" s="25"/>
      <c r="P1936" s="25"/>
    </row>
    <row r="1937">
      <c r="A1937" s="16">
        <v>1935.0</v>
      </c>
      <c r="B1937" s="17" t="s">
        <v>270</v>
      </c>
      <c r="C1937" s="18">
        <v>88.0</v>
      </c>
      <c r="D1937" s="19" t="s">
        <v>2077</v>
      </c>
      <c r="E1937" s="20" t="s">
        <v>443</v>
      </c>
      <c r="F1937" s="17" t="s">
        <v>156</v>
      </c>
      <c r="G1937" s="17" t="s">
        <v>157</v>
      </c>
      <c r="H1937" s="17" t="s">
        <v>4772</v>
      </c>
      <c r="I1937" s="17" t="s">
        <v>125</v>
      </c>
      <c r="J1937" s="22" t="s">
        <v>144</v>
      </c>
      <c r="K1937" s="23" t="s">
        <v>108</v>
      </c>
      <c r="L1937" s="24" t="s">
        <v>91</v>
      </c>
      <c r="M1937" s="2">
        <v>60.0</v>
      </c>
      <c r="N1937" s="25">
        <v>31.0</v>
      </c>
      <c r="O1937" s="25"/>
      <c r="P1937" s="25"/>
    </row>
    <row r="1938">
      <c r="A1938" s="16">
        <v>1936.0</v>
      </c>
      <c r="B1938" s="17" t="s">
        <v>270</v>
      </c>
      <c r="C1938" s="18">
        <v>89.0</v>
      </c>
      <c r="D1938" s="19" t="s">
        <v>2077</v>
      </c>
      <c r="E1938" s="20" t="s">
        <v>443</v>
      </c>
      <c r="F1938" s="17" t="s">
        <v>86</v>
      </c>
      <c r="G1938" s="17" t="s">
        <v>4773</v>
      </c>
      <c r="H1938" s="17" t="s">
        <v>4774</v>
      </c>
      <c r="I1938" s="17" t="s">
        <v>125</v>
      </c>
      <c r="J1938" s="22" t="s">
        <v>144</v>
      </c>
      <c r="K1938" s="23" t="s">
        <v>108</v>
      </c>
      <c r="L1938" s="24" t="s">
        <v>91</v>
      </c>
      <c r="M1938" s="2">
        <v>60.0</v>
      </c>
      <c r="N1938" s="25">
        <v>31.0</v>
      </c>
      <c r="O1938" s="25"/>
      <c r="P1938" s="25"/>
    </row>
    <row r="1939">
      <c r="A1939" s="16">
        <v>1937.0</v>
      </c>
      <c r="B1939" s="17" t="s">
        <v>270</v>
      </c>
      <c r="C1939" s="18">
        <v>90.0</v>
      </c>
      <c r="D1939" s="19" t="s">
        <v>2077</v>
      </c>
      <c r="E1939" s="20" t="s">
        <v>443</v>
      </c>
      <c r="F1939" s="17" t="s">
        <v>165</v>
      </c>
      <c r="G1939" s="17" t="s">
        <v>4523</v>
      </c>
      <c r="H1939" s="17" t="s">
        <v>4775</v>
      </c>
      <c r="I1939" s="17" t="s">
        <v>125</v>
      </c>
      <c r="J1939" s="22" t="s">
        <v>144</v>
      </c>
      <c r="K1939" s="23" t="s">
        <v>108</v>
      </c>
      <c r="L1939" s="24" t="s">
        <v>91</v>
      </c>
      <c r="M1939" s="2">
        <v>60.0</v>
      </c>
      <c r="N1939" s="25">
        <v>31.0</v>
      </c>
      <c r="O1939" s="25"/>
      <c r="P1939" s="25"/>
    </row>
    <row r="1940">
      <c r="A1940" s="16">
        <v>1938.0</v>
      </c>
      <c r="B1940" s="17" t="s">
        <v>270</v>
      </c>
      <c r="C1940" s="18">
        <v>91.0</v>
      </c>
      <c r="D1940" s="19" t="s">
        <v>2077</v>
      </c>
      <c r="E1940" s="20" t="s">
        <v>443</v>
      </c>
      <c r="F1940" s="17" t="s">
        <v>186</v>
      </c>
      <c r="G1940" s="17" t="s">
        <v>4776</v>
      </c>
      <c r="H1940" s="17" t="s">
        <v>4777</v>
      </c>
      <c r="I1940" s="17" t="s">
        <v>125</v>
      </c>
      <c r="J1940" s="22" t="s">
        <v>144</v>
      </c>
      <c r="K1940" s="23" t="s">
        <v>108</v>
      </c>
      <c r="L1940" s="24" t="s">
        <v>91</v>
      </c>
      <c r="M1940" s="2">
        <v>60.0</v>
      </c>
      <c r="N1940" s="25">
        <v>31.0</v>
      </c>
      <c r="O1940" s="25"/>
      <c r="P1940" s="25"/>
    </row>
    <row r="1941">
      <c r="A1941" s="16">
        <v>1939.0</v>
      </c>
      <c r="B1941" s="17" t="s">
        <v>270</v>
      </c>
      <c r="C1941" s="18">
        <v>92.0</v>
      </c>
      <c r="D1941" s="19" t="s">
        <v>2077</v>
      </c>
      <c r="E1941" s="20" t="s">
        <v>443</v>
      </c>
      <c r="F1941" s="17" t="s">
        <v>266</v>
      </c>
      <c r="G1941" s="17" t="s">
        <v>4778</v>
      </c>
      <c r="H1941" s="17" t="s">
        <v>4707</v>
      </c>
      <c r="I1941" s="17" t="s">
        <v>125</v>
      </c>
      <c r="J1941" s="22" t="s">
        <v>144</v>
      </c>
      <c r="K1941" s="23" t="s">
        <v>108</v>
      </c>
      <c r="L1941" s="24" t="s">
        <v>91</v>
      </c>
      <c r="M1941" s="2">
        <v>60.0</v>
      </c>
      <c r="N1941" s="25">
        <v>31.0</v>
      </c>
      <c r="O1941" s="25"/>
      <c r="P1941" s="25"/>
    </row>
    <row r="1942">
      <c r="A1942" s="16">
        <v>1940.0</v>
      </c>
      <c r="B1942" s="17" t="s">
        <v>270</v>
      </c>
      <c r="C1942" s="18">
        <v>93.0</v>
      </c>
      <c r="D1942" s="19" t="s">
        <v>2077</v>
      </c>
      <c r="E1942" s="20" t="s">
        <v>443</v>
      </c>
      <c r="F1942" s="17" t="s">
        <v>679</v>
      </c>
      <c r="G1942" s="17" t="s">
        <v>4779</v>
      </c>
      <c r="H1942" s="17" t="s">
        <v>4780</v>
      </c>
      <c r="I1942" s="17" t="s">
        <v>125</v>
      </c>
      <c r="J1942" s="22" t="s">
        <v>144</v>
      </c>
      <c r="K1942" s="23" t="s">
        <v>108</v>
      </c>
      <c r="L1942" s="24" t="s">
        <v>91</v>
      </c>
      <c r="M1942" s="2">
        <v>60.0</v>
      </c>
      <c r="N1942" s="25">
        <v>31.0</v>
      </c>
      <c r="O1942" s="25"/>
      <c r="P1942" s="25"/>
    </row>
    <row r="1943">
      <c r="A1943" s="16">
        <v>1941.0</v>
      </c>
      <c r="B1943" s="17" t="s">
        <v>270</v>
      </c>
      <c r="C1943" s="18">
        <v>94.0</v>
      </c>
      <c r="D1943" s="19" t="s">
        <v>2077</v>
      </c>
      <c r="E1943" s="20" t="s">
        <v>443</v>
      </c>
      <c r="F1943" s="17" t="s">
        <v>1124</v>
      </c>
      <c r="G1943" s="17" t="s">
        <v>3675</v>
      </c>
      <c r="H1943" s="17" t="s">
        <v>4781</v>
      </c>
      <c r="I1943" s="17" t="s">
        <v>125</v>
      </c>
      <c r="J1943" s="22" t="s">
        <v>144</v>
      </c>
      <c r="K1943" s="23" t="s">
        <v>108</v>
      </c>
      <c r="L1943" s="24" t="s">
        <v>91</v>
      </c>
      <c r="M1943" s="2">
        <v>60.0</v>
      </c>
      <c r="N1943" s="25">
        <v>31.0</v>
      </c>
      <c r="O1943" s="25"/>
      <c r="P1943" s="25"/>
    </row>
    <row r="1944">
      <c r="A1944" s="16">
        <v>1942.0</v>
      </c>
      <c r="B1944" s="17" t="s">
        <v>270</v>
      </c>
      <c r="C1944" s="18">
        <v>95.0</v>
      </c>
      <c r="D1944" s="19" t="s">
        <v>2077</v>
      </c>
      <c r="E1944" s="20" t="s">
        <v>443</v>
      </c>
      <c r="F1944" s="17" t="s">
        <v>56</v>
      </c>
      <c r="G1944" s="17" t="s">
        <v>4782</v>
      </c>
      <c r="H1944" s="17" t="s">
        <v>4783</v>
      </c>
      <c r="I1944" s="17" t="s">
        <v>125</v>
      </c>
      <c r="J1944" s="22" t="s">
        <v>144</v>
      </c>
      <c r="K1944" s="23" t="s">
        <v>108</v>
      </c>
      <c r="L1944" s="24" t="s">
        <v>91</v>
      </c>
      <c r="M1944" s="2">
        <v>60.0</v>
      </c>
      <c r="N1944" s="25">
        <v>31.0</v>
      </c>
      <c r="O1944" s="25"/>
      <c r="P1944" s="25"/>
    </row>
    <row r="1945">
      <c r="A1945" s="16">
        <v>1943.0</v>
      </c>
      <c r="B1945" s="17" t="s">
        <v>270</v>
      </c>
      <c r="C1945" s="18">
        <v>96.0</v>
      </c>
      <c r="D1945" s="19" t="s">
        <v>2077</v>
      </c>
      <c r="E1945" s="20" t="s">
        <v>443</v>
      </c>
      <c r="F1945" s="17" t="s">
        <v>744</v>
      </c>
      <c r="G1945" s="17" t="s">
        <v>4574</v>
      </c>
      <c r="H1945" s="17" t="s">
        <v>4575</v>
      </c>
      <c r="I1945" s="17" t="s">
        <v>125</v>
      </c>
      <c r="J1945" s="22" t="s">
        <v>144</v>
      </c>
      <c r="K1945" s="23" t="s">
        <v>108</v>
      </c>
      <c r="L1945" s="24" t="s">
        <v>91</v>
      </c>
      <c r="M1945" s="2">
        <v>60.0</v>
      </c>
      <c r="N1945" s="25">
        <v>31.0</v>
      </c>
      <c r="O1945" s="25"/>
      <c r="P1945" s="25"/>
    </row>
    <row r="1946">
      <c r="A1946" s="16">
        <v>1944.0</v>
      </c>
      <c r="B1946" s="17" t="s">
        <v>270</v>
      </c>
      <c r="C1946" s="18">
        <v>97.0</v>
      </c>
      <c r="D1946" s="19" t="s">
        <v>2077</v>
      </c>
      <c r="E1946" s="20" t="s">
        <v>443</v>
      </c>
      <c r="F1946" s="17" t="s">
        <v>1125</v>
      </c>
      <c r="G1946" s="17" t="s">
        <v>3689</v>
      </c>
      <c r="H1946" s="17" t="s">
        <v>4784</v>
      </c>
      <c r="I1946" s="17" t="s">
        <v>125</v>
      </c>
      <c r="J1946" s="22" t="s">
        <v>144</v>
      </c>
      <c r="K1946" s="23" t="s">
        <v>108</v>
      </c>
      <c r="L1946" s="24" t="s">
        <v>91</v>
      </c>
      <c r="M1946" s="2">
        <v>60.0</v>
      </c>
      <c r="N1946" s="25">
        <v>31.0</v>
      </c>
      <c r="O1946" s="25"/>
      <c r="P1946" s="25"/>
    </row>
    <row r="1947">
      <c r="A1947" s="16">
        <v>1945.0</v>
      </c>
      <c r="B1947" s="17" t="s">
        <v>270</v>
      </c>
      <c r="C1947" s="18">
        <v>98.0</v>
      </c>
      <c r="D1947" s="19" t="s">
        <v>2077</v>
      </c>
      <c r="E1947" s="20" t="s">
        <v>443</v>
      </c>
      <c r="F1947" s="17" t="s">
        <v>524</v>
      </c>
      <c r="G1947" s="17" t="s">
        <v>4785</v>
      </c>
      <c r="H1947" s="17" t="s">
        <v>4786</v>
      </c>
      <c r="I1947" s="17" t="s">
        <v>125</v>
      </c>
      <c r="J1947" s="22" t="s">
        <v>144</v>
      </c>
      <c r="K1947" s="23" t="s">
        <v>108</v>
      </c>
      <c r="L1947" s="24" t="s">
        <v>91</v>
      </c>
      <c r="M1947" s="2">
        <v>60.0</v>
      </c>
      <c r="N1947" s="25">
        <v>31.0</v>
      </c>
      <c r="O1947" s="25"/>
      <c r="P1947" s="25"/>
    </row>
    <row r="1948">
      <c r="A1948" s="16">
        <v>1946.0</v>
      </c>
      <c r="B1948" s="17" t="s">
        <v>270</v>
      </c>
      <c r="C1948" s="18">
        <v>99.0</v>
      </c>
      <c r="D1948" s="19" t="s">
        <v>2077</v>
      </c>
      <c r="E1948" s="20" t="s">
        <v>443</v>
      </c>
      <c r="F1948" s="17" t="s">
        <v>1042</v>
      </c>
      <c r="G1948" s="17" t="s">
        <v>4787</v>
      </c>
      <c r="H1948" s="17" t="s">
        <v>4788</v>
      </c>
      <c r="I1948" s="17" t="s">
        <v>125</v>
      </c>
      <c r="J1948" s="22" t="s">
        <v>144</v>
      </c>
      <c r="K1948" s="23" t="s">
        <v>108</v>
      </c>
      <c r="L1948" s="24" t="s">
        <v>91</v>
      </c>
      <c r="M1948" s="2">
        <v>60.0</v>
      </c>
      <c r="N1948" s="25">
        <v>31.0</v>
      </c>
      <c r="O1948" s="25"/>
      <c r="P1948" s="25"/>
    </row>
    <row r="1949">
      <c r="A1949" s="16">
        <v>1947.0</v>
      </c>
      <c r="B1949" s="17" t="s">
        <v>270</v>
      </c>
      <c r="C1949" s="18">
        <v>100.0</v>
      </c>
      <c r="D1949" s="19" t="s">
        <v>2077</v>
      </c>
      <c r="E1949" s="20" t="s">
        <v>443</v>
      </c>
      <c r="F1949" s="17" t="s">
        <v>1062</v>
      </c>
      <c r="G1949" s="17" t="s">
        <v>4789</v>
      </c>
      <c r="H1949" s="17" t="s">
        <v>4790</v>
      </c>
      <c r="I1949" s="17" t="s">
        <v>125</v>
      </c>
      <c r="J1949" s="22" t="s">
        <v>144</v>
      </c>
      <c r="K1949" s="23" t="s">
        <v>108</v>
      </c>
      <c r="L1949" s="24" t="s">
        <v>91</v>
      </c>
      <c r="M1949" s="2">
        <v>60.0</v>
      </c>
      <c r="N1949" s="25">
        <v>31.0</v>
      </c>
      <c r="O1949" s="25"/>
      <c r="P1949" s="25"/>
    </row>
    <row r="1950">
      <c r="A1950" s="16">
        <v>1948.0</v>
      </c>
      <c r="B1950" s="17" t="s">
        <v>270</v>
      </c>
      <c r="C1950" s="18">
        <v>101.0</v>
      </c>
      <c r="D1950" s="19" t="s">
        <v>2077</v>
      </c>
      <c r="E1950" s="20" t="s">
        <v>443</v>
      </c>
      <c r="F1950" s="17" t="s">
        <v>748</v>
      </c>
      <c r="G1950" s="17" t="s">
        <v>4791</v>
      </c>
      <c r="H1950" s="17" t="s">
        <v>4792</v>
      </c>
      <c r="I1950" s="17" t="s">
        <v>125</v>
      </c>
      <c r="J1950" s="22" t="s">
        <v>144</v>
      </c>
      <c r="K1950" s="23" t="s">
        <v>108</v>
      </c>
      <c r="L1950" s="24" t="s">
        <v>91</v>
      </c>
      <c r="M1950" s="2">
        <v>60.0</v>
      </c>
      <c r="N1950" s="25">
        <v>31.0</v>
      </c>
      <c r="O1950" s="25"/>
      <c r="P1950" s="25"/>
    </row>
    <row r="1951">
      <c r="A1951" s="16">
        <v>1949.0</v>
      </c>
      <c r="B1951" s="17" t="s">
        <v>270</v>
      </c>
      <c r="C1951" s="18">
        <v>102.0</v>
      </c>
      <c r="D1951" s="19" t="s">
        <v>2077</v>
      </c>
      <c r="E1951" s="20" t="s">
        <v>443</v>
      </c>
      <c r="F1951" s="17" t="s">
        <v>909</v>
      </c>
      <c r="G1951" s="17" t="s">
        <v>4793</v>
      </c>
      <c r="H1951" s="17" t="s">
        <v>4794</v>
      </c>
      <c r="I1951" s="17" t="s">
        <v>125</v>
      </c>
      <c r="J1951" s="22" t="s">
        <v>144</v>
      </c>
      <c r="K1951" s="23" t="s">
        <v>108</v>
      </c>
      <c r="L1951" s="24" t="s">
        <v>91</v>
      </c>
      <c r="M1951" s="2">
        <v>60.0</v>
      </c>
      <c r="N1951" s="25">
        <v>31.0</v>
      </c>
      <c r="O1951" s="25"/>
      <c r="P1951" s="25"/>
    </row>
    <row r="1952">
      <c r="A1952" s="16">
        <v>1950.0</v>
      </c>
      <c r="B1952" s="17" t="s">
        <v>270</v>
      </c>
      <c r="C1952" s="18">
        <v>103.0</v>
      </c>
      <c r="D1952" s="19" t="s">
        <v>2077</v>
      </c>
      <c r="E1952" s="20" t="s">
        <v>443</v>
      </c>
      <c r="F1952" s="17" t="s">
        <v>1005</v>
      </c>
      <c r="G1952" s="17" t="s">
        <v>4795</v>
      </c>
      <c r="H1952" s="17" t="s">
        <v>4796</v>
      </c>
      <c r="I1952" s="17" t="s">
        <v>125</v>
      </c>
      <c r="J1952" s="22" t="s">
        <v>144</v>
      </c>
      <c r="K1952" s="23" t="s">
        <v>108</v>
      </c>
      <c r="L1952" s="24" t="s">
        <v>91</v>
      </c>
      <c r="M1952" s="2">
        <v>60.0</v>
      </c>
      <c r="N1952" s="25">
        <v>31.0</v>
      </c>
      <c r="O1952" s="25"/>
      <c r="P1952" s="25"/>
    </row>
    <row r="1953">
      <c r="A1953" s="16">
        <v>1951.0</v>
      </c>
      <c r="B1953" s="17" t="s">
        <v>270</v>
      </c>
      <c r="C1953" s="18">
        <v>104.0</v>
      </c>
      <c r="D1953" s="19" t="s">
        <v>2077</v>
      </c>
      <c r="E1953" s="20" t="s">
        <v>443</v>
      </c>
      <c r="F1953" s="17" t="s">
        <v>115</v>
      </c>
      <c r="G1953" s="17" t="s">
        <v>4527</v>
      </c>
      <c r="H1953" s="17" t="s">
        <v>4797</v>
      </c>
      <c r="I1953" s="17" t="s">
        <v>125</v>
      </c>
      <c r="J1953" s="22" t="s">
        <v>144</v>
      </c>
      <c r="K1953" s="23" t="s">
        <v>108</v>
      </c>
      <c r="L1953" s="24" t="s">
        <v>91</v>
      </c>
      <c r="M1953" s="2">
        <v>60.0</v>
      </c>
      <c r="N1953" s="25">
        <v>31.0</v>
      </c>
      <c r="O1953" s="25"/>
      <c r="P1953" s="25"/>
    </row>
    <row r="1954">
      <c r="A1954" s="16">
        <v>1952.0</v>
      </c>
      <c r="B1954" s="17" t="s">
        <v>270</v>
      </c>
      <c r="C1954" s="18">
        <v>105.0</v>
      </c>
      <c r="D1954" s="19" t="s">
        <v>2077</v>
      </c>
      <c r="E1954" s="20" t="s">
        <v>443</v>
      </c>
      <c r="F1954" s="17" t="s">
        <v>1424</v>
      </c>
      <c r="G1954" s="17" t="s">
        <v>4798</v>
      </c>
      <c r="H1954" s="17" t="s">
        <v>4799</v>
      </c>
      <c r="I1954" s="17" t="s">
        <v>125</v>
      </c>
      <c r="J1954" s="22" t="s">
        <v>144</v>
      </c>
      <c r="K1954" s="23" t="s">
        <v>108</v>
      </c>
      <c r="L1954" s="24" t="s">
        <v>91</v>
      </c>
      <c r="M1954" s="2">
        <v>60.0</v>
      </c>
      <c r="N1954" s="25">
        <v>31.0</v>
      </c>
      <c r="O1954" s="25"/>
      <c r="P1954" s="25"/>
    </row>
    <row r="1955">
      <c r="A1955" s="16">
        <v>1953.0</v>
      </c>
      <c r="B1955" s="17" t="s">
        <v>270</v>
      </c>
      <c r="C1955" s="18">
        <v>106.0</v>
      </c>
      <c r="D1955" s="19" t="s">
        <v>2077</v>
      </c>
      <c r="E1955" s="20" t="s">
        <v>443</v>
      </c>
      <c r="F1955" s="17" t="s">
        <v>176</v>
      </c>
      <c r="G1955" s="17" t="s">
        <v>4800</v>
      </c>
      <c r="H1955" s="17" t="s">
        <v>4801</v>
      </c>
      <c r="I1955" s="17" t="s">
        <v>125</v>
      </c>
      <c r="J1955" s="22" t="s">
        <v>144</v>
      </c>
      <c r="K1955" s="23" t="s">
        <v>108</v>
      </c>
      <c r="L1955" s="24" t="s">
        <v>91</v>
      </c>
      <c r="M1955" s="2">
        <v>60.0</v>
      </c>
      <c r="N1955" s="25">
        <v>31.0</v>
      </c>
      <c r="O1955" s="25"/>
      <c r="P1955" s="25"/>
    </row>
    <row r="1956">
      <c r="A1956" s="16">
        <v>1954.0</v>
      </c>
      <c r="B1956" s="17" t="s">
        <v>270</v>
      </c>
      <c r="C1956" s="18">
        <v>107.0</v>
      </c>
      <c r="D1956" s="19" t="s">
        <v>2077</v>
      </c>
      <c r="E1956" s="20" t="s">
        <v>443</v>
      </c>
      <c r="F1956" s="17" t="s">
        <v>1262</v>
      </c>
      <c r="G1956" s="17" t="s">
        <v>4802</v>
      </c>
      <c r="H1956" s="17" t="s">
        <v>4803</v>
      </c>
      <c r="I1956" s="17" t="s">
        <v>125</v>
      </c>
      <c r="J1956" s="22" t="s">
        <v>144</v>
      </c>
      <c r="K1956" s="23" t="s">
        <v>108</v>
      </c>
      <c r="L1956" s="24" t="s">
        <v>91</v>
      </c>
      <c r="M1956" s="2">
        <v>60.0</v>
      </c>
      <c r="N1956" s="25">
        <v>31.0</v>
      </c>
      <c r="O1956" s="25"/>
      <c r="P1956" s="25"/>
    </row>
    <row r="1957">
      <c r="A1957" s="16">
        <v>1955.0</v>
      </c>
      <c r="B1957" s="17" t="s">
        <v>270</v>
      </c>
      <c r="C1957" s="18">
        <v>108.0</v>
      </c>
      <c r="D1957" s="19" t="s">
        <v>2077</v>
      </c>
      <c r="E1957" s="20" t="s">
        <v>443</v>
      </c>
      <c r="F1957" s="17" t="s">
        <v>990</v>
      </c>
      <c r="G1957" s="17" t="s">
        <v>2811</v>
      </c>
      <c r="H1957" s="17" t="s">
        <v>4804</v>
      </c>
      <c r="I1957" s="17" t="s">
        <v>125</v>
      </c>
      <c r="J1957" s="22" t="s">
        <v>144</v>
      </c>
      <c r="K1957" s="23" t="s">
        <v>108</v>
      </c>
      <c r="L1957" s="24" t="s">
        <v>91</v>
      </c>
      <c r="M1957" s="2">
        <v>60.0</v>
      </c>
      <c r="N1957" s="25">
        <v>31.0</v>
      </c>
      <c r="O1957" s="25"/>
      <c r="P1957" s="25"/>
    </row>
    <row r="1958">
      <c r="A1958" s="16">
        <v>1956.0</v>
      </c>
      <c r="B1958" s="17" t="s">
        <v>270</v>
      </c>
      <c r="C1958" s="18">
        <v>109.0</v>
      </c>
      <c r="D1958" s="19" t="s">
        <v>2077</v>
      </c>
      <c r="E1958" s="20" t="s">
        <v>443</v>
      </c>
      <c r="F1958" s="17" t="s">
        <v>1425</v>
      </c>
      <c r="G1958" s="17" t="s">
        <v>4805</v>
      </c>
      <c r="H1958" s="17" t="s">
        <v>4806</v>
      </c>
      <c r="I1958" s="17" t="s">
        <v>125</v>
      </c>
      <c r="J1958" s="22" t="s">
        <v>144</v>
      </c>
      <c r="K1958" s="23" t="s">
        <v>108</v>
      </c>
      <c r="L1958" s="24" t="s">
        <v>91</v>
      </c>
      <c r="M1958" s="2">
        <v>60.0</v>
      </c>
      <c r="N1958" s="25">
        <v>31.0</v>
      </c>
      <c r="O1958" s="25"/>
      <c r="P1958" s="25"/>
    </row>
    <row r="1959">
      <c r="A1959" s="16">
        <v>1957.0</v>
      </c>
      <c r="B1959" s="17" t="s">
        <v>270</v>
      </c>
      <c r="C1959" s="18">
        <v>110.0</v>
      </c>
      <c r="D1959" s="19" t="s">
        <v>2077</v>
      </c>
      <c r="E1959" s="20" t="s">
        <v>443</v>
      </c>
      <c r="F1959" s="17" t="s">
        <v>642</v>
      </c>
      <c r="G1959" s="17" t="s">
        <v>4598</v>
      </c>
      <c r="H1959" s="17" t="s">
        <v>4807</v>
      </c>
      <c r="I1959" s="17" t="s">
        <v>125</v>
      </c>
      <c r="J1959" s="22" t="s">
        <v>144</v>
      </c>
      <c r="K1959" s="23" t="s">
        <v>108</v>
      </c>
      <c r="L1959" s="24" t="s">
        <v>91</v>
      </c>
      <c r="M1959" s="2">
        <v>60.0</v>
      </c>
      <c r="N1959" s="25">
        <v>31.0</v>
      </c>
      <c r="O1959" s="25"/>
      <c r="P1959" s="25"/>
    </row>
    <row r="1960">
      <c r="A1960" s="16">
        <v>1958.0</v>
      </c>
      <c r="B1960" s="17" t="s">
        <v>270</v>
      </c>
      <c r="C1960" s="18">
        <v>111.0</v>
      </c>
      <c r="D1960" s="19" t="s">
        <v>2077</v>
      </c>
      <c r="E1960" s="20" t="s">
        <v>443</v>
      </c>
      <c r="F1960" s="17" t="s">
        <v>1151</v>
      </c>
      <c r="G1960" s="17" t="s">
        <v>4808</v>
      </c>
      <c r="H1960" s="17" t="s">
        <v>4809</v>
      </c>
      <c r="I1960" s="17" t="s">
        <v>125</v>
      </c>
      <c r="J1960" s="22" t="s">
        <v>144</v>
      </c>
      <c r="K1960" s="23" t="s">
        <v>108</v>
      </c>
      <c r="L1960" s="24" t="s">
        <v>91</v>
      </c>
      <c r="M1960" s="2">
        <v>60.0</v>
      </c>
      <c r="N1960" s="25">
        <v>31.0</v>
      </c>
      <c r="O1960" s="25"/>
      <c r="P1960" s="25"/>
    </row>
    <row r="1961">
      <c r="A1961" s="16">
        <v>1959.0</v>
      </c>
      <c r="B1961" s="17" t="s">
        <v>270</v>
      </c>
      <c r="C1961" s="18">
        <v>112.0</v>
      </c>
      <c r="D1961" s="19" t="s">
        <v>2077</v>
      </c>
      <c r="E1961" s="20" t="s">
        <v>443</v>
      </c>
      <c r="F1961" s="17" t="s">
        <v>1259</v>
      </c>
      <c r="G1961" s="17" t="s">
        <v>4210</v>
      </c>
      <c r="H1961" s="17" t="s">
        <v>4810</v>
      </c>
      <c r="I1961" s="17" t="s">
        <v>125</v>
      </c>
      <c r="J1961" s="22" t="s">
        <v>144</v>
      </c>
      <c r="K1961" s="23" t="s">
        <v>108</v>
      </c>
      <c r="L1961" s="24" t="s">
        <v>91</v>
      </c>
      <c r="M1961" s="2">
        <v>60.0</v>
      </c>
      <c r="N1961" s="25">
        <v>31.0</v>
      </c>
      <c r="O1961" s="25"/>
      <c r="P1961" s="25"/>
    </row>
    <row r="1962">
      <c r="A1962" s="16">
        <v>1960.0</v>
      </c>
      <c r="B1962" s="17" t="s">
        <v>270</v>
      </c>
      <c r="C1962" s="18">
        <v>113.0</v>
      </c>
      <c r="D1962" s="19" t="s">
        <v>2077</v>
      </c>
      <c r="E1962" s="20" t="s">
        <v>443</v>
      </c>
      <c r="F1962" s="17" t="s">
        <v>951</v>
      </c>
      <c r="G1962" s="17" t="s">
        <v>1836</v>
      </c>
      <c r="H1962" s="17" t="s">
        <v>4707</v>
      </c>
      <c r="I1962" s="17" t="s">
        <v>125</v>
      </c>
      <c r="J1962" s="22" t="s">
        <v>144</v>
      </c>
      <c r="K1962" s="23" t="s">
        <v>108</v>
      </c>
      <c r="L1962" s="24" t="s">
        <v>91</v>
      </c>
      <c r="M1962" s="2">
        <v>60.0</v>
      </c>
      <c r="N1962" s="25">
        <v>31.0</v>
      </c>
      <c r="O1962" s="25"/>
      <c r="P1962" s="25"/>
    </row>
    <row r="1963">
      <c r="A1963" s="16">
        <v>1961.0</v>
      </c>
      <c r="B1963" s="27" t="s">
        <v>270</v>
      </c>
      <c r="C1963" s="18">
        <v>114.0</v>
      </c>
      <c r="D1963" s="19" t="s">
        <v>2077</v>
      </c>
      <c r="E1963" s="20" t="s">
        <v>443</v>
      </c>
      <c r="F1963" s="27" t="s">
        <v>1143</v>
      </c>
      <c r="G1963" s="17" t="s">
        <v>4811</v>
      </c>
      <c r="H1963" s="17" t="s">
        <v>4812</v>
      </c>
      <c r="I1963" s="17" t="s">
        <v>125</v>
      </c>
      <c r="J1963" s="22" t="s">
        <v>144</v>
      </c>
      <c r="K1963" s="23" t="s">
        <v>108</v>
      </c>
      <c r="L1963" s="24"/>
      <c r="M1963" s="2">
        <v>60.0</v>
      </c>
      <c r="N1963" s="25">
        <v>31.0</v>
      </c>
      <c r="O1963" s="25"/>
      <c r="P1963" s="25"/>
    </row>
    <row r="1964">
      <c r="A1964" s="16">
        <v>1962.0</v>
      </c>
      <c r="B1964" s="27" t="s">
        <v>270</v>
      </c>
      <c r="C1964" s="18">
        <v>115.0</v>
      </c>
      <c r="D1964" s="19" t="s">
        <v>2077</v>
      </c>
      <c r="E1964" s="20" t="s">
        <v>443</v>
      </c>
      <c r="F1964" s="27" t="s">
        <v>1373</v>
      </c>
      <c r="G1964" s="17" t="s">
        <v>3651</v>
      </c>
      <c r="H1964" s="17" t="s">
        <v>4813</v>
      </c>
      <c r="I1964" s="17" t="s">
        <v>125</v>
      </c>
      <c r="J1964" s="22" t="s">
        <v>144</v>
      </c>
      <c r="K1964" s="23" t="s">
        <v>108</v>
      </c>
      <c r="L1964" s="24"/>
      <c r="M1964" s="2">
        <v>60.0</v>
      </c>
      <c r="N1964" s="25">
        <v>31.0</v>
      </c>
      <c r="O1964" s="25"/>
      <c r="P1964" s="25"/>
    </row>
    <row r="1965">
      <c r="A1965" s="16">
        <v>1963.0</v>
      </c>
      <c r="B1965" s="27" t="s">
        <v>270</v>
      </c>
      <c r="C1965" s="18">
        <v>116.0</v>
      </c>
      <c r="D1965" s="19" t="s">
        <v>2077</v>
      </c>
      <c r="E1965" s="20" t="s">
        <v>443</v>
      </c>
      <c r="F1965" s="27" t="s">
        <v>1014</v>
      </c>
      <c r="G1965" s="17" t="s">
        <v>4814</v>
      </c>
      <c r="H1965" s="17" t="s">
        <v>4815</v>
      </c>
      <c r="I1965" s="17" t="s">
        <v>125</v>
      </c>
      <c r="J1965" s="22" t="s">
        <v>144</v>
      </c>
      <c r="K1965" s="23" t="s">
        <v>108</v>
      </c>
      <c r="L1965" s="24"/>
      <c r="M1965" s="2">
        <v>60.0</v>
      </c>
      <c r="N1965" s="25">
        <v>31.0</v>
      </c>
      <c r="O1965" s="25"/>
      <c r="P1965" s="25"/>
    </row>
    <row r="1966">
      <c r="A1966" s="16">
        <v>1964.0</v>
      </c>
      <c r="B1966" s="27" t="s">
        <v>270</v>
      </c>
      <c r="C1966" s="18">
        <v>117.0</v>
      </c>
      <c r="D1966" s="19" t="s">
        <v>2077</v>
      </c>
      <c r="E1966" s="20" t="s">
        <v>443</v>
      </c>
      <c r="F1966" s="27" t="s">
        <v>1294</v>
      </c>
      <c r="G1966" s="17" t="s">
        <v>4816</v>
      </c>
      <c r="H1966" s="17" t="s">
        <v>4817</v>
      </c>
      <c r="I1966" s="17" t="s">
        <v>125</v>
      </c>
      <c r="J1966" s="22" t="s">
        <v>144</v>
      </c>
      <c r="K1966" s="23" t="s">
        <v>108</v>
      </c>
      <c r="L1966" s="24"/>
      <c r="M1966" s="2">
        <v>60.0</v>
      </c>
      <c r="N1966" s="25">
        <v>31.0</v>
      </c>
      <c r="O1966" s="25"/>
      <c r="P1966" s="25"/>
    </row>
    <row r="1967">
      <c r="A1967" s="16">
        <v>1965.0</v>
      </c>
      <c r="B1967" s="27" t="s">
        <v>270</v>
      </c>
      <c r="C1967" s="18">
        <v>118.0</v>
      </c>
      <c r="D1967" s="19" t="s">
        <v>2077</v>
      </c>
      <c r="E1967" s="20" t="s">
        <v>443</v>
      </c>
      <c r="F1967" s="27" t="s">
        <v>4818</v>
      </c>
      <c r="G1967" s="17" t="s">
        <v>123</v>
      </c>
      <c r="H1967" s="17" t="s">
        <v>4819</v>
      </c>
      <c r="I1967" s="17" t="s">
        <v>125</v>
      </c>
      <c r="J1967" s="22" t="s">
        <v>144</v>
      </c>
      <c r="K1967" s="23" t="s">
        <v>108</v>
      </c>
      <c r="L1967" s="24"/>
      <c r="M1967" s="2">
        <v>60.0</v>
      </c>
      <c r="N1967" s="25">
        <v>31.0</v>
      </c>
      <c r="O1967" s="25"/>
      <c r="P1967" s="25"/>
    </row>
    <row r="1968">
      <c r="A1968" s="16">
        <v>1966.0</v>
      </c>
      <c r="B1968" s="27" t="s">
        <v>270</v>
      </c>
      <c r="C1968" s="18">
        <v>119.0</v>
      </c>
      <c r="D1968" s="19" t="s">
        <v>2077</v>
      </c>
      <c r="E1968" s="20" t="s">
        <v>443</v>
      </c>
      <c r="F1968" s="27" t="s">
        <v>1379</v>
      </c>
      <c r="G1968" s="17" t="s">
        <v>3824</v>
      </c>
      <c r="H1968" s="17" t="s">
        <v>4820</v>
      </c>
      <c r="I1968" s="17" t="s">
        <v>125</v>
      </c>
      <c r="J1968" s="22" t="s">
        <v>144</v>
      </c>
      <c r="K1968" s="23" t="s">
        <v>108</v>
      </c>
      <c r="L1968" s="24"/>
      <c r="M1968" s="2">
        <v>60.0</v>
      </c>
      <c r="N1968" s="25">
        <v>31.0</v>
      </c>
      <c r="O1968" s="25"/>
      <c r="P1968" s="25"/>
    </row>
    <row r="1969">
      <c r="A1969" s="16">
        <v>1967.0</v>
      </c>
      <c r="B1969" s="27" t="s">
        <v>270</v>
      </c>
      <c r="C1969" s="18">
        <v>120.0</v>
      </c>
      <c r="D1969" s="19" t="s">
        <v>2077</v>
      </c>
      <c r="E1969" s="20" t="s">
        <v>443</v>
      </c>
      <c r="F1969" s="27" t="s">
        <v>1116</v>
      </c>
      <c r="G1969" s="17" t="s">
        <v>3432</v>
      </c>
      <c r="H1969" s="17" t="s">
        <v>4821</v>
      </c>
      <c r="I1969" s="17" t="s">
        <v>125</v>
      </c>
      <c r="J1969" s="22" t="s">
        <v>144</v>
      </c>
      <c r="K1969" s="23" t="s">
        <v>108</v>
      </c>
      <c r="L1969" s="24"/>
      <c r="M1969" s="2">
        <v>60.0</v>
      </c>
      <c r="N1969" s="25">
        <v>31.0</v>
      </c>
      <c r="O1969" s="25"/>
      <c r="P1969" s="25"/>
    </row>
    <row r="1970">
      <c r="A1970" s="16">
        <v>1968.0</v>
      </c>
      <c r="B1970" s="27" t="s">
        <v>270</v>
      </c>
      <c r="C1970" s="18">
        <v>121.0</v>
      </c>
      <c r="D1970" s="19" t="s">
        <v>2077</v>
      </c>
      <c r="E1970" s="20" t="s">
        <v>443</v>
      </c>
      <c r="F1970" s="27" t="s">
        <v>1253</v>
      </c>
      <c r="G1970" s="17" t="s">
        <v>4822</v>
      </c>
      <c r="H1970" s="17" t="s">
        <v>4823</v>
      </c>
      <c r="I1970" s="17" t="s">
        <v>125</v>
      </c>
      <c r="J1970" s="22" t="s">
        <v>144</v>
      </c>
      <c r="K1970" s="23" t="s">
        <v>108</v>
      </c>
      <c r="L1970" s="24"/>
      <c r="M1970" s="2">
        <v>60.0</v>
      </c>
      <c r="N1970" s="25">
        <v>31.0</v>
      </c>
      <c r="O1970" s="25"/>
      <c r="P1970" s="25"/>
    </row>
    <row r="1971">
      <c r="A1971" s="16">
        <v>1969.0</v>
      </c>
      <c r="B1971" s="27" t="s">
        <v>270</v>
      </c>
      <c r="C1971" s="18">
        <v>122.0</v>
      </c>
      <c r="D1971" s="19" t="s">
        <v>2077</v>
      </c>
      <c r="E1971" s="20" t="s">
        <v>443</v>
      </c>
      <c r="F1971" s="27" t="s">
        <v>1035</v>
      </c>
      <c r="G1971" s="17" t="s">
        <v>1990</v>
      </c>
      <c r="H1971" s="17" t="s">
        <v>4824</v>
      </c>
      <c r="I1971" s="17" t="s">
        <v>125</v>
      </c>
      <c r="J1971" s="22" t="s">
        <v>144</v>
      </c>
      <c r="K1971" s="23" t="s">
        <v>108</v>
      </c>
      <c r="L1971" s="24"/>
      <c r="M1971" s="2">
        <v>60.0</v>
      </c>
      <c r="N1971" s="25">
        <v>31.0</v>
      </c>
      <c r="O1971" s="25"/>
      <c r="P1971" s="25"/>
    </row>
    <row r="1972">
      <c r="A1972" s="16">
        <v>1970.0</v>
      </c>
      <c r="B1972" s="27" t="s">
        <v>270</v>
      </c>
      <c r="C1972" s="18">
        <v>123.0</v>
      </c>
      <c r="D1972" s="19" t="s">
        <v>2077</v>
      </c>
      <c r="E1972" s="20" t="s">
        <v>443</v>
      </c>
      <c r="F1972" s="27" t="s">
        <v>1440</v>
      </c>
      <c r="G1972" s="17" t="s">
        <v>4825</v>
      </c>
      <c r="H1972" s="17" t="s">
        <v>4826</v>
      </c>
      <c r="I1972" s="17" t="s">
        <v>125</v>
      </c>
      <c r="J1972" s="22" t="s">
        <v>144</v>
      </c>
      <c r="K1972" s="23" t="s">
        <v>108</v>
      </c>
      <c r="L1972" s="24"/>
      <c r="M1972" s="2">
        <v>60.0</v>
      </c>
      <c r="N1972" s="25">
        <v>31.0</v>
      </c>
      <c r="O1972" s="25"/>
      <c r="P1972" s="25"/>
    </row>
    <row r="1973">
      <c r="A1973" s="16">
        <v>1971.0</v>
      </c>
      <c r="B1973" s="27" t="s">
        <v>270</v>
      </c>
      <c r="C1973" s="18">
        <v>124.0</v>
      </c>
      <c r="D1973" s="19" t="s">
        <v>2077</v>
      </c>
      <c r="E1973" s="20" t="s">
        <v>443</v>
      </c>
      <c r="F1973" s="27" t="s">
        <v>1231</v>
      </c>
      <c r="G1973" s="17" t="s">
        <v>4827</v>
      </c>
      <c r="H1973" s="17" t="s">
        <v>4828</v>
      </c>
      <c r="I1973" s="17" t="s">
        <v>125</v>
      </c>
      <c r="J1973" s="22" t="s">
        <v>144</v>
      </c>
      <c r="K1973" s="23" t="s">
        <v>108</v>
      </c>
      <c r="L1973" s="24"/>
      <c r="M1973" s="2">
        <v>60.0</v>
      </c>
      <c r="N1973" s="25">
        <v>31.0</v>
      </c>
      <c r="O1973" s="25"/>
      <c r="P1973" s="25"/>
    </row>
    <row r="1974">
      <c r="A1974" s="16">
        <v>1972.0</v>
      </c>
      <c r="B1974" s="27" t="s">
        <v>270</v>
      </c>
      <c r="C1974" s="18">
        <v>125.0</v>
      </c>
      <c r="D1974" s="19" t="s">
        <v>2077</v>
      </c>
      <c r="E1974" s="20" t="s">
        <v>443</v>
      </c>
      <c r="F1974" s="27" t="s">
        <v>945</v>
      </c>
      <c r="G1974" s="17" t="s">
        <v>4829</v>
      </c>
      <c r="H1974" s="17" t="s">
        <v>4830</v>
      </c>
      <c r="I1974" s="17" t="s">
        <v>125</v>
      </c>
      <c r="J1974" s="22" t="s">
        <v>144</v>
      </c>
      <c r="K1974" s="23" t="s">
        <v>108</v>
      </c>
      <c r="L1974" s="24"/>
      <c r="M1974" s="2">
        <v>60.0</v>
      </c>
      <c r="N1974" s="25">
        <v>31.0</v>
      </c>
      <c r="O1974" s="25"/>
      <c r="P1974" s="25"/>
    </row>
    <row r="1975">
      <c r="A1975" s="16">
        <v>1973.0</v>
      </c>
      <c r="B1975" s="27" t="s">
        <v>270</v>
      </c>
      <c r="C1975" s="18">
        <v>126.0</v>
      </c>
      <c r="D1975" s="19" t="s">
        <v>2077</v>
      </c>
      <c r="E1975" s="20" t="s">
        <v>443</v>
      </c>
      <c r="F1975" s="27" t="s">
        <v>4831</v>
      </c>
      <c r="G1975" s="17" t="s">
        <v>4832</v>
      </c>
      <c r="H1975" s="17" t="s">
        <v>4833</v>
      </c>
      <c r="I1975" s="17" t="s">
        <v>125</v>
      </c>
      <c r="J1975" s="22" t="s">
        <v>144</v>
      </c>
      <c r="K1975" s="23" t="s">
        <v>108</v>
      </c>
      <c r="L1975" s="24"/>
      <c r="M1975" s="2">
        <v>60.0</v>
      </c>
      <c r="N1975" s="25">
        <v>31.0</v>
      </c>
      <c r="O1975" s="25"/>
      <c r="P1975" s="25"/>
    </row>
    <row r="1976">
      <c r="A1976" s="16">
        <v>1974.0</v>
      </c>
      <c r="B1976" s="27" t="s">
        <v>270</v>
      </c>
      <c r="C1976" s="18">
        <v>127.0</v>
      </c>
      <c r="D1976" s="19" t="s">
        <v>2077</v>
      </c>
      <c r="E1976" s="20" t="s">
        <v>443</v>
      </c>
      <c r="F1976" s="27" t="s">
        <v>1225</v>
      </c>
      <c r="G1976" s="17" t="s">
        <v>4834</v>
      </c>
      <c r="H1976" s="17" t="s">
        <v>4835</v>
      </c>
      <c r="I1976" s="17" t="s">
        <v>125</v>
      </c>
      <c r="J1976" s="22" t="s">
        <v>144</v>
      </c>
      <c r="K1976" s="23" t="s">
        <v>108</v>
      </c>
      <c r="L1976" s="24"/>
      <c r="M1976" s="2">
        <v>60.0</v>
      </c>
      <c r="N1976" s="25">
        <v>31.0</v>
      </c>
      <c r="O1976" s="25"/>
      <c r="P1976" s="25"/>
    </row>
    <row r="1977">
      <c r="A1977" s="16">
        <v>1975.0</v>
      </c>
      <c r="B1977" s="17" t="s">
        <v>270</v>
      </c>
      <c r="C1977" s="18">
        <v>128.0</v>
      </c>
      <c r="D1977" s="19" t="s">
        <v>2091</v>
      </c>
      <c r="E1977" s="20" t="s">
        <v>443</v>
      </c>
      <c r="F1977" s="17" t="s">
        <v>154</v>
      </c>
      <c r="G1977" s="17" t="s">
        <v>4836</v>
      </c>
      <c r="H1977" s="17" t="s">
        <v>4837</v>
      </c>
      <c r="I1977" s="17" t="s">
        <v>125</v>
      </c>
      <c r="J1977" s="22" t="s">
        <v>144</v>
      </c>
      <c r="K1977" s="23" t="s">
        <v>108</v>
      </c>
      <c r="L1977" s="24" t="s">
        <v>91</v>
      </c>
      <c r="M1977" s="2">
        <v>60.0</v>
      </c>
      <c r="N1977" s="25">
        <v>31.0</v>
      </c>
      <c r="O1977" s="25"/>
      <c r="P1977" s="25"/>
    </row>
    <row r="1978">
      <c r="A1978" s="16">
        <v>1976.0</v>
      </c>
      <c r="B1978" s="17" t="s">
        <v>270</v>
      </c>
      <c r="C1978" s="18">
        <v>129.0</v>
      </c>
      <c r="D1978" s="19" t="s">
        <v>2091</v>
      </c>
      <c r="E1978" s="20" t="s">
        <v>443</v>
      </c>
      <c r="F1978" s="17" t="s">
        <v>571</v>
      </c>
      <c r="G1978" s="17" t="s">
        <v>123</v>
      </c>
      <c r="H1978" s="17" t="s">
        <v>4838</v>
      </c>
      <c r="I1978" s="17" t="s">
        <v>125</v>
      </c>
      <c r="J1978" s="22" t="s">
        <v>144</v>
      </c>
      <c r="K1978" s="23" t="s">
        <v>108</v>
      </c>
      <c r="L1978" s="24" t="s">
        <v>91</v>
      </c>
      <c r="M1978" s="2">
        <v>60.0</v>
      </c>
      <c r="N1978" s="25">
        <v>31.0</v>
      </c>
      <c r="O1978" s="25"/>
      <c r="P1978" s="25"/>
    </row>
    <row r="1979">
      <c r="A1979" s="16">
        <v>1977.0</v>
      </c>
      <c r="B1979" s="17" t="s">
        <v>270</v>
      </c>
      <c r="C1979" s="18">
        <v>130.0</v>
      </c>
      <c r="D1979" s="19" t="s">
        <v>2091</v>
      </c>
      <c r="E1979" s="20" t="s">
        <v>443</v>
      </c>
      <c r="F1979" s="17" t="s">
        <v>898</v>
      </c>
      <c r="G1979" s="17" t="s">
        <v>3826</v>
      </c>
      <c r="H1979" s="17" t="s">
        <v>4839</v>
      </c>
      <c r="I1979" s="17" t="s">
        <v>125</v>
      </c>
      <c r="J1979" s="22" t="s">
        <v>144</v>
      </c>
      <c r="K1979" s="23" t="s">
        <v>108</v>
      </c>
      <c r="L1979" s="24" t="s">
        <v>91</v>
      </c>
      <c r="M1979" s="2">
        <v>60.0</v>
      </c>
      <c r="N1979" s="25">
        <v>31.0</v>
      </c>
      <c r="O1979" s="25"/>
      <c r="P1979" s="25"/>
    </row>
    <row r="1980">
      <c r="A1980" s="16">
        <v>1978.0</v>
      </c>
      <c r="B1980" s="17" t="s">
        <v>270</v>
      </c>
      <c r="C1980" s="18">
        <v>131.0</v>
      </c>
      <c r="D1980" s="19" t="s">
        <v>2091</v>
      </c>
      <c r="E1980" s="20" t="s">
        <v>443</v>
      </c>
      <c r="F1980" s="17" t="s">
        <v>1008</v>
      </c>
      <c r="G1980" s="17" t="s">
        <v>4106</v>
      </c>
      <c r="H1980" s="17" t="s">
        <v>4840</v>
      </c>
      <c r="I1980" s="17" t="s">
        <v>125</v>
      </c>
      <c r="J1980" s="22" t="s">
        <v>144</v>
      </c>
      <c r="K1980" s="23" t="s">
        <v>108</v>
      </c>
      <c r="L1980" s="24" t="s">
        <v>91</v>
      </c>
      <c r="M1980" s="2">
        <v>60.0</v>
      </c>
      <c r="N1980" s="25">
        <v>31.0</v>
      </c>
      <c r="O1980" s="25"/>
      <c r="P1980" s="25"/>
    </row>
    <row r="1981">
      <c r="A1981" s="16">
        <v>1979.0</v>
      </c>
      <c r="B1981" s="17" t="s">
        <v>270</v>
      </c>
      <c r="C1981" s="18">
        <v>132.0</v>
      </c>
      <c r="D1981" s="19" t="s">
        <v>2091</v>
      </c>
      <c r="E1981" s="20" t="s">
        <v>443</v>
      </c>
      <c r="F1981" s="17" t="s">
        <v>129</v>
      </c>
      <c r="G1981" s="17" t="s">
        <v>1912</v>
      </c>
      <c r="H1981" s="17" t="s">
        <v>4841</v>
      </c>
      <c r="I1981" s="17" t="s">
        <v>125</v>
      </c>
      <c r="J1981" s="22" t="s">
        <v>144</v>
      </c>
      <c r="K1981" s="23" t="s">
        <v>108</v>
      </c>
      <c r="L1981" s="24" t="s">
        <v>91</v>
      </c>
      <c r="M1981" s="2">
        <v>60.0</v>
      </c>
      <c r="N1981" s="25">
        <v>31.0</v>
      </c>
      <c r="O1981" s="25"/>
      <c r="P1981" s="25"/>
    </row>
    <row r="1982">
      <c r="A1982" s="16">
        <v>1980.0</v>
      </c>
      <c r="B1982" s="17" t="s">
        <v>270</v>
      </c>
      <c r="C1982" s="18">
        <v>133.0</v>
      </c>
      <c r="D1982" s="19" t="s">
        <v>2091</v>
      </c>
      <c r="E1982" s="20" t="s">
        <v>443</v>
      </c>
      <c r="F1982" s="17" t="s">
        <v>997</v>
      </c>
      <c r="G1982" s="17" t="s">
        <v>4842</v>
      </c>
      <c r="H1982" s="17" t="s">
        <v>4843</v>
      </c>
      <c r="I1982" s="17" t="s">
        <v>125</v>
      </c>
      <c r="J1982" s="22" t="s">
        <v>144</v>
      </c>
      <c r="K1982" s="23" t="s">
        <v>108</v>
      </c>
      <c r="L1982" s="24" t="s">
        <v>91</v>
      </c>
      <c r="M1982" s="2">
        <v>60.0</v>
      </c>
      <c r="N1982" s="25">
        <v>31.0</v>
      </c>
      <c r="O1982" s="25"/>
      <c r="P1982" s="25"/>
    </row>
    <row r="1983">
      <c r="A1983" s="16">
        <v>1981.0</v>
      </c>
      <c r="B1983" s="17" t="s">
        <v>270</v>
      </c>
      <c r="C1983" s="18">
        <v>134.0</v>
      </c>
      <c r="D1983" s="19" t="s">
        <v>2091</v>
      </c>
      <c r="E1983" s="20" t="s">
        <v>443</v>
      </c>
      <c r="F1983" s="17" t="s">
        <v>767</v>
      </c>
      <c r="G1983" s="17" t="s">
        <v>3721</v>
      </c>
      <c r="H1983" s="17" t="s">
        <v>3722</v>
      </c>
      <c r="I1983" s="17" t="s">
        <v>125</v>
      </c>
      <c r="J1983" s="22" t="s">
        <v>144</v>
      </c>
      <c r="K1983" s="23" t="s">
        <v>108</v>
      </c>
      <c r="L1983" s="24" t="s">
        <v>91</v>
      </c>
      <c r="M1983" s="2">
        <v>60.0</v>
      </c>
      <c r="N1983" s="25">
        <v>31.0</v>
      </c>
      <c r="O1983" s="25"/>
      <c r="P1983" s="25"/>
    </row>
    <row r="1984">
      <c r="A1984" s="16">
        <v>1982.0</v>
      </c>
      <c r="B1984" s="17" t="s">
        <v>270</v>
      </c>
      <c r="C1984" s="18">
        <v>135.0</v>
      </c>
      <c r="D1984" s="19" t="s">
        <v>2091</v>
      </c>
      <c r="E1984" s="20" t="s">
        <v>443</v>
      </c>
      <c r="F1984" s="17" t="s">
        <v>807</v>
      </c>
      <c r="G1984" s="17" t="s">
        <v>4844</v>
      </c>
      <c r="H1984" s="17" t="s">
        <v>4845</v>
      </c>
      <c r="I1984" s="17" t="s">
        <v>125</v>
      </c>
      <c r="J1984" s="22" t="s">
        <v>144</v>
      </c>
      <c r="K1984" s="23" t="s">
        <v>108</v>
      </c>
      <c r="L1984" s="24" t="s">
        <v>91</v>
      </c>
      <c r="M1984" s="2">
        <v>60.0</v>
      </c>
      <c r="N1984" s="25">
        <v>31.0</v>
      </c>
      <c r="O1984" s="25"/>
      <c r="P1984" s="25"/>
    </row>
    <row r="1985">
      <c r="A1985" s="16">
        <v>1983.0</v>
      </c>
      <c r="B1985" s="17" t="s">
        <v>270</v>
      </c>
      <c r="C1985" s="18">
        <v>136.0</v>
      </c>
      <c r="D1985" s="19" t="s">
        <v>2091</v>
      </c>
      <c r="E1985" s="20" t="s">
        <v>443</v>
      </c>
      <c r="F1985" s="17" t="s">
        <v>913</v>
      </c>
      <c r="G1985" s="17" t="s">
        <v>123</v>
      </c>
      <c r="H1985" s="17" t="s">
        <v>4846</v>
      </c>
      <c r="I1985" s="17" t="s">
        <v>125</v>
      </c>
      <c r="J1985" s="22" t="s">
        <v>144</v>
      </c>
      <c r="K1985" s="23" t="s">
        <v>108</v>
      </c>
      <c r="L1985" s="24" t="s">
        <v>91</v>
      </c>
      <c r="M1985" s="2">
        <v>60.0</v>
      </c>
      <c r="N1985" s="25">
        <v>31.0</v>
      </c>
      <c r="O1985" s="25"/>
      <c r="P1985" s="25"/>
    </row>
    <row r="1986">
      <c r="A1986" s="16">
        <v>1984.0</v>
      </c>
      <c r="B1986" s="17" t="s">
        <v>270</v>
      </c>
      <c r="C1986" s="18">
        <v>137.0</v>
      </c>
      <c r="D1986" s="19" t="s">
        <v>2091</v>
      </c>
      <c r="E1986" s="20" t="s">
        <v>443</v>
      </c>
      <c r="F1986" s="17" t="s">
        <v>163</v>
      </c>
      <c r="G1986" s="17" t="s">
        <v>4586</v>
      </c>
      <c r="H1986" s="17" t="s">
        <v>4847</v>
      </c>
      <c r="I1986" s="17" t="s">
        <v>125</v>
      </c>
      <c r="J1986" s="22" t="s">
        <v>144</v>
      </c>
      <c r="K1986" s="23" t="s">
        <v>108</v>
      </c>
      <c r="L1986" s="24" t="s">
        <v>91</v>
      </c>
      <c r="M1986" s="2">
        <v>60.0</v>
      </c>
      <c r="N1986" s="25">
        <v>31.0</v>
      </c>
      <c r="O1986" s="25"/>
      <c r="P1986" s="25"/>
    </row>
    <row r="1987">
      <c r="A1987" s="16">
        <v>1985.0</v>
      </c>
      <c r="B1987" s="17" t="s">
        <v>270</v>
      </c>
      <c r="C1987" s="18">
        <v>138.0</v>
      </c>
      <c r="D1987" s="19" t="s">
        <v>2091</v>
      </c>
      <c r="E1987" s="20" t="s">
        <v>443</v>
      </c>
      <c r="F1987" s="17" t="s">
        <v>13</v>
      </c>
      <c r="G1987" s="17" t="s">
        <v>4848</v>
      </c>
      <c r="H1987" s="17" t="s">
        <v>4849</v>
      </c>
      <c r="I1987" s="17" t="s">
        <v>125</v>
      </c>
      <c r="J1987" s="22" t="s">
        <v>144</v>
      </c>
      <c r="K1987" s="23" t="s">
        <v>108</v>
      </c>
      <c r="L1987" s="24" t="s">
        <v>91</v>
      </c>
      <c r="M1987" s="2">
        <v>60.0</v>
      </c>
      <c r="N1987" s="25">
        <v>31.0</v>
      </c>
      <c r="O1987" s="25"/>
      <c r="P1987" s="25"/>
    </row>
    <row r="1988">
      <c r="A1988" s="16">
        <v>1986.0</v>
      </c>
      <c r="B1988" s="17" t="s">
        <v>270</v>
      </c>
      <c r="C1988" s="18">
        <v>139.0</v>
      </c>
      <c r="D1988" s="19" t="s">
        <v>2091</v>
      </c>
      <c r="E1988" s="20" t="s">
        <v>443</v>
      </c>
      <c r="F1988" s="17" t="s">
        <v>72</v>
      </c>
      <c r="G1988" s="17" t="s">
        <v>123</v>
      </c>
      <c r="H1988" s="17" t="s">
        <v>4850</v>
      </c>
      <c r="I1988" s="17" t="s">
        <v>125</v>
      </c>
      <c r="J1988" s="22" t="s">
        <v>144</v>
      </c>
      <c r="K1988" s="23" t="s">
        <v>108</v>
      </c>
      <c r="L1988" s="24" t="s">
        <v>91</v>
      </c>
      <c r="M1988" s="2">
        <v>60.0</v>
      </c>
      <c r="N1988" s="25">
        <v>31.0</v>
      </c>
      <c r="O1988" s="25"/>
      <c r="P1988" s="25"/>
    </row>
    <row r="1989">
      <c r="A1989" s="16">
        <v>1987.0</v>
      </c>
      <c r="B1989" s="17" t="s">
        <v>270</v>
      </c>
      <c r="C1989" s="18">
        <v>140.0</v>
      </c>
      <c r="D1989" s="19" t="s">
        <v>2091</v>
      </c>
      <c r="E1989" s="20" t="s">
        <v>443</v>
      </c>
      <c r="F1989" s="17" t="s">
        <v>206</v>
      </c>
      <c r="G1989" s="17" t="s">
        <v>4851</v>
      </c>
      <c r="H1989" s="17" t="s">
        <v>4852</v>
      </c>
      <c r="I1989" s="17" t="s">
        <v>125</v>
      </c>
      <c r="J1989" s="22" t="s">
        <v>144</v>
      </c>
      <c r="K1989" s="23" t="s">
        <v>108</v>
      </c>
      <c r="L1989" s="24" t="s">
        <v>91</v>
      </c>
      <c r="M1989" s="2">
        <v>60.0</v>
      </c>
      <c r="N1989" s="25">
        <v>31.0</v>
      </c>
      <c r="O1989" s="25"/>
      <c r="P1989" s="25"/>
    </row>
    <row r="1990">
      <c r="A1990" s="16">
        <v>1988.0</v>
      </c>
      <c r="B1990" s="17" t="s">
        <v>270</v>
      </c>
      <c r="C1990" s="18">
        <v>141.0</v>
      </c>
      <c r="D1990" s="19" t="s">
        <v>2091</v>
      </c>
      <c r="E1990" s="20" t="s">
        <v>443</v>
      </c>
      <c r="F1990" s="17" t="s">
        <v>74</v>
      </c>
      <c r="G1990" s="17" t="s">
        <v>4853</v>
      </c>
      <c r="H1990" s="17" t="s">
        <v>4854</v>
      </c>
      <c r="I1990" s="17" t="s">
        <v>125</v>
      </c>
      <c r="J1990" s="22" t="s">
        <v>144</v>
      </c>
      <c r="K1990" s="23" t="s">
        <v>108</v>
      </c>
      <c r="L1990" s="24" t="s">
        <v>91</v>
      </c>
      <c r="M1990" s="2">
        <v>60.0</v>
      </c>
      <c r="N1990" s="25">
        <v>31.0</v>
      </c>
      <c r="O1990" s="25"/>
      <c r="P1990" s="25"/>
    </row>
    <row r="1991">
      <c r="A1991" s="16">
        <v>1989.0</v>
      </c>
      <c r="B1991" s="17" t="s">
        <v>270</v>
      </c>
      <c r="C1991" s="18">
        <v>142.0</v>
      </c>
      <c r="D1991" s="19" t="s">
        <v>2091</v>
      </c>
      <c r="E1991" s="20" t="s">
        <v>443</v>
      </c>
      <c r="F1991" s="17" t="s">
        <v>203</v>
      </c>
      <c r="G1991" s="17" t="s">
        <v>4855</v>
      </c>
      <c r="H1991" s="17" t="s">
        <v>4856</v>
      </c>
      <c r="I1991" s="17" t="s">
        <v>125</v>
      </c>
      <c r="J1991" s="22" t="s">
        <v>144</v>
      </c>
      <c r="K1991" s="23" t="s">
        <v>108</v>
      </c>
      <c r="L1991" s="24" t="s">
        <v>91</v>
      </c>
      <c r="M1991" s="2">
        <v>60.0</v>
      </c>
      <c r="N1991" s="25">
        <v>31.0</v>
      </c>
      <c r="O1991" s="25"/>
      <c r="P1991" s="25"/>
    </row>
    <row r="1992">
      <c r="A1992" s="16">
        <v>1990.0</v>
      </c>
      <c r="B1992" s="17" t="s">
        <v>270</v>
      </c>
      <c r="C1992" s="18">
        <v>143.0</v>
      </c>
      <c r="D1992" s="19" t="s">
        <v>2091</v>
      </c>
      <c r="E1992" s="20" t="s">
        <v>443</v>
      </c>
      <c r="F1992" s="17" t="s">
        <v>472</v>
      </c>
      <c r="G1992" s="17" t="s">
        <v>4857</v>
      </c>
      <c r="H1992" s="17" t="s">
        <v>4858</v>
      </c>
      <c r="I1992" s="17" t="s">
        <v>125</v>
      </c>
      <c r="J1992" s="22" t="s">
        <v>144</v>
      </c>
      <c r="K1992" s="23" t="s">
        <v>108</v>
      </c>
      <c r="L1992" s="24" t="s">
        <v>91</v>
      </c>
      <c r="M1992" s="2">
        <v>60.0</v>
      </c>
      <c r="N1992" s="25">
        <v>31.0</v>
      </c>
      <c r="O1992" s="25"/>
      <c r="P1992" s="25"/>
    </row>
    <row r="1993">
      <c r="A1993" s="16">
        <v>1991.0</v>
      </c>
      <c r="B1993" s="17" t="s">
        <v>270</v>
      </c>
      <c r="C1993" s="18">
        <v>144.0</v>
      </c>
      <c r="D1993" s="19" t="s">
        <v>2091</v>
      </c>
      <c r="E1993" s="20" t="s">
        <v>443</v>
      </c>
      <c r="F1993" s="17" t="s">
        <v>367</v>
      </c>
      <c r="G1993" s="17" t="s">
        <v>123</v>
      </c>
      <c r="H1993" s="17" t="s">
        <v>4859</v>
      </c>
      <c r="I1993" s="17" t="s">
        <v>125</v>
      </c>
      <c r="J1993" s="22" t="s">
        <v>144</v>
      </c>
      <c r="K1993" s="23" t="s">
        <v>108</v>
      </c>
      <c r="L1993" s="24" t="s">
        <v>91</v>
      </c>
      <c r="M1993" s="2">
        <v>60.0</v>
      </c>
      <c r="N1993" s="25">
        <v>31.0</v>
      </c>
      <c r="O1993" s="25"/>
      <c r="P1993" s="25"/>
    </row>
    <row r="1994">
      <c r="A1994" s="16">
        <v>1992.0</v>
      </c>
      <c r="B1994" s="17" t="s">
        <v>270</v>
      </c>
      <c r="C1994" s="18">
        <v>145.0</v>
      </c>
      <c r="D1994" s="19" t="s">
        <v>2091</v>
      </c>
      <c r="E1994" s="20" t="s">
        <v>443</v>
      </c>
      <c r="F1994" s="17" t="s">
        <v>16</v>
      </c>
      <c r="G1994" s="17" t="s">
        <v>4860</v>
      </c>
      <c r="H1994" s="17" t="s">
        <v>4837</v>
      </c>
      <c r="I1994" s="17" t="s">
        <v>125</v>
      </c>
      <c r="J1994" s="22" t="s">
        <v>144</v>
      </c>
      <c r="K1994" s="23" t="s">
        <v>108</v>
      </c>
      <c r="L1994" s="24" t="s">
        <v>91</v>
      </c>
      <c r="M1994" s="2">
        <v>60.0</v>
      </c>
      <c r="N1994" s="25">
        <v>31.0</v>
      </c>
      <c r="O1994" s="25"/>
      <c r="P1994" s="25"/>
    </row>
    <row r="1995">
      <c r="A1995" s="16">
        <v>1993.0</v>
      </c>
      <c r="B1995" s="17" t="s">
        <v>270</v>
      </c>
      <c r="C1995" s="18">
        <v>146.0</v>
      </c>
      <c r="D1995" s="19" t="s">
        <v>2091</v>
      </c>
      <c r="E1995" s="20" t="s">
        <v>443</v>
      </c>
      <c r="F1995" s="17" t="s">
        <v>109</v>
      </c>
      <c r="G1995" s="17" t="s">
        <v>123</v>
      </c>
      <c r="H1995" s="17" t="s">
        <v>4861</v>
      </c>
      <c r="I1995" s="17" t="s">
        <v>125</v>
      </c>
      <c r="J1995" s="22" t="s">
        <v>144</v>
      </c>
      <c r="K1995" s="23" t="s">
        <v>108</v>
      </c>
      <c r="L1995" s="24" t="s">
        <v>91</v>
      </c>
      <c r="M1995" s="2">
        <v>60.0</v>
      </c>
      <c r="N1995" s="25">
        <v>31.0</v>
      </c>
      <c r="O1995" s="25"/>
      <c r="P1995" s="25"/>
    </row>
    <row r="1996">
      <c r="A1996" s="16">
        <v>1994.0</v>
      </c>
      <c r="B1996" s="17" t="s">
        <v>270</v>
      </c>
      <c r="C1996" s="18">
        <v>147.0</v>
      </c>
      <c r="D1996" s="19" t="s">
        <v>2091</v>
      </c>
      <c r="E1996" s="20" t="s">
        <v>443</v>
      </c>
      <c r="F1996" s="17" t="s">
        <v>1245</v>
      </c>
      <c r="G1996" s="17" t="s">
        <v>4862</v>
      </c>
      <c r="H1996" s="17" t="s">
        <v>4863</v>
      </c>
      <c r="I1996" s="17" t="s">
        <v>125</v>
      </c>
      <c r="J1996" s="22" t="s">
        <v>144</v>
      </c>
      <c r="K1996" s="23" t="s">
        <v>108</v>
      </c>
      <c r="L1996" s="24" t="s">
        <v>91</v>
      </c>
      <c r="M1996" s="2">
        <v>60.0</v>
      </c>
      <c r="N1996" s="25">
        <v>31.0</v>
      </c>
      <c r="O1996" s="25"/>
      <c r="P1996" s="25"/>
    </row>
    <row r="1997">
      <c r="A1997" s="16">
        <v>1995.0</v>
      </c>
      <c r="B1997" s="17" t="s">
        <v>270</v>
      </c>
      <c r="C1997" s="18">
        <v>148.0</v>
      </c>
      <c r="D1997" s="19" t="s">
        <v>2091</v>
      </c>
      <c r="E1997" s="20" t="s">
        <v>443</v>
      </c>
      <c r="F1997" s="17" t="s">
        <v>987</v>
      </c>
      <c r="G1997" s="17" t="s">
        <v>2804</v>
      </c>
      <c r="H1997" s="17" t="s">
        <v>4864</v>
      </c>
      <c r="I1997" s="17" t="s">
        <v>125</v>
      </c>
      <c r="J1997" s="22" t="s">
        <v>144</v>
      </c>
      <c r="K1997" s="23" t="s">
        <v>108</v>
      </c>
      <c r="L1997" s="24" t="s">
        <v>91</v>
      </c>
      <c r="M1997" s="2">
        <v>60.0</v>
      </c>
      <c r="N1997" s="25">
        <v>31.0</v>
      </c>
      <c r="O1997" s="25"/>
      <c r="P1997" s="25"/>
    </row>
    <row r="1998">
      <c r="A1998" s="16">
        <v>1996.0</v>
      </c>
      <c r="B1998" s="17" t="s">
        <v>270</v>
      </c>
      <c r="C1998" s="18">
        <v>149.0</v>
      </c>
      <c r="D1998" s="19" t="s">
        <v>2091</v>
      </c>
      <c r="E1998" s="20" t="s">
        <v>443</v>
      </c>
      <c r="F1998" s="17" t="s">
        <v>1142</v>
      </c>
      <c r="G1998" s="17" t="s">
        <v>4865</v>
      </c>
      <c r="H1998" s="17" t="s">
        <v>4866</v>
      </c>
      <c r="I1998" s="17" t="s">
        <v>125</v>
      </c>
      <c r="J1998" s="22" t="s">
        <v>144</v>
      </c>
      <c r="K1998" s="23" t="s">
        <v>108</v>
      </c>
      <c r="L1998" s="24" t="s">
        <v>91</v>
      </c>
      <c r="M1998" s="2">
        <v>60.0</v>
      </c>
      <c r="N1998" s="25">
        <v>31.0</v>
      </c>
      <c r="O1998" s="25"/>
      <c r="P1998" s="25"/>
    </row>
    <row r="1999">
      <c r="A1999" s="16">
        <v>1997.0</v>
      </c>
      <c r="B1999" s="17" t="s">
        <v>270</v>
      </c>
      <c r="C1999" s="18">
        <v>150.0</v>
      </c>
      <c r="D1999" s="19" t="s">
        <v>2091</v>
      </c>
      <c r="E1999" s="20" t="s">
        <v>443</v>
      </c>
      <c r="F1999" s="17" t="s">
        <v>757</v>
      </c>
      <c r="G1999" s="17" t="s">
        <v>3965</v>
      </c>
      <c r="H1999" s="17" t="s">
        <v>4867</v>
      </c>
      <c r="I1999" s="17" t="s">
        <v>125</v>
      </c>
      <c r="J1999" s="22" t="s">
        <v>144</v>
      </c>
      <c r="K1999" s="23" t="s">
        <v>108</v>
      </c>
      <c r="L1999" s="24" t="s">
        <v>91</v>
      </c>
      <c r="M1999" s="2">
        <v>60.0</v>
      </c>
      <c r="N1999" s="25">
        <v>31.0</v>
      </c>
      <c r="O1999" s="25"/>
      <c r="P1999" s="25"/>
    </row>
    <row r="2000">
      <c r="A2000" s="16">
        <v>1998.0</v>
      </c>
      <c r="B2000" s="17" t="s">
        <v>270</v>
      </c>
      <c r="C2000" s="18">
        <v>151.0</v>
      </c>
      <c r="D2000" s="19" t="s">
        <v>2091</v>
      </c>
      <c r="E2000" s="20" t="s">
        <v>443</v>
      </c>
      <c r="F2000" s="17" t="s">
        <v>1103</v>
      </c>
      <c r="G2000" s="17" t="s">
        <v>123</v>
      </c>
      <c r="H2000" s="17" t="s">
        <v>4868</v>
      </c>
      <c r="I2000" s="17" t="s">
        <v>125</v>
      </c>
      <c r="J2000" s="22" t="s">
        <v>144</v>
      </c>
      <c r="K2000" s="23" t="s">
        <v>108</v>
      </c>
      <c r="L2000" s="24" t="s">
        <v>91</v>
      </c>
      <c r="M2000" s="2">
        <v>60.0</v>
      </c>
      <c r="N2000" s="25">
        <v>31.0</v>
      </c>
      <c r="O2000" s="25"/>
      <c r="P2000" s="25"/>
    </row>
    <row r="2001">
      <c r="A2001" s="16">
        <v>1999.0</v>
      </c>
      <c r="B2001" s="17" t="s">
        <v>270</v>
      </c>
      <c r="C2001" s="18">
        <v>152.0</v>
      </c>
      <c r="D2001" s="19" t="s">
        <v>2091</v>
      </c>
      <c r="E2001" s="20" t="s">
        <v>443</v>
      </c>
      <c r="F2001" s="17" t="s">
        <v>954</v>
      </c>
      <c r="G2001" s="17" t="s">
        <v>123</v>
      </c>
      <c r="H2001" s="17" t="s">
        <v>4869</v>
      </c>
      <c r="I2001" s="17" t="s">
        <v>125</v>
      </c>
      <c r="J2001" s="22" t="s">
        <v>144</v>
      </c>
      <c r="K2001" s="23" t="s">
        <v>108</v>
      </c>
      <c r="L2001" s="24" t="s">
        <v>91</v>
      </c>
      <c r="M2001" s="2">
        <v>60.0</v>
      </c>
      <c r="N2001" s="25">
        <v>31.0</v>
      </c>
      <c r="O2001" s="25"/>
      <c r="P2001" s="25"/>
    </row>
    <row r="2002">
      <c r="A2002" s="16">
        <v>2000.0</v>
      </c>
      <c r="B2002" s="17" t="s">
        <v>270</v>
      </c>
      <c r="C2002" s="18">
        <v>153.0</v>
      </c>
      <c r="D2002" s="19" t="s">
        <v>2091</v>
      </c>
      <c r="E2002" s="20" t="s">
        <v>443</v>
      </c>
      <c r="F2002" s="17" t="s">
        <v>968</v>
      </c>
      <c r="G2002" s="17" t="s">
        <v>4870</v>
      </c>
      <c r="H2002" s="17" t="s">
        <v>4871</v>
      </c>
      <c r="I2002" s="17" t="s">
        <v>125</v>
      </c>
      <c r="J2002" s="22" t="s">
        <v>144</v>
      </c>
      <c r="K2002" s="23" t="s">
        <v>108</v>
      </c>
      <c r="L2002" s="24" t="s">
        <v>91</v>
      </c>
      <c r="M2002" s="2">
        <v>60.0</v>
      </c>
      <c r="N2002" s="25">
        <v>31.0</v>
      </c>
      <c r="O2002" s="25"/>
      <c r="P2002" s="25"/>
    </row>
    <row r="2003">
      <c r="A2003" s="16">
        <v>2001.0</v>
      </c>
      <c r="B2003" s="17" t="s">
        <v>270</v>
      </c>
      <c r="C2003" s="18">
        <v>154.0</v>
      </c>
      <c r="D2003" s="19" t="s">
        <v>2091</v>
      </c>
      <c r="E2003" s="20" t="s">
        <v>443</v>
      </c>
      <c r="F2003" s="17" t="s">
        <v>1264</v>
      </c>
      <c r="G2003" s="17" t="s">
        <v>123</v>
      </c>
      <c r="H2003" s="17" t="s">
        <v>4872</v>
      </c>
      <c r="I2003" s="17" t="s">
        <v>125</v>
      </c>
      <c r="J2003" s="22" t="s">
        <v>144</v>
      </c>
      <c r="K2003" s="23" t="s">
        <v>108</v>
      </c>
      <c r="L2003" s="24" t="s">
        <v>91</v>
      </c>
      <c r="M2003" s="2">
        <v>60.0</v>
      </c>
      <c r="N2003" s="25">
        <v>31.0</v>
      </c>
      <c r="O2003" s="25"/>
      <c r="P2003" s="25"/>
    </row>
    <row r="2004">
      <c r="A2004" s="16">
        <v>2002.0</v>
      </c>
      <c r="B2004" s="17" t="s">
        <v>270</v>
      </c>
      <c r="C2004" s="18">
        <v>155.0</v>
      </c>
      <c r="D2004" s="19" t="s">
        <v>2083</v>
      </c>
      <c r="E2004" s="20" t="s">
        <v>443</v>
      </c>
      <c r="F2004" s="17" t="s">
        <v>276</v>
      </c>
      <c r="G2004" s="17" t="s">
        <v>123</v>
      </c>
      <c r="H2004" s="17" t="s">
        <v>4873</v>
      </c>
      <c r="I2004" s="17" t="s">
        <v>125</v>
      </c>
      <c r="J2004" s="22" t="s">
        <v>144</v>
      </c>
      <c r="K2004" s="23" t="s">
        <v>108</v>
      </c>
      <c r="L2004" s="24" t="s">
        <v>91</v>
      </c>
      <c r="M2004" s="2">
        <v>60.0</v>
      </c>
      <c r="N2004" s="25">
        <v>31.0</v>
      </c>
      <c r="O2004" s="25"/>
      <c r="P2004" s="25"/>
    </row>
    <row r="2005">
      <c r="A2005" s="16">
        <v>2003.0</v>
      </c>
      <c r="B2005" s="17" t="s">
        <v>270</v>
      </c>
      <c r="C2005" s="18">
        <v>156.0</v>
      </c>
      <c r="D2005" s="19" t="s">
        <v>2083</v>
      </c>
      <c r="E2005" s="20" t="s">
        <v>443</v>
      </c>
      <c r="F2005" s="17" t="s">
        <v>1086</v>
      </c>
      <c r="G2005" s="17" t="s">
        <v>2386</v>
      </c>
      <c r="H2005" s="17" t="s">
        <v>2387</v>
      </c>
      <c r="I2005" s="17" t="s">
        <v>125</v>
      </c>
      <c r="J2005" s="22" t="s">
        <v>144</v>
      </c>
      <c r="K2005" s="23" t="s">
        <v>108</v>
      </c>
      <c r="L2005" s="24" t="s">
        <v>91</v>
      </c>
      <c r="M2005" s="2">
        <v>60.0</v>
      </c>
      <c r="N2005" s="25">
        <v>31.0</v>
      </c>
      <c r="O2005" s="25"/>
      <c r="P2005" s="25"/>
    </row>
    <row r="2006">
      <c r="A2006" s="16">
        <v>2004.0</v>
      </c>
      <c r="B2006" s="17" t="s">
        <v>270</v>
      </c>
      <c r="C2006" s="18">
        <v>157.0</v>
      </c>
      <c r="D2006" s="19" t="s">
        <v>2083</v>
      </c>
      <c r="E2006" s="20" t="s">
        <v>443</v>
      </c>
      <c r="F2006" s="17" t="s">
        <v>845</v>
      </c>
      <c r="G2006" s="17" t="s">
        <v>4874</v>
      </c>
      <c r="H2006" s="17" t="s">
        <v>4875</v>
      </c>
      <c r="I2006" s="17" t="s">
        <v>125</v>
      </c>
      <c r="J2006" s="22" t="s">
        <v>144</v>
      </c>
      <c r="K2006" s="23" t="s">
        <v>108</v>
      </c>
      <c r="L2006" s="24" t="s">
        <v>91</v>
      </c>
      <c r="M2006" s="2">
        <v>60.0</v>
      </c>
      <c r="N2006" s="25">
        <v>31.0</v>
      </c>
      <c r="O2006" s="25"/>
      <c r="P2006" s="25"/>
    </row>
    <row r="2007">
      <c r="A2007" s="16">
        <v>2005.0</v>
      </c>
      <c r="B2007" s="17" t="s">
        <v>270</v>
      </c>
      <c r="C2007" s="18">
        <v>158.0</v>
      </c>
      <c r="D2007" s="19" t="s">
        <v>2083</v>
      </c>
      <c r="E2007" s="20" t="s">
        <v>443</v>
      </c>
      <c r="F2007" s="17" t="s">
        <v>1426</v>
      </c>
      <c r="G2007" s="17" t="s">
        <v>4876</v>
      </c>
      <c r="H2007" s="17" t="s">
        <v>4877</v>
      </c>
      <c r="I2007" s="17" t="s">
        <v>125</v>
      </c>
      <c r="J2007" s="22" t="s">
        <v>144</v>
      </c>
      <c r="K2007" s="23" t="s">
        <v>108</v>
      </c>
      <c r="L2007" s="24" t="s">
        <v>91</v>
      </c>
      <c r="M2007" s="2">
        <v>60.0</v>
      </c>
      <c r="N2007" s="25">
        <v>31.0</v>
      </c>
      <c r="O2007" s="25"/>
      <c r="P2007" s="25"/>
    </row>
    <row r="2008">
      <c r="A2008" s="16">
        <v>2006.0</v>
      </c>
      <c r="B2008" s="17" t="s">
        <v>270</v>
      </c>
      <c r="C2008" s="18">
        <v>159.0</v>
      </c>
      <c r="D2008" s="19" t="s">
        <v>2086</v>
      </c>
      <c r="E2008" s="20" t="s">
        <v>443</v>
      </c>
      <c r="F2008" s="17" t="s">
        <v>848</v>
      </c>
      <c r="G2008" s="17" t="s">
        <v>4878</v>
      </c>
      <c r="H2008" s="17" t="s">
        <v>4879</v>
      </c>
      <c r="I2008" s="17" t="s">
        <v>125</v>
      </c>
      <c r="J2008" s="22" t="s">
        <v>144</v>
      </c>
      <c r="K2008" s="23" t="s">
        <v>108</v>
      </c>
      <c r="L2008" s="24" t="s">
        <v>91</v>
      </c>
      <c r="M2008" s="2">
        <v>60.0</v>
      </c>
      <c r="N2008" s="25">
        <v>31.0</v>
      </c>
      <c r="O2008" s="25"/>
      <c r="P2008" s="25"/>
    </row>
    <row r="2009">
      <c r="A2009" s="16">
        <v>2007.0</v>
      </c>
      <c r="B2009" s="17" t="s">
        <v>270</v>
      </c>
      <c r="C2009" s="18">
        <v>160.0</v>
      </c>
      <c r="D2009" s="19" t="s">
        <v>2086</v>
      </c>
      <c r="E2009" s="20" t="s">
        <v>443</v>
      </c>
      <c r="F2009" s="17" t="s">
        <v>1427</v>
      </c>
      <c r="G2009" s="17" t="s">
        <v>4880</v>
      </c>
      <c r="H2009" s="17" t="s">
        <v>4881</v>
      </c>
      <c r="I2009" s="17" t="s">
        <v>125</v>
      </c>
      <c r="J2009" s="22" t="s">
        <v>144</v>
      </c>
      <c r="K2009" s="23" t="s">
        <v>108</v>
      </c>
      <c r="L2009" s="24" t="s">
        <v>91</v>
      </c>
      <c r="M2009" s="2">
        <v>60.0</v>
      </c>
      <c r="N2009" s="25">
        <v>31.0</v>
      </c>
      <c r="O2009" s="25"/>
      <c r="P2009" s="25"/>
    </row>
    <row r="2010">
      <c r="A2010" s="16">
        <v>2008.0</v>
      </c>
      <c r="B2010" s="17" t="s">
        <v>270</v>
      </c>
      <c r="C2010" s="18">
        <v>161.0</v>
      </c>
      <c r="D2010" s="19" t="s">
        <v>2120</v>
      </c>
      <c r="E2010" s="20" t="s">
        <v>443</v>
      </c>
      <c r="F2010" s="17" t="s">
        <v>561</v>
      </c>
      <c r="G2010" s="17" t="s">
        <v>4882</v>
      </c>
      <c r="H2010" s="17" t="s">
        <v>4883</v>
      </c>
      <c r="I2010" s="17" t="s">
        <v>125</v>
      </c>
      <c r="J2010" s="22" t="s">
        <v>144</v>
      </c>
      <c r="K2010" s="23" t="s">
        <v>108</v>
      </c>
      <c r="L2010" s="24" t="s">
        <v>91</v>
      </c>
      <c r="M2010" s="2">
        <v>60.0</v>
      </c>
      <c r="N2010" s="25">
        <v>31.0</v>
      </c>
      <c r="O2010" s="25"/>
      <c r="P2010" s="25"/>
    </row>
    <row r="2011">
      <c r="A2011" s="16">
        <v>2009.0</v>
      </c>
      <c r="B2011" s="17" t="s">
        <v>270</v>
      </c>
      <c r="C2011" s="18">
        <v>162.0</v>
      </c>
      <c r="D2011" s="19" t="s">
        <v>2120</v>
      </c>
      <c r="E2011" s="20" t="s">
        <v>443</v>
      </c>
      <c r="F2011" s="17" t="s">
        <v>769</v>
      </c>
      <c r="G2011" s="17" t="s">
        <v>123</v>
      </c>
      <c r="H2011" s="17" t="s">
        <v>4884</v>
      </c>
      <c r="I2011" s="17" t="s">
        <v>125</v>
      </c>
      <c r="J2011" s="22" t="s">
        <v>144</v>
      </c>
      <c r="K2011" s="23" t="s">
        <v>108</v>
      </c>
      <c r="L2011" s="24" t="s">
        <v>91</v>
      </c>
      <c r="M2011" s="2">
        <v>60.0</v>
      </c>
      <c r="N2011" s="25">
        <v>31.0</v>
      </c>
      <c r="O2011" s="25"/>
      <c r="P2011" s="25"/>
    </row>
    <row r="2012">
      <c r="A2012" s="16">
        <v>2010.0</v>
      </c>
      <c r="B2012" s="17" t="s">
        <v>270</v>
      </c>
      <c r="C2012" s="18">
        <v>163.0</v>
      </c>
      <c r="D2012" s="19" t="s">
        <v>2120</v>
      </c>
      <c r="E2012" s="20" t="s">
        <v>443</v>
      </c>
      <c r="F2012" s="17" t="s">
        <v>458</v>
      </c>
      <c r="G2012" s="17" t="s">
        <v>2050</v>
      </c>
      <c r="H2012" s="17" t="s">
        <v>4885</v>
      </c>
      <c r="I2012" s="17" t="s">
        <v>125</v>
      </c>
      <c r="J2012" s="22" t="s">
        <v>144</v>
      </c>
      <c r="K2012" s="23" t="s">
        <v>108</v>
      </c>
      <c r="L2012" s="24" t="s">
        <v>91</v>
      </c>
      <c r="M2012" s="2">
        <v>60.0</v>
      </c>
      <c r="N2012" s="25">
        <v>31.0</v>
      </c>
      <c r="O2012" s="25"/>
      <c r="P2012" s="25"/>
    </row>
    <row r="2013">
      <c r="A2013" s="16">
        <v>2011.0</v>
      </c>
      <c r="B2013" s="17" t="s">
        <v>270</v>
      </c>
      <c r="C2013" s="18">
        <v>164.0</v>
      </c>
      <c r="D2013" s="19" t="s">
        <v>2120</v>
      </c>
      <c r="E2013" s="20" t="s">
        <v>443</v>
      </c>
      <c r="F2013" s="17" t="s">
        <v>1019</v>
      </c>
      <c r="G2013" s="17" t="s">
        <v>4886</v>
      </c>
      <c r="H2013" s="17" t="s">
        <v>4887</v>
      </c>
      <c r="I2013" s="17" t="s">
        <v>125</v>
      </c>
      <c r="J2013" s="22" t="s">
        <v>144</v>
      </c>
      <c r="K2013" s="23" t="s">
        <v>108</v>
      </c>
      <c r="L2013" s="24" t="s">
        <v>91</v>
      </c>
      <c r="M2013" s="2">
        <v>60.0</v>
      </c>
      <c r="N2013" s="25">
        <v>31.0</v>
      </c>
      <c r="O2013" s="25"/>
      <c r="P2013" s="25"/>
    </row>
    <row r="2014">
      <c r="A2014" s="16">
        <v>2012.0</v>
      </c>
      <c r="B2014" s="17" t="s">
        <v>270</v>
      </c>
      <c r="C2014" s="18">
        <v>165.0</v>
      </c>
      <c r="D2014" s="19" t="s">
        <v>2120</v>
      </c>
      <c r="E2014" s="20" t="s">
        <v>443</v>
      </c>
      <c r="F2014" s="17" t="s">
        <v>469</v>
      </c>
      <c r="G2014" s="17" t="s">
        <v>4888</v>
      </c>
      <c r="H2014" s="17" t="s">
        <v>4889</v>
      </c>
      <c r="I2014" s="17" t="s">
        <v>125</v>
      </c>
      <c r="J2014" s="22" t="s">
        <v>144</v>
      </c>
      <c r="K2014" s="23" t="s">
        <v>108</v>
      </c>
      <c r="L2014" s="24" t="s">
        <v>91</v>
      </c>
      <c r="M2014" s="2">
        <v>60.0</v>
      </c>
      <c r="N2014" s="25">
        <v>31.0</v>
      </c>
      <c r="O2014" s="25"/>
      <c r="P2014" s="25"/>
    </row>
    <row r="2015">
      <c r="A2015" s="16">
        <v>2013.0</v>
      </c>
      <c r="B2015" s="17" t="s">
        <v>270</v>
      </c>
      <c r="C2015" s="18">
        <v>166.0</v>
      </c>
      <c r="D2015" s="19" t="s">
        <v>2120</v>
      </c>
      <c r="E2015" s="20" t="s">
        <v>443</v>
      </c>
      <c r="F2015" s="17" t="s">
        <v>89</v>
      </c>
      <c r="G2015" s="17" t="s">
        <v>2068</v>
      </c>
      <c r="H2015" s="17" t="s">
        <v>4890</v>
      </c>
      <c r="I2015" s="17" t="s">
        <v>125</v>
      </c>
      <c r="J2015" s="22" t="s">
        <v>144</v>
      </c>
      <c r="K2015" s="23" t="s">
        <v>108</v>
      </c>
      <c r="L2015" s="24" t="s">
        <v>91</v>
      </c>
      <c r="M2015" s="2">
        <v>60.0</v>
      </c>
      <c r="N2015" s="25">
        <v>31.0</v>
      </c>
      <c r="O2015" s="25"/>
      <c r="P2015" s="25"/>
    </row>
    <row r="2016">
      <c r="A2016" s="16">
        <v>2014.0</v>
      </c>
      <c r="B2016" s="17" t="s">
        <v>270</v>
      </c>
      <c r="C2016" s="18">
        <v>167.0</v>
      </c>
      <c r="D2016" s="19" t="s">
        <v>2120</v>
      </c>
      <c r="E2016" s="20" t="s">
        <v>443</v>
      </c>
      <c r="F2016" s="17" t="s">
        <v>828</v>
      </c>
      <c r="G2016" s="17" t="s">
        <v>3678</v>
      </c>
      <c r="H2016" s="17" t="s">
        <v>3679</v>
      </c>
      <c r="I2016" s="17" t="s">
        <v>125</v>
      </c>
      <c r="J2016" s="22" t="s">
        <v>144</v>
      </c>
      <c r="K2016" s="23" t="s">
        <v>108</v>
      </c>
      <c r="L2016" s="24" t="s">
        <v>91</v>
      </c>
      <c r="M2016" s="2">
        <v>60.0</v>
      </c>
      <c r="N2016" s="25">
        <v>31.0</v>
      </c>
      <c r="O2016" s="25"/>
      <c r="P2016" s="25"/>
    </row>
    <row r="2017">
      <c r="A2017" s="16">
        <v>2015.0</v>
      </c>
      <c r="B2017" s="17" t="s">
        <v>270</v>
      </c>
      <c r="C2017" s="18">
        <v>168.0</v>
      </c>
      <c r="D2017" s="19" t="s">
        <v>2120</v>
      </c>
      <c r="E2017" s="20" t="s">
        <v>443</v>
      </c>
      <c r="F2017" s="17" t="s">
        <v>855</v>
      </c>
      <c r="G2017" s="17" t="s">
        <v>123</v>
      </c>
      <c r="H2017" s="17" t="s">
        <v>3613</v>
      </c>
      <c r="I2017" s="17" t="s">
        <v>125</v>
      </c>
      <c r="J2017" s="22" t="s">
        <v>144</v>
      </c>
      <c r="K2017" s="23" t="s">
        <v>108</v>
      </c>
      <c r="L2017" s="24" t="s">
        <v>91</v>
      </c>
      <c r="M2017" s="2">
        <v>60.0</v>
      </c>
      <c r="N2017" s="25">
        <v>31.0</v>
      </c>
      <c r="O2017" s="25"/>
      <c r="P2017" s="25"/>
    </row>
    <row r="2018">
      <c r="A2018" s="16">
        <v>2016.0</v>
      </c>
      <c r="B2018" s="17" t="s">
        <v>270</v>
      </c>
      <c r="C2018" s="18">
        <v>169.0</v>
      </c>
      <c r="D2018" s="19" t="s">
        <v>2120</v>
      </c>
      <c r="E2018" s="20" t="s">
        <v>443</v>
      </c>
      <c r="F2018" s="17" t="s">
        <v>321</v>
      </c>
      <c r="G2018" s="17" t="s">
        <v>3697</v>
      </c>
      <c r="H2018" s="17" t="s">
        <v>4891</v>
      </c>
      <c r="I2018" s="17" t="s">
        <v>125</v>
      </c>
      <c r="J2018" s="22" t="s">
        <v>144</v>
      </c>
      <c r="K2018" s="23" t="s">
        <v>108</v>
      </c>
      <c r="L2018" s="24" t="s">
        <v>91</v>
      </c>
      <c r="M2018" s="2">
        <v>60.0</v>
      </c>
      <c r="N2018" s="25">
        <v>31.0</v>
      </c>
      <c r="O2018" s="25"/>
      <c r="P2018" s="25"/>
    </row>
    <row r="2019">
      <c r="A2019" s="16">
        <v>2017.0</v>
      </c>
      <c r="B2019" s="17" t="s">
        <v>270</v>
      </c>
      <c r="C2019" s="18">
        <v>170.0</v>
      </c>
      <c r="D2019" s="19" t="s">
        <v>2120</v>
      </c>
      <c r="E2019" s="20" t="s">
        <v>443</v>
      </c>
      <c r="F2019" s="17" t="s">
        <v>1020</v>
      </c>
      <c r="G2019" s="17" t="s">
        <v>2064</v>
      </c>
      <c r="H2019" s="17" t="s">
        <v>4892</v>
      </c>
      <c r="I2019" s="17" t="s">
        <v>125</v>
      </c>
      <c r="J2019" s="22" t="s">
        <v>144</v>
      </c>
      <c r="K2019" s="23" t="s">
        <v>108</v>
      </c>
      <c r="L2019" s="24" t="s">
        <v>91</v>
      </c>
      <c r="M2019" s="2">
        <v>60.0</v>
      </c>
      <c r="N2019" s="25">
        <v>31.0</v>
      </c>
      <c r="O2019" s="25"/>
      <c r="P2019" s="25"/>
    </row>
    <row r="2020">
      <c r="A2020" s="16">
        <v>2018.0</v>
      </c>
      <c r="B2020" s="17" t="s">
        <v>270</v>
      </c>
      <c r="C2020" s="18">
        <v>171.0</v>
      </c>
      <c r="D2020" s="19" t="s">
        <v>2120</v>
      </c>
      <c r="E2020" s="20" t="s">
        <v>443</v>
      </c>
      <c r="F2020" s="17" t="s">
        <v>160</v>
      </c>
      <c r="G2020" s="17" t="s">
        <v>4893</v>
      </c>
      <c r="H2020" s="17" t="s">
        <v>4894</v>
      </c>
      <c r="I2020" s="17" t="s">
        <v>125</v>
      </c>
      <c r="J2020" s="22" t="s">
        <v>144</v>
      </c>
      <c r="K2020" s="23" t="s">
        <v>108</v>
      </c>
      <c r="L2020" s="24" t="s">
        <v>91</v>
      </c>
      <c r="M2020" s="2">
        <v>60.0</v>
      </c>
      <c r="N2020" s="25">
        <v>31.0</v>
      </c>
      <c r="O2020" s="25"/>
      <c r="P2020" s="25"/>
    </row>
    <row r="2021">
      <c r="A2021" s="16">
        <v>2019.0</v>
      </c>
      <c r="B2021" s="17" t="s">
        <v>270</v>
      </c>
      <c r="C2021" s="18">
        <v>172.0</v>
      </c>
      <c r="D2021" s="19" t="s">
        <v>2120</v>
      </c>
      <c r="E2021" s="20" t="s">
        <v>443</v>
      </c>
      <c r="F2021" s="17" t="s">
        <v>209</v>
      </c>
      <c r="G2021" s="17" t="s">
        <v>4549</v>
      </c>
      <c r="H2021" s="17" t="s">
        <v>4895</v>
      </c>
      <c r="I2021" s="17" t="s">
        <v>125</v>
      </c>
      <c r="J2021" s="22" t="s">
        <v>144</v>
      </c>
      <c r="K2021" s="23" t="s">
        <v>108</v>
      </c>
      <c r="L2021" s="24" t="s">
        <v>91</v>
      </c>
      <c r="M2021" s="2">
        <v>60.0</v>
      </c>
      <c r="N2021" s="25">
        <v>31.0</v>
      </c>
      <c r="O2021" s="25"/>
      <c r="P2021" s="25"/>
    </row>
    <row r="2022">
      <c r="A2022" s="16">
        <v>2020.0</v>
      </c>
      <c r="B2022" s="17" t="s">
        <v>270</v>
      </c>
      <c r="C2022" s="18">
        <v>173.0</v>
      </c>
      <c r="D2022" s="19" t="s">
        <v>2120</v>
      </c>
      <c r="E2022" s="20" t="s">
        <v>443</v>
      </c>
      <c r="F2022" s="17" t="s">
        <v>1153</v>
      </c>
      <c r="G2022" s="17" t="s">
        <v>4896</v>
      </c>
      <c r="H2022" s="17" t="s">
        <v>4897</v>
      </c>
      <c r="I2022" s="17" t="s">
        <v>125</v>
      </c>
      <c r="J2022" s="22" t="s">
        <v>144</v>
      </c>
      <c r="K2022" s="23" t="s">
        <v>108</v>
      </c>
      <c r="L2022" s="24" t="s">
        <v>91</v>
      </c>
      <c r="M2022" s="2">
        <v>60.0</v>
      </c>
      <c r="N2022" s="25">
        <v>31.0</v>
      </c>
      <c r="O2022" s="25"/>
      <c r="P2022" s="25"/>
    </row>
    <row r="2023">
      <c r="A2023" s="16">
        <v>2021.0</v>
      </c>
      <c r="B2023" s="17" t="s">
        <v>270</v>
      </c>
      <c r="C2023" s="18">
        <v>174.0</v>
      </c>
      <c r="D2023" s="19" t="s">
        <v>2120</v>
      </c>
      <c r="E2023" s="20" t="s">
        <v>443</v>
      </c>
      <c r="F2023" s="17" t="s">
        <v>668</v>
      </c>
      <c r="G2023" s="17" t="s">
        <v>3237</v>
      </c>
      <c r="H2023" s="17" t="s">
        <v>4898</v>
      </c>
      <c r="I2023" s="17" t="s">
        <v>125</v>
      </c>
      <c r="J2023" s="22" t="s">
        <v>144</v>
      </c>
      <c r="K2023" s="23" t="s">
        <v>108</v>
      </c>
      <c r="L2023" s="24" t="s">
        <v>91</v>
      </c>
      <c r="M2023" s="2">
        <v>60.0</v>
      </c>
      <c r="N2023" s="25">
        <v>31.0</v>
      </c>
      <c r="O2023" s="25"/>
      <c r="P2023" s="25"/>
    </row>
    <row r="2024">
      <c r="A2024" s="16">
        <v>2022.0</v>
      </c>
      <c r="B2024" s="17" t="s">
        <v>270</v>
      </c>
      <c r="C2024" s="18">
        <v>175.0</v>
      </c>
      <c r="D2024" s="19" t="s">
        <v>2120</v>
      </c>
      <c r="E2024" s="20" t="s">
        <v>443</v>
      </c>
      <c r="F2024" s="17" t="s">
        <v>916</v>
      </c>
      <c r="G2024" s="17" t="s">
        <v>4899</v>
      </c>
      <c r="H2024" s="17" t="s">
        <v>4900</v>
      </c>
      <c r="I2024" s="17" t="s">
        <v>125</v>
      </c>
      <c r="J2024" s="22" t="s">
        <v>144</v>
      </c>
      <c r="K2024" s="23" t="s">
        <v>108</v>
      </c>
      <c r="L2024" s="24" t="s">
        <v>91</v>
      </c>
      <c r="M2024" s="2">
        <v>60.0</v>
      </c>
      <c r="N2024" s="25">
        <v>31.0</v>
      </c>
      <c r="O2024" s="25"/>
      <c r="P2024" s="25"/>
    </row>
    <row r="2025">
      <c r="A2025" s="16">
        <v>2023.0</v>
      </c>
      <c r="B2025" s="17" t="s">
        <v>270</v>
      </c>
      <c r="C2025" s="18">
        <v>176.0</v>
      </c>
      <c r="D2025" s="19" t="s">
        <v>2120</v>
      </c>
      <c r="E2025" s="20" t="s">
        <v>443</v>
      </c>
      <c r="F2025" s="17" t="s">
        <v>675</v>
      </c>
      <c r="G2025" s="17" t="s">
        <v>4901</v>
      </c>
      <c r="H2025" s="17" t="s">
        <v>4902</v>
      </c>
      <c r="I2025" s="17" t="s">
        <v>125</v>
      </c>
      <c r="J2025" s="22" t="s">
        <v>144</v>
      </c>
      <c r="K2025" s="23" t="s">
        <v>108</v>
      </c>
      <c r="L2025" s="24" t="s">
        <v>91</v>
      </c>
      <c r="M2025" s="2">
        <v>60.0</v>
      </c>
      <c r="N2025" s="25">
        <v>31.0</v>
      </c>
      <c r="O2025" s="25"/>
      <c r="P2025" s="25"/>
    </row>
    <row r="2026">
      <c r="A2026" s="16">
        <v>2024.0</v>
      </c>
      <c r="B2026" s="17" t="s">
        <v>270</v>
      </c>
      <c r="C2026" s="18">
        <v>177.0</v>
      </c>
      <c r="D2026" s="19" t="s">
        <v>2120</v>
      </c>
      <c r="E2026" s="20" t="s">
        <v>443</v>
      </c>
      <c r="F2026" s="17" t="s">
        <v>1047</v>
      </c>
      <c r="G2026" s="17" t="s">
        <v>4903</v>
      </c>
      <c r="H2026" s="17" t="s">
        <v>4894</v>
      </c>
      <c r="I2026" s="17" t="s">
        <v>125</v>
      </c>
      <c r="J2026" s="22" t="s">
        <v>144</v>
      </c>
      <c r="K2026" s="23" t="s">
        <v>108</v>
      </c>
      <c r="L2026" s="24" t="s">
        <v>91</v>
      </c>
      <c r="M2026" s="2">
        <v>60.0</v>
      </c>
      <c r="N2026" s="25">
        <v>31.0</v>
      </c>
      <c r="O2026" s="25"/>
      <c r="P2026" s="25"/>
    </row>
    <row r="2027">
      <c r="A2027" s="16">
        <v>2025.0</v>
      </c>
      <c r="B2027" s="17" t="s">
        <v>270</v>
      </c>
      <c r="C2027" s="18">
        <v>178.0</v>
      </c>
      <c r="D2027" s="19" t="s">
        <v>2120</v>
      </c>
      <c r="E2027" s="20" t="s">
        <v>443</v>
      </c>
      <c r="F2027" s="17" t="s">
        <v>1002</v>
      </c>
      <c r="G2027" s="17" t="s">
        <v>4904</v>
      </c>
      <c r="H2027" s="17" t="s">
        <v>4905</v>
      </c>
      <c r="I2027" s="17" t="s">
        <v>125</v>
      </c>
      <c r="J2027" s="22" t="s">
        <v>144</v>
      </c>
      <c r="K2027" s="23" t="s">
        <v>108</v>
      </c>
      <c r="L2027" s="24" t="s">
        <v>91</v>
      </c>
      <c r="M2027" s="2">
        <v>60.0</v>
      </c>
      <c r="N2027" s="25">
        <v>31.0</v>
      </c>
      <c r="O2027" s="25"/>
      <c r="P2027" s="25"/>
    </row>
    <row r="2028">
      <c r="A2028" s="16">
        <v>2026.0</v>
      </c>
      <c r="B2028" s="17" t="s">
        <v>270</v>
      </c>
      <c r="C2028" s="18">
        <v>179.0</v>
      </c>
      <c r="D2028" s="19" t="s">
        <v>2120</v>
      </c>
      <c r="E2028" s="20" t="s">
        <v>443</v>
      </c>
      <c r="F2028" s="17" t="s">
        <v>1265</v>
      </c>
      <c r="G2028" s="17" t="s">
        <v>3735</v>
      </c>
      <c r="H2028" s="17" t="s">
        <v>3736</v>
      </c>
      <c r="I2028" s="17" t="s">
        <v>125</v>
      </c>
      <c r="J2028" s="22" t="s">
        <v>144</v>
      </c>
      <c r="K2028" s="23" t="s">
        <v>108</v>
      </c>
      <c r="L2028" s="24" t="s">
        <v>91</v>
      </c>
      <c r="M2028" s="2">
        <v>60.0</v>
      </c>
      <c r="N2028" s="25">
        <v>31.0</v>
      </c>
      <c r="O2028" s="25"/>
      <c r="P2028" s="25"/>
    </row>
    <row r="2029">
      <c r="A2029" s="16">
        <v>2027.0</v>
      </c>
      <c r="B2029" s="17" t="s">
        <v>270</v>
      </c>
      <c r="C2029" s="18">
        <v>180.0</v>
      </c>
      <c r="D2029" s="19" t="s">
        <v>2120</v>
      </c>
      <c r="E2029" s="20" t="s">
        <v>443</v>
      </c>
      <c r="F2029" s="17" t="s">
        <v>1430</v>
      </c>
      <c r="G2029" s="17" t="s">
        <v>4906</v>
      </c>
      <c r="H2029" s="17" t="s">
        <v>4907</v>
      </c>
      <c r="I2029" s="17" t="s">
        <v>125</v>
      </c>
      <c r="J2029" s="22" t="s">
        <v>144</v>
      </c>
      <c r="K2029" s="23" t="s">
        <v>108</v>
      </c>
      <c r="L2029" s="24" t="s">
        <v>91</v>
      </c>
      <c r="M2029" s="2">
        <v>60.0</v>
      </c>
      <c r="N2029" s="25">
        <v>31.0</v>
      </c>
      <c r="O2029" s="25"/>
      <c r="P2029" s="25"/>
    </row>
    <row r="2030">
      <c r="A2030" s="16">
        <v>2028.0</v>
      </c>
      <c r="B2030" s="17" t="s">
        <v>270</v>
      </c>
      <c r="C2030" s="18">
        <v>181.0</v>
      </c>
      <c r="D2030" s="19" t="s">
        <v>2107</v>
      </c>
      <c r="E2030" s="20" t="s">
        <v>443</v>
      </c>
      <c r="F2030" s="17" t="s">
        <v>527</v>
      </c>
      <c r="G2030" s="17" t="s">
        <v>4908</v>
      </c>
      <c r="H2030" s="17" t="s">
        <v>4894</v>
      </c>
      <c r="I2030" s="17" t="s">
        <v>125</v>
      </c>
      <c r="J2030" s="22" t="s">
        <v>144</v>
      </c>
      <c r="K2030" s="23" t="s">
        <v>108</v>
      </c>
      <c r="L2030" s="24" t="s">
        <v>91</v>
      </c>
      <c r="M2030" s="2">
        <v>60.0</v>
      </c>
      <c r="N2030" s="25">
        <v>31.0</v>
      </c>
      <c r="O2030" s="25"/>
      <c r="P2030" s="25"/>
    </row>
    <row r="2031">
      <c r="A2031" s="16">
        <v>2029.0</v>
      </c>
      <c r="B2031" s="17" t="s">
        <v>270</v>
      </c>
      <c r="C2031" s="18">
        <v>182.0</v>
      </c>
      <c r="D2031" s="19" t="s">
        <v>2107</v>
      </c>
      <c r="E2031" s="20" t="s">
        <v>443</v>
      </c>
      <c r="F2031" s="17" t="s">
        <v>153</v>
      </c>
      <c r="G2031" s="17" t="s">
        <v>4909</v>
      </c>
      <c r="H2031" s="17" t="s">
        <v>4910</v>
      </c>
      <c r="I2031" s="17" t="s">
        <v>125</v>
      </c>
      <c r="J2031" s="22" t="s">
        <v>144</v>
      </c>
      <c r="K2031" s="23" t="s">
        <v>108</v>
      </c>
      <c r="L2031" s="24" t="s">
        <v>91</v>
      </c>
      <c r="M2031" s="2">
        <v>60.0</v>
      </c>
      <c r="N2031" s="25">
        <v>31.0</v>
      </c>
      <c r="O2031" s="25"/>
      <c r="P2031" s="25"/>
    </row>
    <row r="2032">
      <c r="A2032" s="16">
        <v>2030.0</v>
      </c>
      <c r="B2032" s="17" t="s">
        <v>270</v>
      </c>
      <c r="C2032" s="18">
        <v>183.0</v>
      </c>
      <c r="D2032" s="19" t="s">
        <v>2107</v>
      </c>
      <c r="E2032" s="20" t="s">
        <v>443</v>
      </c>
      <c r="F2032" s="17" t="s">
        <v>506</v>
      </c>
      <c r="G2032" s="17" t="s">
        <v>3894</v>
      </c>
      <c r="H2032" s="17" t="s">
        <v>4911</v>
      </c>
      <c r="I2032" s="17" t="s">
        <v>125</v>
      </c>
      <c r="J2032" s="22" t="s">
        <v>144</v>
      </c>
      <c r="K2032" s="23" t="s">
        <v>108</v>
      </c>
      <c r="L2032" s="24" t="s">
        <v>91</v>
      </c>
      <c r="M2032" s="2">
        <v>60.0</v>
      </c>
      <c r="N2032" s="25">
        <v>31.0</v>
      </c>
      <c r="O2032" s="25"/>
      <c r="P2032" s="25"/>
    </row>
    <row r="2033">
      <c r="A2033" s="16">
        <v>2031.0</v>
      </c>
      <c r="B2033" s="17" t="s">
        <v>270</v>
      </c>
      <c r="C2033" s="18">
        <v>184.0</v>
      </c>
      <c r="D2033" s="19" t="s">
        <v>2107</v>
      </c>
      <c r="E2033" s="20" t="s">
        <v>443</v>
      </c>
      <c r="F2033" s="17" t="s">
        <v>1004</v>
      </c>
      <c r="G2033" s="17" t="s">
        <v>3714</v>
      </c>
      <c r="H2033" s="17" t="s">
        <v>3715</v>
      </c>
      <c r="I2033" s="17" t="s">
        <v>125</v>
      </c>
      <c r="J2033" s="22" t="s">
        <v>144</v>
      </c>
      <c r="K2033" s="23" t="s">
        <v>108</v>
      </c>
      <c r="L2033" s="24" t="s">
        <v>91</v>
      </c>
      <c r="M2033" s="2">
        <v>60.0</v>
      </c>
      <c r="N2033" s="25">
        <v>31.0</v>
      </c>
      <c r="O2033" s="25"/>
      <c r="P2033" s="25"/>
    </row>
    <row r="2034">
      <c r="A2034" s="16">
        <v>2032.0</v>
      </c>
      <c r="B2034" s="17" t="s">
        <v>270</v>
      </c>
      <c r="C2034" s="18">
        <v>185.0</v>
      </c>
      <c r="D2034" s="19" t="s">
        <v>2107</v>
      </c>
      <c r="E2034" s="20" t="s">
        <v>443</v>
      </c>
      <c r="F2034" s="17" t="s">
        <v>97</v>
      </c>
      <c r="G2034" s="17" t="s">
        <v>4912</v>
      </c>
      <c r="H2034" s="17" t="s">
        <v>4913</v>
      </c>
      <c r="I2034" s="17" t="s">
        <v>125</v>
      </c>
      <c r="J2034" s="22" t="s">
        <v>144</v>
      </c>
      <c r="K2034" s="23" t="s">
        <v>108</v>
      </c>
      <c r="L2034" s="24" t="s">
        <v>91</v>
      </c>
      <c r="M2034" s="2">
        <v>60.0</v>
      </c>
      <c r="N2034" s="25">
        <v>31.0</v>
      </c>
      <c r="O2034" s="25"/>
      <c r="P2034" s="25"/>
    </row>
    <row r="2035">
      <c r="A2035" s="16">
        <v>2033.0</v>
      </c>
      <c r="B2035" s="17" t="s">
        <v>270</v>
      </c>
      <c r="C2035" s="18">
        <v>186.0</v>
      </c>
      <c r="D2035" s="19" t="s">
        <v>2107</v>
      </c>
      <c r="E2035" s="20" t="s">
        <v>443</v>
      </c>
      <c r="F2035" s="17" t="s">
        <v>813</v>
      </c>
      <c r="G2035" s="17" t="s">
        <v>4914</v>
      </c>
      <c r="H2035" s="17" t="s">
        <v>4915</v>
      </c>
      <c r="I2035" s="17" t="s">
        <v>125</v>
      </c>
      <c r="J2035" s="22" t="s">
        <v>144</v>
      </c>
      <c r="K2035" s="23" t="s">
        <v>108</v>
      </c>
      <c r="L2035" s="24" t="s">
        <v>91</v>
      </c>
      <c r="M2035" s="2">
        <v>60.0</v>
      </c>
      <c r="N2035" s="25">
        <v>31.0</v>
      </c>
      <c r="O2035" s="25"/>
      <c r="P2035" s="25"/>
    </row>
    <row r="2036">
      <c r="A2036" s="16">
        <v>2034.0</v>
      </c>
      <c r="B2036" s="17" t="s">
        <v>270</v>
      </c>
      <c r="C2036" s="18">
        <v>187.0</v>
      </c>
      <c r="D2036" s="19" t="s">
        <v>2107</v>
      </c>
      <c r="E2036" s="20" t="s">
        <v>443</v>
      </c>
      <c r="F2036" s="17" t="s">
        <v>1431</v>
      </c>
      <c r="G2036" s="17" t="s">
        <v>4916</v>
      </c>
      <c r="H2036" s="17" t="s">
        <v>4917</v>
      </c>
      <c r="I2036" s="17" t="s">
        <v>125</v>
      </c>
      <c r="J2036" s="22" t="s">
        <v>144</v>
      </c>
      <c r="K2036" s="23" t="s">
        <v>108</v>
      </c>
      <c r="L2036" s="24" t="s">
        <v>91</v>
      </c>
      <c r="M2036" s="2">
        <v>60.0</v>
      </c>
      <c r="N2036" s="25">
        <v>31.0</v>
      </c>
      <c r="O2036" s="25"/>
      <c r="P2036" s="25"/>
    </row>
    <row r="2037">
      <c r="A2037" s="16">
        <v>2035.0</v>
      </c>
      <c r="B2037" s="17" t="s">
        <v>270</v>
      </c>
      <c r="C2037" s="18">
        <v>188.0</v>
      </c>
      <c r="D2037" s="19" t="s">
        <v>2107</v>
      </c>
      <c r="E2037" s="20" t="s">
        <v>443</v>
      </c>
      <c r="F2037" s="17" t="s">
        <v>917</v>
      </c>
      <c r="G2037" s="17" t="s">
        <v>4918</v>
      </c>
      <c r="H2037" s="17" t="s">
        <v>4919</v>
      </c>
      <c r="I2037" s="17" t="s">
        <v>125</v>
      </c>
      <c r="J2037" s="22" t="s">
        <v>144</v>
      </c>
      <c r="K2037" s="23" t="s">
        <v>108</v>
      </c>
      <c r="L2037" s="24" t="s">
        <v>91</v>
      </c>
      <c r="M2037" s="2">
        <v>60.0</v>
      </c>
      <c r="N2037" s="25">
        <v>31.0</v>
      </c>
      <c r="O2037" s="25"/>
      <c r="P2037" s="25"/>
    </row>
    <row r="2038">
      <c r="A2038" s="16">
        <v>2036.0</v>
      </c>
      <c r="B2038" s="17" t="s">
        <v>270</v>
      </c>
      <c r="C2038" s="18">
        <v>189.0</v>
      </c>
      <c r="D2038" s="19" t="s">
        <v>2107</v>
      </c>
      <c r="E2038" s="20" t="s">
        <v>443</v>
      </c>
      <c r="F2038" s="17" t="s">
        <v>1126</v>
      </c>
      <c r="G2038" s="17" t="s">
        <v>3712</v>
      </c>
      <c r="H2038" s="17" t="s">
        <v>3713</v>
      </c>
      <c r="I2038" s="17" t="s">
        <v>125</v>
      </c>
      <c r="J2038" s="22" t="s">
        <v>144</v>
      </c>
      <c r="K2038" s="23" t="s">
        <v>108</v>
      </c>
      <c r="L2038" s="24" t="s">
        <v>91</v>
      </c>
      <c r="M2038" s="2">
        <v>60.0</v>
      </c>
      <c r="N2038" s="25">
        <v>31.0</v>
      </c>
      <c r="O2038" s="25"/>
      <c r="P2038" s="25"/>
    </row>
    <row r="2039">
      <c r="A2039" s="16">
        <v>2037.0</v>
      </c>
      <c r="B2039" s="17" t="s">
        <v>270</v>
      </c>
      <c r="C2039" s="18">
        <v>190.0</v>
      </c>
      <c r="D2039" s="19" t="s">
        <v>2107</v>
      </c>
      <c r="E2039" s="20" t="s">
        <v>443</v>
      </c>
      <c r="F2039" s="17" t="s">
        <v>586</v>
      </c>
      <c r="G2039" s="17" t="s">
        <v>4920</v>
      </c>
      <c r="H2039" s="17" t="s">
        <v>4921</v>
      </c>
      <c r="I2039" s="17" t="s">
        <v>125</v>
      </c>
      <c r="J2039" s="22" t="s">
        <v>144</v>
      </c>
      <c r="K2039" s="23" t="s">
        <v>108</v>
      </c>
      <c r="L2039" s="24" t="s">
        <v>91</v>
      </c>
      <c r="M2039" s="2">
        <v>60.0</v>
      </c>
      <c r="N2039" s="25">
        <v>31.0</v>
      </c>
      <c r="O2039" s="25"/>
      <c r="P2039" s="25"/>
    </row>
    <row r="2040">
      <c r="A2040" s="16">
        <v>2038.0</v>
      </c>
      <c r="B2040" s="17" t="s">
        <v>270</v>
      </c>
      <c r="C2040" s="18">
        <v>191.0</v>
      </c>
      <c r="D2040" s="19" t="s">
        <v>2107</v>
      </c>
      <c r="E2040" s="20" t="s">
        <v>443</v>
      </c>
      <c r="F2040" s="17" t="s">
        <v>436</v>
      </c>
      <c r="G2040" s="17" t="s">
        <v>2265</v>
      </c>
      <c r="H2040" s="17" t="s">
        <v>2266</v>
      </c>
      <c r="I2040" s="17" t="s">
        <v>125</v>
      </c>
      <c r="J2040" s="22" t="s">
        <v>144</v>
      </c>
      <c r="K2040" s="23" t="s">
        <v>108</v>
      </c>
      <c r="L2040" s="24" t="s">
        <v>91</v>
      </c>
      <c r="M2040" s="2">
        <v>60.0</v>
      </c>
      <c r="N2040" s="25">
        <v>31.0</v>
      </c>
      <c r="O2040" s="25"/>
      <c r="P2040" s="25"/>
    </row>
    <row r="2041">
      <c r="A2041" s="16">
        <v>2039.0</v>
      </c>
      <c r="B2041" s="17" t="s">
        <v>270</v>
      </c>
      <c r="C2041" s="18">
        <v>192.0</v>
      </c>
      <c r="D2041" s="19" t="s">
        <v>2107</v>
      </c>
      <c r="E2041" s="20" t="s">
        <v>443</v>
      </c>
      <c r="F2041" s="17" t="s">
        <v>896</v>
      </c>
      <c r="G2041" s="17" t="s">
        <v>3788</v>
      </c>
      <c r="H2041" s="17" t="s">
        <v>4193</v>
      </c>
      <c r="I2041" s="17" t="s">
        <v>125</v>
      </c>
      <c r="J2041" s="22" t="s">
        <v>144</v>
      </c>
      <c r="K2041" s="23" t="s">
        <v>108</v>
      </c>
      <c r="L2041" s="24" t="s">
        <v>91</v>
      </c>
      <c r="M2041" s="2">
        <v>60.0</v>
      </c>
      <c r="N2041" s="25">
        <v>31.0</v>
      </c>
      <c r="O2041" s="25"/>
      <c r="P2041" s="25"/>
    </row>
    <row r="2042">
      <c r="A2042" s="16">
        <v>2040.0</v>
      </c>
      <c r="B2042" s="17" t="s">
        <v>270</v>
      </c>
      <c r="C2042" s="18">
        <v>193.0</v>
      </c>
      <c r="D2042" s="19" t="s">
        <v>2107</v>
      </c>
      <c r="E2042" s="20" t="s">
        <v>443</v>
      </c>
      <c r="F2042" s="17" t="s">
        <v>1266</v>
      </c>
      <c r="G2042" s="17" t="s">
        <v>4704</v>
      </c>
      <c r="H2042" s="17" t="s">
        <v>4922</v>
      </c>
      <c r="I2042" s="17" t="s">
        <v>125</v>
      </c>
      <c r="J2042" s="22" t="s">
        <v>144</v>
      </c>
      <c r="K2042" s="23" t="s">
        <v>108</v>
      </c>
      <c r="L2042" s="24" t="s">
        <v>91</v>
      </c>
      <c r="M2042" s="2">
        <v>60.0</v>
      </c>
      <c r="N2042" s="25">
        <v>31.0</v>
      </c>
      <c r="O2042" s="25"/>
      <c r="P2042" s="25"/>
    </row>
    <row r="2043">
      <c r="A2043" s="16">
        <v>2041.0</v>
      </c>
      <c r="B2043" s="17" t="s">
        <v>270</v>
      </c>
      <c r="C2043" s="18">
        <v>194.0</v>
      </c>
      <c r="D2043" s="19" t="s">
        <v>2107</v>
      </c>
      <c r="E2043" s="20" t="s">
        <v>443</v>
      </c>
      <c r="F2043" s="17" t="s">
        <v>672</v>
      </c>
      <c r="G2043" s="17" t="s">
        <v>2378</v>
      </c>
      <c r="H2043" s="17" t="s">
        <v>4923</v>
      </c>
      <c r="I2043" s="17" t="s">
        <v>125</v>
      </c>
      <c r="J2043" s="22" t="s">
        <v>144</v>
      </c>
      <c r="K2043" s="23" t="s">
        <v>108</v>
      </c>
      <c r="L2043" s="24" t="s">
        <v>91</v>
      </c>
      <c r="M2043" s="2">
        <v>60.0</v>
      </c>
      <c r="N2043" s="25">
        <v>31.0</v>
      </c>
      <c r="O2043" s="25"/>
      <c r="P2043" s="25"/>
    </row>
    <row r="2044">
      <c r="A2044" s="16">
        <v>2042.0</v>
      </c>
      <c r="B2044" s="17" t="s">
        <v>270</v>
      </c>
      <c r="C2044" s="18">
        <v>195.0</v>
      </c>
      <c r="D2044" s="19" t="s">
        <v>2107</v>
      </c>
      <c r="E2044" s="20" t="s">
        <v>443</v>
      </c>
      <c r="F2044" s="17" t="s">
        <v>1001</v>
      </c>
      <c r="G2044" s="17" t="s">
        <v>4924</v>
      </c>
      <c r="H2044" s="17" t="s">
        <v>4925</v>
      </c>
      <c r="I2044" s="17" t="s">
        <v>125</v>
      </c>
      <c r="J2044" s="22" t="s">
        <v>144</v>
      </c>
      <c r="K2044" s="23" t="s">
        <v>108</v>
      </c>
      <c r="L2044" s="24" t="s">
        <v>91</v>
      </c>
      <c r="M2044" s="2">
        <v>60.0</v>
      </c>
      <c r="N2044" s="25">
        <v>31.0</v>
      </c>
      <c r="O2044" s="25"/>
      <c r="P2044" s="25"/>
    </row>
    <row r="2045">
      <c r="A2045" s="16">
        <v>2043.0</v>
      </c>
      <c r="B2045" s="17" t="s">
        <v>270</v>
      </c>
      <c r="C2045" s="18">
        <v>196.0</v>
      </c>
      <c r="D2045" s="19" t="s">
        <v>2107</v>
      </c>
      <c r="E2045" s="20" t="s">
        <v>443</v>
      </c>
      <c r="F2045" s="17" t="s">
        <v>169</v>
      </c>
      <c r="G2045" s="17" t="s">
        <v>3756</v>
      </c>
      <c r="H2045" s="17" t="s">
        <v>4926</v>
      </c>
      <c r="I2045" s="17" t="s">
        <v>125</v>
      </c>
      <c r="J2045" s="22" t="s">
        <v>144</v>
      </c>
      <c r="K2045" s="23" t="s">
        <v>108</v>
      </c>
      <c r="L2045" s="24" t="s">
        <v>91</v>
      </c>
      <c r="M2045" s="2">
        <v>60.0</v>
      </c>
      <c r="N2045" s="25">
        <v>31.0</v>
      </c>
      <c r="O2045" s="25"/>
      <c r="P2045" s="25"/>
    </row>
    <row r="2046">
      <c r="A2046" s="16">
        <v>2044.0</v>
      </c>
      <c r="B2046" s="17" t="s">
        <v>270</v>
      </c>
      <c r="C2046" s="18">
        <v>197.0</v>
      </c>
      <c r="D2046" s="19" t="s">
        <v>2107</v>
      </c>
      <c r="E2046" s="20" t="s">
        <v>443</v>
      </c>
      <c r="F2046" s="17" t="s">
        <v>1122</v>
      </c>
      <c r="G2046" s="17" t="s">
        <v>3617</v>
      </c>
      <c r="H2046" s="17" t="s">
        <v>3738</v>
      </c>
      <c r="I2046" s="17" t="s">
        <v>125</v>
      </c>
      <c r="J2046" s="22" t="s">
        <v>144</v>
      </c>
      <c r="K2046" s="23" t="s">
        <v>108</v>
      </c>
      <c r="L2046" s="24" t="s">
        <v>91</v>
      </c>
      <c r="M2046" s="2">
        <v>60.0</v>
      </c>
      <c r="N2046" s="25">
        <v>31.0</v>
      </c>
      <c r="O2046" s="25"/>
      <c r="P2046" s="25"/>
    </row>
    <row r="2047">
      <c r="A2047" s="16">
        <v>2045.0</v>
      </c>
      <c r="B2047" s="17" t="s">
        <v>270</v>
      </c>
      <c r="C2047" s="18">
        <v>198.0</v>
      </c>
      <c r="D2047" s="19" t="s">
        <v>2107</v>
      </c>
      <c r="E2047" s="20" t="s">
        <v>443</v>
      </c>
      <c r="F2047" s="17" t="s">
        <v>606</v>
      </c>
      <c r="G2047" s="17" t="s">
        <v>3680</v>
      </c>
      <c r="H2047" s="17" t="s">
        <v>3681</v>
      </c>
      <c r="I2047" s="17" t="s">
        <v>125</v>
      </c>
      <c r="J2047" s="22" t="s">
        <v>144</v>
      </c>
      <c r="K2047" s="23" t="s">
        <v>108</v>
      </c>
      <c r="L2047" s="24" t="s">
        <v>91</v>
      </c>
      <c r="M2047" s="2">
        <v>60.0</v>
      </c>
      <c r="N2047" s="25">
        <v>31.0</v>
      </c>
      <c r="O2047" s="25"/>
      <c r="P2047" s="25"/>
    </row>
    <row r="2048">
      <c r="A2048" s="16">
        <v>2046.0</v>
      </c>
      <c r="B2048" s="17" t="s">
        <v>270</v>
      </c>
      <c r="C2048" s="18">
        <v>199.0</v>
      </c>
      <c r="D2048" s="19" t="s">
        <v>2107</v>
      </c>
      <c r="E2048" s="20" t="s">
        <v>443</v>
      </c>
      <c r="F2048" s="17" t="s">
        <v>1121</v>
      </c>
      <c r="G2048" s="17" t="s">
        <v>3673</v>
      </c>
      <c r="H2048" s="17" t="s">
        <v>4927</v>
      </c>
      <c r="I2048" s="17" t="s">
        <v>125</v>
      </c>
      <c r="J2048" s="22" t="s">
        <v>144</v>
      </c>
      <c r="K2048" s="23" t="s">
        <v>108</v>
      </c>
      <c r="L2048" s="24" t="s">
        <v>91</v>
      </c>
      <c r="M2048" s="2">
        <v>60.0</v>
      </c>
      <c r="N2048" s="25">
        <v>31.0</v>
      </c>
      <c r="O2048" s="25"/>
      <c r="P2048" s="25"/>
    </row>
    <row r="2049">
      <c r="A2049" s="16">
        <v>2047.0</v>
      </c>
      <c r="B2049" s="17" t="s">
        <v>270</v>
      </c>
      <c r="C2049" s="18">
        <v>200.0</v>
      </c>
      <c r="D2049" s="19" t="s">
        <v>2107</v>
      </c>
      <c r="E2049" s="20" t="s">
        <v>443</v>
      </c>
      <c r="F2049" s="17" t="s">
        <v>1433</v>
      </c>
      <c r="G2049" s="17" t="s">
        <v>4928</v>
      </c>
      <c r="H2049" s="17" t="s">
        <v>4929</v>
      </c>
      <c r="I2049" s="17" t="s">
        <v>125</v>
      </c>
      <c r="J2049" s="22" t="s">
        <v>144</v>
      </c>
      <c r="K2049" s="23" t="s">
        <v>108</v>
      </c>
      <c r="L2049" s="24" t="s">
        <v>91</v>
      </c>
      <c r="M2049" s="2">
        <v>60.0</v>
      </c>
      <c r="N2049" s="25">
        <v>31.0</v>
      </c>
      <c r="O2049" s="25"/>
      <c r="P2049" s="25"/>
    </row>
    <row r="2050">
      <c r="A2050" s="16">
        <v>2048.0</v>
      </c>
      <c r="B2050" s="17" t="s">
        <v>90</v>
      </c>
      <c r="C2050" s="18">
        <v>1.0</v>
      </c>
      <c r="D2050" s="19" t="s">
        <v>2216</v>
      </c>
      <c r="E2050" s="20" t="s">
        <v>443</v>
      </c>
      <c r="F2050" s="17" t="s">
        <v>97</v>
      </c>
      <c r="G2050" s="17" t="s">
        <v>4912</v>
      </c>
      <c r="H2050" s="17" t="s">
        <v>4930</v>
      </c>
      <c r="I2050" s="17" t="s">
        <v>125</v>
      </c>
      <c r="J2050" s="22" t="s">
        <v>100</v>
      </c>
      <c r="K2050" s="23" t="s">
        <v>108</v>
      </c>
      <c r="L2050" s="24" t="s">
        <v>91</v>
      </c>
      <c r="M2050" s="2">
        <v>61.0</v>
      </c>
      <c r="N2050" s="25">
        <v>11.0</v>
      </c>
      <c r="O2050" s="25"/>
      <c r="P2050" s="25"/>
    </row>
    <row r="2051">
      <c r="A2051" s="16">
        <v>2049.0</v>
      </c>
      <c r="B2051" s="17" t="s">
        <v>90</v>
      </c>
      <c r="C2051" s="18">
        <v>2.0</v>
      </c>
      <c r="D2051" s="19" t="s">
        <v>2225</v>
      </c>
      <c r="E2051" s="20" t="s">
        <v>443</v>
      </c>
      <c r="F2051" s="17" t="s">
        <v>137</v>
      </c>
      <c r="G2051" s="17" t="s">
        <v>4696</v>
      </c>
      <c r="H2051" s="17" t="s">
        <v>4931</v>
      </c>
      <c r="I2051" s="17" t="s">
        <v>98</v>
      </c>
      <c r="J2051" s="22" t="s">
        <v>135</v>
      </c>
      <c r="K2051" s="23" t="s">
        <v>108</v>
      </c>
      <c r="L2051" s="24" t="s">
        <v>91</v>
      </c>
      <c r="M2051" s="2">
        <v>61.0</v>
      </c>
      <c r="N2051" s="25">
        <v>20.0</v>
      </c>
      <c r="O2051" s="25"/>
      <c r="P2051" s="25"/>
    </row>
    <row r="2052">
      <c r="A2052" s="16">
        <v>2050.0</v>
      </c>
      <c r="B2052" s="17" t="s">
        <v>90</v>
      </c>
      <c r="C2052" s="18">
        <v>3.0</v>
      </c>
      <c r="D2052" s="19" t="s">
        <v>2225</v>
      </c>
      <c r="E2052" s="20" t="s">
        <v>443</v>
      </c>
      <c r="F2052" s="17" t="s">
        <v>1240</v>
      </c>
      <c r="G2052" s="17" t="s">
        <v>4932</v>
      </c>
      <c r="H2052" s="17" t="s">
        <v>4933</v>
      </c>
      <c r="I2052" s="17" t="s">
        <v>98</v>
      </c>
      <c r="J2052" s="22" t="s">
        <v>135</v>
      </c>
      <c r="K2052" s="23" t="s">
        <v>108</v>
      </c>
      <c r="L2052" s="24" t="s">
        <v>91</v>
      </c>
      <c r="M2052" s="2">
        <v>61.0</v>
      </c>
      <c r="N2052" s="25">
        <v>20.0</v>
      </c>
      <c r="O2052" s="25"/>
      <c r="P2052" s="25"/>
    </row>
    <row r="2053">
      <c r="A2053" s="16">
        <v>2051.0</v>
      </c>
      <c r="B2053" s="17" t="s">
        <v>90</v>
      </c>
      <c r="C2053" s="18">
        <v>4.0</v>
      </c>
      <c r="D2053" s="19" t="s">
        <v>2225</v>
      </c>
      <c r="E2053" s="20" t="s">
        <v>443</v>
      </c>
      <c r="F2053" s="17" t="s">
        <v>444</v>
      </c>
      <c r="G2053" s="17" t="s">
        <v>1663</v>
      </c>
      <c r="H2053" s="17" t="s">
        <v>4934</v>
      </c>
      <c r="I2053" s="17" t="s">
        <v>98</v>
      </c>
      <c r="J2053" s="22" t="s">
        <v>135</v>
      </c>
      <c r="K2053" s="23" t="s">
        <v>108</v>
      </c>
      <c r="L2053" s="24" t="s">
        <v>91</v>
      </c>
      <c r="M2053" s="2">
        <v>61.0</v>
      </c>
      <c r="N2053" s="25">
        <v>20.0</v>
      </c>
      <c r="O2053" s="25"/>
      <c r="P2053" s="25"/>
    </row>
    <row r="2054">
      <c r="A2054" s="16">
        <v>2052.0</v>
      </c>
      <c r="B2054" s="17" t="s">
        <v>90</v>
      </c>
      <c r="C2054" s="18">
        <v>5.0</v>
      </c>
      <c r="D2054" s="19" t="s">
        <v>2225</v>
      </c>
      <c r="E2054" s="20" t="s">
        <v>443</v>
      </c>
      <c r="F2054" s="17" t="s">
        <v>1215</v>
      </c>
      <c r="G2054" s="17" t="s">
        <v>4935</v>
      </c>
      <c r="H2054" s="17" t="s">
        <v>4936</v>
      </c>
      <c r="I2054" s="17" t="s">
        <v>98</v>
      </c>
      <c r="J2054" s="22" t="s">
        <v>135</v>
      </c>
      <c r="K2054" s="23" t="s">
        <v>108</v>
      </c>
      <c r="L2054" s="24" t="s">
        <v>91</v>
      </c>
      <c r="M2054" s="2">
        <v>61.0</v>
      </c>
      <c r="N2054" s="25">
        <v>20.0</v>
      </c>
      <c r="O2054" s="25"/>
      <c r="P2054" s="25"/>
    </row>
    <row r="2055">
      <c r="A2055" s="16">
        <v>2053.0</v>
      </c>
      <c r="B2055" s="17" t="s">
        <v>90</v>
      </c>
      <c r="C2055" s="18">
        <v>6.0</v>
      </c>
      <c r="D2055" s="19" t="s">
        <v>2221</v>
      </c>
      <c r="E2055" s="20" t="s">
        <v>443</v>
      </c>
      <c r="F2055" s="17" t="s">
        <v>527</v>
      </c>
      <c r="G2055" s="17" t="s">
        <v>4908</v>
      </c>
      <c r="H2055" s="17" t="s">
        <v>4894</v>
      </c>
      <c r="I2055" s="17" t="s">
        <v>125</v>
      </c>
      <c r="J2055" s="22" t="s">
        <v>135</v>
      </c>
      <c r="K2055" s="23" t="s">
        <v>108</v>
      </c>
      <c r="L2055" s="24" t="s">
        <v>91</v>
      </c>
      <c r="M2055" s="2">
        <v>61.0</v>
      </c>
      <c r="N2055" s="25">
        <v>21.0</v>
      </c>
      <c r="O2055" s="25"/>
      <c r="P2055" s="25"/>
    </row>
    <row r="2056">
      <c r="A2056" s="16">
        <v>2054.0</v>
      </c>
      <c r="B2056" s="17" t="s">
        <v>90</v>
      </c>
      <c r="C2056" s="18">
        <v>7.0</v>
      </c>
      <c r="D2056" s="19" t="s">
        <v>2221</v>
      </c>
      <c r="E2056" s="20" t="s">
        <v>443</v>
      </c>
      <c r="F2056" s="17" t="s">
        <v>23</v>
      </c>
      <c r="G2056" s="17" t="s">
        <v>4937</v>
      </c>
      <c r="H2056" s="17" t="s">
        <v>4938</v>
      </c>
      <c r="I2056" s="17" t="s">
        <v>125</v>
      </c>
      <c r="J2056" s="22" t="s">
        <v>135</v>
      </c>
      <c r="K2056" s="23" t="s">
        <v>108</v>
      </c>
      <c r="L2056" s="24" t="s">
        <v>91</v>
      </c>
      <c r="M2056" s="2">
        <v>61.0</v>
      </c>
      <c r="N2056" s="25">
        <v>21.0</v>
      </c>
      <c r="O2056" s="25"/>
      <c r="P2056" s="25"/>
    </row>
    <row r="2057">
      <c r="A2057" s="16">
        <v>2055.0</v>
      </c>
      <c r="B2057" s="17" t="s">
        <v>90</v>
      </c>
      <c r="C2057" s="18">
        <v>8.0</v>
      </c>
      <c r="D2057" s="19" t="s">
        <v>2225</v>
      </c>
      <c r="E2057" s="20" t="s">
        <v>443</v>
      </c>
      <c r="F2057" s="17" t="s">
        <v>270</v>
      </c>
      <c r="G2057" s="17" t="s">
        <v>4939</v>
      </c>
      <c r="H2057" s="17" t="s">
        <v>4940</v>
      </c>
      <c r="I2057" s="17" t="s">
        <v>98</v>
      </c>
      <c r="J2057" s="22" t="s">
        <v>144</v>
      </c>
      <c r="K2057" s="23" t="s">
        <v>108</v>
      </c>
      <c r="L2057" s="24" t="s">
        <v>91</v>
      </c>
      <c r="M2057" s="2">
        <v>61.0</v>
      </c>
      <c r="N2057" s="25">
        <v>30.0</v>
      </c>
      <c r="O2057" s="25"/>
      <c r="P2057" s="25"/>
    </row>
    <row r="2058">
      <c r="A2058" s="16">
        <v>2056.0</v>
      </c>
      <c r="B2058" s="17" t="s">
        <v>90</v>
      </c>
      <c r="C2058" s="18">
        <v>9.0</v>
      </c>
      <c r="D2058" s="19" t="s">
        <v>2225</v>
      </c>
      <c r="E2058" s="20" t="s">
        <v>443</v>
      </c>
      <c r="F2058" s="17" t="s">
        <v>292</v>
      </c>
      <c r="G2058" s="17" t="s">
        <v>4666</v>
      </c>
      <c r="H2058" s="17" t="s">
        <v>4941</v>
      </c>
      <c r="I2058" s="17" t="s">
        <v>98</v>
      </c>
      <c r="J2058" s="22" t="s">
        <v>144</v>
      </c>
      <c r="K2058" s="23" t="s">
        <v>108</v>
      </c>
      <c r="L2058" s="24" t="s">
        <v>91</v>
      </c>
      <c r="M2058" s="2">
        <v>61.0</v>
      </c>
      <c r="N2058" s="25">
        <v>30.0</v>
      </c>
      <c r="O2058" s="25"/>
      <c r="P2058" s="25"/>
    </row>
    <row r="2059">
      <c r="A2059" s="16">
        <v>2057.0</v>
      </c>
      <c r="B2059" s="17" t="s">
        <v>90</v>
      </c>
      <c r="C2059" s="18">
        <v>10.0</v>
      </c>
      <c r="D2059" s="19" t="s">
        <v>2225</v>
      </c>
      <c r="E2059" s="20" t="s">
        <v>443</v>
      </c>
      <c r="F2059" s="17" t="s">
        <v>883</v>
      </c>
      <c r="G2059" s="17" t="s">
        <v>4942</v>
      </c>
      <c r="H2059" s="17" t="s">
        <v>4943</v>
      </c>
      <c r="I2059" s="17" t="s">
        <v>98</v>
      </c>
      <c r="J2059" s="22" t="s">
        <v>144</v>
      </c>
      <c r="K2059" s="23" t="s">
        <v>108</v>
      </c>
      <c r="L2059" s="24" t="s">
        <v>91</v>
      </c>
      <c r="M2059" s="2">
        <v>61.0</v>
      </c>
      <c r="N2059" s="25">
        <v>30.0</v>
      </c>
      <c r="O2059" s="25"/>
      <c r="P2059" s="25"/>
    </row>
    <row r="2060">
      <c r="A2060" s="16">
        <v>2058.0</v>
      </c>
      <c r="B2060" s="17" t="s">
        <v>90</v>
      </c>
      <c r="C2060" s="18">
        <v>11.0</v>
      </c>
      <c r="D2060" s="19" t="s">
        <v>2216</v>
      </c>
      <c r="E2060" s="20" t="s">
        <v>443</v>
      </c>
      <c r="F2060" s="17" t="s">
        <v>794</v>
      </c>
      <c r="G2060" s="17" t="s">
        <v>4513</v>
      </c>
      <c r="H2060" s="17" t="s">
        <v>4514</v>
      </c>
      <c r="I2060" s="17" t="s">
        <v>125</v>
      </c>
      <c r="J2060" s="22" t="s">
        <v>144</v>
      </c>
      <c r="K2060" s="23" t="s">
        <v>108</v>
      </c>
      <c r="L2060" s="24" t="s">
        <v>91</v>
      </c>
      <c r="M2060" s="2">
        <v>61.0</v>
      </c>
      <c r="N2060" s="25">
        <v>31.0</v>
      </c>
      <c r="O2060" s="25"/>
      <c r="P2060" s="25"/>
    </row>
    <row r="2061">
      <c r="A2061" s="16">
        <v>2059.0</v>
      </c>
      <c r="B2061" s="17" t="s">
        <v>90</v>
      </c>
      <c r="C2061" s="18">
        <v>12.0</v>
      </c>
      <c r="D2061" s="19" t="s">
        <v>2216</v>
      </c>
      <c r="E2061" s="20" t="s">
        <v>443</v>
      </c>
      <c r="F2061" s="17" t="s">
        <v>357</v>
      </c>
      <c r="G2061" s="17" t="s">
        <v>4567</v>
      </c>
      <c r="H2061" s="17" t="s">
        <v>4568</v>
      </c>
      <c r="I2061" s="17" t="s">
        <v>125</v>
      </c>
      <c r="J2061" s="22" t="s">
        <v>144</v>
      </c>
      <c r="K2061" s="23" t="s">
        <v>108</v>
      </c>
      <c r="L2061" s="24" t="s">
        <v>91</v>
      </c>
      <c r="M2061" s="2">
        <v>61.0</v>
      </c>
      <c r="N2061" s="25">
        <v>31.0</v>
      </c>
      <c r="O2061" s="25"/>
      <c r="P2061" s="25"/>
    </row>
    <row r="2062">
      <c r="A2062" s="16">
        <v>2060.0</v>
      </c>
      <c r="B2062" s="17" t="s">
        <v>90</v>
      </c>
      <c r="C2062" s="18">
        <v>13.0</v>
      </c>
      <c r="D2062" s="19" t="s">
        <v>2216</v>
      </c>
      <c r="E2062" s="20" t="s">
        <v>443</v>
      </c>
      <c r="F2062" s="17" t="s">
        <v>764</v>
      </c>
      <c r="G2062" s="17" t="s">
        <v>4944</v>
      </c>
      <c r="H2062" s="17" t="s">
        <v>4945</v>
      </c>
      <c r="I2062" s="17" t="s">
        <v>125</v>
      </c>
      <c r="J2062" s="22" t="s">
        <v>144</v>
      </c>
      <c r="K2062" s="23" t="s">
        <v>108</v>
      </c>
      <c r="L2062" s="24" t="s">
        <v>91</v>
      </c>
      <c r="M2062" s="2">
        <v>61.0</v>
      </c>
      <c r="N2062" s="25">
        <v>31.0</v>
      </c>
      <c r="O2062" s="25"/>
      <c r="P2062" s="25"/>
    </row>
    <row r="2063">
      <c r="A2063" s="16">
        <v>2061.0</v>
      </c>
      <c r="B2063" s="17" t="s">
        <v>90</v>
      </c>
      <c r="C2063" s="18">
        <v>14.0</v>
      </c>
      <c r="D2063" s="19" t="s">
        <v>2216</v>
      </c>
      <c r="E2063" s="20" t="s">
        <v>443</v>
      </c>
      <c r="F2063" s="17" t="s">
        <v>229</v>
      </c>
      <c r="G2063" s="17" t="s">
        <v>4509</v>
      </c>
      <c r="H2063" s="17" t="s">
        <v>4510</v>
      </c>
      <c r="I2063" s="17" t="s">
        <v>125</v>
      </c>
      <c r="J2063" s="22" t="s">
        <v>144</v>
      </c>
      <c r="K2063" s="23" t="s">
        <v>108</v>
      </c>
      <c r="L2063" s="24" t="s">
        <v>91</v>
      </c>
      <c r="M2063" s="2">
        <v>61.0</v>
      </c>
      <c r="N2063" s="25">
        <v>31.0</v>
      </c>
      <c r="O2063" s="25"/>
      <c r="P2063" s="25"/>
    </row>
    <row r="2064">
      <c r="A2064" s="16">
        <v>2062.0</v>
      </c>
      <c r="B2064" s="17" t="s">
        <v>90</v>
      </c>
      <c r="C2064" s="18">
        <v>15.0</v>
      </c>
      <c r="D2064" s="19" t="s">
        <v>2216</v>
      </c>
      <c r="E2064" s="20" t="s">
        <v>443</v>
      </c>
      <c r="F2064" s="17" t="s">
        <v>367</v>
      </c>
      <c r="G2064" s="17" t="s">
        <v>123</v>
      </c>
      <c r="H2064" s="17" t="s">
        <v>4946</v>
      </c>
      <c r="I2064" s="17" t="s">
        <v>125</v>
      </c>
      <c r="J2064" s="22" t="s">
        <v>144</v>
      </c>
      <c r="K2064" s="23" t="s">
        <v>108</v>
      </c>
      <c r="L2064" s="24" t="s">
        <v>91</v>
      </c>
      <c r="M2064" s="2">
        <v>61.0</v>
      </c>
      <c r="N2064" s="25">
        <v>31.0</v>
      </c>
      <c r="O2064" s="25"/>
      <c r="P2064" s="25"/>
    </row>
    <row r="2065">
      <c r="A2065" s="16">
        <v>2063.0</v>
      </c>
      <c r="B2065" s="17" t="s">
        <v>90</v>
      </c>
      <c r="C2065" s="18">
        <v>16.0</v>
      </c>
      <c r="D2065" s="19" t="s">
        <v>2216</v>
      </c>
      <c r="E2065" s="20" t="s">
        <v>443</v>
      </c>
      <c r="F2065" s="17" t="s">
        <v>276</v>
      </c>
      <c r="G2065" s="17" t="s">
        <v>123</v>
      </c>
      <c r="H2065" s="17" t="s">
        <v>4873</v>
      </c>
      <c r="I2065" s="17" t="s">
        <v>125</v>
      </c>
      <c r="J2065" s="22" t="s">
        <v>144</v>
      </c>
      <c r="K2065" s="23" t="s">
        <v>108</v>
      </c>
      <c r="L2065" s="24" t="s">
        <v>91</v>
      </c>
      <c r="M2065" s="2">
        <v>61.0</v>
      </c>
      <c r="N2065" s="25">
        <v>31.0</v>
      </c>
      <c r="O2065" s="25"/>
      <c r="P2065" s="25"/>
    </row>
    <row r="2066">
      <c r="A2066" s="16">
        <v>2064.0</v>
      </c>
      <c r="B2066" s="17" t="s">
        <v>90</v>
      </c>
      <c r="C2066" s="18">
        <v>17.0</v>
      </c>
      <c r="D2066" s="19" t="s">
        <v>2216</v>
      </c>
      <c r="E2066" s="20" t="s">
        <v>443</v>
      </c>
      <c r="F2066" s="17" t="s">
        <v>1020</v>
      </c>
      <c r="G2066" s="17" t="s">
        <v>2064</v>
      </c>
      <c r="H2066" s="17" t="s">
        <v>4947</v>
      </c>
      <c r="I2066" s="17" t="s">
        <v>125</v>
      </c>
      <c r="J2066" s="22" t="s">
        <v>144</v>
      </c>
      <c r="K2066" s="23" t="s">
        <v>108</v>
      </c>
      <c r="L2066" s="24" t="s">
        <v>91</v>
      </c>
      <c r="M2066" s="2">
        <v>61.0</v>
      </c>
      <c r="N2066" s="25">
        <v>31.0</v>
      </c>
      <c r="O2066" s="25"/>
      <c r="P2066" s="25"/>
    </row>
    <row r="2067">
      <c r="A2067" s="16">
        <v>2065.0</v>
      </c>
      <c r="B2067" s="17" t="s">
        <v>90</v>
      </c>
      <c r="C2067" s="18">
        <v>18.0</v>
      </c>
      <c r="D2067" s="19" t="s">
        <v>2216</v>
      </c>
      <c r="E2067" s="20" t="s">
        <v>443</v>
      </c>
      <c r="F2067" s="17" t="s">
        <v>1267</v>
      </c>
      <c r="G2067" s="17" t="s">
        <v>4948</v>
      </c>
      <c r="H2067" s="17" t="s">
        <v>4949</v>
      </c>
      <c r="I2067" s="17" t="s">
        <v>125</v>
      </c>
      <c r="J2067" s="22" t="s">
        <v>144</v>
      </c>
      <c r="K2067" s="23" t="s">
        <v>108</v>
      </c>
      <c r="L2067" s="24" t="s">
        <v>91</v>
      </c>
      <c r="M2067" s="2">
        <v>61.0</v>
      </c>
      <c r="N2067" s="25">
        <v>31.0</v>
      </c>
      <c r="O2067" s="25"/>
      <c r="P2067" s="25"/>
    </row>
    <row r="2068">
      <c r="A2068" s="16">
        <v>2066.0</v>
      </c>
      <c r="B2068" s="17" t="s">
        <v>90</v>
      </c>
      <c r="C2068" s="18">
        <v>19.0</v>
      </c>
      <c r="D2068" s="19" t="s">
        <v>2216</v>
      </c>
      <c r="E2068" s="20" t="s">
        <v>443</v>
      </c>
      <c r="F2068" s="17" t="s">
        <v>804</v>
      </c>
      <c r="G2068" s="17" t="s">
        <v>4950</v>
      </c>
      <c r="H2068" s="17" t="s">
        <v>4951</v>
      </c>
      <c r="I2068" s="17" t="s">
        <v>125</v>
      </c>
      <c r="J2068" s="22" t="s">
        <v>144</v>
      </c>
      <c r="K2068" s="23" t="s">
        <v>108</v>
      </c>
      <c r="L2068" s="24" t="s">
        <v>91</v>
      </c>
      <c r="M2068" s="2">
        <v>61.0</v>
      </c>
      <c r="N2068" s="25">
        <v>31.0</v>
      </c>
      <c r="O2068" s="25"/>
      <c r="P2068" s="25"/>
    </row>
    <row r="2069">
      <c r="A2069" s="16">
        <v>2067.0</v>
      </c>
      <c r="B2069" s="17" t="s">
        <v>90</v>
      </c>
      <c r="C2069" s="18">
        <v>20.0</v>
      </c>
      <c r="D2069" s="19" t="s">
        <v>2216</v>
      </c>
      <c r="E2069" s="20" t="s">
        <v>443</v>
      </c>
      <c r="F2069" s="17" t="s">
        <v>163</v>
      </c>
      <c r="G2069" s="17" t="s">
        <v>4586</v>
      </c>
      <c r="H2069" s="17" t="s">
        <v>4587</v>
      </c>
      <c r="I2069" s="17" t="s">
        <v>125</v>
      </c>
      <c r="J2069" s="22" t="s">
        <v>144</v>
      </c>
      <c r="K2069" s="23" t="s">
        <v>108</v>
      </c>
      <c r="L2069" s="24" t="s">
        <v>91</v>
      </c>
      <c r="M2069" s="2">
        <v>61.0</v>
      </c>
      <c r="N2069" s="25">
        <v>31.0</v>
      </c>
      <c r="O2069" s="25"/>
      <c r="P2069" s="25"/>
    </row>
    <row r="2070">
      <c r="A2070" s="16">
        <v>2068.0</v>
      </c>
      <c r="B2070" s="17" t="s">
        <v>90</v>
      </c>
      <c r="C2070" s="18">
        <v>21.0</v>
      </c>
      <c r="D2070" s="19" t="s">
        <v>2216</v>
      </c>
      <c r="E2070" s="20" t="s">
        <v>443</v>
      </c>
      <c r="F2070" s="17" t="s">
        <v>520</v>
      </c>
      <c r="G2070" s="17" t="s">
        <v>4731</v>
      </c>
      <c r="H2070" s="17" t="s">
        <v>4732</v>
      </c>
      <c r="I2070" s="17" t="s">
        <v>125</v>
      </c>
      <c r="J2070" s="22" t="s">
        <v>144</v>
      </c>
      <c r="K2070" s="23" t="s">
        <v>108</v>
      </c>
      <c r="L2070" s="24" t="s">
        <v>91</v>
      </c>
      <c r="M2070" s="2">
        <v>61.0</v>
      </c>
      <c r="N2070" s="25">
        <v>31.0</v>
      </c>
      <c r="O2070" s="25"/>
      <c r="P2070" s="25"/>
    </row>
    <row r="2071">
      <c r="A2071" s="16">
        <v>2069.0</v>
      </c>
      <c r="B2071" s="17" t="s">
        <v>90</v>
      </c>
      <c r="C2071" s="18">
        <v>22.0</v>
      </c>
      <c r="D2071" s="19" t="s">
        <v>2216</v>
      </c>
      <c r="E2071" s="20" t="s">
        <v>443</v>
      </c>
      <c r="F2071" s="17" t="s">
        <v>206</v>
      </c>
      <c r="G2071" s="17" t="s">
        <v>4529</v>
      </c>
      <c r="H2071" s="17" t="s">
        <v>4952</v>
      </c>
      <c r="I2071" s="17" t="s">
        <v>125</v>
      </c>
      <c r="J2071" s="22" t="s">
        <v>144</v>
      </c>
      <c r="K2071" s="23" t="s">
        <v>108</v>
      </c>
      <c r="L2071" s="24" t="s">
        <v>91</v>
      </c>
      <c r="M2071" s="2">
        <v>61.0</v>
      </c>
      <c r="N2071" s="25">
        <v>31.0</v>
      </c>
      <c r="O2071" s="25"/>
      <c r="P2071" s="25"/>
    </row>
    <row r="2072">
      <c r="A2072" s="16">
        <v>2070.0</v>
      </c>
      <c r="B2072" s="17" t="s">
        <v>90</v>
      </c>
      <c r="C2072" s="18">
        <v>23.0</v>
      </c>
      <c r="D2072" s="19" t="s">
        <v>2216</v>
      </c>
      <c r="E2072" s="20" t="s">
        <v>443</v>
      </c>
      <c r="F2072" s="17" t="s">
        <v>74</v>
      </c>
      <c r="G2072" s="17" t="s">
        <v>123</v>
      </c>
      <c r="H2072" s="17" t="s">
        <v>4226</v>
      </c>
      <c r="I2072" s="17" t="s">
        <v>125</v>
      </c>
      <c r="J2072" s="22" t="s">
        <v>144</v>
      </c>
      <c r="K2072" s="23" t="s">
        <v>108</v>
      </c>
      <c r="L2072" s="24" t="s">
        <v>91</v>
      </c>
      <c r="M2072" s="2">
        <v>61.0</v>
      </c>
      <c r="N2072" s="25">
        <v>31.0</v>
      </c>
      <c r="O2072" s="25"/>
      <c r="P2072" s="25"/>
    </row>
    <row r="2073">
      <c r="A2073" s="16">
        <v>2071.0</v>
      </c>
      <c r="B2073" s="17" t="s">
        <v>90</v>
      </c>
      <c r="C2073" s="18">
        <v>24.0</v>
      </c>
      <c r="D2073" s="19" t="s">
        <v>2216</v>
      </c>
      <c r="E2073" s="20" t="s">
        <v>443</v>
      </c>
      <c r="F2073" s="17" t="s">
        <v>1043</v>
      </c>
      <c r="G2073" s="17" t="s">
        <v>4953</v>
      </c>
      <c r="H2073" s="17" t="s">
        <v>4954</v>
      </c>
      <c r="I2073" s="17" t="s">
        <v>125</v>
      </c>
      <c r="J2073" s="22" t="s">
        <v>144</v>
      </c>
      <c r="K2073" s="23" t="s">
        <v>108</v>
      </c>
      <c r="L2073" s="24" t="s">
        <v>91</v>
      </c>
      <c r="M2073" s="2">
        <v>61.0</v>
      </c>
      <c r="N2073" s="25">
        <v>31.0</v>
      </c>
      <c r="O2073" s="25"/>
      <c r="P2073" s="25"/>
    </row>
    <row r="2074">
      <c r="A2074" s="16">
        <v>2072.0</v>
      </c>
      <c r="B2074" s="17" t="s">
        <v>90</v>
      </c>
      <c r="C2074" s="18">
        <v>25.0</v>
      </c>
      <c r="D2074" s="19" t="s">
        <v>2216</v>
      </c>
      <c r="E2074" s="20" t="s">
        <v>443</v>
      </c>
      <c r="F2074" s="17" t="s">
        <v>165</v>
      </c>
      <c r="G2074" s="17" t="s">
        <v>4523</v>
      </c>
      <c r="H2074" s="17" t="s">
        <v>4955</v>
      </c>
      <c r="I2074" s="17" t="s">
        <v>125</v>
      </c>
      <c r="J2074" s="22" t="s">
        <v>144</v>
      </c>
      <c r="K2074" s="23" t="s">
        <v>108</v>
      </c>
      <c r="L2074" s="24" t="s">
        <v>91</v>
      </c>
      <c r="M2074" s="2">
        <v>61.0</v>
      </c>
      <c r="N2074" s="25">
        <v>31.0</v>
      </c>
      <c r="O2074" s="25"/>
      <c r="P2074" s="25"/>
    </row>
    <row r="2075">
      <c r="A2075" s="16">
        <v>2073.0</v>
      </c>
      <c r="B2075" s="17" t="s">
        <v>90</v>
      </c>
      <c r="C2075" s="18">
        <v>26.0</v>
      </c>
      <c r="D2075" s="19" t="s">
        <v>2216</v>
      </c>
      <c r="E2075" s="20" t="s">
        <v>443</v>
      </c>
      <c r="F2075" s="17" t="s">
        <v>990</v>
      </c>
      <c r="G2075" s="17" t="s">
        <v>2811</v>
      </c>
      <c r="H2075" s="17" t="s">
        <v>4804</v>
      </c>
      <c r="I2075" s="17" t="s">
        <v>125</v>
      </c>
      <c r="J2075" s="22" t="s">
        <v>144</v>
      </c>
      <c r="K2075" s="23" t="s">
        <v>108</v>
      </c>
      <c r="L2075" s="24" t="s">
        <v>91</v>
      </c>
      <c r="M2075" s="2">
        <v>61.0</v>
      </c>
      <c r="N2075" s="25">
        <v>31.0</v>
      </c>
      <c r="O2075" s="25"/>
      <c r="P2075" s="25"/>
    </row>
    <row r="2076">
      <c r="A2076" s="16">
        <v>2074.0</v>
      </c>
      <c r="B2076" s="27" t="s">
        <v>90</v>
      </c>
      <c r="C2076" s="18">
        <v>27.0</v>
      </c>
      <c r="D2076" s="19" t="s">
        <v>2216</v>
      </c>
      <c r="E2076" s="20" t="s">
        <v>443</v>
      </c>
      <c r="F2076" s="27" t="s">
        <v>4818</v>
      </c>
      <c r="G2076" s="17" t="s">
        <v>123</v>
      </c>
      <c r="H2076" s="17" t="s">
        <v>4819</v>
      </c>
      <c r="I2076" s="17" t="s">
        <v>125</v>
      </c>
      <c r="J2076" s="22" t="s">
        <v>144</v>
      </c>
      <c r="K2076" s="23" t="s">
        <v>108</v>
      </c>
      <c r="L2076" s="24"/>
      <c r="M2076" s="2">
        <v>61.0</v>
      </c>
      <c r="N2076" s="25">
        <v>31.0</v>
      </c>
      <c r="O2076" s="25"/>
      <c r="P2076" s="25"/>
    </row>
    <row r="2077">
      <c r="A2077" s="16">
        <v>2075.0</v>
      </c>
      <c r="B2077" s="17" t="s">
        <v>90</v>
      </c>
      <c r="C2077" s="18">
        <v>28.0</v>
      </c>
      <c r="D2077" s="19" t="s">
        <v>2211</v>
      </c>
      <c r="E2077" s="20" t="s">
        <v>443</v>
      </c>
      <c r="F2077" s="17" t="s">
        <v>565</v>
      </c>
      <c r="G2077" s="17" t="s">
        <v>4519</v>
      </c>
      <c r="H2077" s="17" t="s">
        <v>4956</v>
      </c>
      <c r="I2077" s="17" t="s">
        <v>125</v>
      </c>
      <c r="J2077" s="22" t="s">
        <v>144</v>
      </c>
      <c r="K2077" s="23" t="s">
        <v>108</v>
      </c>
      <c r="L2077" s="24" t="s">
        <v>91</v>
      </c>
      <c r="M2077" s="2">
        <v>61.0</v>
      </c>
      <c r="N2077" s="25">
        <v>31.0</v>
      </c>
      <c r="O2077" s="25"/>
      <c r="P2077" s="25"/>
    </row>
    <row r="2078">
      <c r="A2078" s="16">
        <v>2076.0</v>
      </c>
      <c r="B2078" s="17" t="s">
        <v>90</v>
      </c>
      <c r="C2078" s="18">
        <v>29.0</v>
      </c>
      <c r="D2078" s="19" t="s">
        <v>2211</v>
      </c>
      <c r="E2078" s="20" t="s">
        <v>443</v>
      </c>
      <c r="F2078" s="17" t="s">
        <v>668</v>
      </c>
      <c r="G2078" s="17" t="s">
        <v>3237</v>
      </c>
      <c r="H2078" s="17" t="s">
        <v>4898</v>
      </c>
      <c r="I2078" s="17" t="s">
        <v>125</v>
      </c>
      <c r="J2078" s="22" t="s">
        <v>144</v>
      </c>
      <c r="K2078" s="23" t="s">
        <v>108</v>
      </c>
      <c r="L2078" s="24" t="s">
        <v>91</v>
      </c>
      <c r="M2078" s="2">
        <v>61.0</v>
      </c>
      <c r="N2078" s="25">
        <v>31.0</v>
      </c>
      <c r="O2078" s="25"/>
      <c r="P2078" s="25"/>
    </row>
    <row r="2079">
      <c r="A2079" s="16">
        <v>2077.0</v>
      </c>
      <c r="B2079" s="17" t="s">
        <v>90</v>
      </c>
      <c r="C2079" s="18">
        <v>30.0</v>
      </c>
      <c r="D2079" s="19" t="s">
        <v>2211</v>
      </c>
      <c r="E2079" s="20" t="s">
        <v>443</v>
      </c>
      <c r="F2079" s="17" t="s">
        <v>672</v>
      </c>
      <c r="G2079" s="17" t="s">
        <v>2378</v>
      </c>
      <c r="H2079" s="17" t="s">
        <v>4957</v>
      </c>
      <c r="I2079" s="17" t="s">
        <v>125</v>
      </c>
      <c r="J2079" s="22" t="s">
        <v>144</v>
      </c>
      <c r="K2079" s="23" t="s">
        <v>108</v>
      </c>
      <c r="L2079" s="24" t="s">
        <v>91</v>
      </c>
      <c r="M2079" s="2">
        <v>61.0</v>
      </c>
      <c r="N2079" s="25">
        <v>31.0</v>
      </c>
      <c r="O2079" s="25"/>
      <c r="P2079" s="25"/>
    </row>
    <row r="2080">
      <c r="A2080" s="16">
        <v>2078.0</v>
      </c>
      <c r="B2080" s="17" t="s">
        <v>90</v>
      </c>
      <c r="C2080" s="18">
        <v>31.0</v>
      </c>
      <c r="D2080" s="19" t="s">
        <v>2221</v>
      </c>
      <c r="E2080" s="20" t="s">
        <v>443</v>
      </c>
      <c r="F2080" s="17" t="s">
        <v>705</v>
      </c>
      <c r="G2080" s="17" t="s">
        <v>4958</v>
      </c>
      <c r="H2080" s="17" t="s">
        <v>4959</v>
      </c>
      <c r="I2080" s="17" t="s">
        <v>125</v>
      </c>
      <c r="J2080" s="22" t="s">
        <v>144</v>
      </c>
      <c r="K2080" s="23" t="s">
        <v>108</v>
      </c>
      <c r="L2080" s="24" t="s">
        <v>91</v>
      </c>
      <c r="M2080" s="2">
        <v>61.0</v>
      </c>
      <c r="N2080" s="25">
        <v>31.0</v>
      </c>
      <c r="O2080" s="25"/>
      <c r="P2080" s="25"/>
    </row>
    <row r="2081">
      <c r="A2081" s="16">
        <v>2079.0</v>
      </c>
      <c r="B2081" s="17" t="s">
        <v>90</v>
      </c>
      <c r="C2081" s="18">
        <v>32.0</v>
      </c>
      <c r="D2081" s="19" t="s">
        <v>2221</v>
      </c>
      <c r="E2081" s="20" t="s">
        <v>443</v>
      </c>
      <c r="F2081" s="17" t="s">
        <v>777</v>
      </c>
      <c r="G2081" s="17" t="s">
        <v>3694</v>
      </c>
      <c r="H2081" s="17" t="s">
        <v>4960</v>
      </c>
      <c r="I2081" s="17" t="s">
        <v>125</v>
      </c>
      <c r="J2081" s="22" t="s">
        <v>144</v>
      </c>
      <c r="K2081" s="23" t="s">
        <v>108</v>
      </c>
      <c r="L2081" s="24" t="s">
        <v>91</v>
      </c>
      <c r="M2081" s="2">
        <v>61.0</v>
      </c>
      <c r="N2081" s="25">
        <v>31.0</v>
      </c>
      <c r="O2081" s="25"/>
      <c r="P2081" s="25"/>
    </row>
    <row r="2082">
      <c r="A2082" s="16">
        <v>2080.0</v>
      </c>
      <c r="B2082" s="17" t="s">
        <v>90</v>
      </c>
      <c r="C2082" s="18">
        <v>33.0</v>
      </c>
      <c r="D2082" s="19" t="s">
        <v>2221</v>
      </c>
      <c r="E2082" s="20" t="s">
        <v>443</v>
      </c>
      <c r="F2082" s="17" t="s">
        <v>561</v>
      </c>
      <c r="G2082" s="17" t="s">
        <v>4882</v>
      </c>
      <c r="H2082" s="17" t="s">
        <v>4883</v>
      </c>
      <c r="I2082" s="17" t="s">
        <v>125</v>
      </c>
      <c r="J2082" s="22" t="s">
        <v>144</v>
      </c>
      <c r="K2082" s="23" t="s">
        <v>108</v>
      </c>
      <c r="L2082" s="24" t="s">
        <v>91</v>
      </c>
      <c r="M2082" s="2">
        <v>61.0</v>
      </c>
      <c r="N2082" s="25">
        <v>31.0</v>
      </c>
      <c r="O2082" s="25"/>
      <c r="P2082" s="25"/>
    </row>
    <row r="2083">
      <c r="A2083" s="16">
        <v>2081.0</v>
      </c>
      <c r="B2083" s="17" t="s">
        <v>90</v>
      </c>
      <c r="C2083" s="18">
        <v>34.0</v>
      </c>
      <c r="D2083" s="19" t="s">
        <v>2221</v>
      </c>
      <c r="E2083" s="20" t="s">
        <v>443</v>
      </c>
      <c r="F2083" s="17" t="s">
        <v>558</v>
      </c>
      <c r="G2083" s="17" t="s">
        <v>123</v>
      </c>
      <c r="H2083" s="17" t="s">
        <v>4961</v>
      </c>
      <c r="I2083" s="17" t="s">
        <v>125</v>
      </c>
      <c r="J2083" s="22" t="s">
        <v>144</v>
      </c>
      <c r="K2083" s="23" t="s">
        <v>108</v>
      </c>
      <c r="L2083" s="24" t="s">
        <v>91</v>
      </c>
      <c r="M2083" s="2">
        <v>61.0</v>
      </c>
      <c r="N2083" s="25">
        <v>31.0</v>
      </c>
      <c r="O2083" s="25"/>
      <c r="P2083" s="25"/>
    </row>
    <row r="2084">
      <c r="A2084" s="16">
        <v>2082.0</v>
      </c>
      <c r="B2084" s="17" t="s">
        <v>90</v>
      </c>
      <c r="C2084" s="18">
        <v>35.0</v>
      </c>
      <c r="D2084" s="19" t="s">
        <v>2221</v>
      </c>
      <c r="E2084" s="20" t="s">
        <v>443</v>
      </c>
      <c r="F2084" s="17" t="s">
        <v>44</v>
      </c>
      <c r="G2084" s="17" t="s">
        <v>4962</v>
      </c>
      <c r="H2084" s="17" t="s">
        <v>4963</v>
      </c>
      <c r="I2084" s="17" t="s">
        <v>125</v>
      </c>
      <c r="J2084" s="22" t="s">
        <v>144</v>
      </c>
      <c r="K2084" s="23" t="s">
        <v>108</v>
      </c>
      <c r="L2084" s="24" t="s">
        <v>91</v>
      </c>
      <c r="M2084" s="2">
        <v>61.0</v>
      </c>
      <c r="N2084" s="25">
        <v>31.0</v>
      </c>
      <c r="O2084" s="25"/>
      <c r="P2084" s="25"/>
    </row>
    <row r="2085">
      <c r="A2085" s="16">
        <v>2083.0</v>
      </c>
      <c r="B2085" s="17" t="s">
        <v>90</v>
      </c>
      <c r="C2085" s="18">
        <v>36.0</v>
      </c>
      <c r="D2085" s="19" t="s">
        <v>2221</v>
      </c>
      <c r="E2085" s="20" t="s">
        <v>443</v>
      </c>
      <c r="F2085" s="17" t="s">
        <v>648</v>
      </c>
      <c r="G2085" s="17" t="s">
        <v>2071</v>
      </c>
      <c r="H2085" s="17" t="s">
        <v>4964</v>
      </c>
      <c r="I2085" s="17" t="s">
        <v>125</v>
      </c>
      <c r="J2085" s="22" t="s">
        <v>144</v>
      </c>
      <c r="K2085" s="23" t="s">
        <v>108</v>
      </c>
      <c r="L2085" s="24" t="s">
        <v>91</v>
      </c>
      <c r="M2085" s="2">
        <v>61.0</v>
      </c>
      <c r="N2085" s="25">
        <v>31.0</v>
      </c>
      <c r="O2085" s="25"/>
      <c r="P2085" s="25"/>
    </row>
    <row r="2086">
      <c r="A2086" s="16">
        <v>2084.0</v>
      </c>
      <c r="B2086" s="17" t="s">
        <v>90</v>
      </c>
      <c r="C2086" s="18">
        <v>37.0</v>
      </c>
      <c r="D2086" s="19" t="s">
        <v>2221</v>
      </c>
      <c r="E2086" s="20" t="s">
        <v>443</v>
      </c>
      <c r="F2086" s="17" t="s">
        <v>329</v>
      </c>
      <c r="G2086" s="17" t="s">
        <v>4965</v>
      </c>
      <c r="H2086" s="17" t="s">
        <v>4963</v>
      </c>
      <c r="I2086" s="17" t="s">
        <v>125</v>
      </c>
      <c r="J2086" s="22" t="s">
        <v>144</v>
      </c>
      <c r="K2086" s="23" t="s">
        <v>108</v>
      </c>
      <c r="L2086" s="24" t="s">
        <v>91</v>
      </c>
      <c r="M2086" s="2">
        <v>61.0</v>
      </c>
      <c r="N2086" s="25">
        <v>31.0</v>
      </c>
      <c r="O2086" s="25"/>
      <c r="P2086" s="25"/>
    </row>
    <row r="2087">
      <c r="A2087" s="16">
        <v>2085.0</v>
      </c>
      <c r="B2087" s="17" t="s">
        <v>90</v>
      </c>
      <c r="C2087" s="18">
        <v>38.0</v>
      </c>
      <c r="D2087" s="19" t="s">
        <v>2221</v>
      </c>
      <c r="E2087" s="20" t="s">
        <v>443</v>
      </c>
      <c r="F2087" s="17" t="s">
        <v>769</v>
      </c>
      <c r="G2087" s="17" t="s">
        <v>123</v>
      </c>
      <c r="H2087" s="17" t="s">
        <v>4884</v>
      </c>
      <c r="I2087" s="17" t="s">
        <v>125</v>
      </c>
      <c r="J2087" s="22" t="s">
        <v>144</v>
      </c>
      <c r="K2087" s="23" t="s">
        <v>108</v>
      </c>
      <c r="L2087" s="24" t="s">
        <v>91</v>
      </c>
      <c r="M2087" s="2">
        <v>61.0</v>
      </c>
      <c r="N2087" s="25">
        <v>31.0</v>
      </c>
      <c r="O2087" s="25"/>
      <c r="P2087" s="25"/>
    </row>
    <row r="2088">
      <c r="A2088" s="16">
        <v>2086.0</v>
      </c>
      <c r="B2088" s="17" t="s">
        <v>90</v>
      </c>
      <c r="C2088" s="18">
        <v>39.0</v>
      </c>
      <c r="D2088" s="19" t="s">
        <v>2221</v>
      </c>
      <c r="E2088" s="20" t="s">
        <v>443</v>
      </c>
      <c r="F2088" s="17" t="s">
        <v>153</v>
      </c>
      <c r="G2088" s="17" t="s">
        <v>4909</v>
      </c>
      <c r="H2088" s="17" t="s">
        <v>4963</v>
      </c>
      <c r="I2088" s="17" t="s">
        <v>125</v>
      </c>
      <c r="J2088" s="22" t="s">
        <v>144</v>
      </c>
      <c r="K2088" s="23" t="s">
        <v>108</v>
      </c>
      <c r="L2088" s="24" t="s">
        <v>91</v>
      </c>
      <c r="M2088" s="2">
        <v>61.0</v>
      </c>
      <c r="N2088" s="25">
        <v>31.0</v>
      </c>
      <c r="O2088" s="25"/>
      <c r="P2088" s="25"/>
    </row>
    <row r="2089">
      <c r="A2089" s="16">
        <v>2087.0</v>
      </c>
      <c r="B2089" s="17" t="s">
        <v>90</v>
      </c>
      <c r="C2089" s="18">
        <v>40.0</v>
      </c>
      <c r="D2089" s="19" t="s">
        <v>2221</v>
      </c>
      <c r="E2089" s="20" t="s">
        <v>443</v>
      </c>
      <c r="F2089" s="17" t="s">
        <v>862</v>
      </c>
      <c r="G2089" s="17" t="s">
        <v>4690</v>
      </c>
      <c r="H2089" s="17" t="s">
        <v>4691</v>
      </c>
      <c r="I2089" s="17" t="s">
        <v>125</v>
      </c>
      <c r="J2089" s="22" t="s">
        <v>144</v>
      </c>
      <c r="K2089" s="23" t="s">
        <v>108</v>
      </c>
      <c r="L2089" s="24" t="s">
        <v>91</v>
      </c>
      <c r="M2089" s="2">
        <v>61.0</v>
      </c>
      <c r="N2089" s="25">
        <v>31.0</v>
      </c>
      <c r="O2089" s="25"/>
      <c r="P2089" s="25"/>
    </row>
    <row r="2090">
      <c r="A2090" s="16">
        <v>2088.0</v>
      </c>
      <c r="B2090" s="17" t="s">
        <v>90</v>
      </c>
      <c r="C2090" s="18">
        <v>41.0</v>
      </c>
      <c r="D2090" s="19" t="s">
        <v>2221</v>
      </c>
      <c r="E2090" s="20" t="s">
        <v>443</v>
      </c>
      <c r="F2090" s="17" t="s">
        <v>89</v>
      </c>
      <c r="G2090" s="17" t="s">
        <v>4966</v>
      </c>
      <c r="H2090" s="17" t="s">
        <v>4967</v>
      </c>
      <c r="I2090" s="17" t="s">
        <v>125</v>
      </c>
      <c r="J2090" s="22" t="s">
        <v>144</v>
      </c>
      <c r="K2090" s="23" t="s">
        <v>108</v>
      </c>
      <c r="L2090" s="24" t="s">
        <v>91</v>
      </c>
      <c r="M2090" s="2">
        <v>61.0</v>
      </c>
      <c r="N2090" s="25">
        <v>31.0</v>
      </c>
      <c r="O2090" s="25"/>
      <c r="P2090" s="25"/>
    </row>
    <row r="2091">
      <c r="A2091" s="16">
        <v>2089.0</v>
      </c>
      <c r="B2091" s="17" t="s">
        <v>90</v>
      </c>
      <c r="C2091" s="18">
        <v>42.0</v>
      </c>
      <c r="D2091" s="19" t="s">
        <v>2221</v>
      </c>
      <c r="E2091" s="20" t="s">
        <v>443</v>
      </c>
      <c r="F2091" s="17" t="s">
        <v>813</v>
      </c>
      <c r="G2091" s="17" t="s">
        <v>4914</v>
      </c>
      <c r="H2091" s="17" t="s">
        <v>4968</v>
      </c>
      <c r="I2091" s="17" t="s">
        <v>125</v>
      </c>
      <c r="J2091" s="22" t="s">
        <v>144</v>
      </c>
      <c r="K2091" s="23" t="s">
        <v>108</v>
      </c>
      <c r="L2091" s="24" t="s">
        <v>91</v>
      </c>
      <c r="M2091" s="2">
        <v>61.0</v>
      </c>
      <c r="N2091" s="25">
        <v>31.0</v>
      </c>
      <c r="O2091" s="25"/>
      <c r="P2091" s="25"/>
    </row>
    <row r="2092">
      <c r="A2092" s="16">
        <v>2090.0</v>
      </c>
      <c r="B2092" s="17" t="s">
        <v>90</v>
      </c>
      <c r="C2092" s="18">
        <v>43.0</v>
      </c>
      <c r="D2092" s="19" t="s">
        <v>2221</v>
      </c>
      <c r="E2092" s="20" t="s">
        <v>443</v>
      </c>
      <c r="F2092" s="17" t="s">
        <v>494</v>
      </c>
      <c r="G2092" s="17" t="s">
        <v>4683</v>
      </c>
      <c r="H2092" s="17" t="s">
        <v>4684</v>
      </c>
      <c r="I2092" s="17" t="s">
        <v>125</v>
      </c>
      <c r="J2092" s="22" t="s">
        <v>144</v>
      </c>
      <c r="K2092" s="23" t="s">
        <v>108</v>
      </c>
      <c r="L2092" s="24" t="s">
        <v>91</v>
      </c>
      <c r="M2092" s="2">
        <v>61.0</v>
      </c>
      <c r="N2092" s="25">
        <v>31.0</v>
      </c>
      <c r="O2092" s="25"/>
      <c r="P2092" s="25"/>
    </row>
    <row r="2093">
      <c r="A2093" s="16">
        <v>2091.0</v>
      </c>
      <c r="B2093" s="17" t="s">
        <v>90</v>
      </c>
      <c r="C2093" s="18">
        <v>44.0</v>
      </c>
      <c r="D2093" s="19" t="s">
        <v>2221</v>
      </c>
      <c r="E2093" s="20" t="s">
        <v>443</v>
      </c>
      <c r="F2093" s="17" t="s">
        <v>263</v>
      </c>
      <c r="G2093" s="17" t="s">
        <v>4644</v>
      </c>
      <c r="H2093" s="17" t="s">
        <v>4969</v>
      </c>
      <c r="I2093" s="17" t="s">
        <v>125</v>
      </c>
      <c r="J2093" s="22" t="s">
        <v>144</v>
      </c>
      <c r="K2093" s="23" t="s">
        <v>108</v>
      </c>
      <c r="L2093" s="24" t="s">
        <v>91</v>
      </c>
      <c r="M2093" s="2">
        <v>61.0</v>
      </c>
      <c r="N2093" s="25">
        <v>31.0</v>
      </c>
      <c r="O2093" s="25"/>
      <c r="P2093" s="25"/>
    </row>
    <row r="2094">
      <c r="A2094" s="16">
        <v>2092.0</v>
      </c>
      <c r="B2094" s="17" t="s">
        <v>90</v>
      </c>
      <c r="C2094" s="18">
        <v>45.0</v>
      </c>
      <c r="D2094" s="19" t="s">
        <v>2221</v>
      </c>
      <c r="E2094" s="20" t="s">
        <v>443</v>
      </c>
      <c r="F2094" s="17" t="s">
        <v>334</v>
      </c>
      <c r="G2094" s="17" t="s">
        <v>4970</v>
      </c>
      <c r="H2094" s="17" t="s">
        <v>4971</v>
      </c>
      <c r="I2094" s="17" t="s">
        <v>125</v>
      </c>
      <c r="J2094" s="22" t="s">
        <v>144</v>
      </c>
      <c r="K2094" s="23" t="s">
        <v>108</v>
      </c>
      <c r="L2094" s="24" t="s">
        <v>91</v>
      </c>
      <c r="M2094" s="2">
        <v>61.0</v>
      </c>
      <c r="N2094" s="25">
        <v>31.0</v>
      </c>
      <c r="O2094" s="25"/>
      <c r="P2094" s="25"/>
    </row>
    <row r="2095">
      <c r="A2095" s="16">
        <v>2093.0</v>
      </c>
      <c r="B2095" s="17" t="s">
        <v>90</v>
      </c>
      <c r="C2095" s="18">
        <v>46.0</v>
      </c>
      <c r="D2095" s="19" t="s">
        <v>2221</v>
      </c>
      <c r="E2095" s="20" t="s">
        <v>443</v>
      </c>
      <c r="F2095" s="17" t="s">
        <v>1027</v>
      </c>
      <c r="G2095" s="17" t="s">
        <v>4972</v>
      </c>
      <c r="H2095" s="17" t="s">
        <v>4973</v>
      </c>
      <c r="I2095" s="17" t="s">
        <v>125</v>
      </c>
      <c r="J2095" s="22" t="s">
        <v>144</v>
      </c>
      <c r="K2095" s="23" t="s">
        <v>108</v>
      </c>
      <c r="L2095" s="24" t="s">
        <v>91</v>
      </c>
      <c r="M2095" s="2">
        <v>61.0</v>
      </c>
      <c r="N2095" s="25">
        <v>31.0</v>
      </c>
      <c r="O2095" s="25"/>
      <c r="P2095" s="25"/>
    </row>
    <row r="2096">
      <c r="A2096" s="16">
        <v>2094.0</v>
      </c>
      <c r="B2096" s="17" t="s">
        <v>90</v>
      </c>
      <c r="C2096" s="18">
        <v>47.0</v>
      </c>
      <c r="D2096" s="19" t="s">
        <v>2221</v>
      </c>
      <c r="E2096" s="20" t="s">
        <v>443</v>
      </c>
      <c r="F2096" s="17" t="s">
        <v>537</v>
      </c>
      <c r="G2096" s="17" t="s">
        <v>4974</v>
      </c>
      <c r="H2096" s="17" t="s">
        <v>4975</v>
      </c>
      <c r="I2096" s="17" t="s">
        <v>125</v>
      </c>
      <c r="J2096" s="22" t="s">
        <v>144</v>
      </c>
      <c r="K2096" s="23" t="s">
        <v>108</v>
      </c>
      <c r="L2096" s="24" t="s">
        <v>91</v>
      </c>
      <c r="M2096" s="2">
        <v>61.0</v>
      </c>
      <c r="N2096" s="25">
        <v>31.0</v>
      </c>
      <c r="O2096" s="25"/>
      <c r="P2096" s="25"/>
    </row>
    <row r="2097">
      <c r="A2097" s="16">
        <v>2095.0</v>
      </c>
      <c r="B2097" s="17" t="s">
        <v>90</v>
      </c>
      <c r="C2097" s="18">
        <v>48.0</v>
      </c>
      <c r="D2097" s="19" t="s">
        <v>2221</v>
      </c>
      <c r="E2097" s="20" t="s">
        <v>443</v>
      </c>
      <c r="F2097" s="17" t="s">
        <v>855</v>
      </c>
      <c r="G2097" s="17" t="s">
        <v>123</v>
      </c>
      <c r="H2097" s="17" t="s">
        <v>3613</v>
      </c>
      <c r="I2097" s="17" t="s">
        <v>125</v>
      </c>
      <c r="J2097" s="22" t="s">
        <v>144</v>
      </c>
      <c r="K2097" s="23" t="s">
        <v>108</v>
      </c>
      <c r="L2097" s="24" t="s">
        <v>91</v>
      </c>
      <c r="M2097" s="2">
        <v>61.0</v>
      </c>
      <c r="N2097" s="25">
        <v>31.0</v>
      </c>
      <c r="O2097" s="25"/>
      <c r="P2097" s="25"/>
    </row>
    <row r="2098">
      <c r="A2098" s="16">
        <v>2096.0</v>
      </c>
      <c r="B2098" s="17" t="s">
        <v>90</v>
      </c>
      <c r="C2098" s="18">
        <v>49.0</v>
      </c>
      <c r="D2098" s="19" t="s">
        <v>2221</v>
      </c>
      <c r="E2098" s="20" t="s">
        <v>443</v>
      </c>
      <c r="F2098" s="17" t="s">
        <v>129</v>
      </c>
      <c r="G2098" s="17" t="s">
        <v>1912</v>
      </c>
      <c r="H2098" s="17" t="s">
        <v>4841</v>
      </c>
      <c r="I2098" s="17" t="s">
        <v>125</v>
      </c>
      <c r="J2098" s="22" t="s">
        <v>144</v>
      </c>
      <c r="K2098" s="23" t="s">
        <v>108</v>
      </c>
      <c r="L2098" s="24" t="s">
        <v>91</v>
      </c>
      <c r="M2098" s="2">
        <v>61.0</v>
      </c>
      <c r="N2098" s="25">
        <v>31.0</v>
      </c>
      <c r="O2098" s="25"/>
      <c r="P2098" s="25"/>
    </row>
    <row r="2099">
      <c r="A2099" s="16">
        <v>2097.0</v>
      </c>
      <c r="B2099" s="17" t="s">
        <v>90</v>
      </c>
      <c r="C2099" s="18">
        <v>50.0</v>
      </c>
      <c r="D2099" s="19" t="s">
        <v>2221</v>
      </c>
      <c r="E2099" s="20" t="s">
        <v>443</v>
      </c>
      <c r="F2099" s="17" t="s">
        <v>725</v>
      </c>
      <c r="G2099" s="17" t="s">
        <v>4704</v>
      </c>
      <c r="H2099" s="17" t="s">
        <v>4705</v>
      </c>
      <c r="I2099" s="17" t="s">
        <v>125</v>
      </c>
      <c r="J2099" s="22" t="s">
        <v>144</v>
      </c>
      <c r="K2099" s="23" t="s">
        <v>108</v>
      </c>
      <c r="L2099" s="24" t="s">
        <v>91</v>
      </c>
      <c r="M2099" s="2">
        <v>61.0</v>
      </c>
      <c r="N2099" s="25">
        <v>31.0</v>
      </c>
      <c r="O2099" s="25"/>
      <c r="P2099" s="25"/>
    </row>
    <row r="2100">
      <c r="A2100" s="16">
        <v>2098.0</v>
      </c>
      <c r="B2100" s="17" t="s">
        <v>90</v>
      </c>
      <c r="C2100" s="18">
        <v>51.0</v>
      </c>
      <c r="D2100" s="19" t="s">
        <v>2221</v>
      </c>
      <c r="E2100" s="20" t="s">
        <v>443</v>
      </c>
      <c r="F2100" s="17" t="s">
        <v>1126</v>
      </c>
      <c r="G2100" s="17" t="s">
        <v>3712</v>
      </c>
      <c r="H2100" s="17" t="s">
        <v>3713</v>
      </c>
      <c r="I2100" s="17" t="s">
        <v>125</v>
      </c>
      <c r="J2100" s="22" t="s">
        <v>144</v>
      </c>
      <c r="K2100" s="23" t="s">
        <v>108</v>
      </c>
      <c r="L2100" s="24" t="s">
        <v>91</v>
      </c>
      <c r="M2100" s="2">
        <v>61.0</v>
      </c>
      <c r="N2100" s="25">
        <v>31.0</v>
      </c>
      <c r="O2100" s="25"/>
      <c r="P2100" s="25"/>
    </row>
    <row r="2101">
      <c r="A2101" s="16">
        <v>2099.0</v>
      </c>
      <c r="B2101" s="17" t="s">
        <v>90</v>
      </c>
      <c r="C2101" s="18">
        <v>52.0</v>
      </c>
      <c r="D2101" s="19" t="s">
        <v>2221</v>
      </c>
      <c r="E2101" s="20" t="s">
        <v>443</v>
      </c>
      <c r="F2101" s="17" t="s">
        <v>1044</v>
      </c>
      <c r="G2101" s="17" t="s">
        <v>4706</v>
      </c>
      <c r="H2101" s="17" t="s">
        <v>4707</v>
      </c>
      <c r="I2101" s="17" t="s">
        <v>125</v>
      </c>
      <c r="J2101" s="22" t="s">
        <v>144</v>
      </c>
      <c r="K2101" s="23" t="s">
        <v>108</v>
      </c>
      <c r="L2101" s="24" t="s">
        <v>91</v>
      </c>
      <c r="M2101" s="2">
        <v>61.0</v>
      </c>
      <c r="N2101" s="25">
        <v>31.0</v>
      </c>
      <c r="O2101" s="25"/>
      <c r="P2101" s="25"/>
    </row>
    <row r="2102">
      <c r="A2102" s="16">
        <v>2100.0</v>
      </c>
      <c r="B2102" s="17" t="s">
        <v>90</v>
      </c>
      <c r="C2102" s="18">
        <v>53.0</v>
      </c>
      <c r="D2102" s="19" t="s">
        <v>2221</v>
      </c>
      <c r="E2102" s="20" t="s">
        <v>443</v>
      </c>
      <c r="F2102" s="17" t="s">
        <v>863</v>
      </c>
      <c r="G2102" s="17" t="s">
        <v>123</v>
      </c>
      <c r="H2102" s="17" t="s">
        <v>4976</v>
      </c>
      <c r="I2102" s="17" t="s">
        <v>125</v>
      </c>
      <c r="J2102" s="22" t="s">
        <v>144</v>
      </c>
      <c r="K2102" s="23" t="s">
        <v>108</v>
      </c>
      <c r="L2102" s="24" t="s">
        <v>91</v>
      </c>
      <c r="M2102" s="2">
        <v>61.0</v>
      </c>
      <c r="N2102" s="25">
        <v>31.0</v>
      </c>
      <c r="O2102" s="25"/>
      <c r="P2102" s="25"/>
    </row>
    <row r="2103">
      <c r="A2103" s="16">
        <v>2101.0</v>
      </c>
      <c r="B2103" s="17" t="s">
        <v>90</v>
      </c>
      <c r="C2103" s="18">
        <v>54.0</v>
      </c>
      <c r="D2103" s="19" t="s">
        <v>2221</v>
      </c>
      <c r="E2103" s="20" t="s">
        <v>443</v>
      </c>
      <c r="F2103" s="17" t="s">
        <v>660</v>
      </c>
      <c r="G2103" s="17" t="s">
        <v>4698</v>
      </c>
      <c r="H2103" s="17" t="s">
        <v>4699</v>
      </c>
      <c r="I2103" s="17" t="s">
        <v>125</v>
      </c>
      <c r="J2103" s="22" t="s">
        <v>144</v>
      </c>
      <c r="K2103" s="23" t="s">
        <v>108</v>
      </c>
      <c r="L2103" s="24" t="s">
        <v>91</v>
      </c>
      <c r="M2103" s="2">
        <v>61.0</v>
      </c>
      <c r="N2103" s="25">
        <v>31.0</v>
      </c>
      <c r="O2103" s="25"/>
      <c r="P2103" s="25"/>
    </row>
    <row r="2104">
      <c r="A2104" s="16">
        <v>2102.0</v>
      </c>
      <c r="B2104" s="17" t="s">
        <v>90</v>
      </c>
      <c r="C2104" s="18">
        <v>55.0</v>
      </c>
      <c r="D2104" s="19" t="s">
        <v>2221</v>
      </c>
      <c r="E2104" s="20" t="s">
        <v>443</v>
      </c>
      <c r="F2104" s="17" t="s">
        <v>848</v>
      </c>
      <c r="G2104" s="17" t="s">
        <v>2022</v>
      </c>
      <c r="H2104" s="17" t="s">
        <v>4977</v>
      </c>
      <c r="I2104" s="17" t="s">
        <v>125</v>
      </c>
      <c r="J2104" s="22" t="s">
        <v>144</v>
      </c>
      <c r="K2104" s="23" t="s">
        <v>108</v>
      </c>
      <c r="L2104" s="24" t="s">
        <v>91</v>
      </c>
      <c r="M2104" s="2">
        <v>61.0</v>
      </c>
      <c r="N2104" s="25">
        <v>31.0</v>
      </c>
      <c r="O2104" s="25"/>
      <c r="P2104" s="25"/>
    </row>
    <row r="2105">
      <c r="A2105" s="16">
        <v>2103.0</v>
      </c>
      <c r="B2105" s="17" t="s">
        <v>90</v>
      </c>
      <c r="C2105" s="18">
        <v>56.0</v>
      </c>
      <c r="D2105" s="19" t="s">
        <v>2221</v>
      </c>
      <c r="E2105" s="20" t="s">
        <v>443</v>
      </c>
      <c r="F2105" s="17" t="s">
        <v>544</v>
      </c>
      <c r="G2105" s="17" t="s">
        <v>4978</v>
      </c>
      <c r="H2105" s="17" t="s">
        <v>4963</v>
      </c>
      <c r="I2105" s="17" t="s">
        <v>125</v>
      </c>
      <c r="J2105" s="22" t="s">
        <v>144</v>
      </c>
      <c r="K2105" s="23" t="s">
        <v>108</v>
      </c>
      <c r="L2105" s="24" t="s">
        <v>91</v>
      </c>
      <c r="M2105" s="2">
        <v>61.0</v>
      </c>
      <c r="N2105" s="25">
        <v>31.0</v>
      </c>
      <c r="O2105" s="25"/>
      <c r="P2105" s="25"/>
    </row>
    <row r="2106">
      <c r="A2106" s="16">
        <v>2104.0</v>
      </c>
      <c r="B2106" s="17" t="s">
        <v>90</v>
      </c>
      <c r="C2106" s="18">
        <v>57.0</v>
      </c>
      <c r="D2106" s="19" t="s">
        <v>2221</v>
      </c>
      <c r="E2106" s="20" t="s">
        <v>443</v>
      </c>
      <c r="F2106" s="17" t="s">
        <v>586</v>
      </c>
      <c r="G2106" s="17" t="s">
        <v>4979</v>
      </c>
      <c r="H2106" s="17" t="s">
        <v>4980</v>
      </c>
      <c r="I2106" s="17" t="s">
        <v>125</v>
      </c>
      <c r="J2106" s="22" t="s">
        <v>144</v>
      </c>
      <c r="K2106" s="23" t="s">
        <v>108</v>
      </c>
      <c r="L2106" s="24" t="s">
        <v>91</v>
      </c>
      <c r="M2106" s="2">
        <v>61.0</v>
      </c>
      <c r="N2106" s="25">
        <v>31.0</v>
      </c>
      <c r="O2106" s="25"/>
      <c r="P2106" s="25"/>
    </row>
    <row r="2107">
      <c r="A2107" s="16">
        <v>2105.0</v>
      </c>
      <c r="B2107" s="17" t="s">
        <v>90</v>
      </c>
      <c r="C2107" s="18">
        <v>58.0</v>
      </c>
      <c r="D2107" s="19" t="s">
        <v>2221</v>
      </c>
      <c r="E2107" s="20" t="s">
        <v>443</v>
      </c>
      <c r="F2107" s="17" t="s">
        <v>513</v>
      </c>
      <c r="G2107" s="17" t="s">
        <v>4719</v>
      </c>
      <c r="H2107" s="17" t="s">
        <v>4720</v>
      </c>
      <c r="I2107" s="17" t="s">
        <v>125</v>
      </c>
      <c r="J2107" s="22" t="s">
        <v>144</v>
      </c>
      <c r="K2107" s="23" t="s">
        <v>108</v>
      </c>
      <c r="L2107" s="24" t="s">
        <v>91</v>
      </c>
      <c r="M2107" s="2">
        <v>61.0</v>
      </c>
      <c r="N2107" s="25">
        <v>31.0</v>
      </c>
      <c r="O2107" s="25"/>
      <c r="P2107" s="25"/>
    </row>
    <row r="2108">
      <c r="A2108" s="16">
        <v>2106.0</v>
      </c>
      <c r="B2108" s="17" t="s">
        <v>90</v>
      </c>
      <c r="C2108" s="18">
        <v>59.0</v>
      </c>
      <c r="D2108" s="19" t="s">
        <v>2221</v>
      </c>
      <c r="E2108" s="20" t="s">
        <v>443</v>
      </c>
      <c r="F2108" s="17" t="s">
        <v>596</v>
      </c>
      <c r="G2108" s="17" t="s">
        <v>4721</v>
      </c>
      <c r="H2108" s="17" t="s">
        <v>4722</v>
      </c>
      <c r="I2108" s="17" t="s">
        <v>125</v>
      </c>
      <c r="J2108" s="22" t="s">
        <v>144</v>
      </c>
      <c r="K2108" s="23" t="s">
        <v>108</v>
      </c>
      <c r="L2108" s="24" t="s">
        <v>91</v>
      </c>
      <c r="M2108" s="2">
        <v>61.0</v>
      </c>
      <c r="N2108" s="25">
        <v>31.0</v>
      </c>
      <c r="O2108" s="25"/>
      <c r="P2108" s="25"/>
    </row>
    <row r="2109">
      <c r="A2109" s="16">
        <v>2107.0</v>
      </c>
      <c r="B2109" s="17" t="s">
        <v>90</v>
      </c>
      <c r="C2109" s="18">
        <v>60.0</v>
      </c>
      <c r="D2109" s="19" t="s">
        <v>2221</v>
      </c>
      <c r="E2109" s="20" t="s">
        <v>443</v>
      </c>
      <c r="F2109" s="17" t="s">
        <v>913</v>
      </c>
      <c r="G2109" s="17" t="s">
        <v>123</v>
      </c>
      <c r="H2109" s="17" t="s">
        <v>4846</v>
      </c>
      <c r="I2109" s="17" t="s">
        <v>125</v>
      </c>
      <c r="J2109" s="22" t="s">
        <v>144</v>
      </c>
      <c r="K2109" s="23" t="s">
        <v>108</v>
      </c>
      <c r="L2109" s="24" t="s">
        <v>91</v>
      </c>
      <c r="M2109" s="2">
        <v>61.0</v>
      </c>
      <c r="N2109" s="25">
        <v>31.0</v>
      </c>
      <c r="O2109" s="25"/>
      <c r="P2109" s="25"/>
    </row>
    <row r="2110">
      <c r="A2110" s="16">
        <v>2108.0</v>
      </c>
      <c r="B2110" s="17" t="s">
        <v>90</v>
      </c>
      <c r="C2110" s="18">
        <v>61.0</v>
      </c>
      <c r="D2110" s="19" t="s">
        <v>2221</v>
      </c>
      <c r="E2110" s="20" t="s">
        <v>443</v>
      </c>
      <c r="F2110" s="17" t="s">
        <v>741</v>
      </c>
      <c r="G2110" s="17" t="s">
        <v>4726</v>
      </c>
      <c r="H2110" s="17" t="s">
        <v>4727</v>
      </c>
      <c r="I2110" s="17" t="s">
        <v>125</v>
      </c>
      <c r="J2110" s="22" t="s">
        <v>144</v>
      </c>
      <c r="K2110" s="23" t="s">
        <v>108</v>
      </c>
      <c r="L2110" s="24" t="s">
        <v>91</v>
      </c>
      <c r="M2110" s="2">
        <v>61.0</v>
      </c>
      <c r="N2110" s="25">
        <v>31.0</v>
      </c>
      <c r="O2110" s="25"/>
      <c r="P2110" s="25"/>
    </row>
    <row r="2111">
      <c r="A2111" s="16">
        <v>2109.0</v>
      </c>
      <c r="B2111" s="17" t="s">
        <v>90</v>
      </c>
      <c r="C2111" s="18">
        <v>62.0</v>
      </c>
      <c r="D2111" s="19" t="s">
        <v>2221</v>
      </c>
      <c r="E2111" s="20" t="s">
        <v>443</v>
      </c>
      <c r="F2111" s="17" t="s">
        <v>160</v>
      </c>
      <c r="G2111" s="17" t="s">
        <v>4893</v>
      </c>
      <c r="H2111" s="17" t="s">
        <v>4894</v>
      </c>
      <c r="I2111" s="17" t="s">
        <v>125</v>
      </c>
      <c r="J2111" s="22" t="s">
        <v>144</v>
      </c>
      <c r="K2111" s="23" t="s">
        <v>108</v>
      </c>
      <c r="L2111" s="24" t="s">
        <v>91</v>
      </c>
      <c r="M2111" s="2">
        <v>61.0</v>
      </c>
      <c r="N2111" s="25">
        <v>31.0</v>
      </c>
      <c r="O2111" s="25"/>
      <c r="P2111" s="25"/>
    </row>
    <row r="2112">
      <c r="A2112" s="16">
        <v>2110.0</v>
      </c>
      <c r="B2112" s="17" t="s">
        <v>90</v>
      </c>
      <c r="C2112" s="18">
        <v>63.0</v>
      </c>
      <c r="D2112" s="19" t="s">
        <v>2221</v>
      </c>
      <c r="E2112" s="20" t="s">
        <v>443</v>
      </c>
      <c r="F2112" s="17" t="s">
        <v>477</v>
      </c>
      <c r="G2112" s="17" t="s">
        <v>4729</v>
      </c>
      <c r="H2112" s="17" t="s">
        <v>4730</v>
      </c>
      <c r="I2112" s="17" t="s">
        <v>125</v>
      </c>
      <c r="J2112" s="22" t="s">
        <v>144</v>
      </c>
      <c r="K2112" s="23" t="s">
        <v>108</v>
      </c>
      <c r="L2112" s="24" t="s">
        <v>91</v>
      </c>
      <c r="M2112" s="2">
        <v>61.0</v>
      </c>
      <c r="N2112" s="25">
        <v>31.0</v>
      </c>
      <c r="O2112" s="25"/>
      <c r="P2112" s="25"/>
    </row>
    <row r="2113">
      <c r="A2113" s="16">
        <v>2111.0</v>
      </c>
      <c r="B2113" s="17" t="s">
        <v>90</v>
      </c>
      <c r="C2113" s="18">
        <v>64.0</v>
      </c>
      <c r="D2113" s="19" t="s">
        <v>2221</v>
      </c>
      <c r="E2113" s="20" t="s">
        <v>443</v>
      </c>
      <c r="F2113" s="17" t="s">
        <v>980</v>
      </c>
      <c r="G2113" s="17" t="s">
        <v>4981</v>
      </c>
      <c r="H2113" s="17" t="s">
        <v>4707</v>
      </c>
      <c r="I2113" s="17" t="s">
        <v>125</v>
      </c>
      <c r="J2113" s="22" t="s">
        <v>144</v>
      </c>
      <c r="K2113" s="23" t="s">
        <v>108</v>
      </c>
      <c r="L2113" s="24" t="s">
        <v>91</v>
      </c>
      <c r="M2113" s="2">
        <v>61.0</v>
      </c>
      <c r="N2113" s="25">
        <v>31.0</v>
      </c>
      <c r="O2113" s="25"/>
      <c r="P2113" s="25"/>
    </row>
    <row r="2114">
      <c r="A2114" s="16">
        <v>2112.0</v>
      </c>
      <c r="B2114" s="17" t="s">
        <v>90</v>
      </c>
      <c r="C2114" s="18">
        <v>65.0</v>
      </c>
      <c r="D2114" s="19" t="s">
        <v>2221</v>
      </c>
      <c r="E2114" s="20" t="s">
        <v>443</v>
      </c>
      <c r="F2114" s="17" t="s">
        <v>113</v>
      </c>
      <c r="G2114" s="17" t="s">
        <v>4588</v>
      </c>
      <c r="H2114" s="17" t="s">
        <v>4589</v>
      </c>
      <c r="I2114" s="17" t="s">
        <v>125</v>
      </c>
      <c r="J2114" s="22" t="s">
        <v>144</v>
      </c>
      <c r="K2114" s="23" t="s">
        <v>108</v>
      </c>
      <c r="L2114" s="24" t="s">
        <v>91</v>
      </c>
      <c r="M2114" s="2">
        <v>61.0</v>
      </c>
      <c r="N2114" s="25">
        <v>31.0</v>
      </c>
      <c r="O2114" s="25"/>
      <c r="P2114" s="25"/>
    </row>
    <row r="2115">
      <c r="A2115" s="16">
        <v>2113.0</v>
      </c>
      <c r="B2115" s="17" t="s">
        <v>90</v>
      </c>
      <c r="C2115" s="18">
        <v>66.0</v>
      </c>
      <c r="D2115" s="19" t="s">
        <v>2221</v>
      </c>
      <c r="E2115" s="20" t="s">
        <v>443</v>
      </c>
      <c r="F2115" s="17" t="s">
        <v>72</v>
      </c>
      <c r="G2115" s="17" t="s">
        <v>4982</v>
      </c>
      <c r="H2115" s="17" t="s">
        <v>4983</v>
      </c>
      <c r="I2115" s="17" t="s">
        <v>125</v>
      </c>
      <c r="J2115" s="22" t="s">
        <v>144</v>
      </c>
      <c r="K2115" s="23" t="s">
        <v>108</v>
      </c>
      <c r="L2115" s="24" t="s">
        <v>91</v>
      </c>
      <c r="M2115" s="2">
        <v>61.0</v>
      </c>
      <c r="N2115" s="25">
        <v>31.0</v>
      </c>
      <c r="O2115" s="25"/>
      <c r="P2115" s="25"/>
    </row>
    <row r="2116">
      <c r="A2116" s="16">
        <v>2114.0</v>
      </c>
      <c r="B2116" s="17" t="s">
        <v>90</v>
      </c>
      <c r="C2116" s="18">
        <v>67.0</v>
      </c>
      <c r="D2116" s="19" t="s">
        <v>2221</v>
      </c>
      <c r="E2116" s="20" t="s">
        <v>443</v>
      </c>
      <c r="F2116" s="17" t="s">
        <v>664</v>
      </c>
      <c r="G2116" s="17" t="s">
        <v>4702</v>
      </c>
      <c r="H2116" s="17" t="s">
        <v>4703</v>
      </c>
      <c r="I2116" s="17" t="s">
        <v>125</v>
      </c>
      <c r="J2116" s="22" t="s">
        <v>144</v>
      </c>
      <c r="K2116" s="23" t="s">
        <v>108</v>
      </c>
      <c r="L2116" s="24" t="s">
        <v>91</v>
      </c>
      <c r="M2116" s="2">
        <v>61.0</v>
      </c>
      <c r="N2116" s="25">
        <v>31.0</v>
      </c>
      <c r="O2116" s="25"/>
      <c r="P2116" s="25"/>
    </row>
    <row r="2117">
      <c r="A2117" s="16">
        <v>2115.0</v>
      </c>
      <c r="B2117" s="17" t="s">
        <v>90</v>
      </c>
      <c r="C2117" s="18">
        <v>68.0</v>
      </c>
      <c r="D2117" s="19" t="s">
        <v>2221</v>
      </c>
      <c r="E2117" s="20" t="s">
        <v>443</v>
      </c>
      <c r="F2117" s="17" t="s">
        <v>499</v>
      </c>
      <c r="G2117" s="17" t="s">
        <v>2902</v>
      </c>
      <c r="H2117" s="17" t="s">
        <v>4747</v>
      </c>
      <c r="I2117" s="17" t="s">
        <v>125</v>
      </c>
      <c r="J2117" s="22" t="s">
        <v>144</v>
      </c>
      <c r="K2117" s="23" t="s">
        <v>108</v>
      </c>
      <c r="L2117" s="24" t="s">
        <v>91</v>
      </c>
      <c r="M2117" s="2">
        <v>61.0</v>
      </c>
      <c r="N2117" s="25">
        <v>31.0</v>
      </c>
      <c r="O2117" s="25"/>
      <c r="P2117" s="25"/>
    </row>
    <row r="2118">
      <c r="A2118" s="16">
        <v>2116.0</v>
      </c>
      <c r="B2118" s="17" t="s">
        <v>90</v>
      </c>
      <c r="C2118" s="18">
        <v>69.0</v>
      </c>
      <c r="D2118" s="19" t="s">
        <v>2221</v>
      </c>
      <c r="E2118" s="20" t="s">
        <v>443</v>
      </c>
      <c r="F2118" s="17" t="s">
        <v>71</v>
      </c>
      <c r="G2118" s="17" t="s">
        <v>4753</v>
      </c>
      <c r="H2118" s="17" t="s">
        <v>4754</v>
      </c>
      <c r="I2118" s="17" t="s">
        <v>125</v>
      </c>
      <c r="J2118" s="22" t="s">
        <v>144</v>
      </c>
      <c r="K2118" s="23" t="s">
        <v>108</v>
      </c>
      <c r="L2118" s="24" t="s">
        <v>91</v>
      </c>
      <c r="M2118" s="2">
        <v>61.0</v>
      </c>
      <c r="N2118" s="25">
        <v>31.0</v>
      </c>
      <c r="O2118" s="25"/>
      <c r="P2118" s="25"/>
    </row>
    <row r="2119">
      <c r="A2119" s="16">
        <v>2117.0</v>
      </c>
      <c r="B2119" s="17" t="s">
        <v>90</v>
      </c>
      <c r="C2119" s="18">
        <v>70.0</v>
      </c>
      <c r="D2119" s="19" t="s">
        <v>2221</v>
      </c>
      <c r="E2119" s="20" t="s">
        <v>443</v>
      </c>
      <c r="F2119" s="17" t="s">
        <v>51</v>
      </c>
      <c r="G2119" s="17" t="s">
        <v>4763</v>
      </c>
      <c r="H2119" s="17" t="s">
        <v>4764</v>
      </c>
      <c r="I2119" s="17" t="s">
        <v>125</v>
      </c>
      <c r="J2119" s="22" t="s">
        <v>144</v>
      </c>
      <c r="K2119" s="23" t="s">
        <v>108</v>
      </c>
      <c r="L2119" s="24" t="s">
        <v>91</v>
      </c>
      <c r="M2119" s="2">
        <v>61.0</v>
      </c>
      <c r="N2119" s="25">
        <v>31.0</v>
      </c>
      <c r="O2119" s="25"/>
      <c r="P2119" s="25"/>
    </row>
    <row r="2120">
      <c r="A2120" s="16">
        <v>2118.0</v>
      </c>
      <c r="B2120" s="17" t="s">
        <v>90</v>
      </c>
      <c r="C2120" s="18">
        <v>71.0</v>
      </c>
      <c r="D2120" s="19" t="s">
        <v>2221</v>
      </c>
      <c r="E2120" s="20" t="s">
        <v>443</v>
      </c>
      <c r="F2120" s="17" t="s">
        <v>86</v>
      </c>
      <c r="G2120" s="17" t="s">
        <v>4773</v>
      </c>
      <c r="H2120" s="17" t="s">
        <v>4774</v>
      </c>
      <c r="I2120" s="17" t="s">
        <v>125</v>
      </c>
      <c r="J2120" s="22" t="s">
        <v>144</v>
      </c>
      <c r="K2120" s="23" t="s">
        <v>108</v>
      </c>
      <c r="L2120" s="24" t="s">
        <v>91</v>
      </c>
      <c r="M2120" s="2">
        <v>61.0</v>
      </c>
      <c r="N2120" s="25">
        <v>31.0</v>
      </c>
      <c r="O2120" s="25"/>
      <c r="P2120" s="25"/>
    </row>
    <row r="2121">
      <c r="A2121" s="16">
        <v>2119.0</v>
      </c>
      <c r="B2121" s="17" t="s">
        <v>90</v>
      </c>
      <c r="C2121" s="18">
        <v>72.0</v>
      </c>
      <c r="D2121" s="19" t="s">
        <v>2221</v>
      </c>
      <c r="E2121" s="20" t="s">
        <v>443</v>
      </c>
      <c r="F2121" s="17" t="s">
        <v>266</v>
      </c>
      <c r="G2121" s="17" t="s">
        <v>4778</v>
      </c>
      <c r="H2121" s="17" t="s">
        <v>4707</v>
      </c>
      <c r="I2121" s="17" t="s">
        <v>125</v>
      </c>
      <c r="J2121" s="22" t="s">
        <v>144</v>
      </c>
      <c r="K2121" s="23" t="s">
        <v>108</v>
      </c>
      <c r="L2121" s="24" t="s">
        <v>91</v>
      </c>
      <c r="M2121" s="2">
        <v>61.0</v>
      </c>
      <c r="N2121" s="25">
        <v>31.0</v>
      </c>
      <c r="O2121" s="25"/>
      <c r="P2121" s="25"/>
    </row>
    <row r="2122">
      <c r="A2122" s="16">
        <v>2120.0</v>
      </c>
      <c r="B2122" s="17" t="s">
        <v>90</v>
      </c>
      <c r="C2122" s="18">
        <v>73.0</v>
      </c>
      <c r="D2122" s="19" t="s">
        <v>2221</v>
      </c>
      <c r="E2122" s="20" t="s">
        <v>443</v>
      </c>
      <c r="F2122" s="17" t="s">
        <v>944</v>
      </c>
      <c r="G2122" s="17" t="s">
        <v>2256</v>
      </c>
      <c r="H2122" s="17" t="s">
        <v>2257</v>
      </c>
      <c r="I2122" s="17" t="s">
        <v>125</v>
      </c>
      <c r="J2122" s="22" t="s">
        <v>144</v>
      </c>
      <c r="K2122" s="23" t="s">
        <v>108</v>
      </c>
      <c r="L2122" s="24" t="s">
        <v>91</v>
      </c>
      <c r="M2122" s="2">
        <v>61.0</v>
      </c>
      <c r="N2122" s="25">
        <v>31.0</v>
      </c>
      <c r="O2122" s="25"/>
      <c r="P2122" s="25"/>
    </row>
    <row r="2123">
      <c r="A2123" s="16">
        <v>2121.0</v>
      </c>
      <c r="B2123" s="17" t="s">
        <v>90</v>
      </c>
      <c r="C2123" s="18">
        <v>74.0</v>
      </c>
      <c r="D2123" s="19" t="s">
        <v>2221</v>
      </c>
      <c r="E2123" s="20" t="s">
        <v>443</v>
      </c>
      <c r="F2123" s="17" t="s">
        <v>1047</v>
      </c>
      <c r="G2123" s="17" t="s">
        <v>4903</v>
      </c>
      <c r="H2123" s="17" t="s">
        <v>4894</v>
      </c>
      <c r="I2123" s="17" t="s">
        <v>125</v>
      </c>
      <c r="J2123" s="22" t="s">
        <v>144</v>
      </c>
      <c r="K2123" s="23" t="s">
        <v>108</v>
      </c>
      <c r="L2123" s="24" t="s">
        <v>91</v>
      </c>
      <c r="M2123" s="2">
        <v>61.0</v>
      </c>
      <c r="N2123" s="25">
        <v>31.0</v>
      </c>
      <c r="O2123" s="25"/>
      <c r="P2123" s="25"/>
    </row>
    <row r="2124">
      <c r="A2124" s="16">
        <v>2122.0</v>
      </c>
      <c r="B2124" s="17" t="s">
        <v>90</v>
      </c>
      <c r="C2124" s="18">
        <v>75.0</v>
      </c>
      <c r="D2124" s="19" t="s">
        <v>2221</v>
      </c>
      <c r="E2124" s="20" t="s">
        <v>443</v>
      </c>
      <c r="F2124" s="17" t="s">
        <v>909</v>
      </c>
      <c r="G2124" s="17" t="s">
        <v>4984</v>
      </c>
      <c r="H2124" s="17" t="s">
        <v>4985</v>
      </c>
      <c r="I2124" s="17" t="s">
        <v>125</v>
      </c>
      <c r="J2124" s="22" t="s">
        <v>144</v>
      </c>
      <c r="K2124" s="23" t="s">
        <v>108</v>
      </c>
      <c r="L2124" s="24" t="s">
        <v>91</v>
      </c>
      <c r="M2124" s="2">
        <v>61.0</v>
      </c>
      <c r="N2124" s="25">
        <v>31.0</v>
      </c>
      <c r="O2124" s="25"/>
      <c r="P2124" s="25"/>
    </row>
    <row r="2125">
      <c r="A2125" s="16">
        <v>2123.0</v>
      </c>
      <c r="B2125" s="17" t="s">
        <v>90</v>
      </c>
      <c r="C2125" s="18">
        <v>76.0</v>
      </c>
      <c r="D2125" s="19" t="s">
        <v>2221</v>
      </c>
      <c r="E2125" s="20" t="s">
        <v>443</v>
      </c>
      <c r="F2125" s="17" t="s">
        <v>642</v>
      </c>
      <c r="G2125" s="17" t="s">
        <v>4598</v>
      </c>
      <c r="H2125" s="17" t="s">
        <v>4807</v>
      </c>
      <c r="I2125" s="17" t="s">
        <v>125</v>
      </c>
      <c r="J2125" s="22" t="s">
        <v>144</v>
      </c>
      <c r="K2125" s="23" t="s">
        <v>108</v>
      </c>
      <c r="L2125" s="24" t="s">
        <v>91</v>
      </c>
      <c r="M2125" s="2">
        <v>61.0</v>
      </c>
      <c r="N2125" s="25">
        <v>31.0</v>
      </c>
      <c r="O2125" s="25"/>
      <c r="P2125" s="25"/>
    </row>
    <row r="2126">
      <c r="A2126" s="16">
        <v>2124.0</v>
      </c>
      <c r="B2126" s="17" t="s">
        <v>90</v>
      </c>
      <c r="C2126" s="18">
        <v>77.0</v>
      </c>
      <c r="D2126" s="19" t="s">
        <v>2221</v>
      </c>
      <c r="E2126" s="20" t="s">
        <v>443</v>
      </c>
      <c r="F2126" s="17" t="s">
        <v>951</v>
      </c>
      <c r="G2126" s="17" t="s">
        <v>1836</v>
      </c>
      <c r="H2126" s="17" t="s">
        <v>4707</v>
      </c>
      <c r="I2126" s="17" t="s">
        <v>125</v>
      </c>
      <c r="J2126" s="22" t="s">
        <v>144</v>
      </c>
      <c r="K2126" s="23" t="s">
        <v>108</v>
      </c>
      <c r="L2126" s="24" t="s">
        <v>91</v>
      </c>
      <c r="M2126" s="2">
        <v>61.0</v>
      </c>
      <c r="N2126" s="25">
        <v>31.0</v>
      </c>
      <c r="O2126" s="25"/>
      <c r="P2126" s="25"/>
    </row>
    <row r="2127">
      <c r="A2127" s="16">
        <v>2125.0</v>
      </c>
      <c r="B2127" s="17" t="s">
        <v>90</v>
      </c>
      <c r="C2127" s="18">
        <v>78.0</v>
      </c>
      <c r="D2127" s="19" t="s">
        <v>2221</v>
      </c>
      <c r="E2127" s="20" t="s">
        <v>443</v>
      </c>
      <c r="F2127" s="17" t="s">
        <v>532</v>
      </c>
      <c r="G2127" s="17" t="s">
        <v>4986</v>
      </c>
      <c r="H2127" s="17" t="s">
        <v>4987</v>
      </c>
      <c r="I2127" s="17" t="s">
        <v>125</v>
      </c>
      <c r="J2127" s="22" t="s">
        <v>144</v>
      </c>
      <c r="K2127" s="23" t="s">
        <v>108</v>
      </c>
      <c r="L2127" s="24" t="s">
        <v>91</v>
      </c>
      <c r="M2127" s="2">
        <v>61.0</v>
      </c>
      <c r="N2127" s="25">
        <v>31.0</v>
      </c>
      <c r="O2127" s="25"/>
      <c r="P2127" s="25"/>
    </row>
    <row r="2128">
      <c r="A2128" s="16">
        <v>2126.0</v>
      </c>
      <c r="B2128" s="17" t="s">
        <v>90</v>
      </c>
      <c r="C2128" s="18">
        <v>79.0</v>
      </c>
      <c r="D2128" s="19" t="s">
        <v>2221</v>
      </c>
      <c r="E2128" s="20" t="s">
        <v>443</v>
      </c>
      <c r="F2128" s="17" t="s">
        <v>828</v>
      </c>
      <c r="G2128" s="17" t="s">
        <v>3678</v>
      </c>
      <c r="H2128" s="17" t="s">
        <v>3679</v>
      </c>
      <c r="I2128" s="17" t="s">
        <v>125</v>
      </c>
      <c r="J2128" s="22" t="s">
        <v>144</v>
      </c>
      <c r="K2128" s="23" t="s">
        <v>108</v>
      </c>
      <c r="L2128" s="24" t="s">
        <v>91</v>
      </c>
      <c r="M2128" s="2">
        <v>61.0</v>
      </c>
      <c r="N2128" s="25">
        <v>31.0</v>
      </c>
      <c r="O2128" s="25"/>
      <c r="P2128" s="25"/>
    </row>
    <row r="2129">
      <c r="A2129" s="16">
        <v>2127.0</v>
      </c>
      <c r="B2129" s="17" t="s">
        <v>90</v>
      </c>
      <c r="C2129" s="18">
        <v>80.0</v>
      </c>
      <c r="D2129" s="19" t="s">
        <v>2221</v>
      </c>
      <c r="E2129" s="20" t="s">
        <v>443</v>
      </c>
      <c r="F2129" s="17" t="s">
        <v>757</v>
      </c>
      <c r="G2129" s="17" t="s">
        <v>4988</v>
      </c>
      <c r="H2129" s="17" t="s">
        <v>4989</v>
      </c>
      <c r="I2129" s="17" t="s">
        <v>125</v>
      </c>
      <c r="J2129" s="22" t="s">
        <v>144</v>
      </c>
      <c r="K2129" s="23" t="s">
        <v>108</v>
      </c>
      <c r="L2129" s="24" t="s">
        <v>91</v>
      </c>
      <c r="M2129" s="2">
        <v>61.0</v>
      </c>
      <c r="N2129" s="25">
        <v>31.0</v>
      </c>
      <c r="O2129" s="25"/>
      <c r="P2129" s="25"/>
    </row>
    <row r="2130">
      <c r="A2130" s="16">
        <v>2128.0</v>
      </c>
      <c r="B2130" s="27" t="s">
        <v>90</v>
      </c>
      <c r="C2130" s="18">
        <v>81.0</v>
      </c>
      <c r="D2130" s="19" t="s">
        <v>2221</v>
      </c>
      <c r="E2130" s="20" t="s">
        <v>443</v>
      </c>
      <c r="F2130" s="27" t="s">
        <v>1035</v>
      </c>
      <c r="G2130" s="17" t="s">
        <v>4990</v>
      </c>
      <c r="H2130" s="17" t="s">
        <v>4991</v>
      </c>
      <c r="I2130" s="17" t="s">
        <v>125</v>
      </c>
      <c r="J2130" s="22" t="s">
        <v>144</v>
      </c>
      <c r="K2130" s="23" t="s">
        <v>108</v>
      </c>
      <c r="L2130" s="24"/>
      <c r="M2130" s="2">
        <v>61.0</v>
      </c>
      <c r="N2130" s="25">
        <v>31.0</v>
      </c>
      <c r="O2130" s="25"/>
      <c r="P2130" s="25"/>
    </row>
    <row r="2131">
      <c r="A2131" s="16">
        <v>2129.0</v>
      </c>
      <c r="B2131" s="27" t="s">
        <v>90</v>
      </c>
      <c r="C2131" s="18">
        <v>82.0</v>
      </c>
      <c r="D2131" s="19" t="s">
        <v>2221</v>
      </c>
      <c r="E2131" s="20" t="s">
        <v>443</v>
      </c>
      <c r="F2131" s="27" t="s">
        <v>1259</v>
      </c>
      <c r="G2131" s="17" t="s">
        <v>4992</v>
      </c>
      <c r="H2131" s="17" t="s">
        <v>4993</v>
      </c>
      <c r="I2131" s="17" t="s">
        <v>125</v>
      </c>
      <c r="J2131" s="22" t="s">
        <v>144</v>
      </c>
      <c r="K2131" s="23" t="s">
        <v>108</v>
      </c>
      <c r="L2131" s="24"/>
      <c r="M2131" s="2">
        <v>61.0</v>
      </c>
      <c r="N2131" s="25">
        <v>31.0</v>
      </c>
      <c r="O2131" s="25"/>
      <c r="P2131" s="25"/>
    </row>
    <row r="2132">
      <c r="A2132" s="16">
        <v>2130.0</v>
      </c>
      <c r="B2132" s="27" t="s">
        <v>90</v>
      </c>
      <c r="C2132" s="18">
        <v>83.0</v>
      </c>
      <c r="D2132" s="19" t="s">
        <v>2221</v>
      </c>
      <c r="E2132" s="20" t="s">
        <v>443</v>
      </c>
      <c r="F2132" s="27" t="s">
        <v>4994</v>
      </c>
      <c r="G2132" s="17" t="s">
        <v>4995</v>
      </c>
      <c r="H2132" s="17" t="s">
        <v>4993</v>
      </c>
      <c r="I2132" s="17" t="s">
        <v>125</v>
      </c>
      <c r="J2132" s="22" t="s">
        <v>144</v>
      </c>
      <c r="K2132" s="23" t="s">
        <v>108</v>
      </c>
      <c r="L2132" s="24"/>
      <c r="M2132" s="2">
        <v>61.0</v>
      </c>
      <c r="N2132" s="25">
        <v>31.0</v>
      </c>
      <c r="O2132" s="25"/>
      <c r="P2132" s="25"/>
    </row>
    <row r="2133">
      <c r="A2133" s="16">
        <v>2131.0</v>
      </c>
      <c r="B2133" s="27" t="s">
        <v>90</v>
      </c>
      <c r="C2133" s="18">
        <v>84.0</v>
      </c>
      <c r="D2133" s="19" t="s">
        <v>2221</v>
      </c>
      <c r="E2133" s="20" t="s">
        <v>443</v>
      </c>
      <c r="F2133" s="27" t="s">
        <v>1255</v>
      </c>
      <c r="G2133" s="17" t="s">
        <v>4111</v>
      </c>
      <c r="H2133" s="17" t="s">
        <v>4996</v>
      </c>
      <c r="I2133" s="17" t="s">
        <v>125</v>
      </c>
      <c r="J2133" s="22" t="s">
        <v>144</v>
      </c>
      <c r="K2133" s="23" t="s">
        <v>108</v>
      </c>
      <c r="L2133" s="24"/>
      <c r="M2133" s="2">
        <v>61.0</v>
      </c>
      <c r="N2133" s="25">
        <v>31.0</v>
      </c>
      <c r="O2133" s="25"/>
      <c r="P2133" s="25"/>
    </row>
    <row r="2134">
      <c r="A2134" s="16">
        <v>2132.0</v>
      </c>
      <c r="B2134" s="27" t="s">
        <v>90</v>
      </c>
      <c r="C2134" s="18">
        <v>85.0</v>
      </c>
      <c r="D2134" s="19" t="s">
        <v>2221</v>
      </c>
      <c r="E2134" s="20" t="s">
        <v>443</v>
      </c>
      <c r="F2134" s="27" t="s">
        <v>1121</v>
      </c>
      <c r="G2134" s="17" t="s">
        <v>4997</v>
      </c>
      <c r="H2134" s="17" t="s">
        <v>4927</v>
      </c>
      <c r="I2134" s="17" t="s">
        <v>125</v>
      </c>
      <c r="J2134" s="22" t="s">
        <v>144</v>
      </c>
      <c r="K2134" s="23" t="s">
        <v>108</v>
      </c>
      <c r="L2134" s="24"/>
      <c r="M2134" s="2">
        <v>61.0</v>
      </c>
      <c r="N2134" s="25">
        <v>31.0</v>
      </c>
      <c r="O2134" s="25"/>
      <c r="P2134" s="25"/>
    </row>
    <row r="2135">
      <c r="A2135" s="16">
        <v>2133.0</v>
      </c>
      <c r="B2135" s="27" t="s">
        <v>90</v>
      </c>
      <c r="C2135" s="18">
        <v>86.0</v>
      </c>
      <c r="D2135" s="19" t="s">
        <v>2221</v>
      </c>
      <c r="E2135" s="20" t="s">
        <v>443</v>
      </c>
      <c r="F2135" s="27" t="s">
        <v>1069</v>
      </c>
      <c r="G2135" s="17" t="s">
        <v>4688</v>
      </c>
      <c r="H2135" s="17" t="s">
        <v>4998</v>
      </c>
      <c r="I2135" s="17" t="s">
        <v>125</v>
      </c>
      <c r="J2135" s="22" t="s">
        <v>144</v>
      </c>
      <c r="K2135" s="23" t="s">
        <v>108</v>
      </c>
      <c r="L2135" s="24"/>
      <c r="M2135" s="2">
        <v>61.0</v>
      </c>
      <c r="N2135" s="25">
        <v>31.0</v>
      </c>
      <c r="O2135" s="25"/>
      <c r="P2135" s="25"/>
    </row>
    <row r="2136">
      <c r="A2136" s="16">
        <v>2134.0</v>
      </c>
      <c r="B2136" s="27" t="s">
        <v>90</v>
      </c>
      <c r="C2136" s="18">
        <v>87.0</v>
      </c>
      <c r="D2136" s="19" t="s">
        <v>2221</v>
      </c>
      <c r="E2136" s="20" t="s">
        <v>443</v>
      </c>
      <c r="F2136" s="27" t="s">
        <v>1005</v>
      </c>
      <c r="G2136" s="17" t="s">
        <v>4999</v>
      </c>
      <c r="H2136" s="17" t="s">
        <v>4796</v>
      </c>
      <c r="I2136" s="17" t="s">
        <v>125</v>
      </c>
      <c r="J2136" s="22" t="s">
        <v>144</v>
      </c>
      <c r="K2136" s="23" t="s">
        <v>108</v>
      </c>
      <c r="L2136" s="24"/>
      <c r="M2136" s="2">
        <v>61.0</v>
      </c>
      <c r="N2136" s="25">
        <v>31.0</v>
      </c>
      <c r="O2136" s="25"/>
      <c r="P2136" s="25"/>
    </row>
    <row r="2137">
      <c r="A2137" s="16">
        <v>2135.0</v>
      </c>
      <c r="B2137" s="27" t="s">
        <v>90</v>
      </c>
      <c r="C2137" s="18">
        <v>88.0</v>
      </c>
      <c r="D2137" s="19" t="s">
        <v>2221</v>
      </c>
      <c r="E2137" s="20" t="s">
        <v>443</v>
      </c>
      <c r="F2137" s="27" t="s">
        <v>1142</v>
      </c>
      <c r="G2137" s="17" t="s">
        <v>4865</v>
      </c>
      <c r="H2137" s="17" t="s">
        <v>5000</v>
      </c>
      <c r="I2137" s="17" t="s">
        <v>125</v>
      </c>
      <c r="J2137" s="22" t="s">
        <v>144</v>
      </c>
      <c r="K2137" s="23" t="s">
        <v>108</v>
      </c>
      <c r="L2137" s="24"/>
      <c r="M2137" s="2">
        <v>61.0</v>
      </c>
      <c r="N2137" s="25">
        <v>31.0</v>
      </c>
      <c r="O2137" s="25"/>
      <c r="P2137" s="25"/>
    </row>
    <row r="2138">
      <c r="A2138" s="16">
        <v>2136.0</v>
      </c>
      <c r="B2138" s="27" t="s">
        <v>90</v>
      </c>
      <c r="C2138" s="18">
        <v>89.0</v>
      </c>
      <c r="D2138" s="19" t="s">
        <v>2221</v>
      </c>
      <c r="E2138" s="20" t="s">
        <v>443</v>
      </c>
      <c r="F2138" s="27" t="s">
        <v>1294</v>
      </c>
      <c r="G2138" s="17" t="s">
        <v>4816</v>
      </c>
      <c r="H2138" s="17" t="s">
        <v>4817</v>
      </c>
      <c r="I2138" s="17" t="s">
        <v>125</v>
      </c>
      <c r="J2138" s="22" t="s">
        <v>144</v>
      </c>
      <c r="K2138" s="23" t="s">
        <v>108</v>
      </c>
      <c r="L2138" s="24"/>
      <c r="M2138" s="2">
        <v>61.0</v>
      </c>
      <c r="N2138" s="25">
        <v>31.0</v>
      </c>
      <c r="O2138" s="25"/>
      <c r="P2138" s="25"/>
    </row>
    <row r="2139">
      <c r="A2139" s="16">
        <v>2137.0</v>
      </c>
      <c r="B2139" s="27" t="s">
        <v>90</v>
      </c>
      <c r="C2139" s="18">
        <v>90.0</v>
      </c>
      <c r="D2139" s="19" t="s">
        <v>2221</v>
      </c>
      <c r="E2139" s="20" t="s">
        <v>443</v>
      </c>
      <c r="F2139" s="27" t="s">
        <v>1452</v>
      </c>
      <c r="G2139" s="17" t="s">
        <v>5001</v>
      </c>
      <c r="H2139" s="17" t="s">
        <v>5002</v>
      </c>
      <c r="I2139" s="17" t="s">
        <v>125</v>
      </c>
      <c r="J2139" s="22" t="s">
        <v>144</v>
      </c>
      <c r="K2139" s="23" t="s">
        <v>108</v>
      </c>
      <c r="L2139" s="24"/>
      <c r="M2139" s="2">
        <v>61.0</v>
      </c>
      <c r="N2139" s="25">
        <v>31.0</v>
      </c>
      <c r="O2139" s="25"/>
      <c r="P2139" s="25"/>
    </row>
    <row r="2140">
      <c r="A2140" s="16">
        <v>2138.0</v>
      </c>
      <c r="B2140" s="27" t="s">
        <v>90</v>
      </c>
      <c r="C2140" s="18">
        <v>91.0</v>
      </c>
      <c r="D2140" s="19" t="s">
        <v>2221</v>
      </c>
      <c r="E2140" s="20" t="s">
        <v>443</v>
      </c>
      <c r="F2140" s="27" t="s">
        <v>1379</v>
      </c>
      <c r="G2140" s="17" t="s">
        <v>3824</v>
      </c>
      <c r="H2140" s="17" t="s">
        <v>4820</v>
      </c>
      <c r="I2140" s="17" t="s">
        <v>125</v>
      </c>
      <c r="J2140" s="22" t="s">
        <v>144</v>
      </c>
      <c r="K2140" s="23" t="s">
        <v>108</v>
      </c>
      <c r="L2140" s="24"/>
      <c r="M2140" s="2">
        <v>61.0</v>
      </c>
      <c r="N2140" s="25">
        <v>31.0</v>
      </c>
      <c r="O2140" s="25"/>
      <c r="P2140" s="25"/>
    </row>
    <row r="2141">
      <c r="A2141" s="16">
        <v>2139.0</v>
      </c>
      <c r="B2141" s="27" t="s">
        <v>90</v>
      </c>
      <c r="C2141" s="18">
        <v>92.0</v>
      </c>
      <c r="D2141" s="19" t="s">
        <v>2221</v>
      </c>
      <c r="E2141" s="20" t="s">
        <v>443</v>
      </c>
      <c r="F2141" s="27" t="s">
        <v>1420</v>
      </c>
      <c r="G2141" s="17" t="s">
        <v>3534</v>
      </c>
      <c r="H2141" s="17" t="s">
        <v>5003</v>
      </c>
      <c r="I2141" s="17" t="s">
        <v>125</v>
      </c>
      <c r="J2141" s="22" t="s">
        <v>144</v>
      </c>
      <c r="K2141" s="23" t="s">
        <v>108</v>
      </c>
      <c r="L2141" s="24"/>
      <c r="M2141" s="2">
        <v>61.0</v>
      </c>
      <c r="N2141" s="25">
        <v>31.0</v>
      </c>
      <c r="O2141" s="25"/>
      <c r="P2141" s="25"/>
    </row>
    <row r="2142">
      <c r="A2142" s="16">
        <v>2140.0</v>
      </c>
      <c r="B2142" s="27" t="s">
        <v>90</v>
      </c>
      <c r="C2142" s="18">
        <v>93.0</v>
      </c>
      <c r="D2142" s="19" t="s">
        <v>2221</v>
      </c>
      <c r="E2142" s="20" t="s">
        <v>443</v>
      </c>
      <c r="F2142" s="27" t="s">
        <v>1230</v>
      </c>
      <c r="G2142" s="17" t="s">
        <v>5004</v>
      </c>
      <c r="H2142" s="17" t="s">
        <v>5005</v>
      </c>
      <c r="I2142" s="17" t="s">
        <v>125</v>
      </c>
      <c r="J2142" s="22" t="s">
        <v>144</v>
      </c>
      <c r="K2142" s="23" t="s">
        <v>108</v>
      </c>
      <c r="L2142" s="24"/>
      <c r="M2142" s="2">
        <v>61.0</v>
      </c>
      <c r="N2142" s="25">
        <v>31.0</v>
      </c>
      <c r="O2142" s="25"/>
      <c r="P2142" s="25"/>
    </row>
    <row r="2143">
      <c r="A2143" s="16">
        <v>2141.0</v>
      </c>
      <c r="B2143" s="27" t="s">
        <v>90</v>
      </c>
      <c r="C2143" s="18">
        <v>94.0</v>
      </c>
      <c r="D2143" s="19" t="s">
        <v>2221</v>
      </c>
      <c r="E2143" s="20" t="s">
        <v>443</v>
      </c>
      <c r="F2143" s="27" t="s">
        <v>1424</v>
      </c>
      <c r="G2143" s="17" t="s">
        <v>4798</v>
      </c>
      <c r="H2143" s="17" t="s">
        <v>5006</v>
      </c>
      <c r="I2143" s="17" t="s">
        <v>125</v>
      </c>
      <c r="J2143" s="22" t="s">
        <v>144</v>
      </c>
      <c r="K2143" s="23" t="s">
        <v>108</v>
      </c>
      <c r="L2143" s="24"/>
      <c r="M2143" s="2">
        <v>61.0</v>
      </c>
      <c r="N2143" s="25">
        <v>31.0</v>
      </c>
      <c r="O2143" s="25"/>
      <c r="P2143" s="25"/>
    </row>
    <row r="2144">
      <c r="A2144" s="16">
        <v>2142.0</v>
      </c>
      <c r="B2144" s="27" t="s">
        <v>90</v>
      </c>
      <c r="C2144" s="18">
        <v>95.0</v>
      </c>
      <c r="D2144" s="19" t="s">
        <v>2221</v>
      </c>
      <c r="E2144" s="20" t="s">
        <v>443</v>
      </c>
      <c r="F2144" s="27" t="s">
        <v>1116</v>
      </c>
      <c r="G2144" s="17" t="s">
        <v>3432</v>
      </c>
      <c r="H2144" s="17" t="s">
        <v>4821</v>
      </c>
      <c r="I2144" s="17" t="s">
        <v>125</v>
      </c>
      <c r="J2144" s="22" t="s">
        <v>144</v>
      </c>
      <c r="K2144" s="23" t="s">
        <v>108</v>
      </c>
      <c r="L2144" s="24"/>
      <c r="M2144" s="2">
        <v>61.0</v>
      </c>
      <c r="N2144" s="25">
        <v>31.0</v>
      </c>
      <c r="O2144" s="25"/>
      <c r="P2144" s="25"/>
    </row>
    <row r="2145">
      <c r="A2145" s="16">
        <v>2143.0</v>
      </c>
      <c r="B2145" s="27" t="s">
        <v>90</v>
      </c>
      <c r="C2145" s="18">
        <v>96.0</v>
      </c>
      <c r="D2145" s="19" t="s">
        <v>2221</v>
      </c>
      <c r="E2145" s="20" t="s">
        <v>443</v>
      </c>
      <c r="F2145" s="27" t="s">
        <v>1433</v>
      </c>
      <c r="G2145" s="17" t="s">
        <v>4928</v>
      </c>
      <c r="H2145" s="17" t="s">
        <v>5007</v>
      </c>
      <c r="I2145" s="17" t="s">
        <v>125</v>
      </c>
      <c r="J2145" s="22" t="s">
        <v>144</v>
      </c>
      <c r="K2145" s="23" t="s">
        <v>108</v>
      </c>
      <c r="L2145" s="24"/>
      <c r="M2145" s="2">
        <v>61.0</v>
      </c>
      <c r="N2145" s="25">
        <v>31.0</v>
      </c>
      <c r="O2145" s="25"/>
      <c r="P2145" s="25"/>
    </row>
    <row r="2146">
      <c r="A2146" s="16">
        <v>2144.0</v>
      </c>
      <c r="B2146" s="27" t="s">
        <v>90</v>
      </c>
      <c r="C2146" s="18">
        <v>97.0</v>
      </c>
      <c r="D2146" s="19" t="s">
        <v>2221</v>
      </c>
      <c r="E2146" s="20" t="s">
        <v>443</v>
      </c>
      <c r="F2146" s="27" t="s">
        <v>1253</v>
      </c>
      <c r="G2146" s="17" t="s">
        <v>4822</v>
      </c>
      <c r="H2146" s="17" t="s">
        <v>4823</v>
      </c>
      <c r="I2146" s="17" t="s">
        <v>125</v>
      </c>
      <c r="J2146" s="22" t="s">
        <v>144</v>
      </c>
      <c r="K2146" s="23" t="s">
        <v>108</v>
      </c>
      <c r="L2146" s="24"/>
      <c r="M2146" s="2">
        <v>61.0</v>
      </c>
      <c r="N2146" s="25">
        <v>31.0</v>
      </c>
      <c r="O2146" s="25"/>
      <c r="P2146" s="25"/>
    </row>
    <row r="2147">
      <c r="A2147" s="16">
        <v>2145.0</v>
      </c>
      <c r="B2147" s="27" t="s">
        <v>90</v>
      </c>
      <c r="C2147" s="18">
        <v>98.0</v>
      </c>
      <c r="D2147" s="19" t="s">
        <v>2221</v>
      </c>
      <c r="E2147" s="20" t="s">
        <v>443</v>
      </c>
      <c r="F2147" s="27" t="s">
        <v>1262</v>
      </c>
      <c r="G2147" s="17" t="s">
        <v>5008</v>
      </c>
      <c r="H2147" s="17" t="s">
        <v>4993</v>
      </c>
      <c r="I2147" s="17" t="s">
        <v>125</v>
      </c>
      <c r="J2147" s="22" t="s">
        <v>144</v>
      </c>
      <c r="K2147" s="23" t="s">
        <v>108</v>
      </c>
      <c r="L2147" s="24"/>
      <c r="M2147" s="2">
        <v>61.0</v>
      </c>
      <c r="N2147" s="25">
        <v>31.0</v>
      </c>
      <c r="O2147" s="25"/>
      <c r="P2147" s="25"/>
    </row>
    <row r="2148">
      <c r="A2148" s="16">
        <v>2146.0</v>
      </c>
      <c r="B2148" s="27" t="s">
        <v>90</v>
      </c>
      <c r="C2148" s="18">
        <v>99.0</v>
      </c>
      <c r="D2148" s="19" t="s">
        <v>2221</v>
      </c>
      <c r="E2148" s="20" t="s">
        <v>443</v>
      </c>
      <c r="F2148" s="27" t="s">
        <v>1289</v>
      </c>
      <c r="G2148" s="17" t="s">
        <v>5009</v>
      </c>
      <c r="H2148" s="17" t="s">
        <v>5010</v>
      </c>
      <c r="I2148" s="17" t="s">
        <v>125</v>
      </c>
      <c r="J2148" s="22" t="s">
        <v>144</v>
      </c>
      <c r="K2148" s="23" t="s">
        <v>108</v>
      </c>
      <c r="L2148" s="24"/>
      <c r="M2148" s="2">
        <v>61.0</v>
      </c>
      <c r="N2148" s="25">
        <v>31.0</v>
      </c>
      <c r="O2148" s="25"/>
      <c r="P2148" s="25"/>
    </row>
    <row r="2149">
      <c r="A2149" s="16">
        <v>2147.0</v>
      </c>
      <c r="B2149" s="17" t="s">
        <v>90</v>
      </c>
      <c r="C2149" s="18">
        <v>100.0</v>
      </c>
      <c r="D2149" s="19" t="s">
        <v>2225</v>
      </c>
      <c r="E2149" s="20" t="s">
        <v>443</v>
      </c>
      <c r="F2149" s="17" t="s">
        <v>893</v>
      </c>
      <c r="G2149" s="17" t="s">
        <v>3667</v>
      </c>
      <c r="H2149" s="17" t="s">
        <v>5011</v>
      </c>
      <c r="I2149" s="17" t="s">
        <v>125</v>
      </c>
      <c r="J2149" s="22" t="s">
        <v>144</v>
      </c>
      <c r="K2149" s="23" t="s">
        <v>108</v>
      </c>
      <c r="L2149" s="24" t="s">
        <v>91</v>
      </c>
      <c r="M2149" s="2">
        <v>61.0</v>
      </c>
      <c r="N2149" s="25">
        <v>31.0</v>
      </c>
      <c r="O2149" s="25"/>
      <c r="P2149" s="25"/>
    </row>
    <row r="2150">
      <c r="A2150" s="16">
        <v>2148.0</v>
      </c>
      <c r="B2150" s="17" t="s">
        <v>90</v>
      </c>
      <c r="C2150" s="18">
        <v>101.0</v>
      </c>
      <c r="D2150" s="19" t="s">
        <v>2225</v>
      </c>
      <c r="E2150" s="20" t="s">
        <v>443</v>
      </c>
      <c r="F2150" s="17" t="s">
        <v>458</v>
      </c>
      <c r="G2150" s="17" t="s">
        <v>4657</v>
      </c>
      <c r="H2150" s="17" t="s">
        <v>4658</v>
      </c>
      <c r="I2150" s="17" t="s">
        <v>125</v>
      </c>
      <c r="J2150" s="22" t="s">
        <v>144</v>
      </c>
      <c r="K2150" s="23" t="s">
        <v>108</v>
      </c>
      <c r="L2150" s="24" t="s">
        <v>91</v>
      </c>
      <c r="M2150" s="2">
        <v>61.0</v>
      </c>
      <c r="N2150" s="25">
        <v>31.0</v>
      </c>
      <c r="O2150" s="25"/>
      <c r="P2150" s="25"/>
    </row>
    <row r="2151">
      <c r="A2151" s="16">
        <v>2149.0</v>
      </c>
      <c r="B2151" s="17" t="s">
        <v>90</v>
      </c>
      <c r="C2151" s="18">
        <v>102.0</v>
      </c>
      <c r="D2151" s="19" t="s">
        <v>2225</v>
      </c>
      <c r="E2151" s="20" t="s">
        <v>443</v>
      </c>
      <c r="F2151" s="17" t="s">
        <v>895</v>
      </c>
      <c r="G2151" s="17" t="s">
        <v>123</v>
      </c>
      <c r="H2151" s="17" t="s">
        <v>5012</v>
      </c>
      <c r="I2151" s="17" t="s">
        <v>125</v>
      </c>
      <c r="J2151" s="22" t="s">
        <v>144</v>
      </c>
      <c r="K2151" s="23" t="s">
        <v>108</v>
      </c>
      <c r="L2151" s="24" t="s">
        <v>91</v>
      </c>
      <c r="M2151" s="2">
        <v>61.0</v>
      </c>
      <c r="N2151" s="25">
        <v>31.0</v>
      </c>
      <c r="O2151" s="25"/>
      <c r="P2151" s="25"/>
    </row>
    <row r="2152">
      <c r="A2152" s="16">
        <v>2150.0</v>
      </c>
      <c r="B2152" s="17" t="s">
        <v>90</v>
      </c>
      <c r="C2152" s="18">
        <v>103.0</v>
      </c>
      <c r="D2152" s="19" t="s">
        <v>2225</v>
      </c>
      <c r="E2152" s="20" t="s">
        <v>443</v>
      </c>
      <c r="F2152" s="17" t="s">
        <v>1019</v>
      </c>
      <c r="G2152" s="17" t="s">
        <v>4886</v>
      </c>
      <c r="H2152" s="17" t="s">
        <v>5013</v>
      </c>
      <c r="I2152" s="17" t="s">
        <v>125</v>
      </c>
      <c r="J2152" s="22" t="s">
        <v>144</v>
      </c>
      <c r="K2152" s="23" t="s">
        <v>108</v>
      </c>
      <c r="L2152" s="24" t="s">
        <v>91</v>
      </c>
      <c r="M2152" s="2">
        <v>61.0</v>
      </c>
      <c r="N2152" s="25">
        <v>31.0</v>
      </c>
      <c r="O2152" s="25"/>
      <c r="P2152" s="25"/>
    </row>
    <row r="2153">
      <c r="A2153" s="16">
        <v>2151.0</v>
      </c>
      <c r="B2153" s="17" t="s">
        <v>90</v>
      </c>
      <c r="C2153" s="18">
        <v>104.0</v>
      </c>
      <c r="D2153" s="19" t="s">
        <v>2225</v>
      </c>
      <c r="E2153" s="20" t="s">
        <v>443</v>
      </c>
      <c r="F2153" s="17" t="s">
        <v>1004</v>
      </c>
      <c r="G2153" s="17" t="s">
        <v>5014</v>
      </c>
      <c r="H2153" s="17" t="s">
        <v>5015</v>
      </c>
      <c r="I2153" s="17" t="s">
        <v>125</v>
      </c>
      <c r="J2153" s="22" t="s">
        <v>144</v>
      </c>
      <c r="K2153" s="23" t="s">
        <v>108</v>
      </c>
      <c r="L2153" s="24" t="s">
        <v>91</v>
      </c>
      <c r="M2153" s="2">
        <v>61.0</v>
      </c>
      <c r="N2153" s="25">
        <v>31.0</v>
      </c>
      <c r="O2153" s="25"/>
      <c r="P2153" s="25"/>
    </row>
    <row r="2154">
      <c r="A2154" s="16">
        <v>2152.0</v>
      </c>
      <c r="B2154" s="17" t="s">
        <v>90</v>
      </c>
      <c r="C2154" s="18">
        <v>105.0</v>
      </c>
      <c r="D2154" s="19" t="s">
        <v>2225</v>
      </c>
      <c r="E2154" s="20" t="s">
        <v>443</v>
      </c>
      <c r="F2154" s="17" t="s">
        <v>462</v>
      </c>
      <c r="G2154" s="17" t="s">
        <v>5016</v>
      </c>
      <c r="H2154" s="17" t="s">
        <v>5017</v>
      </c>
      <c r="I2154" s="17" t="s">
        <v>125</v>
      </c>
      <c r="J2154" s="22" t="s">
        <v>144</v>
      </c>
      <c r="K2154" s="23" t="s">
        <v>108</v>
      </c>
      <c r="L2154" s="24" t="s">
        <v>91</v>
      </c>
      <c r="M2154" s="2">
        <v>61.0</v>
      </c>
      <c r="N2154" s="25">
        <v>31.0</v>
      </c>
      <c r="O2154" s="25"/>
      <c r="P2154" s="25"/>
    </row>
    <row r="2155">
      <c r="A2155" s="16">
        <v>2153.0</v>
      </c>
      <c r="B2155" s="17" t="s">
        <v>90</v>
      </c>
      <c r="C2155" s="18">
        <v>106.0</v>
      </c>
      <c r="D2155" s="19" t="s">
        <v>2225</v>
      </c>
      <c r="E2155" s="20" t="s">
        <v>443</v>
      </c>
      <c r="F2155" s="17" t="s">
        <v>1015</v>
      </c>
      <c r="G2155" s="17" t="s">
        <v>4657</v>
      </c>
      <c r="H2155" s="17" t="s">
        <v>4658</v>
      </c>
      <c r="I2155" s="17" t="s">
        <v>125</v>
      </c>
      <c r="J2155" s="22" t="s">
        <v>144</v>
      </c>
      <c r="K2155" s="23" t="s">
        <v>108</v>
      </c>
      <c r="L2155" s="24" t="s">
        <v>91</v>
      </c>
      <c r="M2155" s="2">
        <v>61.0</v>
      </c>
      <c r="N2155" s="25">
        <v>31.0</v>
      </c>
      <c r="O2155" s="25"/>
      <c r="P2155" s="25"/>
    </row>
    <row r="2156">
      <c r="A2156" s="16">
        <v>2154.0</v>
      </c>
      <c r="B2156" s="17" t="s">
        <v>90</v>
      </c>
      <c r="C2156" s="18">
        <v>107.0</v>
      </c>
      <c r="D2156" s="19" t="s">
        <v>2225</v>
      </c>
      <c r="E2156" s="20" t="s">
        <v>443</v>
      </c>
      <c r="F2156" s="17" t="s">
        <v>889</v>
      </c>
      <c r="G2156" s="17" t="s">
        <v>5018</v>
      </c>
      <c r="H2156" s="17" t="s">
        <v>5019</v>
      </c>
      <c r="I2156" s="17" t="s">
        <v>125</v>
      </c>
      <c r="J2156" s="22" t="s">
        <v>144</v>
      </c>
      <c r="K2156" s="23" t="s">
        <v>108</v>
      </c>
      <c r="L2156" s="24" t="s">
        <v>91</v>
      </c>
      <c r="M2156" s="2">
        <v>61.0</v>
      </c>
      <c r="N2156" s="25">
        <v>31.0</v>
      </c>
      <c r="O2156" s="25"/>
      <c r="P2156" s="25"/>
    </row>
    <row r="2157">
      <c r="A2157" s="16">
        <v>2155.0</v>
      </c>
      <c r="B2157" s="17" t="s">
        <v>90</v>
      </c>
      <c r="C2157" s="18">
        <v>108.0</v>
      </c>
      <c r="D2157" s="19" t="s">
        <v>2225</v>
      </c>
      <c r="E2157" s="20" t="s">
        <v>443</v>
      </c>
      <c r="F2157" s="17" t="s">
        <v>791</v>
      </c>
      <c r="G2157" s="17" t="s">
        <v>5020</v>
      </c>
      <c r="H2157" s="17" t="s">
        <v>5021</v>
      </c>
      <c r="I2157" s="17" t="s">
        <v>125</v>
      </c>
      <c r="J2157" s="22" t="s">
        <v>144</v>
      </c>
      <c r="K2157" s="23" t="s">
        <v>108</v>
      </c>
      <c r="L2157" s="24" t="s">
        <v>91</v>
      </c>
      <c r="M2157" s="2">
        <v>61.0</v>
      </c>
      <c r="N2157" s="25">
        <v>31.0</v>
      </c>
      <c r="O2157" s="25"/>
      <c r="P2157" s="25"/>
    </row>
    <row r="2158">
      <c r="A2158" s="16">
        <v>2156.0</v>
      </c>
      <c r="B2158" s="17" t="s">
        <v>90</v>
      </c>
      <c r="C2158" s="18">
        <v>109.0</v>
      </c>
      <c r="D2158" s="19" t="s">
        <v>2225</v>
      </c>
      <c r="E2158" s="20" t="s">
        <v>443</v>
      </c>
      <c r="F2158" s="17" t="s">
        <v>898</v>
      </c>
      <c r="G2158" s="17" t="s">
        <v>3826</v>
      </c>
      <c r="H2158" s="17" t="s">
        <v>3827</v>
      </c>
      <c r="I2158" s="17" t="s">
        <v>125</v>
      </c>
      <c r="J2158" s="22" t="s">
        <v>144</v>
      </c>
      <c r="K2158" s="23" t="s">
        <v>108</v>
      </c>
      <c r="L2158" s="24" t="s">
        <v>91</v>
      </c>
      <c r="M2158" s="2">
        <v>61.0</v>
      </c>
      <c r="N2158" s="25">
        <v>31.0</v>
      </c>
      <c r="O2158" s="25"/>
      <c r="P2158" s="25"/>
    </row>
    <row r="2159">
      <c r="A2159" s="16">
        <v>2157.0</v>
      </c>
      <c r="B2159" s="17" t="s">
        <v>90</v>
      </c>
      <c r="C2159" s="18">
        <v>110.0</v>
      </c>
      <c r="D2159" s="19" t="s">
        <v>2225</v>
      </c>
      <c r="E2159" s="20" t="s">
        <v>443</v>
      </c>
      <c r="F2159" s="17" t="s">
        <v>1008</v>
      </c>
      <c r="G2159" s="17" t="s">
        <v>5022</v>
      </c>
      <c r="H2159" s="17" t="s">
        <v>5023</v>
      </c>
      <c r="I2159" s="17" t="s">
        <v>125</v>
      </c>
      <c r="J2159" s="22" t="s">
        <v>144</v>
      </c>
      <c r="K2159" s="23" t="s">
        <v>108</v>
      </c>
      <c r="L2159" s="24" t="s">
        <v>91</v>
      </c>
      <c r="M2159" s="2">
        <v>61.0</v>
      </c>
      <c r="N2159" s="25">
        <v>31.0</v>
      </c>
      <c r="O2159" s="25"/>
      <c r="P2159" s="25"/>
    </row>
    <row r="2160">
      <c r="A2160" s="16">
        <v>2158.0</v>
      </c>
      <c r="B2160" s="17" t="s">
        <v>90</v>
      </c>
      <c r="C2160" s="18">
        <v>111.0</v>
      </c>
      <c r="D2160" s="19" t="s">
        <v>2225</v>
      </c>
      <c r="E2160" s="20" t="s">
        <v>443</v>
      </c>
      <c r="F2160" s="17" t="s">
        <v>773</v>
      </c>
      <c r="G2160" s="17" t="s">
        <v>3692</v>
      </c>
      <c r="H2160" s="17" t="s">
        <v>5024</v>
      </c>
      <c r="I2160" s="17" t="s">
        <v>125</v>
      </c>
      <c r="J2160" s="22" t="s">
        <v>144</v>
      </c>
      <c r="K2160" s="23" t="s">
        <v>108</v>
      </c>
      <c r="L2160" s="24" t="s">
        <v>91</v>
      </c>
      <c r="M2160" s="2">
        <v>61.0</v>
      </c>
      <c r="N2160" s="25">
        <v>31.0</v>
      </c>
      <c r="O2160" s="25"/>
      <c r="P2160" s="25"/>
    </row>
    <row r="2161">
      <c r="A2161" s="16">
        <v>2159.0</v>
      </c>
      <c r="B2161" s="17" t="s">
        <v>90</v>
      </c>
      <c r="C2161" s="18">
        <v>112.0</v>
      </c>
      <c r="D2161" s="19" t="s">
        <v>2225</v>
      </c>
      <c r="E2161" s="20" t="s">
        <v>443</v>
      </c>
      <c r="F2161" s="17" t="s">
        <v>917</v>
      </c>
      <c r="G2161" s="17" t="s">
        <v>5025</v>
      </c>
      <c r="H2161" s="17" t="s">
        <v>5026</v>
      </c>
      <c r="I2161" s="17" t="s">
        <v>125</v>
      </c>
      <c r="J2161" s="22" t="s">
        <v>144</v>
      </c>
      <c r="K2161" s="23" t="s">
        <v>108</v>
      </c>
      <c r="L2161" s="24" t="s">
        <v>91</v>
      </c>
      <c r="M2161" s="2">
        <v>61.0</v>
      </c>
      <c r="N2161" s="25">
        <v>31.0</v>
      </c>
      <c r="O2161" s="25"/>
      <c r="P2161" s="25"/>
    </row>
    <row r="2162">
      <c r="A2162" s="16">
        <v>2160.0</v>
      </c>
      <c r="B2162" s="17" t="s">
        <v>90</v>
      </c>
      <c r="C2162" s="18">
        <v>113.0</v>
      </c>
      <c r="D2162" s="19" t="s">
        <v>2225</v>
      </c>
      <c r="E2162" s="20" t="s">
        <v>443</v>
      </c>
      <c r="F2162" s="17" t="s">
        <v>321</v>
      </c>
      <c r="G2162" s="17" t="s">
        <v>3697</v>
      </c>
      <c r="H2162" s="17" t="s">
        <v>5027</v>
      </c>
      <c r="I2162" s="17" t="s">
        <v>125</v>
      </c>
      <c r="J2162" s="22" t="s">
        <v>144</v>
      </c>
      <c r="K2162" s="23" t="s">
        <v>108</v>
      </c>
      <c r="L2162" s="24" t="s">
        <v>91</v>
      </c>
      <c r="M2162" s="2">
        <v>61.0</v>
      </c>
      <c r="N2162" s="25">
        <v>31.0</v>
      </c>
      <c r="O2162" s="25"/>
      <c r="P2162" s="25"/>
    </row>
    <row r="2163">
      <c r="A2163" s="16">
        <v>2161.0</v>
      </c>
      <c r="B2163" s="17" t="s">
        <v>90</v>
      </c>
      <c r="C2163" s="18">
        <v>114.0</v>
      </c>
      <c r="D2163" s="19" t="s">
        <v>2225</v>
      </c>
      <c r="E2163" s="20" t="s">
        <v>443</v>
      </c>
      <c r="F2163" s="17" t="s">
        <v>1268</v>
      </c>
      <c r="G2163" s="17" t="s">
        <v>5028</v>
      </c>
      <c r="H2163" s="17" t="s">
        <v>5029</v>
      </c>
      <c r="I2163" s="17" t="s">
        <v>125</v>
      </c>
      <c r="J2163" s="22" t="s">
        <v>144</v>
      </c>
      <c r="K2163" s="23" t="s">
        <v>108</v>
      </c>
      <c r="L2163" s="24" t="s">
        <v>91</v>
      </c>
      <c r="M2163" s="2">
        <v>61.0</v>
      </c>
      <c r="N2163" s="25">
        <v>31.0</v>
      </c>
      <c r="O2163" s="25"/>
      <c r="P2163" s="25"/>
    </row>
    <row r="2164">
      <c r="A2164" s="16">
        <v>2162.0</v>
      </c>
      <c r="B2164" s="17" t="s">
        <v>90</v>
      </c>
      <c r="C2164" s="18">
        <v>115.0</v>
      </c>
      <c r="D2164" s="19" t="s">
        <v>2225</v>
      </c>
      <c r="E2164" s="20" t="s">
        <v>443</v>
      </c>
      <c r="F2164" s="17" t="s">
        <v>997</v>
      </c>
      <c r="G2164" s="17" t="s">
        <v>3519</v>
      </c>
      <c r="H2164" s="17" t="s">
        <v>5030</v>
      </c>
      <c r="I2164" s="17" t="s">
        <v>125</v>
      </c>
      <c r="J2164" s="22" t="s">
        <v>144</v>
      </c>
      <c r="K2164" s="23" t="s">
        <v>108</v>
      </c>
      <c r="L2164" s="24" t="s">
        <v>91</v>
      </c>
      <c r="M2164" s="2">
        <v>61.0</v>
      </c>
      <c r="N2164" s="25">
        <v>31.0</v>
      </c>
      <c r="O2164" s="25"/>
      <c r="P2164" s="25"/>
    </row>
    <row r="2165">
      <c r="A2165" s="16">
        <v>2163.0</v>
      </c>
      <c r="B2165" s="17" t="s">
        <v>90</v>
      </c>
      <c r="C2165" s="18">
        <v>116.0</v>
      </c>
      <c r="D2165" s="19" t="s">
        <v>2225</v>
      </c>
      <c r="E2165" s="20" t="s">
        <v>443</v>
      </c>
      <c r="F2165" s="17" t="s">
        <v>767</v>
      </c>
      <c r="G2165" s="17" t="s">
        <v>3721</v>
      </c>
      <c r="H2165" s="17" t="s">
        <v>5031</v>
      </c>
      <c r="I2165" s="17" t="s">
        <v>125</v>
      </c>
      <c r="J2165" s="22" t="s">
        <v>144</v>
      </c>
      <c r="K2165" s="23" t="s">
        <v>108</v>
      </c>
      <c r="L2165" s="24" t="s">
        <v>91</v>
      </c>
      <c r="M2165" s="2">
        <v>61.0</v>
      </c>
      <c r="N2165" s="25">
        <v>31.0</v>
      </c>
      <c r="O2165" s="25"/>
      <c r="P2165" s="25"/>
    </row>
    <row r="2166">
      <c r="A2166" s="16">
        <v>2164.0</v>
      </c>
      <c r="B2166" s="17" t="s">
        <v>90</v>
      </c>
      <c r="C2166" s="18">
        <v>117.0</v>
      </c>
      <c r="D2166" s="19" t="s">
        <v>2225</v>
      </c>
      <c r="E2166" s="20" t="s">
        <v>443</v>
      </c>
      <c r="F2166" s="17" t="s">
        <v>138</v>
      </c>
      <c r="G2166" s="17" t="s">
        <v>3700</v>
      </c>
      <c r="H2166" s="17" t="s">
        <v>5032</v>
      </c>
      <c r="I2166" s="17" t="s">
        <v>125</v>
      </c>
      <c r="J2166" s="22" t="s">
        <v>144</v>
      </c>
      <c r="K2166" s="23" t="s">
        <v>108</v>
      </c>
      <c r="L2166" s="24" t="s">
        <v>91</v>
      </c>
      <c r="M2166" s="2">
        <v>61.0</v>
      </c>
      <c r="N2166" s="25">
        <v>31.0</v>
      </c>
      <c r="O2166" s="25"/>
      <c r="P2166" s="25"/>
    </row>
    <row r="2167">
      <c r="A2167" s="16">
        <v>2165.0</v>
      </c>
      <c r="B2167" s="17" t="s">
        <v>90</v>
      </c>
      <c r="C2167" s="18">
        <v>118.0</v>
      </c>
      <c r="D2167" s="19" t="s">
        <v>2225</v>
      </c>
      <c r="E2167" s="20" t="s">
        <v>443</v>
      </c>
      <c r="F2167" s="17" t="s">
        <v>571</v>
      </c>
      <c r="G2167" s="17" t="s">
        <v>5033</v>
      </c>
      <c r="H2167" s="17" t="s">
        <v>5034</v>
      </c>
      <c r="I2167" s="17" t="s">
        <v>125</v>
      </c>
      <c r="J2167" s="22" t="s">
        <v>144</v>
      </c>
      <c r="K2167" s="23" t="s">
        <v>108</v>
      </c>
      <c r="L2167" s="24" t="s">
        <v>91</v>
      </c>
      <c r="M2167" s="2">
        <v>61.0</v>
      </c>
      <c r="N2167" s="25">
        <v>31.0</v>
      </c>
      <c r="O2167" s="25"/>
      <c r="P2167" s="25"/>
    </row>
    <row r="2168">
      <c r="A2168" s="16">
        <v>2166.0</v>
      </c>
      <c r="B2168" s="17" t="s">
        <v>90</v>
      </c>
      <c r="C2168" s="18">
        <v>119.0</v>
      </c>
      <c r="D2168" s="19" t="s">
        <v>2225</v>
      </c>
      <c r="E2168" s="20" t="s">
        <v>443</v>
      </c>
      <c r="F2168" s="17" t="s">
        <v>1016</v>
      </c>
      <c r="G2168" s="17" t="s">
        <v>5035</v>
      </c>
      <c r="H2168" s="17" t="s">
        <v>5036</v>
      </c>
      <c r="I2168" s="17" t="s">
        <v>125</v>
      </c>
      <c r="J2168" s="22" t="s">
        <v>144</v>
      </c>
      <c r="K2168" s="23" t="s">
        <v>108</v>
      </c>
      <c r="L2168" s="24" t="s">
        <v>91</v>
      </c>
      <c r="M2168" s="2">
        <v>61.0</v>
      </c>
      <c r="N2168" s="25">
        <v>31.0</v>
      </c>
      <c r="O2168" s="25"/>
      <c r="P2168" s="25"/>
    </row>
    <row r="2169">
      <c r="A2169" s="16">
        <v>2167.0</v>
      </c>
      <c r="B2169" s="17" t="s">
        <v>90</v>
      </c>
      <c r="C2169" s="18">
        <v>120.0</v>
      </c>
      <c r="D2169" s="19" t="s">
        <v>2225</v>
      </c>
      <c r="E2169" s="20" t="s">
        <v>443</v>
      </c>
      <c r="F2169" s="17" t="s">
        <v>707</v>
      </c>
      <c r="G2169" s="17" t="s">
        <v>5037</v>
      </c>
      <c r="H2169" s="17" t="s">
        <v>5038</v>
      </c>
      <c r="I2169" s="17" t="s">
        <v>125</v>
      </c>
      <c r="J2169" s="22" t="s">
        <v>144</v>
      </c>
      <c r="K2169" s="23" t="s">
        <v>108</v>
      </c>
      <c r="L2169" s="24" t="s">
        <v>91</v>
      </c>
      <c r="M2169" s="2">
        <v>61.0</v>
      </c>
      <c r="N2169" s="25">
        <v>31.0</v>
      </c>
      <c r="O2169" s="25"/>
      <c r="P2169" s="25"/>
    </row>
    <row r="2170">
      <c r="A2170" s="16">
        <v>2168.0</v>
      </c>
      <c r="B2170" s="17" t="s">
        <v>90</v>
      </c>
      <c r="C2170" s="18">
        <v>121.0</v>
      </c>
      <c r="D2170" s="19" t="s">
        <v>2225</v>
      </c>
      <c r="E2170" s="20" t="s">
        <v>443</v>
      </c>
      <c r="F2170" s="17" t="s">
        <v>1149</v>
      </c>
      <c r="G2170" s="17" t="s">
        <v>5039</v>
      </c>
      <c r="H2170" s="17" t="s">
        <v>5040</v>
      </c>
      <c r="I2170" s="17" t="s">
        <v>125</v>
      </c>
      <c r="J2170" s="22" t="s">
        <v>144</v>
      </c>
      <c r="K2170" s="23" t="s">
        <v>108</v>
      </c>
      <c r="L2170" s="24" t="s">
        <v>91</v>
      </c>
      <c r="M2170" s="2">
        <v>61.0</v>
      </c>
      <c r="N2170" s="25">
        <v>31.0</v>
      </c>
      <c r="O2170" s="25"/>
      <c r="P2170" s="25"/>
    </row>
    <row r="2171">
      <c r="A2171" s="16">
        <v>2169.0</v>
      </c>
      <c r="B2171" s="17" t="s">
        <v>90</v>
      </c>
      <c r="C2171" s="18">
        <v>122.0</v>
      </c>
      <c r="D2171" s="19" t="s">
        <v>2225</v>
      </c>
      <c r="E2171" s="20" t="s">
        <v>443</v>
      </c>
      <c r="F2171" s="17" t="s">
        <v>1017</v>
      </c>
      <c r="G2171" s="17" t="s">
        <v>4662</v>
      </c>
      <c r="H2171" s="17" t="s">
        <v>4663</v>
      </c>
      <c r="I2171" s="17" t="s">
        <v>125</v>
      </c>
      <c r="J2171" s="22" t="s">
        <v>144</v>
      </c>
      <c r="K2171" s="23" t="s">
        <v>108</v>
      </c>
      <c r="L2171" s="24" t="s">
        <v>91</v>
      </c>
      <c r="M2171" s="2">
        <v>61.0</v>
      </c>
      <c r="N2171" s="25">
        <v>31.0</v>
      </c>
      <c r="O2171" s="25"/>
      <c r="P2171" s="25"/>
    </row>
    <row r="2172">
      <c r="A2172" s="16">
        <v>2170.0</v>
      </c>
      <c r="B2172" s="17" t="s">
        <v>90</v>
      </c>
      <c r="C2172" s="18">
        <v>123.0</v>
      </c>
      <c r="D2172" s="19" t="s">
        <v>2225</v>
      </c>
      <c r="E2172" s="20" t="s">
        <v>443</v>
      </c>
      <c r="F2172" s="17" t="s">
        <v>807</v>
      </c>
      <c r="G2172" s="17" t="s">
        <v>5041</v>
      </c>
      <c r="H2172" s="17" t="s">
        <v>5042</v>
      </c>
      <c r="I2172" s="17" t="s">
        <v>125</v>
      </c>
      <c r="J2172" s="22" t="s">
        <v>144</v>
      </c>
      <c r="K2172" s="23" t="s">
        <v>108</v>
      </c>
      <c r="L2172" s="24" t="s">
        <v>91</v>
      </c>
      <c r="M2172" s="2">
        <v>61.0</v>
      </c>
      <c r="N2172" s="25">
        <v>31.0</v>
      </c>
      <c r="O2172" s="25"/>
      <c r="P2172" s="25"/>
    </row>
    <row r="2173">
      <c r="A2173" s="16">
        <v>2171.0</v>
      </c>
      <c r="B2173" s="17" t="s">
        <v>90</v>
      </c>
      <c r="C2173" s="18">
        <v>124.0</v>
      </c>
      <c r="D2173" s="19" t="s">
        <v>2225</v>
      </c>
      <c r="E2173" s="20" t="s">
        <v>443</v>
      </c>
      <c r="F2173" s="17" t="s">
        <v>1147</v>
      </c>
      <c r="G2173" s="17" t="s">
        <v>4664</v>
      </c>
      <c r="H2173" s="17" t="s">
        <v>4665</v>
      </c>
      <c r="I2173" s="17" t="s">
        <v>125</v>
      </c>
      <c r="J2173" s="22" t="s">
        <v>144</v>
      </c>
      <c r="K2173" s="23" t="s">
        <v>108</v>
      </c>
      <c r="L2173" s="24" t="s">
        <v>91</v>
      </c>
      <c r="M2173" s="2">
        <v>61.0</v>
      </c>
      <c r="N2173" s="25">
        <v>31.0</v>
      </c>
      <c r="O2173" s="25"/>
      <c r="P2173" s="25"/>
    </row>
    <row r="2174">
      <c r="A2174" s="16">
        <v>2172.0</v>
      </c>
      <c r="B2174" s="17" t="s">
        <v>90</v>
      </c>
      <c r="C2174" s="18">
        <v>125.0</v>
      </c>
      <c r="D2174" s="19" t="s">
        <v>2225</v>
      </c>
      <c r="E2174" s="20" t="s">
        <v>443</v>
      </c>
      <c r="F2174" s="17" t="s">
        <v>1034</v>
      </c>
      <c r="G2174" s="17" t="s">
        <v>4670</v>
      </c>
      <c r="H2174" s="17" t="s">
        <v>4671</v>
      </c>
      <c r="I2174" s="17" t="s">
        <v>125</v>
      </c>
      <c r="J2174" s="22" t="s">
        <v>144</v>
      </c>
      <c r="K2174" s="23" t="s">
        <v>108</v>
      </c>
      <c r="L2174" s="24" t="s">
        <v>91</v>
      </c>
      <c r="M2174" s="2">
        <v>61.0</v>
      </c>
      <c r="N2174" s="25">
        <v>31.0</v>
      </c>
      <c r="O2174" s="25"/>
      <c r="P2174" s="25"/>
    </row>
    <row r="2175">
      <c r="A2175" s="16">
        <v>2173.0</v>
      </c>
      <c r="B2175" s="17" t="s">
        <v>90</v>
      </c>
      <c r="C2175" s="18">
        <v>126.0</v>
      </c>
      <c r="D2175" s="19" t="s">
        <v>2225</v>
      </c>
      <c r="E2175" s="20" t="s">
        <v>443</v>
      </c>
      <c r="F2175" s="17" t="s">
        <v>1146</v>
      </c>
      <c r="G2175" s="17" t="s">
        <v>4655</v>
      </c>
      <c r="H2175" s="17" t="s">
        <v>4656</v>
      </c>
      <c r="I2175" s="17" t="s">
        <v>125</v>
      </c>
      <c r="J2175" s="22" t="s">
        <v>144</v>
      </c>
      <c r="K2175" s="23" t="s">
        <v>108</v>
      </c>
      <c r="L2175" s="24" t="s">
        <v>91</v>
      </c>
      <c r="M2175" s="2">
        <v>61.0</v>
      </c>
      <c r="N2175" s="25">
        <v>31.0</v>
      </c>
      <c r="O2175" s="25"/>
      <c r="P2175" s="25"/>
    </row>
    <row r="2176">
      <c r="A2176" s="16">
        <v>2174.0</v>
      </c>
      <c r="B2176" s="17" t="s">
        <v>90</v>
      </c>
      <c r="C2176" s="18">
        <v>127.0</v>
      </c>
      <c r="D2176" s="19" t="s">
        <v>2225</v>
      </c>
      <c r="E2176" s="20" t="s">
        <v>443</v>
      </c>
      <c r="F2176" s="17" t="s">
        <v>950</v>
      </c>
      <c r="G2176" s="17" t="s">
        <v>5043</v>
      </c>
      <c r="H2176" s="17" t="s">
        <v>5002</v>
      </c>
      <c r="I2176" s="17" t="s">
        <v>125</v>
      </c>
      <c r="J2176" s="22" t="s">
        <v>144</v>
      </c>
      <c r="K2176" s="23" t="s">
        <v>108</v>
      </c>
      <c r="L2176" s="24" t="s">
        <v>91</v>
      </c>
      <c r="M2176" s="2">
        <v>61.0</v>
      </c>
      <c r="N2176" s="25">
        <v>31.0</v>
      </c>
      <c r="O2176" s="25"/>
      <c r="P2176" s="25"/>
    </row>
    <row r="2177">
      <c r="A2177" s="16">
        <v>2175.0</v>
      </c>
      <c r="B2177" s="17" t="s">
        <v>90</v>
      </c>
      <c r="C2177" s="18">
        <v>128.0</v>
      </c>
      <c r="D2177" s="19" t="s">
        <v>2225</v>
      </c>
      <c r="E2177" s="20" t="s">
        <v>443</v>
      </c>
      <c r="F2177" s="17" t="s">
        <v>859</v>
      </c>
      <c r="G2177" s="17" t="s">
        <v>4672</v>
      </c>
      <c r="H2177" s="17" t="s">
        <v>4673</v>
      </c>
      <c r="I2177" s="17" t="s">
        <v>125</v>
      </c>
      <c r="J2177" s="22" t="s">
        <v>144</v>
      </c>
      <c r="K2177" s="23" t="s">
        <v>108</v>
      </c>
      <c r="L2177" s="24" t="s">
        <v>91</v>
      </c>
      <c r="M2177" s="2">
        <v>61.0</v>
      </c>
      <c r="N2177" s="25">
        <v>31.0</v>
      </c>
      <c r="O2177" s="25"/>
      <c r="P2177" s="25"/>
    </row>
    <row r="2178">
      <c r="A2178" s="16">
        <v>2176.0</v>
      </c>
      <c r="B2178" s="17" t="s">
        <v>90</v>
      </c>
      <c r="C2178" s="18">
        <v>129.0</v>
      </c>
      <c r="D2178" s="19" t="s">
        <v>2225</v>
      </c>
      <c r="E2178" s="20" t="s">
        <v>443</v>
      </c>
      <c r="F2178" s="17" t="s">
        <v>1012</v>
      </c>
      <c r="G2178" s="17" t="s">
        <v>5044</v>
      </c>
      <c r="H2178" s="17" t="s">
        <v>5045</v>
      </c>
      <c r="I2178" s="17" t="s">
        <v>125</v>
      </c>
      <c r="J2178" s="22" t="s">
        <v>144</v>
      </c>
      <c r="K2178" s="23" t="s">
        <v>108</v>
      </c>
      <c r="L2178" s="24" t="s">
        <v>91</v>
      </c>
      <c r="M2178" s="2">
        <v>61.0</v>
      </c>
      <c r="N2178" s="25">
        <v>31.0</v>
      </c>
      <c r="O2178" s="25"/>
      <c r="P2178" s="25"/>
    </row>
    <row r="2179">
      <c r="A2179" s="16">
        <v>2177.0</v>
      </c>
      <c r="B2179" s="17" t="s">
        <v>90</v>
      </c>
      <c r="C2179" s="18">
        <v>130.0</v>
      </c>
      <c r="D2179" s="19" t="s">
        <v>2225</v>
      </c>
      <c r="E2179" s="20" t="s">
        <v>443</v>
      </c>
      <c r="F2179" s="17" t="s">
        <v>452</v>
      </c>
      <c r="G2179" s="17" t="s">
        <v>5046</v>
      </c>
      <c r="H2179" s="17" t="s">
        <v>5047</v>
      </c>
      <c r="I2179" s="17" t="s">
        <v>125</v>
      </c>
      <c r="J2179" s="22" t="s">
        <v>144</v>
      </c>
      <c r="K2179" s="23" t="s">
        <v>108</v>
      </c>
      <c r="L2179" s="24" t="s">
        <v>91</v>
      </c>
      <c r="M2179" s="2">
        <v>61.0</v>
      </c>
      <c r="N2179" s="25">
        <v>31.0</v>
      </c>
      <c r="O2179" s="25"/>
      <c r="P2179" s="25"/>
    </row>
    <row r="2180">
      <c r="A2180" s="16">
        <v>2178.0</v>
      </c>
      <c r="B2180" s="17" t="s">
        <v>90</v>
      </c>
      <c r="C2180" s="18">
        <v>131.0</v>
      </c>
      <c r="D2180" s="19" t="s">
        <v>2225</v>
      </c>
      <c r="E2180" s="20" t="s">
        <v>443</v>
      </c>
      <c r="F2180" s="17" t="s">
        <v>908</v>
      </c>
      <c r="G2180" s="17" t="s">
        <v>4768</v>
      </c>
      <c r="H2180" s="17" t="s">
        <v>5048</v>
      </c>
      <c r="I2180" s="17" t="s">
        <v>125</v>
      </c>
      <c r="J2180" s="22" t="s">
        <v>144</v>
      </c>
      <c r="K2180" s="23" t="s">
        <v>108</v>
      </c>
      <c r="L2180" s="24" t="s">
        <v>91</v>
      </c>
      <c r="M2180" s="2">
        <v>61.0</v>
      </c>
      <c r="N2180" s="25">
        <v>31.0</v>
      </c>
      <c r="O2180" s="25"/>
      <c r="P2180" s="25"/>
    </row>
    <row r="2181">
      <c r="A2181" s="16">
        <v>2179.0</v>
      </c>
      <c r="B2181" s="17" t="s">
        <v>90</v>
      </c>
      <c r="C2181" s="18">
        <v>132.0</v>
      </c>
      <c r="D2181" s="19" t="s">
        <v>2225</v>
      </c>
      <c r="E2181" s="20" t="s">
        <v>443</v>
      </c>
      <c r="F2181" s="17" t="s">
        <v>1153</v>
      </c>
      <c r="G2181" s="17" t="s">
        <v>4896</v>
      </c>
      <c r="H2181" s="17" t="s">
        <v>4897</v>
      </c>
      <c r="I2181" s="17" t="s">
        <v>125</v>
      </c>
      <c r="J2181" s="22" t="s">
        <v>144</v>
      </c>
      <c r="K2181" s="23" t="s">
        <v>108</v>
      </c>
      <c r="L2181" s="24" t="s">
        <v>91</v>
      </c>
      <c r="M2181" s="2">
        <v>61.0</v>
      </c>
      <c r="N2181" s="25">
        <v>31.0</v>
      </c>
      <c r="O2181" s="25"/>
      <c r="P2181" s="25"/>
    </row>
    <row r="2182">
      <c r="A2182" s="16">
        <v>2180.0</v>
      </c>
      <c r="B2182" s="17" t="s">
        <v>90</v>
      </c>
      <c r="C2182" s="18">
        <v>133.0</v>
      </c>
      <c r="D2182" s="19" t="s">
        <v>2225</v>
      </c>
      <c r="E2182" s="20" t="s">
        <v>443</v>
      </c>
      <c r="F2182" s="17" t="s">
        <v>949</v>
      </c>
      <c r="G2182" s="17" t="s">
        <v>5049</v>
      </c>
      <c r="H2182" s="17" t="s">
        <v>5050</v>
      </c>
      <c r="I2182" s="17" t="s">
        <v>125</v>
      </c>
      <c r="J2182" s="22" t="s">
        <v>144</v>
      </c>
      <c r="K2182" s="23" t="s">
        <v>108</v>
      </c>
      <c r="L2182" s="24" t="s">
        <v>91</v>
      </c>
      <c r="M2182" s="2">
        <v>61.0</v>
      </c>
      <c r="N2182" s="25">
        <v>31.0</v>
      </c>
      <c r="O2182" s="25"/>
      <c r="P2182" s="25"/>
    </row>
    <row r="2183">
      <c r="A2183" s="16">
        <v>2181.0</v>
      </c>
      <c r="B2183" s="17" t="s">
        <v>90</v>
      </c>
      <c r="C2183" s="18">
        <v>134.0</v>
      </c>
      <c r="D2183" s="19" t="s">
        <v>2225</v>
      </c>
      <c r="E2183" s="20" t="s">
        <v>443</v>
      </c>
      <c r="F2183" s="17" t="s">
        <v>1266</v>
      </c>
      <c r="G2183" s="17" t="s">
        <v>5051</v>
      </c>
      <c r="H2183" s="17" t="s">
        <v>5052</v>
      </c>
      <c r="I2183" s="17" t="s">
        <v>125</v>
      </c>
      <c r="J2183" s="22" t="s">
        <v>144</v>
      </c>
      <c r="K2183" s="23" t="s">
        <v>108</v>
      </c>
      <c r="L2183" s="24" t="s">
        <v>91</v>
      </c>
      <c r="M2183" s="2">
        <v>61.0</v>
      </c>
      <c r="N2183" s="25">
        <v>31.0</v>
      </c>
      <c r="O2183" s="25"/>
      <c r="P2183" s="25"/>
    </row>
    <row r="2184">
      <c r="A2184" s="16">
        <v>2182.0</v>
      </c>
      <c r="B2184" s="17" t="s">
        <v>90</v>
      </c>
      <c r="C2184" s="18">
        <v>135.0</v>
      </c>
      <c r="D2184" s="19" t="s">
        <v>2225</v>
      </c>
      <c r="E2184" s="20" t="s">
        <v>443</v>
      </c>
      <c r="F2184" s="17" t="s">
        <v>1148</v>
      </c>
      <c r="G2184" s="17" t="s">
        <v>4676</v>
      </c>
      <c r="H2184" s="17" t="s">
        <v>5053</v>
      </c>
      <c r="I2184" s="17" t="s">
        <v>125</v>
      </c>
      <c r="J2184" s="22" t="s">
        <v>144</v>
      </c>
      <c r="K2184" s="23" t="s">
        <v>108</v>
      </c>
      <c r="L2184" s="24" t="s">
        <v>91</v>
      </c>
      <c r="M2184" s="2">
        <v>61.0</v>
      </c>
      <c r="N2184" s="25">
        <v>31.0</v>
      </c>
      <c r="O2184" s="25"/>
      <c r="P2184" s="25"/>
    </row>
    <row r="2185">
      <c r="A2185" s="16">
        <v>2183.0</v>
      </c>
      <c r="B2185" s="17" t="s">
        <v>90</v>
      </c>
      <c r="C2185" s="18">
        <v>136.0</v>
      </c>
      <c r="D2185" s="19" t="s">
        <v>2225</v>
      </c>
      <c r="E2185" s="20" t="s">
        <v>443</v>
      </c>
      <c r="F2185" s="17" t="s">
        <v>1018</v>
      </c>
      <c r="G2185" s="17" t="s">
        <v>4657</v>
      </c>
      <c r="H2185" s="17" t="s">
        <v>4658</v>
      </c>
      <c r="I2185" s="17" t="s">
        <v>125</v>
      </c>
      <c r="J2185" s="22" t="s">
        <v>144</v>
      </c>
      <c r="K2185" s="23" t="s">
        <v>108</v>
      </c>
      <c r="L2185" s="24" t="s">
        <v>91</v>
      </c>
      <c r="M2185" s="2">
        <v>61.0</v>
      </c>
      <c r="N2185" s="25">
        <v>31.0</v>
      </c>
      <c r="O2185" s="25"/>
      <c r="P2185" s="25"/>
    </row>
    <row r="2186">
      <c r="A2186" s="16">
        <v>2184.0</v>
      </c>
      <c r="B2186" s="17" t="s">
        <v>90</v>
      </c>
      <c r="C2186" s="18">
        <v>137.0</v>
      </c>
      <c r="D2186" s="19" t="s">
        <v>2225</v>
      </c>
      <c r="E2186" s="20" t="s">
        <v>443</v>
      </c>
      <c r="F2186" s="17" t="s">
        <v>979</v>
      </c>
      <c r="G2186" s="17" t="s">
        <v>2373</v>
      </c>
      <c r="H2186" s="17" t="s">
        <v>5054</v>
      </c>
      <c r="I2186" s="17" t="s">
        <v>125</v>
      </c>
      <c r="J2186" s="22" t="s">
        <v>144</v>
      </c>
      <c r="K2186" s="23" t="s">
        <v>108</v>
      </c>
      <c r="L2186" s="24" t="s">
        <v>91</v>
      </c>
      <c r="M2186" s="2">
        <v>61.0</v>
      </c>
      <c r="N2186" s="25">
        <v>31.0</v>
      </c>
      <c r="O2186" s="25"/>
      <c r="P2186" s="25"/>
    </row>
    <row r="2187">
      <c r="A2187" s="16">
        <v>2185.0</v>
      </c>
      <c r="B2187" s="17" t="s">
        <v>90</v>
      </c>
      <c r="C2187" s="18">
        <v>138.0</v>
      </c>
      <c r="D2187" s="19" t="s">
        <v>2225</v>
      </c>
      <c r="E2187" s="20" t="s">
        <v>443</v>
      </c>
      <c r="F2187" s="17" t="s">
        <v>916</v>
      </c>
      <c r="G2187" s="17" t="s">
        <v>5055</v>
      </c>
      <c r="H2187" s="17" t="s">
        <v>5056</v>
      </c>
      <c r="I2187" s="17" t="s">
        <v>125</v>
      </c>
      <c r="J2187" s="22" t="s">
        <v>144</v>
      </c>
      <c r="K2187" s="23" t="s">
        <v>108</v>
      </c>
      <c r="L2187" s="24" t="s">
        <v>91</v>
      </c>
      <c r="M2187" s="2">
        <v>61.0</v>
      </c>
      <c r="N2187" s="25">
        <v>31.0</v>
      </c>
      <c r="O2187" s="25"/>
      <c r="P2187" s="25"/>
    </row>
    <row r="2188">
      <c r="A2188" s="16">
        <v>2186.0</v>
      </c>
      <c r="B2188" s="17" t="s">
        <v>90</v>
      </c>
      <c r="C2188" s="18">
        <v>139.0</v>
      </c>
      <c r="D2188" s="19" t="s">
        <v>2225</v>
      </c>
      <c r="E2188" s="20" t="s">
        <v>443</v>
      </c>
      <c r="F2188" s="17" t="s">
        <v>891</v>
      </c>
      <c r="G2188" s="17" t="s">
        <v>5057</v>
      </c>
      <c r="H2188" s="17" t="s">
        <v>5058</v>
      </c>
      <c r="I2188" s="17" t="s">
        <v>125</v>
      </c>
      <c r="J2188" s="22" t="s">
        <v>144</v>
      </c>
      <c r="K2188" s="23" t="s">
        <v>108</v>
      </c>
      <c r="L2188" s="24" t="s">
        <v>91</v>
      </c>
      <c r="M2188" s="2">
        <v>61.0</v>
      </c>
      <c r="N2188" s="25">
        <v>31.0</v>
      </c>
      <c r="O2188" s="25"/>
      <c r="P2188" s="25"/>
    </row>
    <row r="2189">
      <c r="A2189" s="16">
        <v>2187.0</v>
      </c>
      <c r="B2189" s="27" t="s">
        <v>90</v>
      </c>
      <c r="C2189" s="18">
        <v>140.0</v>
      </c>
      <c r="D2189" s="19" t="s">
        <v>2225</v>
      </c>
      <c r="E2189" s="20" t="s">
        <v>443</v>
      </c>
      <c r="F2189" s="27" t="s">
        <v>1260</v>
      </c>
      <c r="G2189" s="17" t="s">
        <v>4681</v>
      </c>
      <c r="H2189" s="17" t="s">
        <v>5059</v>
      </c>
      <c r="I2189" s="17" t="s">
        <v>125</v>
      </c>
      <c r="J2189" s="22" t="s">
        <v>144</v>
      </c>
      <c r="K2189" s="23" t="s">
        <v>108</v>
      </c>
      <c r="L2189" s="24"/>
      <c r="M2189" s="2">
        <v>61.0</v>
      </c>
      <c r="N2189" s="25">
        <v>31.0</v>
      </c>
      <c r="O2189" s="25"/>
      <c r="P2189" s="25"/>
    </row>
    <row r="2190">
      <c r="A2190" s="16">
        <v>2188.0</v>
      </c>
      <c r="B2190" s="27" t="s">
        <v>90</v>
      </c>
      <c r="C2190" s="18">
        <v>141.0</v>
      </c>
      <c r="D2190" s="19" t="s">
        <v>2225</v>
      </c>
      <c r="E2190" s="20" t="s">
        <v>443</v>
      </c>
      <c r="F2190" s="27" t="s">
        <v>1200</v>
      </c>
      <c r="G2190" s="17" t="s">
        <v>2178</v>
      </c>
      <c r="H2190" s="17" t="s">
        <v>5060</v>
      </c>
      <c r="I2190" s="17" t="s">
        <v>125</v>
      </c>
      <c r="J2190" s="22" t="s">
        <v>144</v>
      </c>
      <c r="K2190" s="23" t="s">
        <v>108</v>
      </c>
      <c r="L2190" s="24"/>
      <c r="M2190" s="2">
        <v>61.0</v>
      </c>
      <c r="N2190" s="25">
        <v>31.0</v>
      </c>
      <c r="O2190" s="25"/>
      <c r="P2190" s="25"/>
    </row>
    <row r="2191">
      <c r="A2191" s="16">
        <v>2189.0</v>
      </c>
      <c r="B2191" s="27" t="s">
        <v>90</v>
      </c>
      <c r="C2191" s="18">
        <v>142.0</v>
      </c>
      <c r="D2191" s="19" t="s">
        <v>2225</v>
      </c>
      <c r="E2191" s="20" t="s">
        <v>443</v>
      </c>
      <c r="F2191" s="27" t="s">
        <v>1271</v>
      </c>
      <c r="G2191" s="17" t="s">
        <v>123</v>
      </c>
      <c r="H2191" s="17" t="s">
        <v>5061</v>
      </c>
      <c r="I2191" s="17" t="s">
        <v>125</v>
      </c>
      <c r="J2191" s="22" t="s">
        <v>144</v>
      </c>
      <c r="K2191" s="23" t="s">
        <v>108</v>
      </c>
      <c r="L2191" s="24"/>
      <c r="M2191" s="2">
        <v>61.0</v>
      </c>
      <c r="N2191" s="25">
        <v>31.0</v>
      </c>
      <c r="O2191" s="25"/>
      <c r="P2191" s="25"/>
    </row>
    <row r="2192">
      <c r="A2192" s="16">
        <v>2190.0</v>
      </c>
      <c r="B2192" s="27" t="s">
        <v>90</v>
      </c>
      <c r="C2192" s="18">
        <v>143.0</v>
      </c>
      <c r="D2192" s="19" t="s">
        <v>2225</v>
      </c>
      <c r="E2192" s="20" t="s">
        <v>443</v>
      </c>
      <c r="F2192" s="27" t="s">
        <v>1251</v>
      </c>
      <c r="G2192" s="17" t="s">
        <v>5062</v>
      </c>
      <c r="H2192" s="17" t="s">
        <v>5063</v>
      </c>
      <c r="I2192" s="17" t="s">
        <v>125</v>
      </c>
      <c r="J2192" s="22" t="s">
        <v>144</v>
      </c>
      <c r="K2192" s="23" t="s">
        <v>108</v>
      </c>
      <c r="L2192" s="24"/>
      <c r="M2192" s="2">
        <v>61.0</v>
      </c>
      <c r="N2192" s="25">
        <v>31.0</v>
      </c>
      <c r="O2192" s="25"/>
      <c r="P2192" s="25"/>
    </row>
    <row r="2193">
      <c r="A2193" s="16">
        <v>2191.0</v>
      </c>
      <c r="B2193" s="27" t="s">
        <v>90</v>
      </c>
      <c r="C2193" s="18">
        <v>144.0</v>
      </c>
      <c r="D2193" s="19" t="s">
        <v>2225</v>
      </c>
      <c r="E2193" s="20" t="s">
        <v>443</v>
      </c>
      <c r="F2193" s="27" t="s">
        <v>1119</v>
      </c>
      <c r="G2193" s="17" t="s">
        <v>5064</v>
      </c>
      <c r="H2193" s="17" t="s">
        <v>5065</v>
      </c>
      <c r="I2193" s="17" t="s">
        <v>125</v>
      </c>
      <c r="J2193" s="22" t="s">
        <v>144</v>
      </c>
      <c r="K2193" s="23" t="s">
        <v>108</v>
      </c>
      <c r="L2193" s="24"/>
      <c r="M2193" s="2">
        <v>61.0</v>
      </c>
      <c r="N2193" s="25">
        <v>31.0</v>
      </c>
      <c r="O2193" s="25"/>
      <c r="P2193" s="25"/>
    </row>
    <row r="2194">
      <c r="A2194" s="16">
        <v>2192.0</v>
      </c>
      <c r="B2194" s="27" t="s">
        <v>90</v>
      </c>
      <c r="C2194" s="18">
        <v>145.0</v>
      </c>
      <c r="D2194" s="19" t="s">
        <v>2225</v>
      </c>
      <c r="E2194" s="20" t="s">
        <v>443</v>
      </c>
      <c r="F2194" s="27" t="s">
        <v>871</v>
      </c>
      <c r="G2194" s="17" t="s">
        <v>872</v>
      </c>
      <c r="H2194" s="17" t="s">
        <v>4673</v>
      </c>
      <c r="I2194" s="17" t="s">
        <v>125</v>
      </c>
      <c r="J2194" s="22" t="s">
        <v>144</v>
      </c>
      <c r="K2194" s="23" t="s">
        <v>108</v>
      </c>
      <c r="L2194" s="24"/>
      <c r="M2194" s="2">
        <v>61.0</v>
      </c>
      <c r="N2194" s="25">
        <v>31.0</v>
      </c>
      <c r="O2194" s="25"/>
      <c r="P2194" s="25"/>
    </row>
    <row r="2195">
      <c r="A2195" s="16">
        <v>2193.0</v>
      </c>
      <c r="B2195" s="27" t="s">
        <v>90</v>
      </c>
      <c r="C2195" s="18">
        <v>146.0</v>
      </c>
      <c r="D2195" s="19" t="s">
        <v>2225</v>
      </c>
      <c r="E2195" s="20" t="s">
        <v>443</v>
      </c>
      <c r="F2195" s="27" t="s">
        <v>1274</v>
      </c>
      <c r="G2195" s="17" t="s">
        <v>5066</v>
      </c>
      <c r="H2195" s="17" t="s">
        <v>5067</v>
      </c>
      <c r="I2195" s="17" t="s">
        <v>125</v>
      </c>
      <c r="J2195" s="22" t="s">
        <v>144</v>
      </c>
      <c r="K2195" s="23" t="s">
        <v>108</v>
      </c>
      <c r="L2195" s="24"/>
      <c r="M2195" s="2">
        <v>61.0</v>
      </c>
      <c r="N2195" s="25">
        <v>31.0</v>
      </c>
      <c r="O2195" s="25"/>
      <c r="P2195" s="25"/>
    </row>
    <row r="2196">
      <c r="A2196" s="16">
        <v>2194.0</v>
      </c>
      <c r="B2196" s="27" t="s">
        <v>90</v>
      </c>
      <c r="C2196" s="18">
        <v>147.0</v>
      </c>
      <c r="D2196" s="19" t="s">
        <v>2225</v>
      </c>
      <c r="E2196" s="20" t="s">
        <v>443</v>
      </c>
      <c r="F2196" s="27" t="s">
        <v>1122</v>
      </c>
      <c r="G2196" s="17" t="s">
        <v>5068</v>
      </c>
      <c r="H2196" s="17" t="s">
        <v>5069</v>
      </c>
      <c r="I2196" s="17" t="s">
        <v>125</v>
      </c>
      <c r="J2196" s="22" t="s">
        <v>144</v>
      </c>
      <c r="K2196" s="23" t="s">
        <v>108</v>
      </c>
      <c r="L2196" s="24"/>
      <c r="M2196" s="2">
        <v>61.0</v>
      </c>
      <c r="N2196" s="25">
        <v>31.0</v>
      </c>
      <c r="O2196" s="25"/>
      <c r="P2196" s="25"/>
    </row>
    <row r="2197">
      <c r="A2197" s="16">
        <v>2195.0</v>
      </c>
      <c r="B2197" s="27" t="s">
        <v>90</v>
      </c>
      <c r="C2197" s="18">
        <v>148.0</v>
      </c>
      <c r="D2197" s="19" t="s">
        <v>2225</v>
      </c>
      <c r="E2197" s="20" t="s">
        <v>443</v>
      </c>
      <c r="F2197" s="27" t="s">
        <v>1078</v>
      </c>
      <c r="G2197" s="17" t="s">
        <v>5070</v>
      </c>
      <c r="H2197" s="17" t="s">
        <v>5071</v>
      </c>
      <c r="I2197" s="17" t="s">
        <v>125</v>
      </c>
      <c r="J2197" s="22" t="s">
        <v>144</v>
      </c>
      <c r="K2197" s="23" t="s">
        <v>108</v>
      </c>
      <c r="L2197" s="24"/>
      <c r="M2197" s="2">
        <v>61.0</v>
      </c>
      <c r="N2197" s="25">
        <v>31.0</v>
      </c>
      <c r="O2197" s="25"/>
      <c r="P2197" s="25"/>
    </row>
    <row r="2198">
      <c r="A2198" s="16">
        <v>2196.0</v>
      </c>
      <c r="B2198" s="27" t="s">
        <v>90</v>
      </c>
      <c r="C2198" s="18">
        <v>149.0</v>
      </c>
      <c r="D2198" s="19" t="s">
        <v>2225</v>
      </c>
      <c r="E2198" s="20" t="s">
        <v>443</v>
      </c>
      <c r="F2198" s="27" t="s">
        <v>1057</v>
      </c>
      <c r="G2198" s="17" t="s">
        <v>2042</v>
      </c>
      <c r="H2198" s="17" t="s">
        <v>5072</v>
      </c>
      <c r="I2198" s="17" t="s">
        <v>125</v>
      </c>
      <c r="J2198" s="22" t="s">
        <v>144</v>
      </c>
      <c r="K2198" s="23" t="s">
        <v>108</v>
      </c>
      <c r="L2198" s="24"/>
      <c r="M2198" s="2">
        <v>61.0</v>
      </c>
      <c r="N2198" s="25">
        <v>31.0</v>
      </c>
      <c r="O2198" s="25"/>
      <c r="P2198" s="25"/>
    </row>
    <row r="2199">
      <c r="A2199" s="16">
        <v>2197.0</v>
      </c>
      <c r="B2199" s="27" t="s">
        <v>90</v>
      </c>
      <c r="C2199" s="18">
        <v>150.0</v>
      </c>
      <c r="D2199" s="19" t="s">
        <v>2225</v>
      </c>
      <c r="E2199" s="20" t="s">
        <v>443</v>
      </c>
      <c r="F2199" s="27" t="s">
        <v>1261</v>
      </c>
      <c r="G2199" s="17" t="s">
        <v>5073</v>
      </c>
      <c r="H2199" s="17" t="s">
        <v>5074</v>
      </c>
      <c r="I2199" s="17" t="s">
        <v>125</v>
      </c>
      <c r="J2199" s="22" t="s">
        <v>144</v>
      </c>
      <c r="K2199" s="23" t="s">
        <v>108</v>
      </c>
      <c r="L2199" s="24"/>
      <c r="M2199" s="2">
        <v>61.0</v>
      </c>
      <c r="N2199" s="25">
        <v>31.0</v>
      </c>
      <c r="O2199" s="25"/>
      <c r="P2199" s="25"/>
    </row>
    <row r="2200">
      <c r="A2200" s="16">
        <v>2198.0</v>
      </c>
      <c r="B2200" s="17" t="s">
        <v>707</v>
      </c>
      <c r="C2200" s="18">
        <v>1.0</v>
      </c>
      <c r="D2200" s="19" t="s">
        <v>3957</v>
      </c>
      <c r="E2200" s="20" t="s">
        <v>91</v>
      </c>
      <c r="F2200" s="17" t="s">
        <v>151</v>
      </c>
      <c r="G2200" s="17" t="s">
        <v>5075</v>
      </c>
      <c r="H2200" s="17" t="s">
        <v>5076</v>
      </c>
      <c r="I2200" s="17" t="s">
        <v>125</v>
      </c>
      <c r="J2200" s="22" t="s">
        <v>100</v>
      </c>
      <c r="K2200" s="23" t="s">
        <v>108</v>
      </c>
      <c r="L2200" s="24" t="s">
        <v>91</v>
      </c>
      <c r="M2200" s="2">
        <v>62.0</v>
      </c>
      <c r="N2200" s="25">
        <v>11.0</v>
      </c>
      <c r="O2200" s="25"/>
      <c r="P2200" s="25"/>
    </row>
    <row r="2201">
      <c r="A2201" s="16">
        <v>2199.0</v>
      </c>
      <c r="B2201" s="17" t="s">
        <v>707</v>
      </c>
      <c r="C2201" s="18">
        <v>2.0</v>
      </c>
      <c r="D2201" s="19" t="s">
        <v>3957</v>
      </c>
      <c r="E2201" s="20" t="s">
        <v>91</v>
      </c>
      <c r="F2201" s="17" t="s">
        <v>1003</v>
      </c>
      <c r="G2201" s="17" t="s">
        <v>5077</v>
      </c>
      <c r="H2201" s="17" t="s">
        <v>5078</v>
      </c>
      <c r="I2201" s="17" t="s">
        <v>98</v>
      </c>
      <c r="J2201" s="22" t="s">
        <v>135</v>
      </c>
      <c r="K2201" s="23" t="s">
        <v>108</v>
      </c>
      <c r="L2201" s="24" t="s">
        <v>91</v>
      </c>
      <c r="M2201" s="2">
        <v>62.0</v>
      </c>
      <c r="N2201" s="25">
        <v>20.0</v>
      </c>
      <c r="O2201" s="25"/>
      <c r="P2201" s="25"/>
    </row>
    <row r="2202">
      <c r="A2202" s="16">
        <v>2200.0</v>
      </c>
      <c r="B2202" s="17" t="s">
        <v>707</v>
      </c>
      <c r="C2202" s="18">
        <v>3.0</v>
      </c>
      <c r="D2202" s="19" t="s">
        <v>3957</v>
      </c>
      <c r="E2202" s="20" t="s">
        <v>91</v>
      </c>
      <c r="F2202" s="17" t="s">
        <v>916</v>
      </c>
      <c r="G2202" s="17" t="s">
        <v>5079</v>
      </c>
      <c r="H2202" s="17" t="s">
        <v>5080</v>
      </c>
      <c r="I2202" s="17" t="s">
        <v>125</v>
      </c>
      <c r="J2202" s="22" t="s">
        <v>135</v>
      </c>
      <c r="K2202" s="23" t="s">
        <v>108</v>
      </c>
      <c r="L2202" s="24" t="s">
        <v>91</v>
      </c>
      <c r="M2202" s="2">
        <v>62.0</v>
      </c>
      <c r="N2202" s="25">
        <v>21.0</v>
      </c>
      <c r="O2202" s="25"/>
      <c r="P2202" s="25"/>
    </row>
    <row r="2203">
      <c r="A2203" s="16">
        <v>2201.0</v>
      </c>
      <c r="B2203" s="17" t="s">
        <v>707</v>
      </c>
      <c r="C2203" s="18">
        <v>4.0</v>
      </c>
      <c r="D2203" s="19" t="s">
        <v>3957</v>
      </c>
      <c r="E2203" s="20" t="s">
        <v>91</v>
      </c>
      <c r="F2203" s="17" t="s">
        <v>1018</v>
      </c>
      <c r="G2203" s="17" t="s">
        <v>5081</v>
      </c>
      <c r="H2203" s="17" t="s">
        <v>5082</v>
      </c>
      <c r="I2203" s="17" t="s">
        <v>125</v>
      </c>
      <c r="J2203" s="22" t="s">
        <v>135</v>
      </c>
      <c r="K2203" s="23" t="s">
        <v>108</v>
      </c>
      <c r="L2203" s="24" t="s">
        <v>91</v>
      </c>
      <c r="M2203" s="2">
        <v>62.0</v>
      </c>
      <c r="N2203" s="25">
        <v>21.0</v>
      </c>
      <c r="O2203" s="25"/>
      <c r="P2203" s="25"/>
    </row>
    <row r="2204">
      <c r="A2204" s="16">
        <v>2202.0</v>
      </c>
      <c r="B2204" s="17" t="s">
        <v>707</v>
      </c>
      <c r="C2204" s="18">
        <v>5.0</v>
      </c>
      <c r="D2204" s="19" t="s">
        <v>2783</v>
      </c>
      <c r="E2204" s="20" t="s">
        <v>91</v>
      </c>
      <c r="F2204" s="17" t="s">
        <v>537</v>
      </c>
      <c r="G2204" s="17" t="s">
        <v>5083</v>
      </c>
      <c r="H2204" s="17" t="s">
        <v>5084</v>
      </c>
      <c r="I2204" s="17" t="s">
        <v>98</v>
      </c>
      <c r="J2204" s="22" t="s">
        <v>144</v>
      </c>
      <c r="K2204" s="23" t="s">
        <v>108</v>
      </c>
      <c r="L2204" s="24" t="s">
        <v>91</v>
      </c>
      <c r="M2204" s="2">
        <v>62.0</v>
      </c>
      <c r="N2204" s="25">
        <v>30.0</v>
      </c>
      <c r="O2204" s="25"/>
      <c r="P2204" s="25"/>
    </row>
    <row r="2205">
      <c r="A2205" s="16">
        <v>2203.0</v>
      </c>
      <c r="B2205" s="17" t="s">
        <v>707</v>
      </c>
      <c r="C2205" s="18">
        <v>6.0</v>
      </c>
      <c r="D2205" s="19" t="s">
        <v>3957</v>
      </c>
      <c r="E2205" s="20" t="s">
        <v>91</v>
      </c>
      <c r="F2205" s="17" t="s">
        <v>773</v>
      </c>
      <c r="G2205" s="17" t="s">
        <v>5085</v>
      </c>
      <c r="H2205" s="17" t="s">
        <v>5086</v>
      </c>
      <c r="I2205" s="17" t="s">
        <v>98</v>
      </c>
      <c r="J2205" s="22" t="s">
        <v>144</v>
      </c>
      <c r="K2205" s="23" t="s">
        <v>108</v>
      </c>
      <c r="L2205" s="24" t="s">
        <v>91</v>
      </c>
      <c r="M2205" s="2">
        <v>62.0</v>
      </c>
      <c r="N2205" s="25">
        <v>30.0</v>
      </c>
      <c r="O2205" s="25"/>
      <c r="P2205" s="25"/>
    </row>
    <row r="2206">
      <c r="A2206" s="16">
        <v>2204.0</v>
      </c>
      <c r="B2206" s="17" t="s">
        <v>707</v>
      </c>
      <c r="C2206" s="18">
        <v>7.0</v>
      </c>
      <c r="D2206" s="19" t="s">
        <v>2783</v>
      </c>
      <c r="E2206" s="20" t="s">
        <v>91</v>
      </c>
      <c r="F2206" s="17" t="s">
        <v>917</v>
      </c>
      <c r="G2206" s="17" t="s">
        <v>4918</v>
      </c>
      <c r="H2206" s="17" t="s">
        <v>5087</v>
      </c>
      <c r="I2206" s="17" t="s">
        <v>125</v>
      </c>
      <c r="J2206" s="22" t="s">
        <v>144</v>
      </c>
      <c r="K2206" s="23" t="s">
        <v>108</v>
      </c>
      <c r="L2206" s="24" t="s">
        <v>91</v>
      </c>
      <c r="M2206" s="2">
        <v>62.0</v>
      </c>
      <c r="N2206" s="25">
        <v>31.0</v>
      </c>
      <c r="O2206" s="25"/>
      <c r="P2206" s="25"/>
    </row>
    <row r="2207">
      <c r="A2207" s="16">
        <v>2205.0</v>
      </c>
      <c r="B2207" s="17" t="s">
        <v>707</v>
      </c>
      <c r="C2207" s="18">
        <v>8.0</v>
      </c>
      <c r="D2207" s="19" t="s">
        <v>2783</v>
      </c>
      <c r="E2207" s="20" t="s">
        <v>91</v>
      </c>
      <c r="F2207" s="17" t="s">
        <v>777</v>
      </c>
      <c r="G2207" s="17" t="s">
        <v>3694</v>
      </c>
      <c r="H2207" s="17" t="s">
        <v>5088</v>
      </c>
      <c r="I2207" s="17" t="s">
        <v>125</v>
      </c>
      <c r="J2207" s="22" t="s">
        <v>144</v>
      </c>
      <c r="K2207" s="23" t="s">
        <v>108</v>
      </c>
      <c r="L2207" s="24" t="s">
        <v>91</v>
      </c>
      <c r="M2207" s="2">
        <v>62.0</v>
      </c>
      <c r="N2207" s="25">
        <v>31.0</v>
      </c>
      <c r="O2207" s="25"/>
      <c r="P2207" s="25"/>
    </row>
    <row r="2208">
      <c r="A2208" s="16">
        <v>2206.0</v>
      </c>
      <c r="B2208" s="27" t="s">
        <v>707</v>
      </c>
      <c r="C2208" s="18">
        <v>9.0</v>
      </c>
      <c r="D2208" s="19" t="s">
        <v>2783</v>
      </c>
      <c r="E2208" s="20" t="s">
        <v>91</v>
      </c>
      <c r="F2208" s="27" t="s">
        <v>1237</v>
      </c>
      <c r="G2208" s="17" t="s">
        <v>4190</v>
      </c>
      <c r="H2208" s="17" t="s">
        <v>5089</v>
      </c>
      <c r="I2208" s="17" t="s">
        <v>125</v>
      </c>
      <c r="J2208" s="22" t="s">
        <v>144</v>
      </c>
      <c r="K2208" s="23" t="s">
        <v>108</v>
      </c>
      <c r="L2208" s="24"/>
      <c r="M2208" s="2">
        <v>62.0</v>
      </c>
      <c r="N2208" s="25">
        <v>31.0</v>
      </c>
      <c r="O2208" s="25"/>
      <c r="P2208" s="25"/>
    </row>
    <row r="2209">
      <c r="A2209" s="16">
        <v>2207.0</v>
      </c>
      <c r="B2209" s="17" t="s">
        <v>707</v>
      </c>
      <c r="C2209" s="18">
        <v>10.0</v>
      </c>
      <c r="D2209" s="19" t="s">
        <v>3957</v>
      </c>
      <c r="E2209" s="20" t="s">
        <v>91</v>
      </c>
      <c r="F2209" s="17" t="s">
        <v>1123</v>
      </c>
      <c r="G2209" s="17" t="s">
        <v>5090</v>
      </c>
      <c r="H2209" s="17" t="s">
        <v>5091</v>
      </c>
      <c r="I2209" s="17" t="s">
        <v>125</v>
      </c>
      <c r="J2209" s="22" t="s">
        <v>144</v>
      </c>
      <c r="K2209" s="23" t="s">
        <v>108</v>
      </c>
      <c r="L2209" s="24" t="s">
        <v>91</v>
      </c>
      <c r="M2209" s="2">
        <v>62.0</v>
      </c>
      <c r="N2209" s="25">
        <v>31.0</v>
      </c>
      <c r="O2209" s="25"/>
      <c r="P2209" s="25"/>
    </row>
    <row r="2210">
      <c r="A2210" s="16">
        <v>2208.0</v>
      </c>
      <c r="B2210" s="17" t="s">
        <v>707</v>
      </c>
      <c r="C2210" s="18">
        <v>11.0</v>
      </c>
      <c r="D2210" s="19" t="s">
        <v>3957</v>
      </c>
      <c r="E2210" s="20" t="s">
        <v>91</v>
      </c>
      <c r="F2210" s="17" t="s">
        <v>558</v>
      </c>
      <c r="G2210" s="17" t="s">
        <v>5092</v>
      </c>
      <c r="H2210" s="17" t="s">
        <v>5093</v>
      </c>
      <c r="I2210" s="17" t="s">
        <v>125</v>
      </c>
      <c r="J2210" s="22" t="s">
        <v>144</v>
      </c>
      <c r="K2210" s="23" t="s">
        <v>108</v>
      </c>
      <c r="L2210" s="24" t="s">
        <v>91</v>
      </c>
      <c r="M2210" s="2">
        <v>62.0</v>
      </c>
      <c r="N2210" s="25">
        <v>31.0</v>
      </c>
      <c r="O2210" s="25"/>
      <c r="P2210" s="25"/>
    </row>
    <row r="2211">
      <c r="A2211" s="16">
        <v>2209.0</v>
      </c>
      <c r="B2211" s="17" t="s">
        <v>707</v>
      </c>
      <c r="C2211" s="18">
        <v>12.0</v>
      </c>
      <c r="D2211" s="19" t="s">
        <v>3957</v>
      </c>
      <c r="E2211" s="20" t="s">
        <v>91</v>
      </c>
      <c r="F2211" s="17" t="s">
        <v>908</v>
      </c>
      <c r="G2211" s="17" t="s">
        <v>2158</v>
      </c>
      <c r="H2211" s="17" t="s">
        <v>5094</v>
      </c>
      <c r="I2211" s="17" t="s">
        <v>125</v>
      </c>
      <c r="J2211" s="22" t="s">
        <v>144</v>
      </c>
      <c r="K2211" s="23" t="s">
        <v>108</v>
      </c>
      <c r="L2211" s="24" t="s">
        <v>91</v>
      </c>
      <c r="M2211" s="2">
        <v>62.0</v>
      </c>
      <c r="N2211" s="25">
        <v>31.0</v>
      </c>
      <c r="O2211" s="25"/>
      <c r="P2211" s="25"/>
    </row>
    <row r="2212">
      <c r="A2212" s="16">
        <v>2210.0</v>
      </c>
      <c r="B2212" s="17" t="s">
        <v>707</v>
      </c>
      <c r="C2212" s="18">
        <v>13.0</v>
      </c>
      <c r="D2212" s="19" t="s">
        <v>3957</v>
      </c>
      <c r="E2212" s="20" t="s">
        <v>91</v>
      </c>
      <c r="F2212" s="17" t="s">
        <v>1262</v>
      </c>
      <c r="G2212" s="17" t="s">
        <v>5095</v>
      </c>
      <c r="H2212" s="17" t="s">
        <v>5096</v>
      </c>
      <c r="I2212" s="17" t="s">
        <v>125</v>
      </c>
      <c r="J2212" s="22" t="s">
        <v>144</v>
      </c>
      <c r="K2212" s="23" t="s">
        <v>108</v>
      </c>
      <c r="L2212" s="24" t="s">
        <v>91</v>
      </c>
      <c r="M2212" s="2">
        <v>62.0</v>
      </c>
      <c r="N2212" s="25">
        <v>31.0</v>
      </c>
      <c r="O2212" s="25"/>
      <c r="P2212" s="25"/>
    </row>
    <row r="2213">
      <c r="A2213" s="16">
        <v>2211.0</v>
      </c>
      <c r="B2213" s="17" t="s">
        <v>707</v>
      </c>
      <c r="C2213" s="18">
        <v>14.0</v>
      </c>
      <c r="D2213" s="19" t="s">
        <v>3957</v>
      </c>
      <c r="E2213" s="20" t="s">
        <v>91</v>
      </c>
      <c r="F2213" s="17" t="s">
        <v>954</v>
      </c>
      <c r="G2213" s="17" t="s">
        <v>123</v>
      </c>
      <c r="H2213" s="17" t="s">
        <v>5097</v>
      </c>
      <c r="I2213" s="17" t="s">
        <v>125</v>
      </c>
      <c r="J2213" s="22" t="s">
        <v>144</v>
      </c>
      <c r="K2213" s="23" t="s">
        <v>108</v>
      </c>
      <c r="L2213" s="24" t="s">
        <v>91</v>
      </c>
      <c r="M2213" s="2">
        <v>62.0</v>
      </c>
      <c r="N2213" s="25">
        <v>31.0</v>
      </c>
      <c r="O2213" s="25"/>
      <c r="P2213" s="25"/>
    </row>
    <row r="2214">
      <c r="A2214" s="16">
        <v>2212.0</v>
      </c>
      <c r="B2214" s="17" t="s">
        <v>707</v>
      </c>
      <c r="C2214" s="18">
        <v>15.0</v>
      </c>
      <c r="D2214" s="19" t="s">
        <v>3957</v>
      </c>
      <c r="E2214" s="20" t="s">
        <v>91</v>
      </c>
      <c r="F2214" s="17" t="s">
        <v>889</v>
      </c>
      <c r="G2214" s="17" t="s">
        <v>5018</v>
      </c>
      <c r="H2214" s="17" t="s">
        <v>5098</v>
      </c>
      <c r="I2214" s="17" t="s">
        <v>125</v>
      </c>
      <c r="J2214" s="22" t="s">
        <v>144</v>
      </c>
      <c r="K2214" s="23" t="s">
        <v>108</v>
      </c>
      <c r="L2214" s="24" t="s">
        <v>91</v>
      </c>
      <c r="M2214" s="2">
        <v>62.0</v>
      </c>
      <c r="N2214" s="25">
        <v>31.0</v>
      </c>
      <c r="O2214" s="25"/>
      <c r="P2214" s="25"/>
    </row>
    <row r="2215">
      <c r="A2215" s="16">
        <v>2213.0</v>
      </c>
      <c r="B2215" s="17" t="s">
        <v>707</v>
      </c>
      <c r="C2215" s="18">
        <v>16.0</v>
      </c>
      <c r="D2215" s="19" t="s">
        <v>3957</v>
      </c>
      <c r="E2215" s="20" t="s">
        <v>91</v>
      </c>
      <c r="F2215" s="17" t="s">
        <v>828</v>
      </c>
      <c r="G2215" s="17" t="s">
        <v>123</v>
      </c>
      <c r="H2215" s="17" t="s">
        <v>5099</v>
      </c>
      <c r="I2215" s="17" t="s">
        <v>125</v>
      </c>
      <c r="J2215" s="22" t="s">
        <v>144</v>
      </c>
      <c r="K2215" s="23" t="s">
        <v>108</v>
      </c>
      <c r="L2215" s="24" t="s">
        <v>91</v>
      </c>
      <c r="M2215" s="2">
        <v>62.0</v>
      </c>
      <c r="N2215" s="25">
        <v>31.0</v>
      </c>
      <c r="O2215" s="25"/>
      <c r="P2215" s="25"/>
    </row>
    <row r="2216">
      <c r="A2216" s="16">
        <v>2214.0</v>
      </c>
      <c r="B2216" s="17" t="s">
        <v>707</v>
      </c>
      <c r="C2216" s="18">
        <v>17.0</v>
      </c>
      <c r="D2216" s="19" t="s">
        <v>3957</v>
      </c>
      <c r="E2216" s="20" t="s">
        <v>91</v>
      </c>
      <c r="F2216" s="17" t="s">
        <v>855</v>
      </c>
      <c r="G2216" s="17" t="s">
        <v>5100</v>
      </c>
      <c r="H2216" s="17" t="s">
        <v>5101</v>
      </c>
      <c r="I2216" s="17" t="s">
        <v>125</v>
      </c>
      <c r="J2216" s="22" t="s">
        <v>144</v>
      </c>
      <c r="K2216" s="23" t="s">
        <v>108</v>
      </c>
      <c r="L2216" s="24" t="s">
        <v>91</v>
      </c>
      <c r="M2216" s="2">
        <v>62.0</v>
      </c>
      <c r="N2216" s="25">
        <v>31.0</v>
      </c>
      <c r="O2216" s="25"/>
      <c r="P2216" s="25"/>
    </row>
    <row r="2217">
      <c r="A2217" s="16">
        <v>2215.0</v>
      </c>
      <c r="B2217" s="17" t="s">
        <v>707</v>
      </c>
      <c r="C2217" s="18">
        <v>18.0</v>
      </c>
      <c r="D2217" s="19" t="s">
        <v>3957</v>
      </c>
      <c r="E2217" s="20" t="s">
        <v>91</v>
      </c>
      <c r="F2217" s="17" t="s">
        <v>565</v>
      </c>
      <c r="G2217" s="17" t="s">
        <v>4519</v>
      </c>
      <c r="H2217" s="17" t="s">
        <v>5102</v>
      </c>
      <c r="I2217" s="17" t="s">
        <v>125</v>
      </c>
      <c r="J2217" s="22" t="s">
        <v>144</v>
      </c>
      <c r="K2217" s="23" t="s">
        <v>108</v>
      </c>
      <c r="L2217" s="24" t="s">
        <v>91</v>
      </c>
      <c r="M2217" s="2">
        <v>62.0</v>
      </c>
      <c r="N2217" s="25">
        <v>31.0</v>
      </c>
      <c r="O2217" s="25"/>
      <c r="P2217" s="25"/>
    </row>
    <row r="2218">
      <c r="A2218" s="16">
        <v>2216.0</v>
      </c>
      <c r="B2218" s="17" t="s">
        <v>707</v>
      </c>
      <c r="C2218" s="18">
        <v>19.0</v>
      </c>
      <c r="D2218" s="19" t="s">
        <v>3957</v>
      </c>
      <c r="E2218" s="20" t="s">
        <v>91</v>
      </c>
      <c r="F2218" s="17" t="s">
        <v>1269</v>
      </c>
      <c r="G2218" s="17" t="s">
        <v>123</v>
      </c>
      <c r="H2218" s="17" t="s">
        <v>5103</v>
      </c>
      <c r="I2218" s="17" t="s">
        <v>125</v>
      </c>
      <c r="J2218" s="22" t="s">
        <v>144</v>
      </c>
      <c r="K2218" s="23" t="s">
        <v>108</v>
      </c>
      <c r="L2218" s="24" t="s">
        <v>91</v>
      </c>
      <c r="M2218" s="2">
        <v>62.0</v>
      </c>
      <c r="N2218" s="25">
        <v>31.0</v>
      </c>
      <c r="O2218" s="25"/>
      <c r="P2218" s="25"/>
    </row>
    <row r="2219">
      <c r="A2219" s="16">
        <v>2217.0</v>
      </c>
      <c r="B2219" s="17" t="s">
        <v>707</v>
      </c>
      <c r="C2219" s="18">
        <v>20.0</v>
      </c>
      <c r="D2219" s="19" t="s">
        <v>3957</v>
      </c>
      <c r="E2219" s="20" t="s">
        <v>91</v>
      </c>
      <c r="F2219" s="17" t="s">
        <v>994</v>
      </c>
      <c r="G2219" s="17" t="s">
        <v>5104</v>
      </c>
      <c r="H2219" s="17" t="s">
        <v>5105</v>
      </c>
      <c r="I2219" s="17" t="s">
        <v>125</v>
      </c>
      <c r="J2219" s="22" t="s">
        <v>144</v>
      </c>
      <c r="K2219" s="23" t="s">
        <v>108</v>
      </c>
      <c r="L2219" s="24" t="s">
        <v>91</v>
      </c>
      <c r="M2219" s="2">
        <v>62.0</v>
      </c>
      <c r="N2219" s="25">
        <v>31.0</v>
      </c>
      <c r="O2219" s="25"/>
      <c r="P2219" s="25"/>
    </row>
    <row r="2220">
      <c r="A2220" s="16">
        <v>2218.0</v>
      </c>
      <c r="B2220" s="17" t="s">
        <v>707</v>
      </c>
      <c r="C2220" s="18">
        <v>21.0</v>
      </c>
      <c r="D2220" s="19" t="s">
        <v>3957</v>
      </c>
      <c r="E2220" s="20" t="s">
        <v>91</v>
      </c>
      <c r="F2220" s="17" t="s">
        <v>263</v>
      </c>
      <c r="G2220" s="17" t="s">
        <v>5106</v>
      </c>
      <c r="H2220" s="17" t="s">
        <v>5107</v>
      </c>
      <c r="I2220" s="17" t="s">
        <v>125</v>
      </c>
      <c r="J2220" s="22" t="s">
        <v>144</v>
      </c>
      <c r="K2220" s="23" t="s">
        <v>108</v>
      </c>
      <c r="L2220" s="24" t="s">
        <v>91</v>
      </c>
      <c r="M2220" s="2">
        <v>62.0</v>
      </c>
      <c r="N2220" s="25">
        <v>31.0</v>
      </c>
      <c r="O2220" s="25"/>
      <c r="P2220" s="25"/>
    </row>
    <row r="2221">
      <c r="A2221" s="16">
        <v>2219.0</v>
      </c>
      <c r="B2221" s="17" t="s">
        <v>707</v>
      </c>
      <c r="C2221" s="18">
        <v>22.0</v>
      </c>
      <c r="D2221" s="19" t="s">
        <v>3957</v>
      </c>
      <c r="E2221" s="20" t="s">
        <v>91</v>
      </c>
      <c r="F2221" s="17" t="s">
        <v>334</v>
      </c>
      <c r="G2221" s="17" t="s">
        <v>5108</v>
      </c>
      <c r="H2221" s="17" t="s">
        <v>5109</v>
      </c>
      <c r="I2221" s="17" t="s">
        <v>125</v>
      </c>
      <c r="J2221" s="22" t="s">
        <v>144</v>
      </c>
      <c r="K2221" s="23" t="s">
        <v>108</v>
      </c>
      <c r="L2221" s="24" t="s">
        <v>91</v>
      </c>
      <c r="M2221" s="2">
        <v>62.0</v>
      </c>
      <c r="N2221" s="25">
        <v>31.0</v>
      </c>
      <c r="O2221" s="25"/>
      <c r="P2221" s="25"/>
    </row>
    <row r="2222">
      <c r="A2222" s="16">
        <v>2220.0</v>
      </c>
      <c r="B2222" s="27" t="s">
        <v>707</v>
      </c>
      <c r="C2222" s="18">
        <v>23.0</v>
      </c>
      <c r="D2222" s="19" t="s">
        <v>3957</v>
      </c>
      <c r="E2222" s="20" t="s">
        <v>91</v>
      </c>
      <c r="F2222" s="27" t="s">
        <v>1017</v>
      </c>
      <c r="G2222" s="17" t="s">
        <v>4662</v>
      </c>
      <c r="H2222" s="17" t="s">
        <v>5110</v>
      </c>
      <c r="I2222" s="17" t="s">
        <v>125</v>
      </c>
      <c r="J2222" s="22" t="s">
        <v>144</v>
      </c>
      <c r="K2222" s="23" t="s">
        <v>108</v>
      </c>
      <c r="L2222" s="24"/>
      <c r="M2222" s="2">
        <v>62.0</v>
      </c>
      <c r="N2222" s="25">
        <v>31.0</v>
      </c>
      <c r="O2222" s="25"/>
      <c r="P2222" s="25"/>
    </row>
    <row r="2223">
      <c r="A2223" s="16">
        <v>2221.0</v>
      </c>
      <c r="B2223" s="27" t="s">
        <v>707</v>
      </c>
      <c r="C2223" s="18">
        <v>24.0</v>
      </c>
      <c r="D2223" s="19" t="s">
        <v>3957</v>
      </c>
      <c r="E2223" s="20" t="s">
        <v>91</v>
      </c>
      <c r="F2223" s="27" t="s">
        <v>980</v>
      </c>
      <c r="G2223" s="17" t="s">
        <v>5111</v>
      </c>
      <c r="H2223" s="17" t="s">
        <v>5112</v>
      </c>
      <c r="I2223" s="17" t="s">
        <v>125</v>
      </c>
      <c r="J2223" s="22" t="s">
        <v>144</v>
      </c>
      <c r="K2223" s="23" t="s">
        <v>108</v>
      </c>
      <c r="L2223" s="24"/>
      <c r="M2223" s="2">
        <v>62.0</v>
      </c>
      <c r="N2223" s="25">
        <v>31.0</v>
      </c>
      <c r="O2223" s="25"/>
      <c r="P2223" s="25"/>
    </row>
    <row r="2224">
      <c r="A2224" s="16">
        <v>2222.0</v>
      </c>
      <c r="B2224" s="27" t="s">
        <v>707</v>
      </c>
      <c r="C2224" s="18">
        <v>25.0</v>
      </c>
      <c r="D2224" s="19" t="s">
        <v>3957</v>
      </c>
      <c r="E2224" s="20" t="s">
        <v>91</v>
      </c>
      <c r="F2224" s="27" t="s">
        <v>975</v>
      </c>
      <c r="G2224" s="17" t="s">
        <v>5113</v>
      </c>
      <c r="H2224" s="17" t="s">
        <v>5114</v>
      </c>
      <c r="I2224" s="17" t="s">
        <v>125</v>
      </c>
      <c r="J2224" s="22" t="s">
        <v>144</v>
      </c>
      <c r="K2224" s="23" t="s">
        <v>108</v>
      </c>
      <c r="L2224" s="24"/>
      <c r="M2224" s="2">
        <v>62.0</v>
      </c>
      <c r="N2224" s="25">
        <v>31.0</v>
      </c>
      <c r="O2224" s="25"/>
      <c r="P2224" s="25"/>
    </row>
    <row r="2225">
      <c r="A2225" s="16">
        <v>2223.0</v>
      </c>
      <c r="B2225" s="27" t="s">
        <v>707</v>
      </c>
      <c r="C2225" s="18">
        <v>26.0</v>
      </c>
      <c r="D2225" s="19" t="s">
        <v>3957</v>
      </c>
      <c r="E2225" s="20" t="s">
        <v>91</v>
      </c>
      <c r="F2225" s="27" t="s">
        <v>1057</v>
      </c>
      <c r="G2225" s="17" t="s">
        <v>2042</v>
      </c>
      <c r="H2225" s="17" t="s">
        <v>5115</v>
      </c>
      <c r="I2225" s="17" t="s">
        <v>125</v>
      </c>
      <c r="J2225" s="22" t="s">
        <v>144</v>
      </c>
      <c r="K2225" s="23" t="s">
        <v>108</v>
      </c>
      <c r="L2225" s="24"/>
      <c r="M2225" s="2">
        <v>62.0</v>
      </c>
      <c r="N2225" s="25">
        <v>31.0</v>
      </c>
      <c r="O2225" s="25"/>
      <c r="P2225" s="25"/>
    </row>
    <row r="2226">
      <c r="A2226" s="16">
        <v>2224.0</v>
      </c>
      <c r="B2226" s="27" t="s">
        <v>707</v>
      </c>
      <c r="C2226" s="18">
        <v>27.0</v>
      </c>
      <c r="D2226" s="19" t="s">
        <v>3957</v>
      </c>
      <c r="E2226" s="20" t="s">
        <v>91</v>
      </c>
      <c r="F2226" s="27" t="s">
        <v>1093</v>
      </c>
      <c r="G2226" s="17" t="s">
        <v>5116</v>
      </c>
      <c r="H2226" s="17" t="s">
        <v>5117</v>
      </c>
      <c r="I2226" s="17" t="s">
        <v>125</v>
      </c>
      <c r="J2226" s="22" t="s">
        <v>144</v>
      </c>
      <c r="K2226" s="23" t="s">
        <v>108</v>
      </c>
      <c r="L2226" s="24"/>
      <c r="M2226" s="2">
        <v>62.0</v>
      </c>
      <c r="N2226" s="25">
        <v>31.0</v>
      </c>
      <c r="O2226" s="25"/>
      <c r="P2226" s="25"/>
    </row>
    <row r="2227">
      <c r="A2227" s="16">
        <v>2225.0</v>
      </c>
      <c r="B2227" s="17" t="s">
        <v>773</v>
      </c>
      <c r="C2227" s="18">
        <v>1.0</v>
      </c>
      <c r="D2227" s="19" t="s">
        <v>3971</v>
      </c>
      <c r="E2227" s="20" t="s">
        <v>91</v>
      </c>
      <c r="F2227" s="17" t="s">
        <v>544</v>
      </c>
      <c r="G2227" s="17" t="s">
        <v>123</v>
      </c>
      <c r="H2227" s="17" t="s">
        <v>5118</v>
      </c>
      <c r="I2227" s="17" t="s">
        <v>98</v>
      </c>
      <c r="J2227" s="22" t="s">
        <v>100</v>
      </c>
      <c r="K2227" s="23" t="s">
        <v>108</v>
      </c>
      <c r="L2227" s="24" t="s">
        <v>91</v>
      </c>
      <c r="M2227" s="2">
        <v>63.0</v>
      </c>
      <c r="N2227" s="25">
        <v>10.0</v>
      </c>
      <c r="O2227" s="25"/>
      <c r="P2227" s="25"/>
    </row>
    <row r="2228">
      <c r="A2228" s="16">
        <v>2226.0</v>
      </c>
      <c r="B2228" s="17" t="s">
        <v>773</v>
      </c>
      <c r="C2228" s="18">
        <v>2.0</v>
      </c>
      <c r="D2228" s="19" t="s">
        <v>3971</v>
      </c>
      <c r="E2228" s="20" t="s">
        <v>91</v>
      </c>
      <c r="F2228" s="17" t="s">
        <v>916</v>
      </c>
      <c r="G2228" s="17" t="s">
        <v>123</v>
      </c>
      <c r="H2228" s="17" t="s">
        <v>5119</v>
      </c>
      <c r="I2228" s="17" t="s">
        <v>98</v>
      </c>
      <c r="J2228" s="22" t="s">
        <v>100</v>
      </c>
      <c r="K2228" s="23" t="s">
        <v>108</v>
      </c>
      <c r="L2228" s="24" t="s">
        <v>91</v>
      </c>
      <c r="M2228" s="2">
        <v>63.0</v>
      </c>
      <c r="N2228" s="25">
        <v>10.0</v>
      </c>
      <c r="O2228" s="25"/>
      <c r="P2228" s="25"/>
    </row>
    <row r="2229">
      <c r="A2229" s="16">
        <v>2227.0</v>
      </c>
      <c r="B2229" s="17" t="s">
        <v>773</v>
      </c>
      <c r="C2229" s="18">
        <v>3.0</v>
      </c>
      <c r="D2229" s="19" t="s">
        <v>3971</v>
      </c>
      <c r="E2229" s="20" t="s">
        <v>91</v>
      </c>
      <c r="F2229" s="17" t="s">
        <v>1018</v>
      </c>
      <c r="G2229" s="17" t="s">
        <v>123</v>
      </c>
      <c r="H2229" s="17" t="s">
        <v>5120</v>
      </c>
      <c r="I2229" s="17" t="s">
        <v>98</v>
      </c>
      <c r="J2229" s="22" t="s">
        <v>100</v>
      </c>
      <c r="K2229" s="23" t="s">
        <v>108</v>
      </c>
      <c r="L2229" s="24" t="s">
        <v>91</v>
      </c>
      <c r="M2229" s="2">
        <v>63.0</v>
      </c>
      <c r="N2229" s="25">
        <v>10.0</v>
      </c>
      <c r="O2229" s="25"/>
      <c r="P2229" s="25"/>
    </row>
    <row r="2230">
      <c r="A2230" s="16">
        <v>2228.0</v>
      </c>
      <c r="B2230" s="17" t="s">
        <v>773</v>
      </c>
      <c r="C2230" s="18">
        <v>4.0</v>
      </c>
      <c r="D2230" s="19" t="s">
        <v>3971</v>
      </c>
      <c r="E2230" s="20" t="s">
        <v>91</v>
      </c>
      <c r="F2230" s="17" t="s">
        <v>151</v>
      </c>
      <c r="G2230" s="17" t="s">
        <v>123</v>
      </c>
      <c r="H2230" s="17" t="s">
        <v>5121</v>
      </c>
      <c r="I2230" s="17" t="s">
        <v>98</v>
      </c>
      <c r="J2230" s="22" t="s">
        <v>135</v>
      </c>
      <c r="K2230" s="23" t="s">
        <v>108</v>
      </c>
      <c r="L2230" s="24" t="s">
        <v>91</v>
      </c>
      <c r="M2230" s="2">
        <v>63.0</v>
      </c>
      <c r="N2230" s="25">
        <v>20.0</v>
      </c>
      <c r="O2230" s="25"/>
      <c r="P2230" s="25"/>
    </row>
    <row r="2231">
      <c r="A2231" s="16">
        <v>2229.0</v>
      </c>
      <c r="B2231" s="17" t="s">
        <v>773</v>
      </c>
      <c r="C2231" s="18">
        <v>5.0</v>
      </c>
      <c r="D2231" s="19" t="s">
        <v>3971</v>
      </c>
      <c r="E2231" s="20" t="s">
        <v>91</v>
      </c>
      <c r="F2231" s="17" t="s">
        <v>705</v>
      </c>
      <c r="G2231" s="17" t="s">
        <v>5122</v>
      </c>
      <c r="H2231" s="17" t="s">
        <v>5123</v>
      </c>
      <c r="I2231" s="17" t="s">
        <v>98</v>
      </c>
      <c r="J2231" s="22" t="s">
        <v>135</v>
      </c>
      <c r="K2231" s="23" t="s">
        <v>108</v>
      </c>
      <c r="L2231" s="24" t="s">
        <v>91</v>
      </c>
      <c r="M2231" s="2">
        <v>63.0</v>
      </c>
      <c r="N2231" s="25">
        <v>20.0</v>
      </c>
      <c r="O2231" s="25"/>
      <c r="P2231" s="25"/>
    </row>
    <row r="2232">
      <c r="A2232" s="16">
        <v>2230.0</v>
      </c>
      <c r="B2232" s="17" t="s">
        <v>773</v>
      </c>
      <c r="C2232" s="18">
        <v>6.0</v>
      </c>
      <c r="D2232" s="19" t="s">
        <v>3971</v>
      </c>
      <c r="E2232" s="20" t="s">
        <v>91</v>
      </c>
      <c r="F2232" s="17" t="s">
        <v>954</v>
      </c>
      <c r="G2232" s="17" t="s">
        <v>123</v>
      </c>
      <c r="H2232" s="17" t="s">
        <v>5097</v>
      </c>
      <c r="I2232" s="17" t="s">
        <v>98</v>
      </c>
      <c r="J2232" s="22" t="s">
        <v>135</v>
      </c>
      <c r="K2232" s="23" t="s">
        <v>108</v>
      </c>
      <c r="L2232" s="24" t="s">
        <v>91</v>
      </c>
      <c r="M2232" s="2">
        <v>63.0</v>
      </c>
      <c r="N2232" s="25">
        <v>20.0</v>
      </c>
      <c r="O2232" s="25"/>
      <c r="P2232" s="25"/>
    </row>
    <row r="2233">
      <c r="A2233" s="16">
        <v>2231.0</v>
      </c>
      <c r="B2233" s="17" t="s">
        <v>773</v>
      </c>
      <c r="C2233" s="18">
        <v>7.0</v>
      </c>
      <c r="D2233" s="19" t="s">
        <v>3971</v>
      </c>
      <c r="E2233" s="20" t="s">
        <v>91</v>
      </c>
      <c r="F2233" s="17" t="s">
        <v>707</v>
      </c>
      <c r="G2233" s="17" t="s">
        <v>5124</v>
      </c>
      <c r="H2233" s="17" t="s">
        <v>5125</v>
      </c>
      <c r="I2233" s="17" t="s">
        <v>98</v>
      </c>
      <c r="J2233" s="22" t="s">
        <v>135</v>
      </c>
      <c r="K2233" s="23" t="s">
        <v>108</v>
      </c>
      <c r="L2233" s="24" t="s">
        <v>91</v>
      </c>
      <c r="M2233" s="2">
        <v>63.0</v>
      </c>
      <c r="N2233" s="25">
        <v>20.0</v>
      </c>
      <c r="O2233" s="25"/>
      <c r="P2233" s="25"/>
    </row>
    <row r="2234">
      <c r="A2234" s="16">
        <v>2232.0</v>
      </c>
      <c r="B2234" s="17" t="s">
        <v>773</v>
      </c>
      <c r="C2234" s="18">
        <v>8.0</v>
      </c>
      <c r="D2234" s="19" t="s">
        <v>3971</v>
      </c>
      <c r="E2234" s="20" t="s">
        <v>91</v>
      </c>
      <c r="F2234" s="17" t="s">
        <v>918</v>
      </c>
      <c r="G2234" s="17" t="s">
        <v>5126</v>
      </c>
      <c r="H2234" s="17" t="s">
        <v>5127</v>
      </c>
      <c r="I2234" s="17" t="s">
        <v>98</v>
      </c>
      <c r="J2234" s="22" t="s">
        <v>135</v>
      </c>
      <c r="K2234" s="23" t="s">
        <v>108</v>
      </c>
      <c r="L2234" s="24" t="s">
        <v>91</v>
      </c>
      <c r="M2234" s="2">
        <v>63.0</v>
      </c>
      <c r="N2234" s="25">
        <v>20.0</v>
      </c>
      <c r="O2234" s="25"/>
      <c r="P2234" s="25"/>
    </row>
    <row r="2235">
      <c r="A2235" s="16">
        <v>2233.0</v>
      </c>
      <c r="B2235" s="27" t="s">
        <v>773</v>
      </c>
      <c r="C2235" s="18">
        <v>9.0</v>
      </c>
      <c r="D2235" s="19" t="s">
        <v>3971</v>
      </c>
      <c r="E2235" s="20" t="s">
        <v>91</v>
      </c>
      <c r="F2235" s="27" t="s">
        <v>1126</v>
      </c>
      <c r="G2235" s="17" t="s">
        <v>5128</v>
      </c>
      <c r="H2235" s="17" t="s">
        <v>5129</v>
      </c>
      <c r="I2235" s="17" t="s">
        <v>98</v>
      </c>
      <c r="J2235" s="22" t="s">
        <v>135</v>
      </c>
      <c r="K2235" s="23" t="s">
        <v>108</v>
      </c>
      <c r="L2235" s="24"/>
      <c r="M2235" s="2">
        <v>63.0</v>
      </c>
      <c r="N2235" s="25">
        <v>20.0</v>
      </c>
      <c r="O2235" s="25"/>
      <c r="P2235" s="25"/>
    </row>
    <row r="2236">
      <c r="A2236" s="16">
        <v>2234.0</v>
      </c>
      <c r="B2236" s="27" t="s">
        <v>773</v>
      </c>
      <c r="C2236" s="18">
        <v>10.0</v>
      </c>
      <c r="D2236" s="19" t="s">
        <v>3971</v>
      </c>
      <c r="E2236" s="20" t="s">
        <v>91</v>
      </c>
      <c r="F2236" s="27" t="s">
        <v>996</v>
      </c>
      <c r="G2236" s="17" t="s">
        <v>5130</v>
      </c>
      <c r="H2236" s="17" t="s">
        <v>5131</v>
      </c>
      <c r="I2236" s="17" t="s">
        <v>98</v>
      </c>
      <c r="J2236" s="22" t="s">
        <v>135</v>
      </c>
      <c r="K2236" s="23" t="s">
        <v>108</v>
      </c>
      <c r="L2236" s="24"/>
      <c r="M2236" s="2">
        <v>63.0</v>
      </c>
      <c r="N2236" s="25">
        <v>20.0</v>
      </c>
      <c r="O2236" s="25"/>
      <c r="P2236" s="25"/>
    </row>
    <row r="2237">
      <c r="A2237" s="16">
        <v>2235.0</v>
      </c>
      <c r="B2237" s="27" t="s">
        <v>773</v>
      </c>
      <c r="C2237" s="18">
        <v>11.0</v>
      </c>
      <c r="D2237" s="19" t="s">
        <v>3971</v>
      </c>
      <c r="E2237" s="20" t="s">
        <v>91</v>
      </c>
      <c r="F2237" s="27" t="s">
        <v>1303</v>
      </c>
      <c r="G2237" s="17" t="s">
        <v>5132</v>
      </c>
      <c r="H2237" s="17" t="s">
        <v>5133</v>
      </c>
      <c r="I2237" s="17" t="s">
        <v>98</v>
      </c>
      <c r="J2237" s="22" t="s">
        <v>135</v>
      </c>
      <c r="K2237" s="23" t="s">
        <v>108</v>
      </c>
      <c r="L2237" s="24"/>
      <c r="M2237" s="2">
        <v>63.0</v>
      </c>
      <c r="N2237" s="25">
        <v>20.0</v>
      </c>
      <c r="O2237" s="25"/>
      <c r="P2237" s="25"/>
    </row>
    <row r="2238">
      <c r="A2238" s="16">
        <v>2236.0</v>
      </c>
      <c r="B2238" s="27" t="s">
        <v>773</v>
      </c>
      <c r="C2238" s="18">
        <v>12.0</v>
      </c>
      <c r="D2238" s="19" t="s">
        <v>3971</v>
      </c>
      <c r="E2238" s="20" t="s">
        <v>91</v>
      </c>
      <c r="F2238" s="27" t="s">
        <v>1445</v>
      </c>
      <c r="G2238" s="17" t="s">
        <v>5134</v>
      </c>
      <c r="H2238" s="17" t="s">
        <v>5135</v>
      </c>
      <c r="I2238" s="17" t="s">
        <v>98</v>
      </c>
      <c r="J2238" s="22" t="s">
        <v>135</v>
      </c>
      <c r="K2238" s="23" t="s">
        <v>108</v>
      </c>
      <c r="L2238" s="24"/>
      <c r="M2238" s="2">
        <v>63.0</v>
      </c>
      <c r="N2238" s="25">
        <v>20.0</v>
      </c>
      <c r="O2238" s="25"/>
      <c r="P2238" s="25"/>
    </row>
    <row r="2239">
      <c r="A2239" s="16">
        <v>2237.0</v>
      </c>
      <c r="B2239" s="27" t="s">
        <v>773</v>
      </c>
      <c r="C2239" s="18">
        <v>13.0</v>
      </c>
      <c r="D2239" s="19" t="s">
        <v>3971</v>
      </c>
      <c r="E2239" s="20" t="s">
        <v>91</v>
      </c>
      <c r="F2239" s="27" t="s">
        <v>1031</v>
      </c>
      <c r="G2239" s="17" t="s">
        <v>5136</v>
      </c>
      <c r="H2239" s="17" t="s">
        <v>5137</v>
      </c>
      <c r="I2239" s="17" t="s">
        <v>98</v>
      </c>
      <c r="J2239" s="22" t="s">
        <v>135</v>
      </c>
      <c r="K2239" s="23" t="s">
        <v>108</v>
      </c>
      <c r="L2239" s="24"/>
      <c r="M2239" s="2">
        <v>63.0</v>
      </c>
      <c r="N2239" s="25">
        <v>20.0</v>
      </c>
      <c r="O2239" s="25"/>
      <c r="P2239" s="25"/>
    </row>
    <row r="2240">
      <c r="A2240" s="16">
        <v>2238.0</v>
      </c>
      <c r="B2240" s="27" t="s">
        <v>773</v>
      </c>
      <c r="C2240" s="18">
        <v>14.0</v>
      </c>
      <c r="D2240" s="19" t="s">
        <v>3971</v>
      </c>
      <c r="E2240" s="20" t="s">
        <v>91</v>
      </c>
      <c r="F2240" s="27" t="s">
        <v>1347</v>
      </c>
      <c r="G2240" s="17" t="s">
        <v>5138</v>
      </c>
      <c r="H2240" s="17" t="s">
        <v>5139</v>
      </c>
      <c r="I2240" s="17" t="s">
        <v>98</v>
      </c>
      <c r="J2240" s="22" t="s">
        <v>135</v>
      </c>
      <c r="K2240" s="23" t="s">
        <v>108</v>
      </c>
      <c r="L2240" s="24"/>
      <c r="M2240" s="2">
        <v>63.0</v>
      </c>
      <c r="N2240" s="25">
        <v>20.0</v>
      </c>
      <c r="O2240" s="25"/>
      <c r="P2240" s="25"/>
    </row>
    <row r="2241">
      <c r="A2241" s="16">
        <v>2239.0</v>
      </c>
      <c r="B2241" s="27" t="s">
        <v>773</v>
      </c>
      <c r="C2241" s="18">
        <v>15.0</v>
      </c>
      <c r="D2241" s="19" t="s">
        <v>3971</v>
      </c>
      <c r="E2241" s="20" t="s">
        <v>91</v>
      </c>
      <c r="F2241" s="27" t="s">
        <v>949</v>
      </c>
      <c r="G2241" s="17" t="s">
        <v>5140</v>
      </c>
      <c r="H2241" s="17" t="s">
        <v>5141</v>
      </c>
      <c r="I2241" s="17" t="s">
        <v>98</v>
      </c>
      <c r="J2241" s="22" t="s">
        <v>135</v>
      </c>
      <c r="K2241" s="23" t="s">
        <v>108</v>
      </c>
      <c r="L2241" s="24"/>
      <c r="M2241" s="2">
        <v>63.0</v>
      </c>
      <c r="N2241" s="25">
        <v>20.0</v>
      </c>
      <c r="O2241" s="25"/>
      <c r="P2241" s="25"/>
    </row>
    <row r="2242">
      <c r="A2242" s="16">
        <v>2240.0</v>
      </c>
      <c r="B2242" s="27" t="s">
        <v>773</v>
      </c>
      <c r="C2242" s="18">
        <v>16.0</v>
      </c>
      <c r="D2242" s="19" t="s">
        <v>3971</v>
      </c>
      <c r="E2242" s="20" t="s">
        <v>91</v>
      </c>
      <c r="F2242" s="27" t="s">
        <v>1002</v>
      </c>
      <c r="G2242" s="17" t="s">
        <v>5142</v>
      </c>
      <c r="H2242" s="17" t="s">
        <v>5143</v>
      </c>
      <c r="I2242" s="17" t="s">
        <v>98</v>
      </c>
      <c r="J2242" s="22" t="s">
        <v>135</v>
      </c>
      <c r="K2242" s="23" t="s">
        <v>108</v>
      </c>
      <c r="L2242" s="24"/>
      <c r="M2242" s="2">
        <v>63.0</v>
      </c>
      <c r="N2242" s="25">
        <v>20.0</v>
      </c>
      <c r="O2242" s="25"/>
      <c r="P2242" s="25"/>
    </row>
    <row r="2243">
      <c r="A2243" s="16">
        <v>2241.0</v>
      </c>
      <c r="B2243" s="17" t="s">
        <v>773</v>
      </c>
      <c r="C2243" s="18">
        <v>17.0</v>
      </c>
      <c r="D2243" s="19" t="s">
        <v>3971</v>
      </c>
      <c r="E2243" s="20" t="s">
        <v>91</v>
      </c>
      <c r="F2243" s="17" t="s">
        <v>893</v>
      </c>
      <c r="G2243" s="17" t="s">
        <v>3667</v>
      </c>
      <c r="H2243" s="17" t="s">
        <v>5144</v>
      </c>
      <c r="I2243" s="17" t="s">
        <v>98</v>
      </c>
      <c r="J2243" s="22" t="s">
        <v>144</v>
      </c>
      <c r="K2243" s="23" t="s">
        <v>108</v>
      </c>
      <c r="L2243" s="24" t="s">
        <v>91</v>
      </c>
      <c r="M2243" s="2">
        <v>63.0</v>
      </c>
      <c r="N2243" s="25">
        <v>30.0</v>
      </c>
      <c r="O2243" s="25"/>
      <c r="P2243" s="25"/>
    </row>
    <row r="2244">
      <c r="A2244" s="16">
        <v>2242.0</v>
      </c>
      <c r="B2244" s="17" t="s">
        <v>773</v>
      </c>
      <c r="C2244" s="18">
        <v>18.0</v>
      </c>
      <c r="D2244" s="19" t="s">
        <v>3971</v>
      </c>
      <c r="E2244" s="20" t="s">
        <v>91</v>
      </c>
      <c r="F2244" s="17" t="s">
        <v>321</v>
      </c>
      <c r="G2244" s="17" t="s">
        <v>123</v>
      </c>
      <c r="H2244" s="17" t="s">
        <v>5145</v>
      </c>
      <c r="I2244" s="17" t="s">
        <v>98</v>
      </c>
      <c r="J2244" s="22" t="s">
        <v>144</v>
      </c>
      <c r="K2244" s="23" t="s">
        <v>108</v>
      </c>
      <c r="L2244" s="24" t="s">
        <v>91</v>
      </c>
      <c r="M2244" s="2">
        <v>63.0</v>
      </c>
      <c r="N2244" s="25">
        <v>30.0</v>
      </c>
      <c r="O2244" s="25"/>
      <c r="P2244" s="25"/>
    </row>
    <row r="2245">
      <c r="A2245" s="16">
        <v>2243.0</v>
      </c>
      <c r="B2245" s="17" t="s">
        <v>773</v>
      </c>
      <c r="C2245" s="18">
        <v>19.0</v>
      </c>
      <c r="D2245" s="19" t="s">
        <v>3971</v>
      </c>
      <c r="E2245" s="20" t="s">
        <v>91</v>
      </c>
      <c r="F2245" s="17" t="s">
        <v>56</v>
      </c>
      <c r="G2245" s="17" t="s">
        <v>4782</v>
      </c>
      <c r="H2245" s="17" t="s">
        <v>5146</v>
      </c>
      <c r="I2245" s="17" t="s">
        <v>98</v>
      </c>
      <c r="J2245" s="22" t="s">
        <v>144</v>
      </c>
      <c r="K2245" s="23" t="s">
        <v>108</v>
      </c>
      <c r="L2245" s="24" t="s">
        <v>91</v>
      </c>
      <c r="M2245" s="2">
        <v>63.0</v>
      </c>
      <c r="N2245" s="25">
        <v>30.0</v>
      </c>
      <c r="O2245" s="25"/>
      <c r="P2245" s="25"/>
    </row>
    <row r="2246">
      <c r="A2246" s="16">
        <v>2244.0</v>
      </c>
      <c r="B2246" s="17" t="s">
        <v>773</v>
      </c>
      <c r="C2246" s="18">
        <v>20.0</v>
      </c>
      <c r="D2246" s="19" t="s">
        <v>3971</v>
      </c>
      <c r="E2246" s="20" t="s">
        <v>91</v>
      </c>
      <c r="F2246" s="17" t="s">
        <v>23</v>
      </c>
      <c r="G2246" s="17" t="s">
        <v>4937</v>
      </c>
      <c r="H2246" s="17" t="s">
        <v>5147</v>
      </c>
      <c r="I2246" s="17" t="s">
        <v>98</v>
      </c>
      <c r="J2246" s="22" t="s">
        <v>144</v>
      </c>
      <c r="K2246" s="23" t="s">
        <v>108</v>
      </c>
      <c r="L2246" s="24" t="s">
        <v>91</v>
      </c>
      <c r="M2246" s="2">
        <v>63.0</v>
      </c>
      <c r="N2246" s="25">
        <v>30.0</v>
      </c>
      <c r="O2246" s="25"/>
      <c r="P2246" s="25"/>
    </row>
    <row r="2247">
      <c r="A2247" s="16">
        <v>2245.0</v>
      </c>
      <c r="B2247" s="17" t="s">
        <v>773</v>
      </c>
      <c r="C2247" s="18">
        <v>21.0</v>
      </c>
      <c r="D2247" s="19" t="s">
        <v>3971</v>
      </c>
      <c r="E2247" s="20" t="s">
        <v>91</v>
      </c>
      <c r="F2247" s="17" t="s">
        <v>648</v>
      </c>
      <c r="G2247" s="17" t="s">
        <v>5148</v>
      </c>
      <c r="H2247" s="17" t="s">
        <v>5149</v>
      </c>
      <c r="I2247" s="17" t="s">
        <v>98</v>
      </c>
      <c r="J2247" s="22" t="s">
        <v>144</v>
      </c>
      <c r="K2247" s="23" t="s">
        <v>108</v>
      </c>
      <c r="L2247" s="24" t="s">
        <v>91</v>
      </c>
      <c r="M2247" s="2">
        <v>63.0</v>
      </c>
      <c r="N2247" s="25">
        <v>30.0</v>
      </c>
      <c r="O2247" s="25"/>
      <c r="P2247" s="25"/>
    </row>
    <row r="2248">
      <c r="A2248" s="16">
        <v>2246.0</v>
      </c>
      <c r="B2248" s="17" t="s">
        <v>773</v>
      </c>
      <c r="C2248" s="18">
        <v>22.0</v>
      </c>
      <c r="D2248" s="19" t="s">
        <v>3971</v>
      </c>
      <c r="E2248" s="20" t="s">
        <v>91</v>
      </c>
      <c r="F2248" s="17" t="s">
        <v>329</v>
      </c>
      <c r="G2248" s="17" t="s">
        <v>5150</v>
      </c>
      <c r="H2248" s="17" t="s">
        <v>5151</v>
      </c>
      <c r="I2248" s="17" t="s">
        <v>98</v>
      </c>
      <c r="J2248" s="22" t="s">
        <v>144</v>
      </c>
      <c r="K2248" s="23" t="s">
        <v>108</v>
      </c>
      <c r="L2248" s="24" t="s">
        <v>91</v>
      </c>
      <c r="M2248" s="2">
        <v>63.0</v>
      </c>
      <c r="N2248" s="25">
        <v>30.0</v>
      </c>
      <c r="O2248" s="25"/>
      <c r="P2248" s="25"/>
    </row>
    <row r="2249">
      <c r="A2249" s="16">
        <v>2247.0</v>
      </c>
      <c r="B2249" s="17" t="s">
        <v>773</v>
      </c>
      <c r="C2249" s="18">
        <v>23.0</v>
      </c>
      <c r="D2249" s="19" t="s">
        <v>3971</v>
      </c>
      <c r="E2249" s="20" t="s">
        <v>91</v>
      </c>
      <c r="F2249" s="17" t="s">
        <v>469</v>
      </c>
      <c r="G2249" s="17" t="s">
        <v>5152</v>
      </c>
      <c r="H2249" s="17" t="s">
        <v>5153</v>
      </c>
      <c r="I2249" s="17" t="s">
        <v>98</v>
      </c>
      <c r="J2249" s="22" t="s">
        <v>144</v>
      </c>
      <c r="K2249" s="23" t="s">
        <v>108</v>
      </c>
      <c r="L2249" s="24" t="s">
        <v>91</v>
      </c>
      <c r="M2249" s="2">
        <v>63.0</v>
      </c>
      <c r="N2249" s="25">
        <v>30.0</v>
      </c>
      <c r="O2249" s="25"/>
      <c r="P2249" s="25"/>
    </row>
    <row r="2250">
      <c r="A2250" s="16">
        <v>2248.0</v>
      </c>
      <c r="B2250" s="17" t="s">
        <v>773</v>
      </c>
      <c r="C2250" s="18">
        <v>24.0</v>
      </c>
      <c r="D2250" s="19" t="s">
        <v>3971</v>
      </c>
      <c r="E2250" s="20" t="s">
        <v>91</v>
      </c>
      <c r="F2250" s="17" t="s">
        <v>565</v>
      </c>
      <c r="G2250" s="17" t="s">
        <v>5154</v>
      </c>
      <c r="H2250" s="17" t="s">
        <v>5155</v>
      </c>
      <c r="I2250" s="17" t="s">
        <v>125</v>
      </c>
      <c r="J2250" s="22" t="s">
        <v>144</v>
      </c>
      <c r="K2250" s="23" t="s">
        <v>108</v>
      </c>
      <c r="L2250" s="24" t="s">
        <v>91</v>
      </c>
      <c r="M2250" s="2">
        <v>63.0</v>
      </c>
      <c r="N2250" s="25">
        <v>31.0</v>
      </c>
      <c r="O2250" s="25"/>
      <c r="P2250" s="25"/>
    </row>
    <row r="2251">
      <c r="A2251" s="16">
        <v>2249.0</v>
      </c>
      <c r="B2251" s="17" t="s">
        <v>773</v>
      </c>
      <c r="C2251" s="18">
        <v>25.0</v>
      </c>
      <c r="D2251" s="19" t="s">
        <v>3971</v>
      </c>
      <c r="E2251" s="20" t="s">
        <v>91</v>
      </c>
      <c r="F2251" s="17" t="s">
        <v>1016</v>
      </c>
      <c r="G2251" s="17" t="s">
        <v>123</v>
      </c>
      <c r="H2251" s="17" t="s">
        <v>5156</v>
      </c>
      <c r="I2251" s="17" t="s">
        <v>125</v>
      </c>
      <c r="J2251" s="22" t="s">
        <v>144</v>
      </c>
      <c r="K2251" s="23" t="s">
        <v>108</v>
      </c>
      <c r="L2251" s="24" t="s">
        <v>91</v>
      </c>
      <c r="M2251" s="2">
        <v>63.0</v>
      </c>
      <c r="N2251" s="25">
        <v>31.0</v>
      </c>
      <c r="O2251" s="25"/>
      <c r="P2251" s="25"/>
    </row>
    <row r="2252">
      <c r="A2252" s="16">
        <v>2250.0</v>
      </c>
      <c r="B2252" s="17" t="s">
        <v>773</v>
      </c>
      <c r="C2252" s="18">
        <v>26.0</v>
      </c>
      <c r="D2252" s="19" t="s">
        <v>3971</v>
      </c>
      <c r="E2252" s="20" t="s">
        <v>91</v>
      </c>
      <c r="F2252" s="17" t="s">
        <v>1019</v>
      </c>
      <c r="G2252" s="17" t="s">
        <v>5157</v>
      </c>
      <c r="H2252" s="17" t="s">
        <v>5158</v>
      </c>
      <c r="I2252" s="17" t="s">
        <v>125</v>
      </c>
      <c r="J2252" s="22" t="s">
        <v>144</v>
      </c>
      <c r="K2252" s="23" t="s">
        <v>108</v>
      </c>
      <c r="L2252" s="24" t="s">
        <v>91</v>
      </c>
      <c r="M2252" s="2">
        <v>63.0</v>
      </c>
      <c r="N2252" s="25">
        <v>31.0</v>
      </c>
      <c r="O2252" s="25"/>
      <c r="P2252" s="25"/>
    </row>
    <row r="2253">
      <c r="A2253" s="16">
        <v>2251.0</v>
      </c>
      <c r="B2253" s="17" t="s">
        <v>773</v>
      </c>
      <c r="C2253" s="18">
        <v>27.0</v>
      </c>
      <c r="D2253" s="19" t="s">
        <v>2816</v>
      </c>
      <c r="E2253" s="20" t="s">
        <v>91</v>
      </c>
      <c r="F2253" s="17" t="s">
        <v>883</v>
      </c>
      <c r="G2253" s="17" t="s">
        <v>4678</v>
      </c>
      <c r="H2253" s="17" t="s">
        <v>5159</v>
      </c>
      <c r="I2253" s="17" t="s">
        <v>125</v>
      </c>
      <c r="J2253" s="22" t="s">
        <v>144</v>
      </c>
      <c r="K2253" s="23" t="s">
        <v>108</v>
      </c>
      <c r="L2253" s="24" t="s">
        <v>91</v>
      </c>
      <c r="M2253" s="2">
        <v>63.0</v>
      </c>
      <c r="N2253" s="25">
        <v>31.0</v>
      </c>
      <c r="O2253" s="25"/>
      <c r="P2253" s="25"/>
    </row>
    <row r="2254">
      <c r="A2254" s="16">
        <v>2252.0</v>
      </c>
      <c r="B2254" s="17" t="s">
        <v>773</v>
      </c>
      <c r="C2254" s="18">
        <v>28.0</v>
      </c>
      <c r="D2254" s="19" t="s">
        <v>2816</v>
      </c>
      <c r="E2254" s="20" t="s">
        <v>91</v>
      </c>
      <c r="F2254" s="17" t="s">
        <v>558</v>
      </c>
      <c r="G2254" s="17" t="s">
        <v>123</v>
      </c>
      <c r="H2254" s="17" t="s">
        <v>4961</v>
      </c>
      <c r="I2254" s="17" t="s">
        <v>125</v>
      </c>
      <c r="J2254" s="22" t="s">
        <v>144</v>
      </c>
      <c r="K2254" s="23" t="s">
        <v>108</v>
      </c>
      <c r="L2254" s="24" t="s">
        <v>91</v>
      </c>
      <c r="M2254" s="2">
        <v>63.0</v>
      </c>
      <c r="N2254" s="25">
        <v>31.0</v>
      </c>
      <c r="O2254" s="25"/>
      <c r="P2254" s="25"/>
    </row>
    <row r="2255">
      <c r="A2255" s="16">
        <v>2253.0</v>
      </c>
      <c r="B2255" s="17" t="s">
        <v>773</v>
      </c>
      <c r="C2255" s="18">
        <v>29.0</v>
      </c>
      <c r="D2255" s="19" t="s">
        <v>2816</v>
      </c>
      <c r="E2255" s="20" t="s">
        <v>91</v>
      </c>
      <c r="F2255" s="17" t="s">
        <v>862</v>
      </c>
      <c r="G2255" s="17" t="s">
        <v>123</v>
      </c>
      <c r="H2255" s="17" t="s">
        <v>5160</v>
      </c>
      <c r="I2255" s="17" t="s">
        <v>125</v>
      </c>
      <c r="J2255" s="22" t="s">
        <v>144</v>
      </c>
      <c r="K2255" s="23" t="s">
        <v>108</v>
      </c>
      <c r="L2255" s="24" t="s">
        <v>91</v>
      </c>
      <c r="M2255" s="2">
        <v>63.0</v>
      </c>
      <c r="N2255" s="25">
        <v>31.0</v>
      </c>
      <c r="O2255" s="25"/>
      <c r="P2255" s="25"/>
    </row>
    <row r="2256">
      <c r="A2256" s="16">
        <v>2254.0</v>
      </c>
      <c r="B2256" s="17" t="s">
        <v>773</v>
      </c>
      <c r="C2256" s="18">
        <v>30.0</v>
      </c>
      <c r="D2256" s="19" t="s">
        <v>2816</v>
      </c>
      <c r="E2256" s="20" t="s">
        <v>91</v>
      </c>
      <c r="F2256" s="17" t="s">
        <v>1015</v>
      </c>
      <c r="G2256" s="17" t="s">
        <v>5161</v>
      </c>
      <c r="H2256" s="17" t="s">
        <v>5162</v>
      </c>
      <c r="I2256" s="17" t="s">
        <v>125</v>
      </c>
      <c r="J2256" s="22" t="s">
        <v>144</v>
      </c>
      <c r="K2256" s="23" t="s">
        <v>108</v>
      </c>
      <c r="L2256" s="24" t="s">
        <v>91</v>
      </c>
      <c r="M2256" s="2">
        <v>63.0</v>
      </c>
      <c r="N2256" s="25">
        <v>31.0</v>
      </c>
      <c r="O2256" s="25"/>
      <c r="P2256" s="25"/>
    </row>
    <row r="2257">
      <c r="A2257" s="16">
        <v>2255.0</v>
      </c>
      <c r="B2257" s="17" t="s">
        <v>980</v>
      </c>
      <c r="C2257" s="18">
        <v>1.0</v>
      </c>
      <c r="D2257" s="19" t="s">
        <v>2863</v>
      </c>
      <c r="E2257" s="20" t="s">
        <v>91</v>
      </c>
      <c r="F2257" s="17" t="s">
        <v>1153</v>
      </c>
      <c r="G2257" s="17" t="s">
        <v>123</v>
      </c>
      <c r="H2257" s="17" t="s">
        <v>5163</v>
      </c>
      <c r="I2257" s="17" t="s">
        <v>98</v>
      </c>
      <c r="J2257" s="22" t="s">
        <v>100</v>
      </c>
      <c r="K2257" s="23" t="s">
        <v>108</v>
      </c>
      <c r="L2257" s="24" t="s">
        <v>91</v>
      </c>
      <c r="M2257" s="2">
        <v>64.0</v>
      </c>
      <c r="N2257" s="25">
        <v>10.0</v>
      </c>
      <c r="O2257" s="25"/>
      <c r="P2257" s="25"/>
    </row>
    <row r="2258">
      <c r="A2258" s="16">
        <v>2256.0</v>
      </c>
      <c r="B2258" s="17" t="s">
        <v>980</v>
      </c>
      <c r="C2258" s="18">
        <v>2.0</v>
      </c>
      <c r="D2258" s="19" t="s">
        <v>2863</v>
      </c>
      <c r="E2258" s="20" t="s">
        <v>91</v>
      </c>
      <c r="F2258" s="17" t="s">
        <v>675</v>
      </c>
      <c r="G2258" s="17" t="s">
        <v>123</v>
      </c>
      <c r="H2258" s="17" t="s">
        <v>5164</v>
      </c>
      <c r="I2258" s="17" t="s">
        <v>98</v>
      </c>
      <c r="J2258" s="22" t="s">
        <v>100</v>
      </c>
      <c r="K2258" s="23" t="s">
        <v>108</v>
      </c>
      <c r="L2258" s="24" t="s">
        <v>91</v>
      </c>
      <c r="M2258" s="2">
        <v>64.0</v>
      </c>
      <c r="N2258" s="25">
        <v>10.0</v>
      </c>
      <c r="O2258" s="25"/>
      <c r="P2258" s="25"/>
    </row>
    <row r="2259">
      <c r="A2259" s="16">
        <v>2257.0</v>
      </c>
      <c r="B2259" s="17" t="s">
        <v>980</v>
      </c>
      <c r="C2259" s="18">
        <v>3.0</v>
      </c>
      <c r="D2259" s="19" t="s">
        <v>2863</v>
      </c>
      <c r="E2259" s="20" t="s">
        <v>91</v>
      </c>
      <c r="F2259" s="17" t="s">
        <v>979</v>
      </c>
      <c r="G2259" s="17" t="s">
        <v>2373</v>
      </c>
      <c r="H2259" s="17" t="s">
        <v>5165</v>
      </c>
      <c r="I2259" s="17" t="s">
        <v>98</v>
      </c>
      <c r="J2259" s="22" t="s">
        <v>100</v>
      </c>
      <c r="K2259" s="23" t="s">
        <v>108</v>
      </c>
      <c r="L2259" s="24" t="s">
        <v>91</v>
      </c>
      <c r="M2259" s="2">
        <v>64.0</v>
      </c>
      <c r="N2259" s="25">
        <v>10.0</v>
      </c>
      <c r="O2259" s="25"/>
      <c r="P2259" s="25"/>
    </row>
    <row r="2260">
      <c r="A2260" s="16">
        <v>2258.0</v>
      </c>
      <c r="B2260" s="17" t="s">
        <v>980</v>
      </c>
      <c r="C2260" s="18">
        <v>4.0</v>
      </c>
      <c r="D2260" s="19" t="s">
        <v>3986</v>
      </c>
      <c r="E2260" s="20" t="s">
        <v>91</v>
      </c>
      <c r="F2260" s="17" t="s">
        <v>1012</v>
      </c>
      <c r="G2260" s="17" t="s">
        <v>5166</v>
      </c>
      <c r="H2260" s="17" t="s">
        <v>5167</v>
      </c>
      <c r="I2260" s="17" t="s">
        <v>98</v>
      </c>
      <c r="J2260" s="22" t="s">
        <v>100</v>
      </c>
      <c r="K2260" s="23" t="s">
        <v>108</v>
      </c>
      <c r="L2260" s="24" t="s">
        <v>91</v>
      </c>
      <c r="M2260" s="2">
        <v>64.0</v>
      </c>
      <c r="N2260" s="25">
        <v>10.0</v>
      </c>
      <c r="O2260" s="25"/>
      <c r="P2260" s="25"/>
    </row>
    <row r="2261">
      <c r="A2261" s="16">
        <v>2259.0</v>
      </c>
      <c r="B2261" s="17" t="s">
        <v>980</v>
      </c>
      <c r="C2261" s="18">
        <v>5.0</v>
      </c>
      <c r="D2261" s="19" t="s">
        <v>2863</v>
      </c>
      <c r="E2261" s="20" t="s">
        <v>91</v>
      </c>
      <c r="F2261" s="17" t="s">
        <v>1148</v>
      </c>
      <c r="G2261" s="17" t="s">
        <v>5168</v>
      </c>
      <c r="H2261" s="17" t="s">
        <v>5169</v>
      </c>
      <c r="I2261" s="17" t="s">
        <v>125</v>
      </c>
      <c r="J2261" s="22" t="s">
        <v>100</v>
      </c>
      <c r="K2261" s="23" t="s">
        <v>108</v>
      </c>
      <c r="L2261" s="24" t="s">
        <v>91</v>
      </c>
      <c r="M2261" s="2">
        <v>64.0</v>
      </c>
      <c r="N2261" s="25">
        <v>11.0</v>
      </c>
      <c r="O2261" s="25"/>
      <c r="P2261" s="25"/>
    </row>
    <row r="2262">
      <c r="A2262" s="16">
        <v>2260.0</v>
      </c>
      <c r="B2262" s="17" t="s">
        <v>980</v>
      </c>
      <c r="C2262" s="18">
        <v>6.0</v>
      </c>
      <c r="D2262" s="19" t="s">
        <v>2863</v>
      </c>
      <c r="E2262" s="20" t="s">
        <v>91</v>
      </c>
      <c r="F2262" s="17" t="s">
        <v>92</v>
      </c>
      <c r="G2262" s="17" t="s">
        <v>5170</v>
      </c>
      <c r="H2262" s="17" t="s">
        <v>5171</v>
      </c>
      <c r="I2262" s="17" t="s">
        <v>98</v>
      </c>
      <c r="J2262" s="22" t="s">
        <v>135</v>
      </c>
      <c r="K2262" s="23" t="s">
        <v>108</v>
      </c>
      <c r="L2262" s="24" t="s">
        <v>91</v>
      </c>
      <c r="M2262" s="2">
        <v>64.0</v>
      </c>
      <c r="N2262" s="25">
        <v>20.0</v>
      </c>
      <c r="O2262" s="25"/>
      <c r="P2262" s="25"/>
    </row>
    <row r="2263">
      <c r="A2263" s="16">
        <v>2261.0</v>
      </c>
      <c r="B2263" s="17" t="s">
        <v>980</v>
      </c>
      <c r="C2263" s="18">
        <v>7.0</v>
      </c>
      <c r="D2263" s="19" t="s">
        <v>2863</v>
      </c>
      <c r="E2263" s="20" t="s">
        <v>91</v>
      </c>
      <c r="F2263" s="17" t="s">
        <v>334</v>
      </c>
      <c r="G2263" s="17" t="s">
        <v>123</v>
      </c>
      <c r="H2263" s="17" t="s">
        <v>5172</v>
      </c>
      <c r="I2263" s="17" t="s">
        <v>98</v>
      </c>
      <c r="J2263" s="22" t="s">
        <v>135</v>
      </c>
      <c r="K2263" s="23" t="s">
        <v>108</v>
      </c>
      <c r="L2263" s="24" t="s">
        <v>91</v>
      </c>
      <c r="M2263" s="2">
        <v>64.0</v>
      </c>
      <c r="N2263" s="25">
        <v>20.0</v>
      </c>
      <c r="O2263" s="25"/>
      <c r="P2263" s="25"/>
    </row>
    <row r="2264">
      <c r="A2264" s="16">
        <v>2262.0</v>
      </c>
      <c r="B2264" s="17" t="s">
        <v>980</v>
      </c>
      <c r="C2264" s="18">
        <v>8.0</v>
      </c>
      <c r="D2264" s="19" t="s">
        <v>2863</v>
      </c>
      <c r="E2264" s="20" t="s">
        <v>91</v>
      </c>
      <c r="F2264" s="17" t="s">
        <v>956</v>
      </c>
      <c r="G2264" s="17" t="s">
        <v>5173</v>
      </c>
      <c r="H2264" s="17" t="s">
        <v>5174</v>
      </c>
      <c r="I2264" s="17" t="s">
        <v>98</v>
      </c>
      <c r="J2264" s="22" t="s">
        <v>135</v>
      </c>
      <c r="K2264" s="23" t="s">
        <v>108</v>
      </c>
      <c r="L2264" s="24" t="s">
        <v>91</v>
      </c>
      <c r="M2264" s="2">
        <v>64.0</v>
      </c>
      <c r="N2264" s="25">
        <v>20.0</v>
      </c>
      <c r="O2264" s="25"/>
      <c r="P2264" s="25"/>
    </row>
    <row r="2265">
      <c r="A2265" s="16">
        <v>2263.0</v>
      </c>
      <c r="B2265" s="17" t="s">
        <v>980</v>
      </c>
      <c r="C2265" s="18">
        <v>9.0</v>
      </c>
      <c r="D2265" s="19" t="s">
        <v>2863</v>
      </c>
      <c r="E2265" s="20" t="s">
        <v>91</v>
      </c>
      <c r="F2265" s="17" t="s">
        <v>685</v>
      </c>
      <c r="G2265" s="17" t="s">
        <v>5175</v>
      </c>
      <c r="H2265" s="17" t="s">
        <v>5176</v>
      </c>
      <c r="I2265" s="17" t="s">
        <v>98</v>
      </c>
      <c r="J2265" s="22" t="s">
        <v>135</v>
      </c>
      <c r="K2265" s="23" t="s">
        <v>108</v>
      </c>
      <c r="L2265" s="24" t="s">
        <v>91</v>
      </c>
      <c r="M2265" s="2">
        <v>64.0</v>
      </c>
      <c r="N2265" s="25">
        <v>20.0</v>
      </c>
      <c r="O2265" s="25"/>
      <c r="P2265" s="25"/>
    </row>
    <row r="2266">
      <c r="A2266" s="16">
        <v>2264.0</v>
      </c>
      <c r="B2266" s="17" t="s">
        <v>980</v>
      </c>
      <c r="C2266" s="18">
        <v>10.0</v>
      </c>
      <c r="D2266" s="19" t="s">
        <v>2863</v>
      </c>
      <c r="E2266" s="20" t="s">
        <v>91</v>
      </c>
      <c r="F2266" s="17" t="s">
        <v>668</v>
      </c>
      <c r="G2266" s="17" t="s">
        <v>123</v>
      </c>
      <c r="H2266" s="17" t="s">
        <v>5177</v>
      </c>
      <c r="I2266" s="17" t="s">
        <v>98</v>
      </c>
      <c r="J2266" s="22" t="s">
        <v>144</v>
      </c>
      <c r="K2266" s="23" t="s">
        <v>108</v>
      </c>
      <c r="L2266" s="24" t="s">
        <v>91</v>
      </c>
      <c r="M2266" s="2">
        <v>64.0</v>
      </c>
      <c r="N2266" s="25">
        <v>30.0</v>
      </c>
      <c r="O2266" s="25"/>
      <c r="P2266" s="25"/>
    </row>
    <row r="2267">
      <c r="A2267" s="16">
        <v>2265.0</v>
      </c>
      <c r="B2267" s="17" t="s">
        <v>980</v>
      </c>
      <c r="C2267" s="18">
        <v>11.0</v>
      </c>
      <c r="D2267" s="19" t="s">
        <v>3986</v>
      </c>
      <c r="E2267" s="20" t="s">
        <v>91</v>
      </c>
      <c r="F2267" s="17" t="s">
        <v>865</v>
      </c>
      <c r="G2267" s="17" t="s">
        <v>123</v>
      </c>
      <c r="H2267" s="17" t="s">
        <v>5178</v>
      </c>
      <c r="I2267" s="17" t="s">
        <v>98</v>
      </c>
      <c r="J2267" s="22" t="s">
        <v>144</v>
      </c>
      <c r="K2267" s="23" t="s">
        <v>108</v>
      </c>
      <c r="L2267" s="24" t="s">
        <v>91</v>
      </c>
      <c r="M2267" s="2">
        <v>64.0</v>
      </c>
      <c r="N2267" s="25">
        <v>30.0</v>
      </c>
      <c r="O2267" s="25"/>
      <c r="P2267" s="25"/>
    </row>
    <row r="2268">
      <c r="A2268" s="16">
        <v>2266.0</v>
      </c>
      <c r="B2268" s="17" t="s">
        <v>980</v>
      </c>
      <c r="C2268" s="18">
        <v>12.0</v>
      </c>
      <c r="D2268" s="19" t="s">
        <v>2863</v>
      </c>
      <c r="E2268" s="20" t="s">
        <v>91</v>
      </c>
      <c r="F2268" s="17" t="s">
        <v>841</v>
      </c>
      <c r="G2268" s="17" t="s">
        <v>1853</v>
      </c>
      <c r="H2268" s="17" t="s">
        <v>5179</v>
      </c>
      <c r="I2268" s="17" t="s">
        <v>125</v>
      </c>
      <c r="J2268" s="22" t="s">
        <v>144</v>
      </c>
      <c r="K2268" s="23" t="s">
        <v>108</v>
      </c>
      <c r="L2268" s="24" t="s">
        <v>91</v>
      </c>
      <c r="M2268" s="2">
        <v>64.0</v>
      </c>
      <c r="N2268" s="25">
        <v>31.0</v>
      </c>
      <c r="O2268" s="25"/>
      <c r="P2268" s="25"/>
    </row>
    <row r="2269">
      <c r="A2269" s="16">
        <v>2267.0</v>
      </c>
      <c r="B2269" s="17" t="s">
        <v>980</v>
      </c>
      <c r="C2269" s="18">
        <v>13.0</v>
      </c>
      <c r="D2269" s="19" t="s">
        <v>2863</v>
      </c>
      <c r="E2269" s="20" t="s">
        <v>91</v>
      </c>
      <c r="F2269" s="17" t="s">
        <v>1268</v>
      </c>
      <c r="G2269" s="17" t="s">
        <v>5180</v>
      </c>
      <c r="H2269" s="17" t="s">
        <v>5181</v>
      </c>
      <c r="I2269" s="17" t="s">
        <v>125</v>
      </c>
      <c r="J2269" s="22" t="s">
        <v>144</v>
      </c>
      <c r="K2269" s="23" t="s">
        <v>108</v>
      </c>
      <c r="L2269" s="24" t="s">
        <v>91</v>
      </c>
      <c r="M2269" s="2">
        <v>64.0</v>
      </c>
      <c r="N2269" s="25">
        <v>31.0</v>
      </c>
      <c r="O2269" s="25"/>
      <c r="P2269" s="25"/>
    </row>
    <row r="2270">
      <c r="A2270" s="16">
        <v>2268.0</v>
      </c>
      <c r="B2270" s="17" t="s">
        <v>980</v>
      </c>
      <c r="C2270" s="18">
        <v>14.0</v>
      </c>
      <c r="D2270" s="19" t="s">
        <v>2863</v>
      </c>
      <c r="E2270" s="20" t="s">
        <v>91</v>
      </c>
      <c r="F2270" s="17" t="s">
        <v>940</v>
      </c>
      <c r="G2270" s="17" t="s">
        <v>2365</v>
      </c>
      <c r="H2270" s="17" t="s">
        <v>5182</v>
      </c>
      <c r="I2270" s="17" t="s">
        <v>125</v>
      </c>
      <c r="J2270" s="22" t="s">
        <v>144</v>
      </c>
      <c r="K2270" s="23" t="s">
        <v>108</v>
      </c>
      <c r="L2270" s="24" t="s">
        <v>91</v>
      </c>
      <c r="M2270" s="2">
        <v>64.0</v>
      </c>
      <c r="N2270" s="25">
        <v>31.0</v>
      </c>
      <c r="O2270" s="25"/>
      <c r="P2270" s="25"/>
    </row>
    <row r="2271">
      <c r="A2271" s="16">
        <v>2269.0</v>
      </c>
      <c r="B2271" s="17" t="s">
        <v>980</v>
      </c>
      <c r="C2271" s="18">
        <v>15.0</v>
      </c>
      <c r="D2271" s="19" t="s">
        <v>2863</v>
      </c>
      <c r="E2271" s="20" t="s">
        <v>91</v>
      </c>
      <c r="F2271" s="17" t="s">
        <v>10</v>
      </c>
      <c r="G2271" s="17" t="s">
        <v>5183</v>
      </c>
      <c r="H2271" s="17" t="s">
        <v>5184</v>
      </c>
      <c r="I2271" s="17" t="s">
        <v>125</v>
      </c>
      <c r="J2271" s="22" t="s">
        <v>144</v>
      </c>
      <c r="K2271" s="23" t="s">
        <v>108</v>
      </c>
      <c r="L2271" s="24" t="s">
        <v>91</v>
      </c>
      <c r="M2271" s="2">
        <v>64.0</v>
      </c>
      <c r="N2271" s="25">
        <v>31.0</v>
      </c>
      <c r="O2271" s="25"/>
      <c r="P2271" s="25"/>
    </row>
    <row r="2272">
      <c r="A2272" s="16">
        <v>2270.0</v>
      </c>
      <c r="B2272" s="17" t="s">
        <v>980</v>
      </c>
      <c r="C2272" s="18">
        <v>16.0</v>
      </c>
      <c r="D2272" s="19" t="s">
        <v>2863</v>
      </c>
      <c r="E2272" s="20" t="s">
        <v>91</v>
      </c>
      <c r="F2272" s="17" t="s">
        <v>1046</v>
      </c>
      <c r="G2272" s="17" t="s">
        <v>1916</v>
      </c>
      <c r="H2272" s="17" t="s">
        <v>5185</v>
      </c>
      <c r="I2272" s="17" t="s">
        <v>125</v>
      </c>
      <c r="J2272" s="22" t="s">
        <v>144</v>
      </c>
      <c r="K2272" s="23" t="s">
        <v>108</v>
      </c>
      <c r="L2272" s="24" t="s">
        <v>91</v>
      </c>
      <c r="M2272" s="2">
        <v>64.0</v>
      </c>
      <c r="N2272" s="25">
        <v>31.0</v>
      </c>
      <c r="O2272" s="25"/>
      <c r="P2272" s="25"/>
    </row>
    <row r="2273">
      <c r="A2273" s="16">
        <v>2271.0</v>
      </c>
      <c r="B2273" s="17" t="s">
        <v>980</v>
      </c>
      <c r="C2273" s="18">
        <v>17.0</v>
      </c>
      <c r="D2273" s="19" t="s">
        <v>2863</v>
      </c>
      <c r="E2273" s="20" t="s">
        <v>91</v>
      </c>
      <c r="F2273" s="17" t="s">
        <v>1265</v>
      </c>
      <c r="G2273" s="17" t="s">
        <v>5186</v>
      </c>
      <c r="H2273" s="17" t="s">
        <v>5187</v>
      </c>
      <c r="I2273" s="17" t="s">
        <v>125</v>
      </c>
      <c r="J2273" s="22" t="s">
        <v>144</v>
      </c>
      <c r="K2273" s="23" t="s">
        <v>108</v>
      </c>
      <c r="L2273" s="24" t="s">
        <v>91</v>
      </c>
      <c r="M2273" s="2">
        <v>64.0</v>
      </c>
      <c r="N2273" s="25">
        <v>31.0</v>
      </c>
      <c r="O2273" s="25"/>
      <c r="P2273" s="25"/>
    </row>
    <row r="2274">
      <c r="A2274" s="16">
        <v>2272.0</v>
      </c>
      <c r="B2274" s="17" t="s">
        <v>980</v>
      </c>
      <c r="C2274" s="18">
        <v>18.0</v>
      </c>
      <c r="D2274" s="19" t="s">
        <v>2863</v>
      </c>
      <c r="E2274" s="20" t="s">
        <v>91</v>
      </c>
      <c r="F2274" s="17" t="s">
        <v>930</v>
      </c>
      <c r="G2274" s="17" t="s">
        <v>5188</v>
      </c>
      <c r="H2274" s="17" t="s">
        <v>5189</v>
      </c>
      <c r="I2274" s="17" t="s">
        <v>125</v>
      </c>
      <c r="J2274" s="22" t="s">
        <v>144</v>
      </c>
      <c r="K2274" s="23" t="s">
        <v>108</v>
      </c>
      <c r="L2274" s="24" t="s">
        <v>91</v>
      </c>
      <c r="M2274" s="2">
        <v>64.0</v>
      </c>
      <c r="N2274" s="25">
        <v>31.0</v>
      </c>
      <c r="O2274" s="25"/>
      <c r="P2274" s="25"/>
    </row>
    <row r="2275">
      <c r="A2275" s="16">
        <v>2273.0</v>
      </c>
      <c r="B2275" s="17" t="s">
        <v>980</v>
      </c>
      <c r="C2275" s="18">
        <v>19.0</v>
      </c>
      <c r="D2275" s="19" t="s">
        <v>2863</v>
      </c>
      <c r="E2275" s="20" t="s">
        <v>91</v>
      </c>
      <c r="F2275" s="17" t="s">
        <v>90</v>
      </c>
      <c r="G2275" s="17" t="s">
        <v>123</v>
      </c>
      <c r="H2275" s="17" t="s">
        <v>5190</v>
      </c>
      <c r="I2275" s="17" t="s">
        <v>125</v>
      </c>
      <c r="J2275" s="22" t="s">
        <v>144</v>
      </c>
      <c r="K2275" s="23" t="s">
        <v>108</v>
      </c>
      <c r="L2275" s="24" t="s">
        <v>91</v>
      </c>
      <c r="M2275" s="2">
        <v>64.0</v>
      </c>
      <c r="N2275" s="25">
        <v>31.0</v>
      </c>
      <c r="O2275" s="25"/>
      <c r="P2275" s="25"/>
    </row>
    <row r="2276">
      <c r="A2276" s="16">
        <v>2274.0</v>
      </c>
      <c r="B2276" s="17" t="s">
        <v>980</v>
      </c>
      <c r="C2276" s="18">
        <v>20.0</v>
      </c>
      <c r="D2276" s="19" t="s">
        <v>2863</v>
      </c>
      <c r="E2276" s="20" t="s">
        <v>91</v>
      </c>
      <c r="F2276" s="17" t="s">
        <v>1261</v>
      </c>
      <c r="G2276" s="17" t="s">
        <v>5073</v>
      </c>
      <c r="H2276" s="17" t="s">
        <v>5191</v>
      </c>
      <c r="I2276" s="17" t="s">
        <v>125</v>
      </c>
      <c r="J2276" s="22" t="s">
        <v>144</v>
      </c>
      <c r="K2276" s="23" t="s">
        <v>108</v>
      </c>
      <c r="L2276" s="24" t="s">
        <v>91</v>
      </c>
      <c r="M2276" s="2">
        <v>64.0</v>
      </c>
      <c r="N2276" s="25">
        <v>31.0</v>
      </c>
      <c r="O2276" s="25"/>
      <c r="P2276" s="25"/>
    </row>
    <row r="2277">
      <c r="A2277" s="16">
        <v>2275.0</v>
      </c>
      <c r="B2277" s="17" t="s">
        <v>980</v>
      </c>
      <c r="C2277" s="18">
        <v>21.0</v>
      </c>
      <c r="D2277" s="19" t="s">
        <v>2863</v>
      </c>
      <c r="E2277" s="20" t="s">
        <v>91</v>
      </c>
      <c r="F2277" s="17" t="s">
        <v>1251</v>
      </c>
      <c r="G2277" s="17" t="s">
        <v>5192</v>
      </c>
      <c r="H2277" s="17" t="s">
        <v>5193</v>
      </c>
      <c r="I2277" s="17" t="s">
        <v>125</v>
      </c>
      <c r="J2277" s="22" t="s">
        <v>144</v>
      </c>
      <c r="K2277" s="23" t="s">
        <v>108</v>
      </c>
      <c r="L2277" s="24" t="s">
        <v>91</v>
      </c>
      <c r="M2277" s="2">
        <v>64.0</v>
      </c>
      <c r="N2277" s="25">
        <v>31.0</v>
      </c>
      <c r="O2277" s="25"/>
      <c r="P2277" s="25"/>
    </row>
    <row r="2278">
      <c r="A2278" s="16">
        <v>2276.0</v>
      </c>
      <c r="B2278" s="17" t="s">
        <v>980</v>
      </c>
      <c r="C2278" s="18">
        <v>22.0</v>
      </c>
      <c r="D2278" s="19" t="s">
        <v>2863</v>
      </c>
      <c r="E2278" s="20" t="s">
        <v>91</v>
      </c>
      <c r="F2278" s="17" t="s">
        <v>506</v>
      </c>
      <c r="G2278" s="17" t="s">
        <v>3894</v>
      </c>
      <c r="H2278" s="17" t="s">
        <v>5194</v>
      </c>
      <c r="I2278" s="17" t="s">
        <v>125</v>
      </c>
      <c r="J2278" s="22" t="s">
        <v>144</v>
      </c>
      <c r="K2278" s="23" t="s">
        <v>108</v>
      </c>
      <c r="L2278" s="24" t="s">
        <v>91</v>
      </c>
      <c r="M2278" s="2">
        <v>64.0</v>
      </c>
      <c r="N2278" s="25">
        <v>31.0</v>
      </c>
      <c r="O2278" s="25"/>
      <c r="P2278" s="25"/>
    </row>
    <row r="2279">
      <c r="A2279" s="16">
        <v>2277.0</v>
      </c>
      <c r="B2279" s="17" t="s">
        <v>980</v>
      </c>
      <c r="C2279" s="18">
        <v>23.0</v>
      </c>
      <c r="D2279" s="19" t="s">
        <v>2863</v>
      </c>
      <c r="E2279" s="20" t="s">
        <v>91</v>
      </c>
      <c r="F2279" s="17" t="s">
        <v>850</v>
      </c>
      <c r="G2279" s="17" t="s">
        <v>4740</v>
      </c>
      <c r="H2279" s="17" t="s">
        <v>5195</v>
      </c>
      <c r="I2279" s="17" t="s">
        <v>125</v>
      </c>
      <c r="J2279" s="22" t="s">
        <v>144</v>
      </c>
      <c r="K2279" s="23" t="s">
        <v>108</v>
      </c>
      <c r="L2279" s="24" t="s">
        <v>91</v>
      </c>
      <c r="M2279" s="2">
        <v>64.0</v>
      </c>
      <c r="N2279" s="25">
        <v>31.0</v>
      </c>
      <c r="O2279" s="25"/>
      <c r="P2279" s="25"/>
    </row>
    <row r="2280">
      <c r="A2280" s="16">
        <v>2278.0</v>
      </c>
      <c r="B2280" s="17" t="s">
        <v>980</v>
      </c>
      <c r="C2280" s="18">
        <v>24.0</v>
      </c>
      <c r="D2280" s="19" t="s">
        <v>2863</v>
      </c>
      <c r="E2280" s="20" t="s">
        <v>91</v>
      </c>
      <c r="F2280" s="17" t="s">
        <v>436</v>
      </c>
      <c r="G2280" s="17" t="s">
        <v>2265</v>
      </c>
      <c r="H2280" s="17" t="s">
        <v>2266</v>
      </c>
      <c r="I2280" s="17" t="s">
        <v>125</v>
      </c>
      <c r="J2280" s="22" t="s">
        <v>144</v>
      </c>
      <c r="K2280" s="23" t="s">
        <v>108</v>
      </c>
      <c r="L2280" s="24" t="s">
        <v>91</v>
      </c>
      <c r="M2280" s="2">
        <v>64.0</v>
      </c>
      <c r="N2280" s="25">
        <v>31.0</v>
      </c>
      <c r="O2280" s="25"/>
      <c r="P2280" s="25"/>
    </row>
    <row r="2281">
      <c r="A2281" s="16">
        <v>2279.0</v>
      </c>
      <c r="B2281" s="27" t="s">
        <v>980</v>
      </c>
      <c r="C2281" s="18">
        <v>25.0</v>
      </c>
      <c r="D2281" s="19" t="s">
        <v>2863</v>
      </c>
      <c r="E2281" s="20" t="s">
        <v>91</v>
      </c>
      <c r="F2281" s="27" t="s">
        <v>5196</v>
      </c>
      <c r="G2281" s="17" t="s">
        <v>5197</v>
      </c>
      <c r="H2281" s="17" t="s">
        <v>5198</v>
      </c>
      <c r="I2281" s="17" t="s">
        <v>125</v>
      </c>
      <c r="J2281" s="22" t="s">
        <v>144</v>
      </c>
      <c r="K2281" s="23" t="s">
        <v>108</v>
      </c>
      <c r="L2281" s="24"/>
      <c r="M2281" s="2">
        <v>64.0</v>
      </c>
      <c r="N2281" s="25">
        <v>31.0</v>
      </c>
      <c r="O2281" s="25"/>
      <c r="P2281" s="25"/>
    </row>
    <row r="2282">
      <c r="A2282" s="16">
        <v>2280.0</v>
      </c>
      <c r="B2282" s="27" t="s">
        <v>980</v>
      </c>
      <c r="C2282" s="18">
        <v>26.0</v>
      </c>
      <c r="D2282" s="19" t="s">
        <v>2863</v>
      </c>
      <c r="E2282" s="20" t="s">
        <v>91</v>
      </c>
      <c r="F2282" s="27" t="s">
        <v>1167</v>
      </c>
      <c r="G2282" s="17" t="s">
        <v>1735</v>
      </c>
      <c r="H2282" s="17" t="s">
        <v>5199</v>
      </c>
      <c r="I2282" s="17" t="s">
        <v>125</v>
      </c>
      <c r="J2282" s="22" t="s">
        <v>144</v>
      </c>
      <c r="K2282" s="23" t="s">
        <v>108</v>
      </c>
      <c r="L2282" s="24"/>
      <c r="M2282" s="2">
        <v>64.0</v>
      </c>
      <c r="N2282" s="25">
        <v>31.0</v>
      </c>
      <c r="O2282" s="25"/>
      <c r="P2282" s="25"/>
    </row>
    <row r="2283">
      <c r="A2283" s="16">
        <v>2281.0</v>
      </c>
      <c r="B2283" s="27" t="s">
        <v>980</v>
      </c>
      <c r="C2283" s="18">
        <v>27.0</v>
      </c>
      <c r="D2283" s="19" t="s">
        <v>2863</v>
      </c>
      <c r="E2283" s="20" t="s">
        <v>91</v>
      </c>
      <c r="F2283" s="27" t="s">
        <v>1165</v>
      </c>
      <c r="G2283" s="17" t="s">
        <v>1733</v>
      </c>
      <c r="H2283" s="17" t="s">
        <v>5200</v>
      </c>
      <c r="I2283" s="17" t="s">
        <v>125</v>
      </c>
      <c r="J2283" s="22" t="s">
        <v>144</v>
      </c>
      <c r="K2283" s="23" t="s">
        <v>108</v>
      </c>
      <c r="L2283" s="24"/>
      <c r="M2283" s="2">
        <v>64.0</v>
      </c>
      <c r="N2283" s="25">
        <v>31.0</v>
      </c>
      <c r="O2283" s="25"/>
      <c r="P2283" s="25"/>
    </row>
    <row r="2284">
      <c r="A2284" s="16">
        <v>2282.0</v>
      </c>
      <c r="B2284" s="17" t="s">
        <v>980</v>
      </c>
      <c r="C2284" s="18">
        <v>28.0</v>
      </c>
      <c r="D2284" s="19" t="s">
        <v>3986</v>
      </c>
      <c r="E2284" s="20" t="s">
        <v>91</v>
      </c>
      <c r="F2284" s="17" t="s">
        <v>1267</v>
      </c>
      <c r="G2284" s="17" t="s">
        <v>5201</v>
      </c>
      <c r="H2284" s="17" t="s">
        <v>5202</v>
      </c>
      <c r="I2284" s="17" t="s">
        <v>125</v>
      </c>
      <c r="J2284" s="22" t="s">
        <v>144</v>
      </c>
      <c r="K2284" s="23" t="s">
        <v>108</v>
      </c>
      <c r="L2284" s="24" t="s">
        <v>91</v>
      </c>
      <c r="M2284" s="2">
        <v>64.0</v>
      </c>
      <c r="N2284" s="25">
        <v>31.0</v>
      </c>
      <c r="O2284" s="25"/>
      <c r="P2284" s="25"/>
    </row>
    <row r="2285">
      <c r="A2285" s="16">
        <v>2283.0</v>
      </c>
      <c r="B2285" s="17" t="s">
        <v>980</v>
      </c>
      <c r="C2285" s="18">
        <v>29.0</v>
      </c>
      <c r="D2285" s="19" t="s">
        <v>3986</v>
      </c>
      <c r="E2285" s="20" t="s">
        <v>91</v>
      </c>
      <c r="F2285" s="17" t="s">
        <v>452</v>
      </c>
      <c r="G2285" s="17" t="s">
        <v>5046</v>
      </c>
      <c r="H2285" s="17" t="s">
        <v>4213</v>
      </c>
      <c r="I2285" s="17" t="s">
        <v>125</v>
      </c>
      <c r="J2285" s="22" t="s">
        <v>144</v>
      </c>
      <c r="K2285" s="23" t="s">
        <v>108</v>
      </c>
      <c r="L2285" s="24" t="s">
        <v>91</v>
      </c>
      <c r="M2285" s="2">
        <v>64.0</v>
      </c>
      <c r="N2285" s="25">
        <v>31.0</v>
      </c>
      <c r="O2285" s="25"/>
      <c r="P2285" s="25"/>
    </row>
    <row r="2286">
      <c r="A2286" s="16">
        <v>2284.0</v>
      </c>
      <c r="B2286" s="17" t="s">
        <v>980</v>
      </c>
      <c r="C2286" s="18">
        <v>30.0</v>
      </c>
      <c r="D2286" s="19" t="s">
        <v>3986</v>
      </c>
      <c r="E2286" s="20" t="s">
        <v>91</v>
      </c>
      <c r="F2286" s="17" t="s">
        <v>1258</v>
      </c>
      <c r="G2286" s="17" t="s">
        <v>4045</v>
      </c>
      <c r="H2286" s="17" t="s">
        <v>5203</v>
      </c>
      <c r="I2286" s="17" t="s">
        <v>125</v>
      </c>
      <c r="J2286" s="22" t="s">
        <v>144</v>
      </c>
      <c r="K2286" s="23" t="s">
        <v>108</v>
      </c>
      <c r="L2286" s="24" t="s">
        <v>91</v>
      </c>
      <c r="M2286" s="2">
        <v>64.0</v>
      </c>
      <c r="N2286" s="25">
        <v>31.0</v>
      </c>
      <c r="O2286" s="25"/>
      <c r="P2286" s="25"/>
    </row>
    <row r="2287">
      <c r="A2287" s="16">
        <v>2285.0</v>
      </c>
      <c r="B2287" s="17" t="s">
        <v>1019</v>
      </c>
      <c r="C2287" s="18">
        <v>1.0</v>
      </c>
      <c r="D2287" s="19" t="s">
        <v>3997</v>
      </c>
      <c r="E2287" s="20" t="s">
        <v>91</v>
      </c>
      <c r="F2287" s="17" t="s">
        <v>329</v>
      </c>
      <c r="G2287" s="17" t="s">
        <v>3920</v>
      </c>
      <c r="H2287" s="17" t="s">
        <v>5204</v>
      </c>
      <c r="I2287" s="17" t="s">
        <v>125</v>
      </c>
      <c r="J2287" s="22" t="s">
        <v>100</v>
      </c>
      <c r="K2287" s="23" t="s">
        <v>108</v>
      </c>
      <c r="L2287" s="24" t="s">
        <v>91</v>
      </c>
      <c r="M2287" s="2">
        <v>65.0</v>
      </c>
      <c r="N2287" s="25">
        <v>11.0</v>
      </c>
      <c r="O2287" s="25"/>
      <c r="P2287" s="25"/>
    </row>
    <row r="2288">
      <c r="A2288" s="16">
        <v>2286.0</v>
      </c>
      <c r="B2288" s="17" t="s">
        <v>1019</v>
      </c>
      <c r="C2288" s="18">
        <v>2.0</v>
      </c>
      <c r="D2288" s="19" t="s">
        <v>3997</v>
      </c>
      <c r="E2288" s="20" t="s">
        <v>91</v>
      </c>
      <c r="F2288" s="17" t="s">
        <v>89</v>
      </c>
      <c r="G2288" s="17" t="s">
        <v>123</v>
      </c>
      <c r="H2288" s="17" t="s">
        <v>5205</v>
      </c>
      <c r="I2288" s="17" t="s">
        <v>125</v>
      </c>
      <c r="J2288" s="22" t="s">
        <v>100</v>
      </c>
      <c r="K2288" s="23" t="s">
        <v>108</v>
      </c>
      <c r="L2288" s="24" t="s">
        <v>91</v>
      </c>
      <c r="M2288" s="2">
        <v>65.0</v>
      </c>
      <c r="N2288" s="25">
        <v>11.0</v>
      </c>
      <c r="O2288" s="25"/>
      <c r="P2288" s="25"/>
    </row>
    <row r="2289">
      <c r="A2289" s="16">
        <v>2287.0</v>
      </c>
      <c r="B2289" s="17" t="s">
        <v>1019</v>
      </c>
      <c r="C2289" s="18">
        <v>3.0</v>
      </c>
      <c r="D2289" s="19" t="s">
        <v>3997</v>
      </c>
      <c r="E2289" s="20" t="s">
        <v>91</v>
      </c>
      <c r="F2289" s="17" t="s">
        <v>153</v>
      </c>
      <c r="G2289" s="17" t="s">
        <v>5206</v>
      </c>
      <c r="H2289" s="17" t="s">
        <v>5207</v>
      </c>
      <c r="I2289" s="17" t="s">
        <v>125</v>
      </c>
      <c r="J2289" s="22" t="s">
        <v>100</v>
      </c>
      <c r="K2289" s="23" t="s">
        <v>108</v>
      </c>
      <c r="L2289" s="24" t="s">
        <v>91</v>
      </c>
      <c r="M2289" s="2">
        <v>65.0</v>
      </c>
      <c r="N2289" s="25">
        <v>11.0</v>
      </c>
      <c r="O2289" s="25"/>
      <c r="P2289" s="25"/>
    </row>
    <row r="2290">
      <c r="A2290" s="16">
        <v>2288.0</v>
      </c>
      <c r="B2290" s="17" t="s">
        <v>1019</v>
      </c>
      <c r="C2290" s="18">
        <v>4.0</v>
      </c>
      <c r="D2290" s="19" t="s">
        <v>2895</v>
      </c>
      <c r="E2290" s="20" t="s">
        <v>91</v>
      </c>
      <c r="F2290" s="17" t="s">
        <v>462</v>
      </c>
      <c r="G2290" s="17" t="s">
        <v>123</v>
      </c>
      <c r="H2290" s="17" t="s">
        <v>5208</v>
      </c>
      <c r="I2290" s="17" t="s">
        <v>125</v>
      </c>
      <c r="J2290" s="22" t="s">
        <v>100</v>
      </c>
      <c r="K2290" s="23" t="s">
        <v>108</v>
      </c>
      <c r="L2290" s="24" t="s">
        <v>91</v>
      </c>
      <c r="M2290" s="2">
        <v>65.0</v>
      </c>
      <c r="N2290" s="25">
        <v>11.0</v>
      </c>
      <c r="O2290" s="25"/>
      <c r="P2290" s="25"/>
    </row>
    <row r="2291">
      <c r="A2291" s="16">
        <v>2289.0</v>
      </c>
      <c r="B2291" s="17" t="s">
        <v>1019</v>
      </c>
      <c r="C2291" s="18">
        <v>5.0</v>
      </c>
      <c r="D2291" s="19" t="s">
        <v>2895</v>
      </c>
      <c r="E2291" s="20" t="s">
        <v>91</v>
      </c>
      <c r="F2291" s="17" t="s">
        <v>263</v>
      </c>
      <c r="G2291" s="17" t="s">
        <v>5209</v>
      </c>
      <c r="H2291" s="17" t="s">
        <v>5210</v>
      </c>
      <c r="I2291" s="17" t="s">
        <v>98</v>
      </c>
      <c r="J2291" s="22" t="s">
        <v>135</v>
      </c>
      <c r="K2291" s="23" t="s">
        <v>108</v>
      </c>
      <c r="L2291" s="24" t="s">
        <v>91</v>
      </c>
      <c r="M2291" s="2">
        <v>65.0</v>
      </c>
      <c r="N2291" s="25">
        <v>20.0</v>
      </c>
      <c r="O2291" s="25"/>
      <c r="P2291" s="25"/>
    </row>
    <row r="2292">
      <c r="A2292" s="16">
        <v>2290.0</v>
      </c>
      <c r="B2292" s="17" t="s">
        <v>1019</v>
      </c>
      <c r="C2292" s="18">
        <v>6.0</v>
      </c>
      <c r="D2292" s="19" t="s">
        <v>3997</v>
      </c>
      <c r="E2292" s="20" t="s">
        <v>91</v>
      </c>
      <c r="F2292" s="17" t="s">
        <v>506</v>
      </c>
      <c r="G2292" s="17" t="s">
        <v>5211</v>
      </c>
      <c r="H2292" s="17" t="s">
        <v>5212</v>
      </c>
      <c r="I2292" s="17" t="s">
        <v>125</v>
      </c>
      <c r="J2292" s="22" t="s">
        <v>144</v>
      </c>
      <c r="K2292" s="23" t="s">
        <v>108</v>
      </c>
      <c r="L2292" s="24" t="s">
        <v>91</v>
      </c>
      <c r="M2292" s="2">
        <v>65.0</v>
      </c>
      <c r="N2292" s="25">
        <v>31.0</v>
      </c>
      <c r="O2292" s="25"/>
      <c r="P2292" s="25"/>
    </row>
    <row r="2293">
      <c r="A2293" s="16">
        <v>2291.0</v>
      </c>
      <c r="B2293" s="17" t="s">
        <v>1019</v>
      </c>
      <c r="C2293" s="18">
        <v>7.0</v>
      </c>
      <c r="D2293" s="19" t="s">
        <v>3997</v>
      </c>
      <c r="E2293" s="20" t="s">
        <v>91</v>
      </c>
      <c r="F2293" s="17" t="s">
        <v>97</v>
      </c>
      <c r="G2293" s="17" t="s">
        <v>3646</v>
      </c>
      <c r="H2293" s="17" t="s">
        <v>5213</v>
      </c>
      <c r="I2293" s="17" t="s">
        <v>125</v>
      </c>
      <c r="J2293" s="22" t="s">
        <v>144</v>
      </c>
      <c r="K2293" s="23" t="s">
        <v>108</v>
      </c>
      <c r="L2293" s="24" t="s">
        <v>91</v>
      </c>
      <c r="M2293" s="2">
        <v>65.0</v>
      </c>
      <c r="N2293" s="25">
        <v>31.0</v>
      </c>
      <c r="O2293" s="25"/>
      <c r="P2293" s="25"/>
    </row>
    <row r="2294">
      <c r="A2294" s="16">
        <v>2292.0</v>
      </c>
      <c r="B2294" s="17" t="s">
        <v>1019</v>
      </c>
      <c r="C2294" s="18">
        <v>8.0</v>
      </c>
      <c r="D2294" s="19" t="s">
        <v>3997</v>
      </c>
      <c r="E2294" s="20" t="s">
        <v>91</v>
      </c>
      <c r="F2294" s="17" t="s">
        <v>334</v>
      </c>
      <c r="G2294" s="17" t="s">
        <v>5214</v>
      </c>
      <c r="H2294" s="17" t="s">
        <v>5215</v>
      </c>
      <c r="I2294" s="17" t="s">
        <v>125</v>
      </c>
      <c r="J2294" s="22" t="s">
        <v>144</v>
      </c>
      <c r="K2294" s="23" t="s">
        <v>108</v>
      </c>
      <c r="L2294" s="24" t="s">
        <v>91</v>
      </c>
      <c r="M2294" s="2">
        <v>65.0</v>
      </c>
      <c r="N2294" s="25">
        <v>31.0</v>
      </c>
      <c r="O2294" s="25"/>
      <c r="P2294" s="25"/>
    </row>
    <row r="2295">
      <c r="A2295" s="16">
        <v>2293.0</v>
      </c>
      <c r="B2295" s="17" t="s">
        <v>1019</v>
      </c>
      <c r="C2295" s="18">
        <v>9.0</v>
      </c>
      <c r="D2295" s="19" t="s">
        <v>3997</v>
      </c>
      <c r="E2295" s="20" t="s">
        <v>91</v>
      </c>
      <c r="F2295" s="17" t="s">
        <v>769</v>
      </c>
      <c r="G2295" s="17" t="s">
        <v>5216</v>
      </c>
      <c r="H2295" s="17" t="s">
        <v>5217</v>
      </c>
      <c r="I2295" s="17" t="s">
        <v>125</v>
      </c>
      <c r="J2295" s="22" t="s">
        <v>144</v>
      </c>
      <c r="K2295" s="23" t="s">
        <v>108</v>
      </c>
      <c r="L2295" s="24" t="s">
        <v>91</v>
      </c>
      <c r="M2295" s="2">
        <v>65.0</v>
      </c>
      <c r="N2295" s="25">
        <v>31.0</v>
      </c>
      <c r="O2295" s="25"/>
      <c r="P2295" s="25"/>
    </row>
    <row r="2296">
      <c r="A2296" s="16">
        <v>2294.0</v>
      </c>
      <c r="B2296" s="17" t="s">
        <v>1019</v>
      </c>
      <c r="C2296" s="18">
        <v>10.0</v>
      </c>
      <c r="D2296" s="19" t="s">
        <v>3997</v>
      </c>
      <c r="E2296" s="20" t="s">
        <v>91</v>
      </c>
      <c r="F2296" s="17" t="s">
        <v>705</v>
      </c>
      <c r="G2296" s="17" t="s">
        <v>5122</v>
      </c>
      <c r="H2296" s="17" t="s">
        <v>5218</v>
      </c>
      <c r="I2296" s="17" t="s">
        <v>125</v>
      </c>
      <c r="J2296" s="22" t="s">
        <v>144</v>
      </c>
      <c r="K2296" s="23" t="s">
        <v>108</v>
      </c>
      <c r="L2296" s="24" t="s">
        <v>91</v>
      </c>
      <c r="M2296" s="2">
        <v>65.0</v>
      </c>
      <c r="N2296" s="25">
        <v>31.0</v>
      </c>
      <c r="O2296" s="25"/>
      <c r="P2296" s="25"/>
    </row>
    <row r="2297">
      <c r="A2297" s="16">
        <v>2295.0</v>
      </c>
      <c r="B2297" s="17" t="s">
        <v>1019</v>
      </c>
      <c r="C2297" s="18">
        <v>11.0</v>
      </c>
      <c r="D2297" s="19" t="s">
        <v>3997</v>
      </c>
      <c r="E2297" s="20" t="s">
        <v>91</v>
      </c>
      <c r="F2297" s="17" t="s">
        <v>270</v>
      </c>
      <c r="G2297" s="17" t="s">
        <v>4525</v>
      </c>
      <c r="H2297" s="17" t="s">
        <v>5219</v>
      </c>
      <c r="I2297" s="17" t="s">
        <v>125</v>
      </c>
      <c r="J2297" s="22" t="s">
        <v>144</v>
      </c>
      <c r="K2297" s="23" t="s">
        <v>108</v>
      </c>
      <c r="L2297" s="24" t="s">
        <v>91</v>
      </c>
      <c r="M2297" s="2">
        <v>65.0</v>
      </c>
      <c r="N2297" s="25">
        <v>31.0</v>
      </c>
      <c r="O2297" s="25"/>
      <c r="P2297" s="25"/>
    </row>
    <row r="2298">
      <c r="A2298" s="16">
        <v>2296.0</v>
      </c>
      <c r="B2298" s="17" t="s">
        <v>1019</v>
      </c>
      <c r="C2298" s="18">
        <v>12.0</v>
      </c>
      <c r="D2298" s="19" t="s">
        <v>3997</v>
      </c>
      <c r="E2298" s="20" t="s">
        <v>91</v>
      </c>
      <c r="F2298" s="17" t="s">
        <v>916</v>
      </c>
      <c r="G2298" s="17" t="s">
        <v>5055</v>
      </c>
      <c r="H2298" s="17" t="s">
        <v>5220</v>
      </c>
      <c r="I2298" s="17" t="s">
        <v>125</v>
      </c>
      <c r="J2298" s="22" t="s">
        <v>144</v>
      </c>
      <c r="K2298" s="23" t="s">
        <v>108</v>
      </c>
      <c r="L2298" s="24" t="s">
        <v>91</v>
      </c>
      <c r="M2298" s="2">
        <v>65.0</v>
      </c>
      <c r="N2298" s="25">
        <v>31.0</v>
      </c>
      <c r="O2298" s="25"/>
      <c r="P2298" s="25"/>
    </row>
    <row r="2299">
      <c r="A2299" s="16">
        <v>2297.0</v>
      </c>
      <c r="B2299" s="17" t="s">
        <v>1019</v>
      </c>
      <c r="C2299" s="18">
        <v>13.0</v>
      </c>
      <c r="D2299" s="19" t="s">
        <v>3997</v>
      </c>
      <c r="E2299" s="20" t="s">
        <v>91</v>
      </c>
      <c r="F2299" s="17" t="s">
        <v>1020</v>
      </c>
      <c r="G2299" s="17" t="s">
        <v>2064</v>
      </c>
      <c r="H2299" s="17" t="s">
        <v>5221</v>
      </c>
      <c r="I2299" s="17" t="s">
        <v>125</v>
      </c>
      <c r="J2299" s="22" t="s">
        <v>144</v>
      </c>
      <c r="K2299" s="23" t="s">
        <v>108</v>
      </c>
      <c r="L2299" s="24" t="s">
        <v>91</v>
      </c>
      <c r="M2299" s="2">
        <v>65.0</v>
      </c>
      <c r="N2299" s="25">
        <v>31.0</v>
      </c>
      <c r="O2299" s="25"/>
      <c r="P2299" s="25"/>
    </row>
    <row r="2300">
      <c r="A2300" s="16">
        <v>2298.0</v>
      </c>
      <c r="B2300" s="17" t="s">
        <v>1019</v>
      </c>
      <c r="C2300" s="18">
        <v>14.0</v>
      </c>
      <c r="D2300" s="19" t="s">
        <v>3997</v>
      </c>
      <c r="E2300" s="20" t="s">
        <v>91</v>
      </c>
      <c r="F2300" s="17" t="s">
        <v>1260</v>
      </c>
      <c r="G2300" s="17" t="s">
        <v>4681</v>
      </c>
      <c r="H2300" s="17" t="s">
        <v>5222</v>
      </c>
      <c r="I2300" s="17" t="s">
        <v>125</v>
      </c>
      <c r="J2300" s="22" t="s">
        <v>144</v>
      </c>
      <c r="K2300" s="23" t="s">
        <v>108</v>
      </c>
      <c r="L2300" s="24" t="s">
        <v>91</v>
      </c>
      <c r="M2300" s="2">
        <v>65.0</v>
      </c>
      <c r="N2300" s="25">
        <v>31.0</v>
      </c>
      <c r="O2300" s="25"/>
      <c r="P2300" s="25"/>
    </row>
    <row r="2301">
      <c r="A2301" s="16">
        <v>2299.0</v>
      </c>
      <c r="B2301" s="17" t="s">
        <v>1019</v>
      </c>
      <c r="C2301" s="18">
        <v>15.0</v>
      </c>
      <c r="D2301" s="19" t="s">
        <v>3997</v>
      </c>
      <c r="E2301" s="20" t="s">
        <v>91</v>
      </c>
      <c r="F2301" s="17" t="s">
        <v>1093</v>
      </c>
      <c r="G2301" s="17" t="s">
        <v>5223</v>
      </c>
      <c r="H2301" s="17" t="s">
        <v>5224</v>
      </c>
      <c r="I2301" s="17" t="s">
        <v>125</v>
      </c>
      <c r="J2301" s="22" t="s">
        <v>144</v>
      </c>
      <c r="K2301" s="23" t="s">
        <v>108</v>
      </c>
      <c r="L2301" s="24" t="s">
        <v>91</v>
      </c>
      <c r="M2301" s="2">
        <v>65.0</v>
      </c>
      <c r="N2301" s="25">
        <v>31.0</v>
      </c>
      <c r="O2301" s="25"/>
      <c r="P2301" s="25"/>
    </row>
    <row r="2302">
      <c r="A2302" s="16">
        <v>2300.0</v>
      </c>
      <c r="B2302" s="17" t="s">
        <v>1019</v>
      </c>
      <c r="C2302" s="18">
        <v>16.0</v>
      </c>
      <c r="D2302" s="19" t="s">
        <v>3997</v>
      </c>
      <c r="E2302" s="20" t="s">
        <v>91</v>
      </c>
      <c r="F2302" s="17" t="s">
        <v>561</v>
      </c>
      <c r="G2302" s="17" t="s">
        <v>4882</v>
      </c>
      <c r="H2302" s="17" t="s">
        <v>5225</v>
      </c>
      <c r="I2302" s="17" t="s">
        <v>125</v>
      </c>
      <c r="J2302" s="22" t="s">
        <v>144</v>
      </c>
      <c r="K2302" s="23" t="s">
        <v>108</v>
      </c>
      <c r="L2302" s="24" t="s">
        <v>91</v>
      </c>
      <c r="M2302" s="2">
        <v>65.0</v>
      </c>
      <c r="N2302" s="25">
        <v>31.0</v>
      </c>
      <c r="O2302" s="25"/>
      <c r="P2302" s="25"/>
    </row>
    <row r="2303">
      <c r="A2303" s="16">
        <v>2301.0</v>
      </c>
      <c r="B2303" s="17" t="s">
        <v>1019</v>
      </c>
      <c r="C2303" s="18">
        <v>17.0</v>
      </c>
      <c r="D2303" s="19" t="s">
        <v>3997</v>
      </c>
      <c r="E2303" s="20" t="s">
        <v>91</v>
      </c>
      <c r="F2303" s="17" t="s">
        <v>1211</v>
      </c>
      <c r="G2303" s="17" t="s">
        <v>5226</v>
      </c>
      <c r="H2303" s="17" t="s">
        <v>5227</v>
      </c>
      <c r="I2303" s="17" t="s">
        <v>125</v>
      </c>
      <c r="J2303" s="22" t="s">
        <v>144</v>
      </c>
      <c r="K2303" s="23" t="s">
        <v>108</v>
      </c>
      <c r="L2303" s="24" t="s">
        <v>91</v>
      </c>
      <c r="M2303" s="2">
        <v>65.0</v>
      </c>
      <c r="N2303" s="25">
        <v>31.0</v>
      </c>
      <c r="O2303" s="25"/>
      <c r="P2303" s="25"/>
    </row>
    <row r="2304">
      <c r="A2304" s="16">
        <v>2302.0</v>
      </c>
      <c r="B2304" s="17" t="s">
        <v>1019</v>
      </c>
      <c r="C2304" s="18">
        <v>18.0</v>
      </c>
      <c r="D2304" s="19" t="s">
        <v>3997</v>
      </c>
      <c r="E2304" s="20" t="s">
        <v>91</v>
      </c>
      <c r="F2304" s="17" t="s">
        <v>1002</v>
      </c>
      <c r="G2304" s="17" t="s">
        <v>5228</v>
      </c>
      <c r="H2304" s="17" t="s">
        <v>5229</v>
      </c>
      <c r="I2304" s="17" t="s">
        <v>125</v>
      </c>
      <c r="J2304" s="22" t="s">
        <v>144</v>
      </c>
      <c r="K2304" s="23" t="s">
        <v>108</v>
      </c>
      <c r="L2304" s="24" t="s">
        <v>91</v>
      </c>
      <c r="M2304" s="2">
        <v>65.0</v>
      </c>
      <c r="N2304" s="25">
        <v>31.0</v>
      </c>
      <c r="O2304" s="25"/>
      <c r="P2304" s="25"/>
    </row>
    <row r="2305">
      <c r="A2305" s="16">
        <v>2303.0</v>
      </c>
      <c r="B2305" s="17" t="s">
        <v>1019</v>
      </c>
      <c r="C2305" s="18">
        <v>19.0</v>
      </c>
      <c r="D2305" s="19" t="s">
        <v>3997</v>
      </c>
      <c r="E2305" s="20" t="s">
        <v>91</v>
      </c>
      <c r="F2305" s="17" t="s">
        <v>1005</v>
      </c>
      <c r="G2305" s="17" t="s">
        <v>5230</v>
      </c>
      <c r="H2305" s="17" t="s">
        <v>5231</v>
      </c>
      <c r="I2305" s="17" t="s">
        <v>125</v>
      </c>
      <c r="J2305" s="22" t="s">
        <v>144</v>
      </c>
      <c r="K2305" s="23" t="s">
        <v>108</v>
      </c>
      <c r="L2305" s="24" t="s">
        <v>91</v>
      </c>
      <c r="M2305" s="2">
        <v>65.0</v>
      </c>
      <c r="N2305" s="25">
        <v>31.0</v>
      </c>
      <c r="O2305" s="25"/>
      <c r="P2305" s="25"/>
    </row>
    <row r="2306">
      <c r="A2306" s="16">
        <v>2304.0</v>
      </c>
      <c r="B2306" s="17" t="s">
        <v>1019</v>
      </c>
      <c r="C2306" s="18">
        <v>20.0</v>
      </c>
      <c r="D2306" s="19" t="s">
        <v>3997</v>
      </c>
      <c r="E2306" s="20" t="s">
        <v>91</v>
      </c>
      <c r="F2306" s="17" t="s">
        <v>1037</v>
      </c>
      <c r="G2306" s="17" t="s">
        <v>2988</v>
      </c>
      <c r="H2306" s="17" t="s">
        <v>5232</v>
      </c>
      <c r="I2306" s="17" t="s">
        <v>125</v>
      </c>
      <c r="J2306" s="22" t="s">
        <v>144</v>
      </c>
      <c r="K2306" s="23" t="s">
        <v>108</v>
      </c>
      <c r="L2306" s="24" t="s">
        <v>91</v>
      </c>
      <c r="M2306" s="2">
        <v>65.0</v>
      </c>
      <c r="N2306" s="25">
        <v>31.0</v>
      </c>
      <c r="O2306" s="25"/>
      <c r="P2306" s="25"/>
    </row>
    <row r="2307">
      <c r="A2307" s="16">
        <v>2305.0</v>
      </c>
      <c r="B2307" s="17" t="s">
        <v>1019</v>
      </c>
      <c r="C2307" s="18">
        <v>21.0</v>
      </c>
      <c r="D2307" s="19" t="s">
        <v>3997</v>
      </c>
      <c r="E2307" s="20" t="s">
        <v>91</v>
      </c>
      <c r="F2307" s="17" t="s">
        <v>881</v>
      </c>
      <c r="G2307" s="17" t="s">
        <v>2947</v>
      </c>
      <c r="H2307" s="17" t="s">
        <v>5233</v>
      </c>
      <c r="I2307" s="17" t="s">
        <v>125</v>
      </c>
      <c r="J2307" s="22" t="s">
        <v>144</v>
      </c>
      <c r="K2307" s="23" t="s">
        <v>108</v>
      </c>
      <c r="L2307" s="24" t="s">
        <v>91</v>
      </c>
      <c r="M2307" s="2">
        <v>65.0</v>
      </c>
      <c r="N2307" s="25">
        <v>31.0</v>
      </c>
      <c r="O2307" s="25"/>
      <c r="P2307" s="25"/>
    </row>
    <row r="2308">
      <c r="A2308" s="16">
        <v>2306.0</v>
      </c>
      <c r="B2308" s="17" t="s">
        <v>1019</v>
      </c>
      <c r="C2308" s="18">
        <v>22.0</v>
      </c>
      <c r="D2308" s="19" t="s">
        <v>3997</v>
      </c>
      <c r="E2308" s="20" t="s">
        <v>91</v>
      </c>
      <c r="F2308" s="17" t="s">
        <v>44</v>
      </c>
      <c r="G2308" s="17" t="s">
        <v>3912</v>
      </c>
      <c r="H2308" s="17" t="s">
        <v>5234</v>
      </c>
      <c r="I2308" s="17" t="s">
        <v>125</v>
      </c>
      <c r="J2308" s="22" t="s">
        <v>144</v>
      </c>
      <c r="K2308" s="23" t="s">
        <v>108</v>
      </c>
      <c r="L2308" s="24" t="s">
        <v>91</v>
      </c>
      <c r="M2308" s="2">
        <v>65.0</v>
      </c>
      <c r="N2308" s="25">
        <v>31.0</v>
      </c>
      <c r="O2308" s="25"/>
      <c r="P2308" s="25"/>
    </row>
    <row r="2309">
      <c r="A2309" s="16">
        <v>2307.0</v>
      </c>
      <c r="B2309" s="17" t="s">
        <v>1019</v>
      </c>
      <c r="C2309" s="18">
        <v>23.0</v>
      </c>
      <c r="D2309" s="19" t="s">
        <v>2895</v>
      </c>
      <c r="E2309" s="20" t="s">
        <v>91</v>
      </c>
      <c r="F2309" s="17" t="s">
        <v>192</v>
      </c>
      <c r="G2309" s="17" t="s">
        <v>4615</v>
      </c>
      <c r="H2309" s="17" t="s">
        <v>5235</v>
      </c>
      <c r="I2309" s="17" t="s">
        <v>125</v>
      </c>
      <c r="J2309" s="22" t="s">
        <v>144</v>
      </c>
      <c r="K2309" s="23" t="s">
        <v>108</v>
      </c>
      <c r="L2309" s="24" t="s">
        <v>91</v>
      </c>
      <c r="M2309" s="2">
        <v>65.0</v>
      </c>
      <c r="N2309" s="25">
        <v>31.0</v>
      </c>
      <c r="O2309" s="25"/>
      <c r="P2309" s="25"/>
    </row>
    <row r="2310">
      <c r="A2310" s="16">
        <v>2308.0</v>
      </c>
      <c r="B2310" s="17" t="s">
        <v>1019</v>
      </c>
      <c r="C2310" s="18">
        <v>24.0</v>
      </c>
      <c r="D2310" s="19" t="s">
        <v>2895</v>
      </c>
      <c r="E2310" s="20" t="s">
        <v>91</v>
      </c>
      <c r="F2310" s="17" t="s">
        <v>1434</v>
      </c>
      <c r="G2310" s="17" t="s">
        <v>5236</v>
      </c>
      <c r="H2310" s="17" t="s">
        <v>5237</v>
      </c>
      <c r="I2310" s="17" t="s">
        <v>125</v>
      </c>
      <c r="J2310" s="22" t="s">
        <v>144</v>
      </c>
      <c r="K2310" s="23" t="s">
        <v>108</v>
      </c>
      <c r="L2310" s="24" t="s">
        <v>91</v>
      </c>
      <c r="M2310" s="2">
        <v>65.0</v>
      </c>
      <c r="N2310" s="25">
        <v>31.0</v>
      </c>
      <c r="O2310" s="25"/>
      <c r="P2310" s="25"/>
    </row>
    <row r="2311">
      <c r="A2311" s="16">
        <v>2309.0</v>
      </c>
      <c r="B2311" s="17" t="s">
        <v>1019</v>
      </c>
      <c r="C2311" s="18">
        <v>25.0</v>
      </c>
      <c r="D2311" s="19" t="s">
        <v>2895</v>
      </c>
      <c r="E2311" s="20" t="s">
        <v>91</v>
      </c>
      <c r="F2311" s="17" t="s">
        <v>1435</v>
      </c>
      <c r="G2311" s="17" t="s">
        <v>5238</v>
      </c>
      <c r="H2311" s="17" t="s">
        <v>5239</v>
      </c>
      <c r="I2311" s="17" t="s">
        <v>125</v>
      </c>
      <c r="J2311" s="22" t="s">
        <v>144</v>
      </c>
      <c r="K2311" s="23" t="s">
        <v>108</v>
      </c>
      <c r="L2311" s="24" t="s">
        <v>91</v>
      </c>
      <c r="M2311" s="2">
        <v>65.0</v>
      </c>
      <c r="N2311" s="25">
        <v>31.0</v>
      </c>
      <c r="O2311" s="25"/>
      <c r="P2311" s="25"/>
    </row>
    <row r="2312">
      <c r="A2312" s="16">
        <v>2310.0</v>
      </c>
      <c r="B2312" s="17" t="s">
        <v>1019</v>
      </c>
      <c r="C2312" s="18">
        <v>26.0</v>
      </c>
      <c r="D2312" s="19" t="s">
        <v>2895</v>
      </c>
      <c r="E2312" s="20" t="s">
        <v>91</v>
      </c>
      <c r="F2312" s="17" t="s">
        <v>891</v>
      </c>
      <c r="G2312" s="17" t="s">
        <v>5240</v>
      </c>
      <c r="H2312" s="17" t="s">
        <v>5241</v>
      </c>
      <c r="I2312" s="17" t="s">
        <v>125</v>
      </c>
      <c r="J2312" s="22" t="s">
        <v>144</v>
      </c>
      <c r="K2312" s="23" t="s">
        <v>108</v>
      </c>
      <c r="L2312" s="24" t="s">
        <v>91</v>
      </c>
      <c r="M2312" s="2">
        <v>65.0</v>
      </c>
      <c r="N2312" s="25">
        <v>31.0</v>
      </c>
      <c r="O2312" s="25"/>
      <c r="P2312" s="25"/>
    </row>
    <row r="2313">
      <c r="A2313" s="16">
        <v>2311.0</v>
      </c>
      <c r="B2313" s="27" t="s">
        <v>1019</v>
      </c>
      <c r="C2313" s="18">
        <v>27.0</v>
      </c>
      <c r="D2313" s="19" t="s">
        <v>2895</v>
      </c>
      <c r="E2313" s="20" t="s">
        <v>91</v>
      </c>
      <c r="F2313" s="27" t="s">
        <v>1425</v>
      </c>
      <c r="G2313" s="17" t="s">
        <v>5242</v>
      </c>
      <c r="H2313" s="17" t="s">
        <v>5243</v>
      </c>
      <c r="I2313" s="17" t="s">
        <v>125</v>
      </c>
      <c r="J2313" s="22" t="s">
        <v>144</v>
      </c>
      <c r="K2313" s="23" t="s">
        <v>108</v>
      </c>
      <c r="L2313" s="24"/>
      <c r="M2313" s="2">
        <v>65.0</v>
      </c>
      <c r="N2313" s="25">
        <v>31.0</v>
      </c>
      <c r="O2313" s="25"/>
      <c r="P2313" s="25"/>
    </row>
    <row r="2314">
      <c r="A2314" s="16">
        <v>2312.0</v>
      </c>
      <c r="B2314" s="27" t="s">
        <v>1019</v>
      </c>
      <c r="C2314" s="18">
        <v>28.0</v>
      </c>
      <c r="D2314" s="19" t="s">
        <v>2895</v>
      </c>
      <c r="E2314" s="20" t="s">
        <v>91</v>
      </c>
      <c r="F2314" s="27" t="s">
        <v>1456</v>
      </c>
      <c r="G2314" s="17" t="s">
        <v>5244</v>
      </c>
      <c r="H2314" s="17" t="s">
        <v>5245</v>
      </c>
      <c r="I2314" s="17" t="s">
        <v>125</v>
      </c>
      <c r="J2314" s="22" t="s">
        <v>144</v>
      </c>
      <c r="K2314" s="23" t="s">
        <v>108</v>
      </c>
      <c r="L2314" s="24"/>
      <c r="M2314" s="2">
        <v>65.0</v>
      </c>
      <c r="N2314" s="25">
        <v>31.0</v>
      </c>
      <c r="O2314" s="25"/>
      <c r="P2314" s="25"/>
    </row>
    <row r="2315">
      <c r="A2315" s="16">
        <v>2313.0</v>
      </c>
      <c r="B2315" s="27" t="s">
        <v>1019</v>
      </c>
      <c r="C2315" s="18">
        <v>29.0</v>
      </c>
      <c r="D2315" s="19" t="s">
        <v>2895</v>
      </c>
      <c r="E2315" s="20" t="s">
        <v>91</v>
      </c>
      <c r="F2315" s="27" t="s">
        <v>1027</v>
      </c>
      <c r="G2315" s="17" t="s">
        <v>5246</v>
      </c>
      <c r="H2315" s="17" t="s">
        <v>5247</v>
      </c>
      <c r="I2315" s="17" t="s">
        <v>125</v>
      </c>
      <c r="J2315" s="22" t="s">
        <v>144</v>
      </c>
      <c r="K2315" s="23" t="s">
        <v>108</v>
      </c>
      <c r="L2315" s="24"/>
      <c r="M2315" s="2">
        <v>65.0</v>
      </c>
      <c r="N2315" s="25">
        <v>31.0</v>
      </c>
      <c r="O2315" s="25"/>
      <c r="P2315" s="25"/>
    </row>
    <row r="2316">
      <c r="A2316" s="16">
        <v>2314.0</v>
      </c>
      <c r="B2316" s="27" t="s">
        <v>1019</v>
      </c>
      <c r="C2316" s="18">
        <v>30.0</v>
      </c>
      <c r="D2316" s="19" t="s">
        <v>2895</v>
      </c>
      <c r="E2316" s="20" t="s">
        <v>91</v>
      </c>
      <c r="F2316" s="27" t="s">
        <v>5248</v>
      </c>
      <c r="G2316" s="17" t="s">
        <v>5249</v>
      </c>
      <c r="H2316" s="17" t="s">
        <v>5250</v>
      </c>
      <c r="I2316" s="17" t="s">
        <v>125</v>
      </c>
      <c r="J2316" s="22" t="s">
        <v>144</v>
      </c>
      <c r="K2316" s="23" t="s">
        <v>108</v>
      </c>
      <c r="L2316" s="24"/>
      <c r="M2316" s="2">
        <v>65.0</v>
      </c>
      <c r="N2316" s="25">
        <v>31.0</v>
      </c>
      <c r="O2316" s="25"/>
      <c r="P2316" s="25"/>
    </row>
    <row r="2317">
      <c r="A2317" s="16">
        <v>2315.0</v>
      </c>
      <c r="B2317" s="17" t="s">
        <v>1531</v>
      </c>
      <c r="C2317" s="18">
        <v>1.0</v>
      </c>
      <c r="D2317" s="19" t="s">
        <v>2241</v>
      </c>
      <c r="E2317" s="20" t="s">
        <v>443</v>
      </c>
      <c r="F2317" s="17" t="s">
        <v>119</v>
      </c>
      <c r="G2317" s="17" t="s">
        <v>4711</v>
      </c>
      <c r="H2317" s="17" t="s">
        <v>4712</v>
      </c>
      <c r="I2317" s="17" t="s">
        <v>125</v>
      </c>
      <c r="J2317" s="22" t="s">
        <v>100</v>
      </c>
      <c r="K2317" s="23" t="s">
        <v>108</v>
      </c>
      <c r="L2317" s="24" t="s">
        <v>91</v>
      </c>
      <c r="M2317" s="2">
        <v>66.0</v>
      </c>
      <c r="N2317" s="25">
        <v>11.0</v>
      </c>
      <c r="O2317" s="25"/>
      <c r="P2317" s="25"/>
    </row>
    <row r="2318">
      <c r="A2318" s="16">
        <v>2316.0</v>
      </c>
      <c r="B2318" s="17" t="s">
        <v>1531</v>
      </c>
      <c r="C2318" s="18">
        <v>2.0</v>
      </c>
      <c r="D2318" s="19" t="s">
        <v>2241</v>
      </c>
      <c r="E2318" s="20" t="s">
        <v>443</v>
      </c>
      <c r="F2318" s="17" t="s">
        <v>115</v>
      </c>
      <c r="G2318" s="17" t="s">
        <v>4527</v>
      </c>
      <c r="H2318" s="17" t="s">
        <v>4797</v>
      </c>
      <c r="I2318" s="17" t="s">
        <v>125</v>
      </c>
      <c r="J2318" s="22" t="s">
        <v>135</v>
      </c>
      <c r="K2318" s="23" t="s">
        <v>108</v>
      </c>
      <c r="L2318" s="24" t="s">
        <v>91</v>
      </c>
      <c r="M2318" s="2">
        <v>66.0</v>
      </c>
      <c r="N2318" s="25">
        <v>21.0</v>
      </c>
      <c r="O2318" s="25"/>
      <c r="P2318" s="25"/>
    </row>
    <row r="2319">
      <c r="A2319" s="16">
        <v>2317.0</v>
      </c>
      <c r="B2319" s="17" t="s">
        <v>1531</v>
      </c>
      <c r="C2319" s="18">
        <v>3.0</v>
      </c>
      <c r="D2319" s="19" t="s">
        <v>2242</v>
      </c>
      <c r="E2319" s="20" t="s">
        <v>443</v>
      </c>
      <c r="F2319" s="17" t="s">
        <v>531</v>
      </c>
      <c r="G2319" s="17" t="s">
        <v>5251</v>
      </c>
      <c r="H2319" s="17" t="s">
        <v>5252</v>
      </c>
      <c r="I2319" s="17" t="s">
        <v>125</v>
      </c>
      <c r="J2319" s="22" t="s">
        <v>135</v>
      </c>
      <c r="K2319" s="23" t="s">
        <v>108</v>
      </c>
      <c r="L2319" s="24" t="s">
        <v>91</v>
      </c>
      <c r="M2319" s="2">
        <v>66.0</v>
      </c>
      <c r="N2319" s="25">
        <v>21.0</v>
      </c>
      <c r="O2319" s="25"/>
      <c r="P2319" s="25"/>
    </row>
    <row r="2320">
      <c r="A2320" s="16">
        <v>2318.0</v>
      </c>
      <c r="B2320" s="17" t="s">
        <v>1531</v>
      </c>
      <c r="C2320" s="18">
        <v>4.0</v>
      </c>
      <c r="D2320" s="19" t="s">
        <v>2246</v>
      </c>
      <c r="E2320" s="20" t="s">
        <v>443</v>
      </c>
      <c r="F2320" s="17" t="s">
        <v>794</v>
      </c>
      <c r="G2320" s="17" t="s">
        <v>4646</v>
      </c>
      <c r="H2320" s="17" t="s">
        <v>4647</v>
      </c>
      <c r="I2320" s="17" t="s">
        <v>125</v>
      </c>
      <c r="J2320" s="22" t="s">
        <v>144</v>
      </c>
      <c r="K2320" s="23" t="s">
        <v>108</v>
      </c>
      <c r="L2320" s="24" t="s">
        <v>91</v>
      </c>
      <c r="M2320" s="2">
        <v>66.0</v>
      </c>
      <c r="N2320" s="25">
        <v>31.0</v>
      </c>
      <c r="O2320" s="25"/>
      <c r="P2320" s="25"/>
    </row>
    <row r="2321">
      <c r="A2321" s="16">
        <v>2319.0</v>
      </c>
      <c r="B2321" s="17" t="s">
        <v>1531</v>
      </c>
      <c r="C2321" s="18">
        <v>5.0</v>
      </c>
      <c r="D2321" s="19" t="s">
        <v>2246</v>
      </c>
      <c r="E2321" s="20" t="s">
        <v>443</v>
      </c>
      <c r="F2321" s="17" t="s">
        <v>90</v>
      </c>
      <c r="G2321" s="17" t="s">
        <v>3884</v>
      </c>
      <c r="H2321" s="17" t="s">
        <v>5253</v>
      </c>
      <c r="I2321" s="17" t="s">
        <v>125</v>
      </c>
      <c r="J2321" s="22" t="s">
        <v>144</v>
      </c>
      <c r="K2321" s="23" t="s">
        <v>108</v>
      </c>
      <c r="L2321" s="24" t="s">
        <v>91</v>
      </c>
      <c r="M2321" s="2">
        <v>66.0</v>
      </c>
      <c r="N2321" s="25">
        <v>31.0</v>
      </c>
      <c r="O2321" s="25"/>
      <c r="P2321" s="25"/>
    </row>
    <row r="2322">
      <c r="A2322" s="16">
        <v>2320.0</v>
      </c>
      <c r="B2322" s="17" t="s">
        <v>1531</v>
      </c>
      <c r="C2322" s="18">
        <v>6.0</v>
      </c>
      <c r="D2322" s="19" t="s">
        <v>2246</v>
      </c>
      <c r="E2322" s="20" t="s">
        <v>443</v>
      </c>
      <c r="F2322" s="17" t="s">
        <v>537</v>
      </c>
      <c r="G2322" s="17" t="s">
        <v>4974</v>
      </c>
      <c r="H2322" s="17" t="s">
        <v>4975</v>
      </c>
      <c r="I2322" s="17" t="s">
        <v>125</v>
      </c>
      <c r="J2322" s="22" t="s">
        <v>144</v>
      </c>
      <c r="K2322" s="23" t="s">
        <v>108</v>
      </c>
      <c r="L2322" s="24" t="s">
        <v>91</v>
      </c>
      <c r="M2322" s="2">
        <v>66.0</v>
      </c>
      <c r="N2322" s="25">
        <v>31.0</v>
      </c>
      <c r="O2322" s="25"/>
      <c r="P2322" s="25"/>
    </row>
    <row r="2323">
      <c r="A2323" s="16">
        <v>2321.0</v>
      </c>
      <c r="B2323" s="17" t="s">
        <v>1531</v>
      </c>
      <c r="C2323" s="18">
        <v>7.0</v>
      </c>
      <c r="D2323" s="19" t="s">
        <v>2241</v>
      </c>
      <c r="E2323" s="20" t="s">
        <v>443</v>
      </c>
      <c r="F2323" s="17" t="s">
        <v>1014</v>
      </c>
      <c r="G2323" s="17" t="s">
        <v>4565</v>
      </c>
      <c r="H2323" s="17" t="s">
        <v>4566</v>
      </c>
      <c r="I2323" s="17" t="s">
        <v>125</v>
      </c>
      <c r="J2323" s="22" t="s">
        <v>144</v>
      </c>
      <c r="K2323" s="23" t="s">
        <v>108</v>
      </c>
      <c r="L2323" s="24" t="s">
        <v>91</v>
      </c>
      <c r="M2323" s="2">
        <v>66.0</v>
      </c>
      <c r="N2323" s="25">
        <v>31.0</v>
      </c>
      <c r="O2323" s="25"/>
      <c r="P2323" s="25"/>
    </row>
    <row r="2324">
      <c r="A2324" s="16">
        <v>2322.0</v>
      </c>
      <c r="B2324" s="17" t="s">
        <v>1531</v>
      </c>
      <c r="C2324" s="18">
        <v>8.0</v>
      </c>
      <c r="D2324" s="19" t="s">
        <v>2241</v>
      </c>
      <c r="E2324" s="20" t="s">
        <v>443</v>
      </c>
      <c r="F2324" s="17" t="s">
        <v>1143</v>
      </c>
      <c r="G2324" s="17" t="s">
        <v>4511</v>
      </c>
      <c r="H2324" s="17" t="s">
        <v>4512</v>
      </c>
      <c r="I2324" s="17" t="s">
        <v>125</v>
      </c>
      <c r="J2324" s="22" t="s">
        <v>144</v>
      </c>
      <c r="K2324" s="23" t="s">
        <v>108</v>
      </c>
      <c r="L2324" s="24" t="s">
        <v>91</v>
      </c>
      <c r="M2324" s="2">
        <v>66.0</v>
      </c>
      <c r="N2324" s="25">
        <v>31.0</v>
      </c>
      <c r="O2324" s="25"/>
      <c r="P2324" s="25"/>
    </row>
    <row r="2325">
      <c r="A2325" s="16">
        <v>2323.0</v>
      </c>
      <c r="B2325" s="17" t="s">
        <v>1531</v>
      </c>
      <c r="C2325" s="18">
        <v>9.0</v>
      </c>
      <c r="D2325" s="19" t="s">
        <v>2241</v>
      </c>
      <c r="E2325" s="20" t="s">
        <v>443</v>
      </c>
      <c r="F2325" s="17" t="s">
        <v>16</v>
      </c>
      <c r="G2325" s="17" t="s">
        <v>4860</v>
      </c>
      <c r="H2325" s="17" t="s">
        <v>4837</v>
      </c>
      <c r="I2325" s="17" t="s">
        <v>125</v>
      </c>
      <c r="J2325" s="22" t="s">
        <v>144</v>
      </c>
      <c r="K2325" s="23" t="s">
        <v>108</v>
      </c>
      <c r="L2325" s="24" t="s">
        <v>91</v>
      </c>
      <c r="M2325" s="2">
        <v>66.0</v>
      </c>
      <c r="N2325" s="25">
        <v>31.0</v>
      </c>
      <c r="O2325" s="25"/>
      <c r="P2325" s="25"/>
    </row>
    <row r="2326">
      <c r="A2326" s="16">
        <v>2324.0</v>
      </c>
      <c r="B2326" s="17" t="s">
        <v>1531</v>
      </c>
      <c r="C2326" s="18">
        <v>10.0</v>
      </c>
      <c r="D2326" s="19" t="s">
        <v>2241</v>
      </c>
      <c r="E2326" s="20" t="s">
        <v>443</v>
      </c>
      <c r="F2326" s="17" t="s">
        <v>150</v>
      </c>
      <c r="G2326" s="17" t="s">
        <v>2087</v>
      </c>
      <c r="H2326" s="17" t="s">
        <v>5254</v>
      </c>
      <c r="I2326" s="17" t="s">
        <v>125</v>
      </c>
      <c r="J2326" s="22" t="s">
        <v>144</v>
      </c>
      <c r="K2326" s="23" t="s">
        <v>108</v>
      </c>
      <c r="L2326" s="24" t="s">
        <v>91</v>
      </c>
      <c r="M2326" s="2">
        <v>66.0</v>
      </c>
      <c r="N2326" s="25">
        <v>31.0</v>
      </c>
      <c r="O2326" s="25"/>
      <c r="P2326" s="25"/>
    </row>
    <row r="2327">
      <c r="A2327" s="16">
        <v>2325.0</v>
      </c>
      <c r="B2327" s="17" t="s">
        <v>1531</v>
      </c>
      <c r="C2327" s="18">
        <v>11.0</v>
      </c>
      <c r="D2327" s="19" t="s">
        <v>2241</v>
      </c>
      <c r="E2327" s="20" t="s">
        <v>443</v>
      </c>
      <c r="F2327" s="17" t="s">
        <v>203</v>
      </c>
      <c r="G2327" s="17" t="s">
        <v>4855</v>
      </c>
      <c r="H2327" s="17" t="s">
        <v>4856</v>
      </c>
      <c r="I2327" s="17" t="s">
        <v>125</v>
      </c>
      <c r="J2327" s="22" t="s">
        <v>144</v>
      </c>
      <c r="K2327" s="23" t="s">
        <v>108</v>
      </c>
      <c r="L2327" s="24" t="s">
        <v>91</v>
      </c>
      <c r="M2327" s="2">
        <v>66.0</v>
      </c>
      <c r="N2327" s="25">
        <v>31.0</v>
      </c>
      <c r="O2327" s="25"/>
      <c r="P2327" s="25"/>
    </row>
    <row r="2328">
      <c r="A2328" s="16">
        <v>2326.0</v>
      </c>
      <c r="B2328" s="17" t="s">
        <v>1531</v>
      </c>
      <c r="C2328" s="18">
        <v>12.0</v>
      </c>
      <c r="D2328" s="19" t="s">
        <v>2241</v>
      </c>
      <c r="E2328" s="20" t="s">
        <v>443</v>
      </c>
      <c r="F2328" s="17" t="s">
        <v>902</v>
      </c>
      <c r="G2328" s="17" t="s">
        <v>4541</v>
      </c>
      <c r="H2328" s="17" t="s">
        <v>4542</v>
      </c>
      <c r="I2328" s="17" t="s">
        <v>125</v>
      </c>
      <c r="J2328" s="22" t="s">
        <v>144</v>
      </c>
      <c r="K2328" s="23" t="s">
        <v>108</v>
      </c>
      <c r="L2328" s="24" t="s">
        <v>91</v>
      </c>
      <c r="M2328" s="2">
        <v>66.0</v>
      </c>
      <c r="N2328" s="25">
        <v>31.0</v>
      </c>
      <c r="O2328" s="25"/>
      <c r="P2328" s="25"/>
    </row>
    <row r="2329">
      <c r="A2329" s="16">
        <v>2327.0</v>
      </c>
      <c r="B2329" s="17" t="s">
        <v>1531</v>
      </c>
      <c r="C2329" s="18">
        <v>13.0</v>
      </c>
      <c r="D2329" s="19" t="s">
        <v>2241</v>
      </c>
      <c r="E2329" s="20" t="s">
        <v>443</v>
      </c>
      <c r="F2329" s="17" t="s">
        <v>499</v>
      </c>
      <c r="G2329" s="17" t="s">
        <v>2902</v>
      </c>
      <c r="H2329" s="17" t="s">
        <v>4747</v>
      </c>
      <c r="I2329" s="17" t="s">
        <v>125</v>
      </c>
      <c r="J2329" s="22" t="s">
        <v>144</v>
      </c>
      <c r="K2329" s="23" t="s">
        <v>108</v>
      </c>
      <c r="L2329" s="24" t="s">
        <v>91</v>
      </c>
      <c r="M2329" s="2">
        <v>66.0</v>
      </c>
      <c r="N2329" s="25">
        <v>31.0</v>
      </c>
      <c r="O2329" s="25"/>
      <c r="P2329" s="25"/>
    </row>
    <row r="2330">
      <c r="A2330" s="16">
        <v>2328.0</v>
      </c>
      <c r="B2330" s="17" t="s">
        <v>1531</v>
      </c>
      <c r="C2330" s="18">
        <v>14.0</v>
      </c>
      <c r="D2330" s="19" t="s">
        <v>2241</v>
      </c>
      <c r="E2330" s="20" t="s">
        <v>443</v>
      </c>
      <c r="F2330" s="17" t="s">
        <v>93</v>
      </c>
      <c r="G2330" s="17" t="s">
        <v>4749</v>
      </c>
      <c r="H2330" s="17" t="s">
        <v>4750</v>
      </c>
      <c r="I2330" s="17" t="s">
        <v>125</v>
      </c>
      <c r="J2330" s="22" t="s">
        <v>144</v>
      </c>
      <c r="K2330" s="23" t="s">
        <v>108</v>
      </c>
      <c r="L2330" s="24" t="s">
        <v>91</v>
      </c>
      <c r="M2330" s="2">
        <v>66.0</v>
      </c>
      <c r="N2330" s="25">
        <v>31.0</v>
      </c>
      <c r="O2330" s="25"/>
      <c r="P2330" s="25"/>
    </row>
    <row r="2331">
      <c r="A2331" s="16">
        <v>2329.0</v>
      </c>
      <c r="B2331" s="17" t="s">
        <v>1531</v>
      </c>
      <c r="C2331" s="18">
        <v>15.0</v>
      </c>
      <c r="D2331" s="19" t="s">
        <v>2241</v>
      </c>
      <c r="E2331" s="20" t="s">
        <v>443</v>
      </c>
      <c r="F2331" s="17" t="s">
        <v>429</v>
      </c>
      <c r="G2331" s="17" t="s">
        <v>1627</v>
      </c>
      <c r="H2331" s="17" t="s">
        <v>4708</v>
      </c>
      <c r="I2331" s="17" t="s">
        <v>125</v>
      </c>
      <c r="J2331" s="22" t="s">
        <v>144</v>
      </c>
      <c r="K2331" s="23" t="s">
        <v>108</v>
      </c>
      <c r="L2331" s="24" t="s">
        <v>91</v>
      </c>
      <c r="M2331" s="2">
        <v>66.0</v>
      </c>
      <c r="N2331" s="25">
        <v>31.0</v>
      </c>
      <c r="O2331" s="25"/>
      <c r="P2331" s="25"/>
    </row>
    <row r="2332">
      <c r="A2332" s="16">
        <v>2330.0</v>
      </c>
      <c r="B2332" s="17" t="s">
        <v>1531</v>
      </c>
      <c r="C2332" s="18">
        <v>16.0</v>
      </c>
      <c r="D2332" s="19" t="s">
        <v>2241</v>
      </c>
      <c r="E2332" s="20" t="s">
        <v>443</v>
      </c>
      <c r="F2332" s="17" t="s">
        <v>744</v>
      </c>
      <c r="G2332" s="17" t="s">
        <v>4574</v>
      </c>
      <c r="H2332" s="17" t="s">
        <v>4575</v>
      </c>
      <c r="I2332" s="17" t="s">
        <v>125</v>
      </c>
      <c r="J2332" s="22" t="s">
        <v>144</v>
      </c>
      <c r="K2332" s="23" t="s">
        <v>108</v>
      </c>
      <c r="L2332" s="24" t="s">
        <v>91</v>
      </c>
      <c r="M2332" s="2">
        <v>66.0</v>
      </c>
      <c r="N2332" s="25">
        <v>31.0</v>
      </c>
      <c r="O2332" s="25"/>
      <c r="P2332" s="25"/>
    </row>
    <row r="2333">
      <c r="A2333" s="16">
        <v>2331.0</v>
      </c>
      <c r="B2333" s="17" t="s">
        <v>1531</v>
      </c>
      <c r="C2333" s="18">
        <v>17.0</v>
      </c>
      <c r="D2333" s="19" t="s">
        <v>2241</v>
      </c>
      <c r="E2333" s="20" t="s">
        <v>443</v>
      </c>
      <c r="F2333" s="17" t="s">
        <v>821</v>
      </c>
      <c r="G2333" s="17" t="s">
        <v>4709</v>
      </c>
      <c r="H2333" s="17" t="s">
        <v>4710</v>
      </c>
      <c r="I2333" s="17" t="s">
        <v>125</v>
      </c>
      <c r="J2333" s="22" t="s">
        <v>144</v>
      </c>
      <c r="K2333" s="23" t="s">
        <v>108</v>
      </c>
      <c r="L2333" s="24" t="s">
        <v>91</v>
      </c>
      <c r="M2333" s="2">
        <v>66.0</v>
      </c>
      <c r="N2333" s="25">
        <v>31.0</v>
      </c>
      <c r="O2333" s="25"/>
      <c r="P2333" s="25"/>
    </row>
    <row r="2334">
      <c r="A2334" s="16">
        <v>2332.0</v>
      </c>
      <c r="B2334" s="17" t="s">
        <v>1531</v>
      </c>
      <c r="C2334" s="18">
        <v>18.0</v>
      </c>
      <c r="D2334" s="19" t="s">
        <v>2241</v>
      </c>
      <c r="E2334" s="20" t="s">
        <v>443</v>
      </c>
      <c r="F2334" s="17" t="s">
        <v>886</v>
      </c>
      <c r="G2334" s="17" t="s">
        <v>3243</v>
      </c>
      <c r="H2334" s="17" t="s">
        <v>4578</v>
      </c>
      <c r="I2334" s="17" t="s">
        <v>125</v>
      </c>
      <c r="J2334" s="22" t="s">
        <v>144</v>
      </c>
      <c r="K2334" s="23" t="s">
        <v>108</v>
      </c>
      <c r="L2334" s="24" t="s">
        <v>91</v>
      </c>
      <c r="M2334" s="2">
        <v>66.0</v>
      </c>
      <c r="N2334" s="25">
        <v>31.0</v>
      </c>
      <c r="O2334" s="25"/>
      <c r="P2334" s="25"/>
    </row>
    <row r="2335">
      <c r="A2335" s="16">
        <v>2333.0</v>
      </c>
      <c r="B2335" s="17" t="s">
        <v>1531</v>
      </c>
      <c r="C2335" s="18">
        <v>19.0</v>
      </c>
      <c r="D2335" s="19" t="s">
        <v>2241</v>
      </c>
      <c r="E2335" s="20" t="s">
        <v>443</v>
      </c>
      <c r="F2335" s="17" t="s">
        <v>375</v>
      </c>
      <c r="G2335" s="17" t="s">
        <v>5255</v>
      </c>
      <c r="H2335" s="17" t="s">
        <v>5256</v>
      </c>
      <c r="I2335" s="17" t="s">
        <v>125</v>
      </c>
      <c r="J2335" s="22" t="s">
        <v>144</v>
      </c>
      <c r="K2335" s="23" t="s">
        <v>108</v>
      </c>
      <c r="L2335" s="24" t="s">
        <v>91</v>
      </c>
      <c r="M2335" s="2">
        <v>66.0</v>
      </c>
      <c r="N2335" s="25">
        <v>31.0</v>
      </c>
      <c r="O2335" s="25"/>
      <c r="P2335" s="25"/>
    </row>
    <row r="2336">
      <c r="A2336" s="16">
        <v>2334.0</v>
      </c>
      <c r="B2336" s="17" t="s">
        <v>1531</v>
      </c>
      <c r="C2336" s="18">
        <v>20.0</v>
      </c>
      <c r="D2336" s="19" t="s">
        <v>2241</v>
      </c>
      <c r="E2336" s="20" t="s">
        <v>443</v>
      </c>
      <c r="F2336" s="17" t="s">
        <v>156</v>
      </c>
      <c r="G2336" s="17" t="s">
        <v>157</v>
      </c>
      <c r="H2336" s="17" t="s">
        <v>159</v>
      </c>
      <c r="I2336" s="17" t="s">
        <v>125</v>
      </c>
      <c r="J2336" s="22" t="s">
        <v>144</v>
      </c>
      <c r="K2336" s="23" t="s">
        <v>108</v>
      </c>
      <c r="L2336" s="24" t="s">
        <v>91</v>
      </c>
      <c r="M2336" s="2">
        <v>66.0</v>
      </c>
      <c r="N2336" s="25">
        <v>31.0</v>
      </c>
      <c r="O2336" s="25"/>
      <c r="P2336" s="25"/>
    </row>
    <row r="2337">
      <c r="A2337" s="16">
        <v>2335.0</v>
      </c>
      <c r="B2337" s="17" t="s">
        <v>1531</v>
      </c>
      <c r="C2337" s="18">
        <v>21.0</v>
      </c>
      <c r="D2337" s="19" t="s">
        <v>2241</v>
      </c>
      <c r="E2337" s="20" t="s">
        <v>443</v>
      </c>
      <c r="F2337" s="17" t="s">
        <v>544</v>
      </c>
      <c r="G2337" s="17" t="s">
        <v>4978</v>
      </c>
      <c r="H2337" s="17" t="s">
        <v>4963</v>
      </c>
      <c r="I2337" s="17" t="s">
        <v>125</v>
      </c>
      <c r="J2337" s="22" t="s">
        <v>144</v>
      </c>
      <c r="K2337" s="23" t="s">
        <v>108</v>
      </c>
      <c r="L2337" s="24" t="s">
        <v>91</v>
      </c>
      <c r="M2337" s="2">
        <v>66.0</v>
      </c>
      <c r="N2337" s="25">
        <v>31.0</v>
      </c>
      <c r="O2337" s="25"/>
      <c r="P2337" s="25"/>
    </row>
    <row r="2338">
      <c r="A2338" s="16">
        <v>2336.0</v>
      </c>
      <c r="B2338" s="17" t="s">
        <v>1531</v>
      </c>
      <c r="C2338" s="18">
        <v>22.0</v>
      </c>
      <c r="D2338" s="19" t="s">
        <v>2241</v>
      </c>
      <c r="E2338" s="20" t="s">
        <v>443</v>
      </c>
      <c r="F2338" s="17" t="s">
        <v>748</v>
      </c>
      <c r="G2338" s="17" t="s">
        <v>4791</v>
      </c>
      <c r="H2338" s="17" t="s">
        <v>4792</v>
      </c>
      <c r="I2338" s="17" t="s">
        <v>125</v>
      </c>
      <c r="J2338" s="22" t="s">
        <v>144</v>
      </c>
      <c r="K2338" s="23" t="s">
        <v>108</v>
      </c>
      <c r="L2338" s="24" t="s">
        <v>91</v>
      </c>
      <c r="M2338" s="2">
        <v>66.0</v>
      </c>
      <c r="N2338" s="25">
        <v>31.0</v>
      </c>
      <c r="O2338" s="25"/>
      <c r="P2338" s="25"/>
    </row>
    <row r="2339">
      <c r="A2339" s="16">
        <v>2337.0</v>
      </c>
      <c r="B2339" s="17" t="s">
        <v>1531</v>
      </c>
      <c r="C2339" s="18">
        <v>23.0</v>
      </c>
      <c r="D2339" s="19" t="s">
        <v>2241</v>
      </c>
      <c r="E2339" s="20" t="s">
        <v>443</v>
      </c>
      <c r="F2339" s="17" t="s">
        <v>741</v>
      </c>
      <c r="G2339" s="17" t="s">
        <v>4726</v>
      </c>
      <c r="H2339" s="17" t="s">
        <v>4727</v>
      </c>
      <c r="I2339" s="17" t="s">
        <v>125</v>
      </c>
      <c r="J2339" s="22" t="s">
        <v>144</v>
      </c>
      <c r="K2339" s="23" t="s">
        <v>108</v>
      </c>
      <c r="L2339" s="24" t="s">
        <v>91</v>
      </c>
      <c r="M2339" s="2">
        <v>66.0</v>
      </c>
      <c r="N2339" s="25">
        <v>31.0</v>
      </c>
      <c r="O2339" s="25"/>
      <c r="P2339" s="25"/>
    </row>
    <row r="2340">
      <c r="A2340" s="16">
        <v>2338.0</v>
      </c>
      <c r="B2340" s="17" t="s">
        <v>1531</v>
      </c>
      <c r="C2340" s="18">
        <v>24.0</v>
      </c>
      <c r="D2340" s="19" t="s">
        <v>2241</v>
      </c>
      <c r="E2340" s="20" t="s">
        <v>443</v>
      </c>
      <c r="F2340" s="17" t="s">
        <v>571</v>
      </c>
      <c r="G2340" s="17" t="s">
        <v>123</v>
      </c>
      <c r="H2340" s="17" t="s">
        <v>4838</v>
      </c>
      <c r="I2340" s="17" t="s">
        <v>125</v>
      </c>
      <c r="J2340" s="22" t="s">
        <v>144</v>
      </c>
      <c r="K2340" s="23" t="s">
        <v>108</v>
      </c>
      <c r="L2340" s="24" t="s">
        <v>91</v>
      </c>
      <c r="M2340" s="2">
        <v>66.0</v>
      </c>
      <c r="N2340" s="25">
        <v>31.0</v>
      </c>
      <c r="O2340" s="25"/>
      <c r="P2340" s="25"/>
    </row>
    <row r="2341">
      <c r="A2341" s="16">
        <v>2339.0</v>
      </c>
      <c r="B2341" s="17" t="s">
        <v>1531</v>
      </c>
      <c r="C2341" s="18">
        <v>25.0</v>
      </c>
      <c r="D2341" s="19" t="s">
        <v>2241</v>
      </c>
      <c r="E2341" s="20" t="s">
        <v>443</v>
      </c>
      <c r="F2341" s="17" t="s">
        <v>131</v>
      </c>
      <c r="G2341" s="17" t="s">
        <v>4744</v>
      </c>
      <c r="H2341" s="17" t="s">
        <v>4745</v>
      </c>
      <c r="I2341" s="17" t="s">
        <v>125</v>
      </c>
      <c r="J2341" s="22" t="s">
        <v>144</v>
      </c>
      <c r="K2341" s="23" t="s">
        <v>108</v>
      </c>
      <c r="L2341" s="24" t="s">
        <v>91</v>
      </c>
      <c r="M2341" s="2">
        <v>66.0</v>
      </c>
      <c r="N2341" s="25">
        <v>31.0</v>
      </c>
      <c r="O2341" s="25"/>
      <c r="P2341" s="25"/>
    </row>
    <row r="2342">
      <c r="A2342" s="16">
        <v>2340.0</v>
      </c>
      <c r="B2342" s="17" t="s">
        <v>1531</v>
      </c>
      <c r="C2342" s="18">
        <v>26.0</v>
      </c>
      <c r="D2342" s="19" t="s">
        <v>2241</v>
      </c>
      <c r="E2342" s="20" t="s">
        <v>443</v>
      </c>
      <c r="F2342" s="17" t="s">
        <v>980</v>
      </c>
      <c r="G2342" s="17" t="s">
        <v>4981</v>
      </c>
      <c r="H2342" s="17" t="s">
        <v>4707</v>
      </c>
      <c r="I2342" s="17" t="s">
        <v>125</v>
      </c>
      <c r="J2342" s="22" t="s">
        <v>144</v>
      </c>
      <c r="K2342" s="23" t="s">
        <v>108</v>
      </c>
      <c r="L2342" s="24" t="s">
        <v>91</v>
      </c>
      <c r="M2342" s="2">
        <v>66.0</v>
      </c>
      <c r="N2342" s="25">
        <v>31.0</v>
      </c>
      <c r="O2342" s="25"/>
      <c r="P2342" s="25"/>
    </row>
    <row r="2343">
      <c r="A2343" s="16">
        <v>2341.0</v>
      </c>
      <c r="B2343" s="17" t="s">
        <v>1531</v>
      </c>
      <c r="C2343" s="18">
        <v>27.0</v>
      </c>
      <c r="D2343" s="19" t="s">
        <v>2241</v>
      </c>
      <c r="E2343" s="20" t="s">
        <v>443</v>
      </c>
      <c r="F2343" s="17" t="s">
        <v>71</v>
      </c>
      <c r="G2343" s="17" t="s">
        <v>4753</v>
      </c>
      <c r="H2343" s="17" t="s">
        <v>4754</v>
      </c>
      <c r="I2343" s="17" t="s">
        <v>125</v>
      </c>
      <c r="J2343" s="22" t="s">
        <v>144</v>
      </c>
      <c r="K2343" s="23" t="s">
        <v>108</v>
      </c>
      <c r="L2343" s="24" t="s">
        <v>91</v>
      </c>
      <c r="M2343" s="2">
        <v>66.0</v>
      </c>
      <c r="N2343" s="25">
        <v>31.0</v>
      </c>
      <c r="O2343" s="25"/>
      <c r="P2343" s="25"/>
    </row>
    <row r="2344">
      <c r="A2344" s="16">
        <v>2342.0</v>
      </c>
      <c r="B2344" s="17" t="s">
        <v>1531</v>
      </c>
      <c r="C2344" s="18">
        <v>28.0</v>
      </c>
      <c r="D2344" s="19" t="s">
        <v>2241</v>
      </c>
      <c r="E2344" s="20" t="s">
        <v>443</v>
      </c>
      <c r="F2344" s="17" t="s">
        <v>513</v>
      </c>
      <c r="G2344" s="17" t="s">
        <v>4719</v>
      </c>
      <c r="H2344" s="17" t="s">
        <v>4720</v>
      </c>
      <c r="I2344" s="17" t="s">
        <v>125</v>
      </c>
      <c r="J2344" s="22" t="s">
        <v>144</v>
      </c>
      <c r="K2344" s="23" t="s">
        <v>108</v>
      </c>
      <c r="L2344" s="24" t="s">
        <v>91</v>
      </c>
      <c r="M2344" s="2">
        <v>66.0</v>
      </c>
      <c r="N2344" s="25">
        <v>31.0</v>
      </c>
      <c r="O2344" s="25"/>
      <c r="P2344" s="25"/>
    </row>
    <row r="2345">
      <c r="A2345" s="16">
        <v>2343.0</v>
      </c>
      <c r="B2345" s="17" t="s">
        <v>1531</v>
      </c>
      <c r="C2345" s="18">
        <v>29.0</v>
      </c>
      <c r="D2345" s="19" t="s">
        <v>2241</v>
      </c>
      <c r="E2345" s="20" t="s">
        <v>443</v>
      </c>
      <c r="F2345" s="17" t="s">
        <v>596</v>
      </c>
      <c r="G2345" s="17" t="s">
        <v>4721</v>
      </c>
      <c r="H2345" s="17" t="s">
        <v>4722</v>
      </c>
      <c r="I2345" s="17" t="s">
        <v>125</v>
      </c>
      <c r="J2345" s="22" t="s">
        <v>144</v>
      </c>
      <c r="K2345" s="23" t="s">
        <v>108</v>
      </c>
      <c r="L2345" s="24" t="s">
        <v>91</v>
      </c>
      <c r="M2345" s="2">
        <v>66.0</v>
      </c>
      <c r="N2345" s="25">
        <v>31.0</v>
      </c>
      <c r="O2345" s="25"/>
      <c r="P2345" s="25"/>
    </row>
    <row r="2346">
      <c r="A2346" s="16">
        <v>2344.0</v>
      </c>
      <c r="B2346" s="17" t="s">
        <v>1531</v>
      </c>
      <c r="C2346" s="18">
        <v>30.0</v>
      </c>
      <c r="D2346" s="19" t="s">
        <v>2241</v>
      </c>
      <c r="E2346" s="20" t="s">
        <v>443</v>
      </c>
      <c r="F2346" s="17" t="s">
        <v>51</v>
      </c>
      <c r="G2346" s="17" t="s">
        <v>4763</v>
      </c>
      <c r="H2346" s="17" t="s">
        <v>4764</v>
      </c>
      <c r="I2346" s="17" t="s">
        <v>125</v>
      </c>
      <c r="J2346" s="22" t="s">
        <v>144</v>
      </c>
      <c r="K2346" s="23" t="s">
        <v>108</v>
      </c>
      <c r="L2346" s="24" t="s">
        <v>91</v>
      </c>
      <c r="M2346" s="2">
        <v>66.0</v>
      </c>
      <c r="N2346" s="25">
        <v>31.0</v>
      </c>
      <c r="O2346" s="25"/>
      <c r="P2346" s="25"/>
    </row>
    <row r="2347">
      <c r="A2347" s="16">
        <v>2345.0</v>
      </c>
      <c r="B2347" s="17" t="s">
        <v>1531</v>
      </c>
      <c r="C2347" s="18">
        <v>31.0</v>
      </c>
      <c r="D2347" s="19" t="s">
        <v>2241</v>
      </c>
      <c r="E2347" s="20" t="s">
        <v>443</v>
      </c>
      <c r="F2347" s="17" t="s">
        <v>186</v>
      </c>
      <c r="G2347" s="17" t="s">
        <v>4776</v>
      </c>
      <c r="H2347" s="17" t="s">
        <v>4777</v>
      </c>
      <c r="I2347" s="17" t="s">
        <v>125</v>
      </c>
      <c r="J2347" s="22" t="s">
        <v>144</v>
      </c>
      <c r="K2347" s="23" t="s">
        <v>108</v>
      </c>
      <c r="L2347" s="24" t="s">
        <v>91</v>
      </c>
      <c r="M2347" s="2">
        <v>66.0</v>
      </c>
      <c r="N2347" s="25">
        <v>31.0</v>
      </c>
      <c r="O2347" s="25"/>
      <c r="P2347" s="25"/>
    </row>
    <row r="2348">
      <c r="A2348" s="16">
        <v>2346.0</v>
      </c>
      <c r="B2348" s="17" t="s">
        <v>1531</v>
      </c>
      <c r="C2348" s="18">
        <v>32.0</v>
      </c>
      <c r="D2348" s="19" t="s">
        <v>2241</v>
      </c>
      <c r="E2348" s="20" t="s">
        <v>443</v>
      </c>
      <c r="F2348" s="17" t="s">
        <v>383</v>
      </c>
      <c r="G2348" s="17" t="s">
        <v>4693</v>
      </c>
      <c r="H2348" s="17" t="s">
        <v>4694</v>
      </c>
      <c r="I2348" s="17" t="s">
        <v>125</v>
      </c>
      <c r="J2348" s="22" t="s">
        <v>144</v>
      </c>
      <c r="K2348" s="23" t="s">
        <v>108</v>
      </c>
      <c r="L2348" s="24" t="s">
        <v>91</v>
      </c>
      <c r="M2348" s="2">
        <v>66.0</v>
      </c>
      <c r="N2348" s="25">
        <v>31.0</v>
      </c>
      <c r="O2348" s="25"/>
      <c r="P2348" s="25"/>
    </row>
    <row r="2349">
      <c r="A2349" s="16">
        <v>2347.0</v>
      </c>
      <c r="B2349" s="17" t="s">
        <v>1531</v>
      </c>
      <c r="C2349" s="18">
        <v>33.0</v>
      </c>
      <c r="D2349" s="19" t="s">
        <v>2241</v>
      </c>
      <c r="E2349" s="20" t="s">
        <v>443</v>
      </c>
      <c r="F2349" s="17" t="s">
        <v>909</v>
      </c>
      <c r="G2349" s="17" t="s">
        <v>4793</v>
      </c>
      <c r="H2349" s="17" t="s">
        <v>4794</v>
      </c>
      <c r="I2349" s="17" t="s">
        <v>125</v>
      </c>
      <c r="J2349" s="22" t="s">
        <v>144</v>
      </c>
      <c r="K2349" s="23" t="s">
        <v>108</v>
      </c>
      <c r="L2349" s="24" t="s">
        <v>91</v>
      </c>
      <c r="M2349" s="2">
        <v>66.0</v>
      </c>
      <c r="N2349" s="25">
        <v>31.0</v>
      </c>
      <c r="O2349" s="25"/>
      <c r="P2349" s="25"/>
    </row>
    <row r="2350">
      <c r="A2350" s="16">
        <v>2348.0</v>
      </c>
      <c r="B2350" s="17" t="s">
        <v>1531</v>
      </c>
      <c r="C2350" s="18">
        <v>34.0</v>
      </c>
      <c r="D2350" s="19" t="s">
        <v>2241</v>
      </c>
      <c r="E2350" s="20" t="s">
        <v>443</v>
      </c>
      <c r="F2350" s="17" t="s">
        <v>400</v>
      </c>
      <c r="G2350" s="17" t="s">
        <v>4713</v>
      </c>
      <c r="H2350" s="17" t="s">
        <v>4714</v>
      </c>
      <c r="I2350" s="17" t="s">
        <v>125</v>
      </c>
      <c r="J2350" s="22" t="s">
        <v>144</v>
      </c>
      <c r="K2350" s="23" t="s">
        <v>108</v>
      </c>
      <c r="L2350" s="24" t="s">
        <v>91</v>
      </c>
      <c r="M2350" s="2">
        <v>66.0</v>
      </c>
      <c r="N2350" s="25">
        <v>31.0</v>
      </c>
      <c r="O2350" s="25"/>
      <c r="P2350" s="25"/>
    </row>
    <row r="2351">
      <c r="A2351" s="16">
        <v>2349.0</v>
      </c>
      <c r="B2351" s="17" t="s">
        <v>1531</v>
      </c>
      <c r="C2351" s="18">
        <v>35.0</v>
      </c>
      <c r="D2351" s="19" t="s">
        <v>2241</v>
      </c>
      <c r="E2351" s="20" t="s">
        <v>443</v>
      </c>
      <c r="F2351" s="17" t="s">
        <v>243</v>
      </c>
      <c r="G2351" s="17" t="s">
        <v>5257</v>
      </c>
      <c r="H2351" s="17" t="s">
        <v>5258</v>
      </c>
      <c r="I2351" s="17" t="s">
        <v>125</v>
      </c>
      <c r="J2351" s="22" t="s">
        <v>144</v>
      </c>
      <c r="K2351" s="23" t="s">
        <v>108</v>
      </c>
      <c r="L2351" s="24" t="s">
        <v>91</v>
      </c>
      <c r="M2351" s="2">
        <v>66.0</v>
      </c>
      <c r="N2351" s="25">
        <v>31.0</v>
      </c>
      <c r="O2351" s="25"/>
      <c r="P2351" s="25"/>
    </row>
    <row r="2352">
      <c r="A2352" s="16">
        <v>2350.0</v>
      </c>
      <c r="B2352" s="17" t="s">
        <v>1531</v>
      </c>
      <c r="C2352" s="18">
        <v>36.0</v>
      </c>
      <c r="D2352" s="19" t="s">
        <v>2241</v>
      </c>
      <c r="E2352" s="20" t="s">
        <v>443</v>
      </c>
      <c r="F2352" s="17" t="s">
        <v>905</v>
      </c>
      <c r="G2352" s="17" t="s">
        <v>4515</v>
      </c>
      <c r="H2352" s="17" t="s">
        <v>4597</v>
      </c>
      <c r="I2352" s="17" t="s">
        <v>125</v>
      </c>
      <c r="J2352" s="22" t="s">
        <v>144</v>
      </c>
      <c r="K2352" s="23" t="s">
        <v>108</v>
      </c>
      <c r="L2352" s="24" t="s">
        <v>91</v>
      </c>
      <c r="M2352" s="2">
        <v>66.0</v>
      </c>
      <c r="N2352" s="25">
        <v>31.0</v>
      </c>
      <c r="O2352" s="25"/>
      <c r="P2352" s="25"/>
    </row>
    <row r="2353">
      <c r="A2353" s="16">
        <v>2351.0</v>
      </c>
      <c r="B2353" s="17" t="s">
        <v>1531</v>
      </c>
      <c r="C2353" s="18">
        <v>37.0</v>
      </c>
      <c r="D2353" s="19" t="s">
        <v>2241</v>
      </c>
      <c r="E2353" s="20" t="s">
        <v>443</v>
      </c>
      <c r="F2353" s="17" t="s">
        <v>579</v>
      </c>
      <c r="G2353" s="17" t="s">
        <v>5259</v>
      </c>
      <c r="H2353" s="17" t="s">
        <v>5260</v>
      </c>
      <c r="I2353" s="17" t="s">
        <v>125</v>
      </c>
      <c r="J2353" s="22" t="s">
        <v>144</v>
      </c>
      <c r="K2353" s="23" t="s">
        <v>108</v>
      </c>
      <c r="L2353" s="24" t="s">
        <v>91</v>
      </c>
      <c r="M2353" s="2">
        <v>66.0</v>
      </c>
      <c r="N2353" s="25">
        <v>31.0</v>
      </c>
      <c r="O2353" s="25"/>
      <c r="P2353" s="25"/>
    </row>
    <row r="2354">
      <c r="A2354" s="16">
        <v>2352.0</v>
      </c>
      <c r="B2354" s="17" t="s">
        <v>1531</v>
      </c>
      <c r="C2354" s="18">
        <v>38.0</v>
      </c>
      <c r="D2354" s="19" t="s">
        <v>2241</v>
      </c>
      <c r="E2354" s="20" t="s">
        <v>443</v>
      </c>
      <c r="F2354" s="17" t="s">
        <v>807</v>
      </c>
      <c r="G2354" s="17" t="s">
        <v>4844</v>
      </c>
      <c r="H2354" s="17" t="s">
        <v>4845</v>
      </c>
      <c r="I2354" s="17" t="s">
        <v>125</v>
      </c>
      <c r="J2354" s="22" t="s">
        <v>144</v>
      </c>
      <c r="K2354" s="23" t="s">
        <v>108</v>
      </c>
      <c r="L2354" s="24" t="s">
        <v>91</v>
      </c>
      <c r="M2354" s="2">
        <v>66.0</v>
      </c>
      <c r="N2354" s="25">
        <v>31.0</v>
      </c>
      <c r="O2354" s="25"/>
      <c r="P2354" s="25"/>
    </row>
    <row r="2355">
      <c r="A2355" s="16">
        <v>2353.0</v>
      </c>
      <c r="B2355" s="17" t="s">
        <v>1531</v>
      </c>
      <c r="C2355" s="18">
        <v>39.0</v>
      </c>
      <c r="D2355" s="19" t="s">
        <v>2241</v>
      </c>
      <c r="E2355" s="20" t="s">
        <v>443</v>
      </c>
      <c r="F2355" s="17" t="s">
        <v>853</v>
      </c>
      <c r="G2355" s="17" t="s">
        <v>5261</v>
      </c>
      <c r="H2355" s="17" t="s">
        <v>5262</v>
      </c>
      <c r="I2355" s="17" t="s">
        <v>125</v>
      </c>
      <c r="J2355" s="22" t="s">
        <v>144</v>
      </c>
      <c r="K2355" s="23" t="s">
        <v>108</v>
      </c>
      <c r="L2355" s="24" t="s">
        <v>91</v>
      </c>
      <c r="M2355" s="2">
        <v>66.0</v>
      </c>
      <c r="N2355" s="25">
        <v>31.0</v>
      </c>
      <c r="O2355" s="25"/>
      <c r="P2355" s="25"/>
    </row>
    <row r="2356">
      <c r="A2356" s="16">
        <v>2354.0</v>
      </c>
      <c r="B2356" s="17" t="s">
        <v>1531</v>
      </c>
      <c r="C2356" s="18">
        <v>40.0</v>
      </c>
      <c r="D2356" s="19" t="s">
        <v>2241</v>
      </c>
      <c r="E2356" s="20" t="s">
        <v>443</v>
      </c>
      <c r="F2356" s="17" t="s">
        <v>885</v>
      </c>
      <c r="G2356" s="17" t="s">
        <v>3202</v>
      </c>
      <c r="H2356" s="17" t="s">
        <v>4765</v>
      </c>
      <c r="I2356" s="17" t="s">
        <v>125</v>
      </c>
      <c r="J2356" s="22" t="s">
        <v>144</v>
      </c>
      <c r="K2356" s="23" t="s">
        <v>108</v>
      </c>
      <c r="L2356" s="24" t="s">
        <v>91</v>
      </c>
      <c r="M2356" s="2">
        <v>66.0</v>
      </c>
      <c r="N2356" s="25">
        <v>31.0</v>
      </c>
      <c r="O2356" s="25"/>
      <c r="P2356" s="25"/>
    </row>
    <row r="2357">
      <c r="A2357" s="16">
        <v>2355.0</v>
      </c>
      <c r="B2357" s="17" t="s">
        <v>1531</v>
      </c>
      <c r="C2357" s="18">
        <v>41.0</v>
      </c>
      <c r="D2357" s="19" t="s">
        <v>2241</v>
      </c>
      <c r="E2357" s="20" t="s">
        <v>443</v>
      </c>
      <c r="F2357" s="17" t="s">
        <v>527</v>
      </c>
      <c r="G2357" s="17" t="s">
        <v>4908</v>
      </c>
      <c r="H2357" s="17" t="s">
        <v>4894</v>
      </c>
      <c r="I2357" s="17" t="s">
        <v>125</v>
      </c>
      <c r="J2357" s="22" t="s">
        <v>144</v>
      </c>
      <c r="K2357" s="23" t="s">
        <v>108</v>
      </c>
      <c r="L2357" s="24" t="s">
        <v>91</v>
      </c>
      <c r="M2357" s="2">
        <v>66.0</v>
      </c>
      <c r="N2357" s="25">
        <v>31.0</v>
      </c>
      <c r="O2357" s="25"/>
      <c r="P2357" s="25"/>
    </row>
    <row r="2358">
      <c r="A2358" s="16">
        <v>2356.0</v>
      </c>
      <c r="B2358" s="17" t="s">
        <v>1531</v>
      </c>
      <c r="C2358" s="18">
        <v>42.0</v>
      </c>
      <c r="D2358" s="19" t="s">
        <v>2241</v>
      </c>
      <c r="E2358" s="20" t="s">
        <v>443</v>
      </c>
      <c r="F2358" s="17" t="s">
        <v>913</v>
      </c>
      <c r="G2358" s="17" t="s">
        <v>123</v>
      </c>
      <c r="H2358" s="17" t="s">
        <v>4846</v>
      </c>
      <c r="I2358" s="17" t="s">
        <v>125</v>
      </c>
      <c r="J2358" s="22" t="s">
        <v>144</v>
      </c>
      <c r="K2358" s="23" t="s">
        <v>108</v>
      </c>
      <c r="L2358" s="24" t="s">
        <v>91</v>
      </c>
      <c r="M2358" s="2">
        <v>66.0</v>
      </c>
      <c r="N2358" s="25">
        <v>31.0</v>
      </c>
      <c r="O2358" s="25"/>
      <c r="P2358" s="25"/>
    </row>
    <row r="2359">
      <c r="A2359" s="16">
        <v>2357.0</v>
      </c>
      <c r="B2359" s="17" t="s">
        <v>1531</v>
      </c>
      <c r="C2359" s="18">
        <v>43.0</v>
      </c>
      <c r="D2359" s="19" t="s">
        <v>2241</v>
      </c>
      <c r="E2359" s="20" t="s">
        <v>443</v>
      </c>
      <c r="F2359" s="17" t="s">
        <v>477</v>
      </c>
      <c r="G2359" s="17" t="s">
        <v>4729</v>
      </c>
      <c r="H2359" s="17" t="s">
        <v>4730</v>
      </c>
      <c r="I2359" s="17" t="s">
        <v>125</v>
      </c>
      <c r="J2359" s="22" t="s">
        <v>144</v>
      </c>
      <c r="K2359" s="23" t="s">
        <v>108</v>
      </c>
      <c r="L2359" s="24" t="s">
        <v>91</v>
      </c>
      <c r="M2359" s="2">
        <v>66.0</v>
      </c>
      <c r="N2359" s="25">
        <v>31.0</v>
      </c>
      <c r="O2359" s="25"/>
      <c r="P2359" s="25"/>
    </row>
    <row r="2360">
      <c r="A2360" s="16">
        <v>2358.0</v>
      </c>
      <c r="B2360" s="17" t="s">
        <v>1531</v>
      </c>
      <c r="C2360" s="18">
        <v>44.0</v>
      </c>
      <c r="D2360" s="19" t="s">
        <v>2241</v>
      </c>
      <c r="E2360" s="20" t="s">
        <v>443</v>
      </c>
      <c r="F2360" s="17" t="s">
        <v>987</v>
      </c>
      <c r="G2360" s="17" t="s">
        <v>2804</v>
      </c>
      <c r="H2360" s="17" t="s">
        <v>4864</v>
      </c>
      <c r="I2360" s="17" t="s">
        <v>125</v>
      </c>
      <c r="J2360" s="22" t="s">
        <v>144</v>
      </c>
      <c r="K2360" s="23" t="s">
        <v>108</v>
      </c>
      <c r="L2360" s="24" t="s">
        <v>91</v>
      </c>
      <c r="M2360" s="2">
        <v>66.0</v>
      </c>
      <c r="N2360" s="25">
        <v>31.0</v>
      </c>
      <c r="O2360" s="25"/>
      <c r="P2360" s="25"/>
    </row>
    <row r="2361">
      <c r="A2361" s="16">
        <v>2359.0</v>
      </c>
      <c r="B2361" s="17" t="s">
        <v>1531</v>
      </c>
      <c r="C2361" s="18">
        <v>45.0</v>
      </c>
      <c r="D2361" s="19" t="s">
        <v>2241</v>
      </c>
      <c r="E2361" s="20" t="s">
        <v>443</v>
      </c>
      <c r="F2361" s="17" t="s">
        <v>764</v>
      </c>
      <c r="G2361" s="17" t="s">
        <v>4944</v>
      </c>
      <c r="H2361" s="17" t="s">
        <v>4945</v>
      </c>
      <c r="I2361" s="17" t="s">
        <v>125</v>
      </c>
      <c r="J2361" s="22" t="s">
        <v>144</v>
      </c>
      <c r="K2361" s="23" t="s">
        <v>108</v>
      </c>
      <c r="L2361" s="24" t="s">
        <v>91</v>
      </c>
      <c r="M2361" s="2">
        <v>66.0</v>
      </c>
      <c r="N2361" s="25">
        <v>31.0</v>
      </c>
      <c r="O2361" s="25"/>
      <c r="P2361" s="25"/>
    </row>
    <row r="2362">
      <c r="A2362" s="16">
        <v>2360.0</v>
      </c>
      <c r="B2362" s="17" t="s">
        <v>1531</v>
      </c>
      <c r="C2362" s="18">
        <v>46.0</v>
      </c>
      <c r="D2362" s="19" t="s">
        <v>2241</v>
      </c>
      <c r="E2362" s="20" t="s">
        <v>443</v>
      </c>
      <c r="F2362" s="17" t="s">
        <v>1151</v>
      </c>
      <c r="G2362" s="17" t="s">
        <v>4808</v>
      </c>
      <c r="H2362" s="17" t="s">
        <v>4809</v>
      </c>
      <c r="I2362" s="17" t="s">
        <v>125</v>
      </c>
      <c r="J2362" s="22" t="s">
        <v>144</v>
      </c>
      <c r="K2362" s="23" t="s">
        <v>108</v>
      </c>
      <c r="L2362" s="24" t="s">
        <v>91</v>
      </c>
      <c r="M2362" s="2">
        <v>66.0</v>
      </c>
      <c r="N2362" s="25">
        <v>31.0</v>
      </c>
      <c r="O2362" s="25"/>
      <c r="P2362" s="25"/>
    </row>
    <row r="2363">
      <c r="A2363" s="16">
        <v>2361.0</v>
      </c>
      <c r="B2363" s="17" t="s">
        <v>1531</v>
      </c>
      <c r="C2363" s="18">
        <v>47.0</v>
      </c>
      <c r="D2363" s="19" t="s">
        <v>2241</v>
      </c>
      <c r="E2363" s="20" t="s">
        <v>443</v>
      </c>
      <c r="F2363" s="17" t="s">
        <v>309</v>
      </c>
      <c r="G2363" s="17" t="s">
        <v>4759</v>
      </c>
      <c r="H2363" s="17" t="s">
        <v>4760</v>
      </c>
      <c r="I2363" s="17" t="s">
        <v>125</v>
      </c>
      <c r="J2363" s="22" t="s">
        <v>144</v>
      </c>
      <c r="K2363" s="23" t="s">
        <v>108</v>
      </c>
      <c r="L2363" s="24" t="s">
        <v>91</v>
      </c>
      <c r="M2363" s="2">
        <v>66.0</v>
      </c>
      <c r="N2363" s="25">
        <v>31.0</v>
      </c>
      <c r="O2363" s="25"/>
      <c r="P2363" s="25"/>
    </row>
    <row r="2364">
      <c r="A2364" s="16">
        <v>2362.0</v>
      </c>
      <c r="B2364" s="17" t="s">
        <v>1531</v>
      </c>
      <c r="C2364" s="18">
        <v>48.0</v>
      </c>
      <c r="D2364" s="19" t="s">
        <v>2241</v>
      </c>
      <c r="E2364" s="20" t="s">
        <v>443</v>
      </c>
      <c r="F2364" s="17" t="s">
        <v>938</v>
      </c>
      <c r="G2364" s="17" t="s">
        <v>123</v>
      </c>
      <c r="H2364" s="17" t="s">
        <v>5263</v>
      </c>
      <c r="I2364" s="17" t="s">
        <v>125</v>
      </c>
      <c r="J2364" s="22" t="s">
        <v>144</v>
      </c>
      <c r="K2364" s="23" t="s">
        <v>108</v>
      </c>
      <c r="L2364" s="24" t="s">
        <v>91</v>
      </c>
      <c r="M2364" s="2">
        <v>66.0</v>
      </c>
      <c r="N2364" s="25">
        <v>31.0</v>
      </c>
      <c r="O2364" s="25"/>
      <c r="P2364" s="25"/>
    </row>
    <row r="2365">
      <c r="A2365" s="16">
        <v>2363.0</v>
      </c>
      <c r="B2365" s="17" t="s">
        <v>1531</v>
      </c>
      <c r="C2365" s="18">
        <v>49.0</v>
      </c>
      <c r="D2365" s="19" t="s">
        <v>2241</v>
      </c>
      <c r="E2365" s="20" t="s">
        <v>443</v>
      </c>
      <c r="F2365" s="17" t="s">
        <v>1013</v>
      </c>
      <c r="G2365" s="17" t="s">
        <v>123</v>
      </c>
      <c r="H2365" s="17" t="s">
        <v>5264</v>
      </c>
      <c r="I2365" s="17" t="s">
        <v>125</v>
      </c>
      <c r="J2365" s="22" t="s">
        <v>144</v>
      </c>
      <c r="K2365" s="23" t="s">
        <v>108</v>
      </c>
      <c r="L2365" s="24" t="s">
        <v>91</v>
      </c>
      <c r="M2365" s="2">
        <v>66.0</v>
      </c>
      <c r="N2365" s="25">
        <v>31.0</v>
      </c>
      <c r="O2365" s="25"/>
      <c r="P2365" s="25"/>
    </row>
    <row r="2366">
      <c r="A2366" s="16">
        <v>2364.0</v>
      </c>
      <c r="B2366" s="17" t="s">
        <v>1531</v>
      </c>
      <c r="C2366" s="18">
        <v>50.0</v>
      </c>
      <c r="D2366" s="19" t="s">
        <v>2241</v>
      </c>
      <c r="E2366" s="20" t="s">
        <v>443</v>
      </c>
      <c r="F2366" s="17" t="s">
        <v>154</v>
      </c>
      <c r="G2366" s="17" t="s">
        <v>4836</v>
      </c>
      <c r="H2366" s="17" t="s">
        <v>4837</v>
      </c>
      <c r="I2366" s="17" t="s">
        <v>125</v>
      </c>
      <c r="J2366" s="22" t="s">
        <v>144</v>
      </c>
      <c r="K2366" s="23" t="s">
        <v>108</v>
      </c>
      <c r="L2366" s="24" t="s">
        <v>91</v>
      </c>
      <c r="M2366" s="2">
        <v>66.0</v>
      </c>
      <c r="N2366" s="25">
        <v>31.0</v>
      </c>
      <c r="O2366" s="25"/>
      <c r="P2366" s="25"/>
    </row>
    <row r="2367">
      <c r="A2367" s="16">
        <v>2365.0</v>
      </c>
      <c r="B2367" s="17" t="s">
        <v>1531</v>
      </c>
      <c r="C2367" s="18">
        <v>51.0</v>
      </c>
      <c r="D2367" s="19" t="s">
        <v>2241</v>
      </c>
      <c r="E2367" s="20" t="s">
        <v>443</v>
      </c>
      <c r="F2367" s="17" t="s">
        <v>1069</v>
      </c>
      <c r="G2367" s="17" t="s">
        <v>4688</v>
      </c>
      <c r="H2367" s="17" t="s">
        <v>4689</v>
      </c>
      <c r="I2367" s="17" t="s">
        <v>125</v>
      </c>
      <c r="J2367" s="22" t="s">
        <v>144</v>
      </c>
      <c r="K2367" s="23" t="s">
        <v>108</v>
      </c>
      <c r="L2367" s="24" t="s">
        <v>91</v>
      </c>
      <c r="M2367" s="2">
        <v>66.0</v>
      </c>
      <c r="N2367" s="25">
        <v>31.0</v>
      </c>
      <c r="O2367" s="25"/>
      <c r="P2367" s="25"/>
    </row>
    <row r="2368">
      <c r="A2368" s="16">
        <v>2366.0</v>
      </c>
      <c r="B2368" s="17" t="s">
        <v>1531</v>
      </c>
      <c r="C2368" s="18">
        <v>52.0</v>
      </c>
      <c r="D2368" s="19" t="s">
        <v>2241</v>
      </c>
      <c r="E2368" s="20" t="s">
        <v>443</v>
      </c>
      <c r="F2368" s="17" t="s">
        <v>813</v>
      </c>
      <c r="G2368" s="17" t="s">
        <v>4914</v>
      </c>
      <c r="H2368" s="17" t="s">
        <v>4968</v>
      </c>
      <c r="I2368" s="17" t="s">
        <v>125</v>
      </c>
      <c r="J2368" s="22" t="s">
        <v>144</v>
      </c>
      <c r="K2368" s="23" t="s">
        <v>108</v>
      </c>
      <c r="L2368" s="24" t="s">
        <v>91</v>
      </c>
      <c r="M2368" s="2">
        <v>66.0</v>
      </c>
      <c r="N2368" s="25">
        <v>31.0</v>
      </c>
      <c r="O2368" s="25"/>
      <c r="P2368" s="25"/>
    </row>
    <row r="2369">
      <c r="A2369" s="16">
        <v>2367.0</v>
      </c>
      <c r="B2369" s="17" t="s">
        <v>1531</v>
      </c>
      <c r="C2369" s="18">
        <v>53.0</v>
      </c>
      <c r="D2369" s="19" t="s">
        <v>2241</v>
      </c>
      <c r="E2369" s="20" t="s">
        <v>443</v>
      </c>
      <c r="F2369" s="17" t="s">
        <v>494</v>
      </c>
      <c r="G2369" s="17" t="s">
        <v>4683</v>
      </c>
      <c r="H2369" s="17" t="s">
        <v>4684</v>
      </c>
      <c r="I2369" s="17" t="s">
        <v>125</v>
      </c>
      <c r="J2369" s="22" t="s">
        <v>144</v>
      </c>
      <c r="K2369" s="23" t="s">
        <v>108</v>
      </c>
      <c r="L2369" s="24" t="s">
        <v>91</v>
      </c>
      <c r="M2369" s="2">
        <v>66.0</v>
      </c>
      <c r="N2369" s="25">
        <v>31.0</v>
      </c>
      <c r="O2369" s="25"/>
      <c r="P2369" s="25"/>
    </row>
    <row r="2370">
      <c r="A2370" s="16">
        <v>2368.0</v>
      </c>
      <c r="B2370" s="17" t="s">
        <v>1531</v>
      </c>
      <c r="C2370" s="18">
        <v>54.0</v>
      </c>
      <c r="D2370" s="19" t="s">
        <v>2241</v>
      </c>
      <c r="E2370" s="20" t="s">
        <v>443</v>
      </c>
      <c r="F2370" s="17" t="s">
        <v>769</v>
      </c>
      <c r="G2370" s="17" t="s">
        <v>5216</v>
      </c>
      <c r="H2370" s="17" t="s">
        <v>5265</v>
      </c>
      <c r="I2370" s="17" t="s">
        <v>125</v>
      </c>
      <c r="J2370" s="22" t="s">
        <v>144</v>
      </c>
      <c r="K2370" s="23" t="s">
        <v>108</v>
      </c>
      <c r="L2370" s="24" t="s">
        <v>91</v>
      </c>
      <c r="M2370" s="2">
        <v>66.0</v>
      </c>
      <c r="N2370" s="25">
        <v>31.0</v>
      </c>
      <c r="O2370" s="25"/>
      <c r="P2370" s="25"/>
    </row>
    <row r="2371">
      <c r="A2371" s="16">
        <v>2369.0</v>
      </c>
      <c r="B2371" s="17" t="s">
        <v>1531</v>
      </c>
      <c r="C2371" s="18">
        <v>55.0</v>
      </c>
      <c r="D2371" s="19" t="s">
        <v>2241</v>
      </c>
      <c r="E2371" s="20" t="s">
        <v>443</v>
      </c>
      <c r="F2371" s="17" t="s">
        <v>1142</v>
      </c>
      <c r="G2371" s="17" t="s">
        <v>4865</v>
      </c>
      <c r="H2371" s="17" t="s">
        <v>4866</v>
      </c>
      <c r="I2371" s="17" t="s">
        <v>125</v>
      </c>
      <c r="J2371" s="22" t="s">
        <v>144</v>
      </c>
      <c r="K2371" s="23" t="s">
        <v>108</v>
      </c>
      <c r="L2371" s="24" t="s">
        <v>91</v>
      </c>
      <c r="M2371" s="2">
        <v>66.0</v>
      </c>
      <c r="N2371" s="25">
        <v>31.0</v>
      </c>
      <c r="O2371" s="25"/>
      <c r="P2371" s="25"/>
    </row>
    <row r="2372">
      <c r="A2372" s="16">
        <v>2370.0</v>
      </c>
      <c r="B2372" s="17" t="s">
        <v>1531</v>
      </c>
      <c r="C2372" s="18">
        <v>56.0</v>
      </c>
      <c r="D2372" s="19" t="s">
        <v>2241</v>
      </c>
      <c r="E2372" s="20" t="s">
        <v>443</v>
      </c>
      <c r="F2372" s="17" t="s">
        <v>86</v>
      </c>
      <c r="G2372" s="17" t="s">
        <v>4773</v>
      </c>
      <c r="H2372" s="17" t="s">
        <v>4774</v>
      </c>
      <c r="I2372" s="17" t="s">
        <v>125</v>
      </c>
      <c r="J2372" s="22" t="s">
        <v>144</v>
      </c>
      <c r="K2372" s="23" t="s">
        <v>108</v>
      </c>
      <c r="L2372" s="24" t="s">
        <v>91</v>
      </c>
      <c r="M2372" s="2">
        <v>66.0</v>
      </c>
      <c r="N2372" s="25">
        <v>31.0</v>
      </c>
      <c r="O2372" s="25"/>
      <c r="P2372" s="25"/>
    </row>
    <row r="2373">
      <c r="A2373" s="16">
        <v>2371.0</v>
      </c>
      <c r="B2373" s="27" t="s">
        <v>1531</v>
      </c>
      <c r="C2373" s="18">
        <v>57.0</v>
      </c>
      <c r="D2373" s="19" t="s">
        <v>2241</v>
      </c>
      <c r="E2373" s="20" t="s">
        <v>443</v>
      </c>
      <c r="F2373" s="27" t="s">
        <v>1373</v>
      </c>
      <c r="G2373" s="17" t="s">
        <v>3567</v>
      </c>
      <c r="H2373" s="17" t="s">
        <v>5266</v>
      </c>
      <c r="I2373" s="17" t="s">
        <v>125</v>
      </c>
      <c r="J2373" s="22" t="s">
        <v>144</v>
      </c>
      <c r="K2373" s="23" t="s">
        <v>108</v>
      </c>
      <c r="L2373" s="24"/>
      <c r="M2373" s="2">
        <v>66.0</v>
      </c>
      <c r="N2373" s="25">
        <v>31.0</v>
      </c>
      <c r="O2373" s="25"/>
      <c r="P2373" s="25"/>
    </row>
    <row r="2374">
      <c r="A2374" s="16">
        <v>2372.0</v>
      </c>
      <c r="B2374" s="27" t="s">
        <v>1531</v>
      </c>
      <c r="C2374" s="18">
        <v>58.0</v>
      </c>
      <c r="D2374" s="19" t="s">
        <v>2241</v>
      </c>
      <c r="E2374" s="20" t="s">
        <v>443</v>
      </c>
      <c r="F2374" s="27" t="s">
        <v>1147</v>
      </c>
      <c r="G2374" s="17" t="s">
        <v>5267</v>
      </c>
      <c r="H2374" s="17" t="s">
        <v>5268</v>
      </c>
      <c r="I2374" s="17" t="s">
        <v>125</v>
      </c>
      <c r="J2374" s="22" t="s">
        <v>144</v>
      </c>
      <c r="K2374" s="23" t="s">
        <v>108</v>
      </c>
      <c r="L2374" s="24"/>
      <c r="M2374" s="2">
        <v>66.0</v>
      </c>
      <c r="N2374" s="25">
        <v>31.0</v>
      </c>
      <c r="O2374" s="25"/>
      <c r="P2374" s="25"/>
    </row>
    <row r="2375">
      <c r="A2375" s="16">
        <v>2373.0</v>
      </c>
      <c r="B2375" s="27" t="s">
        <v>1531</v>
      </c>
      <c r="C2375" s="18">
        <v>59.0</v>
      </c>
      <c r="D2375" s="19" t="s">
        <v>2241</v>
      </c>
      <c r="E2375" s="20" t="s">
        <v>443</v>
      </c>
      <c r="F2375" s="27" t="s">
        <v>1042</v>
      </c>
      <c r="G2375" s="17" t="s">
        <v>4787</v>
      </c>
      <c r="H2375" s="17" t="s">
        <v>4788</v>
      </c>
      <c r="I2375" s="17" t="s">
        <v>125</v>
      </c>
      <c r="J2375" s="22" t="s">
        <v>144</v>
      </c>
      <c r="K2375" s="23" t="s">
        <v>108</v>
      </c>
      <c r="L2375" s="24"/>
      <c r="M2375" s="2">
        <v>66.0</v>
      </c>
      <c r="N2375" s="25">
        <v>31.0</v>
      </c>
      <c r="O2375" s="25"/>
      <c r="P2375" s="25"/>
    </row>
    <row r="2376">
      <c r="A2376" s="16">
        <v>2374.0</v>
      </c>
      <c r="B2376" s="27" t="s">
        <v>1531</v>
      </c>
      <c r="C2376" s="18">
        <v>60.0</v>
      </c>
      <c r="D2376" s="19" t="s">
        <v>2241</v>
      </c>
      <c r="E2376" s="20" t="s">
        <v>443</v>
      </c>
      <c r="F2376" s="27" t="s">
        <v>1141</v>
      </c>
      <c r="G2376" s="17" t="s">
        <v>5269</v>
      </c>
      <c r="H2376" s="17" t="s">
        <v>5270</v>
      </c>
      <c r="I2376" s="17" t="s">
        <v>125</v>
      </c>
      <c r="J2376" s="22" t="s">
        <v>144</v>
      </c>
      <c r="K2376" s="23" t="s">
        <v>108</v>
      </c>
      <c r="L2376" s="24"/>
      <c r="M2376" s="2">
        <v>66.0</v>
      </c>
      <c r="N2376" s="25">
        <v>31.0</v>
      </c>
      <c r="O2376" s="25"/>
      <c r="P2376" s="25"/>
    </row>
    <row r="2377">
      <c r="A2377" s="16">
        <v>2375.0</v>
      </c>
      <c r="B2377" s="27" t="s">
        <v>1531</v>
      </c>
      <c r="C2377" s="18">
        <v>61.0</v>
      </c>
      <c r="D2377" s="19" t="s">
        <v>2241</v>
      </c>
      <c r="E2377" s="20" t="s">
        <v>443</v>
      </c>
      <c r="F2377" s="27" t="s">
        <v>1094</v>
      </c>
      <c r="G2377" s="17" t="s">
        <v>5271</v>
      </c>
      <c r="H2377" s="17" t="s">
        <v>5272</v>
      </c>
      <c r="I2377" s="17" t="s">
        <v>125</v>
      </c>
      <c r="J2377" s="22" t="s">
        <v>144</v>
      </c>
      <c r="K2377" s="23" t="s">
        <v>108</v>
      </c>
      <c r="L2377" s="24"/>
      <c r="M2377" s="2">
        <v>66.0</v>
      </c>
      <c r="N2377" s="25">
        <v>31.0</v>
      </c>
      <c r="O2377" s="25"/>
      <c r="P2377" s="25"/>
    </row>
    <row r="2378">
      <c r="A2378" s="16">
        <v>2376.0</v>
      </c>
      <c r="B2378" s="27" t="s">
        <v>1531</v>
      </c>
      <c r="C2378" s="18">
        <v>62.0</v>
      </c>
      <c r="D2378" s="19" t="s">
        <v>2241</v>
      </c>
      <c r="E2378" s="20" t="s">
        <v>443</v>
      </c>
      <c r="F2378" s="27" t="s">
        <v>1220</v>
      </c>
      <c r="G2378" s="17" t="s">
        <v>5273</v>
      </c>
      <c r="H2378" s="17" t="s">
        <v>5274</v>
      </c>
      <c r="I2378" s="17" t="s">
        <v>125</v>
      </c>
      <c r="J2378" s="22" t="s">
        <v>144</v>
      </c>
      <c r="K2378" s="23" t="s">
        <v>108</v>
      </c>
      <c r="L2378" s="24"/>
      <c r="M2378" s="2">
        <v>66.0</v>
      </c>
      <c r="N2378" s="25">
        <v>31.0</v>
      </c>
      <c r="O2378" s="25"/>
      <c r="P2378" s="25"/>
    </row>
    <row r="2379">
      <c r="A2379" s="16">
        <v>2377.0</v>
      </c>
      <c r="B2379" s="27" t="s">
        <v>1531</v>
      </c>
      <c r="C2379" s="18">
        <v>63.0</v>
      </c>
      <c r="D2379" s="19" t="s">
        <v>2241</v>
      </c>
      <c r="E2379" s="20" t="s">
        <v>443</v>
      </c>
      <c r="F2379" s="27" t="s">
        <v>1440</v>
      </c>
      <c r="G2379" s="17" t="s">
        <v>4825</v>
      </c>
      <c r="H2379" s="17" t="s">
        <v>4826</v>
      </c>
      <c r="I2379" s="17" t="s">
        <v>125</v>
      </c>
      <c r="J2379" s="22" t="s">
        <v>144</v>
      </c>
      <c r="K2379" s="23" t="s">
        <v>108</v>
      </c>
      <c r="L2379" s="24"/>
      <c r="M2379" s="2">
        <v>66.0</v>
      </c>
      <c r="N2379" s="25">
        <v>31.0</v>
      </c>
      <c r="O2379" s="25"/>
      <c r="P2379" s="25"/>
    </row>
    <row r="2380">
      <c r="A2380" s="16">
        <v>2378.0</v>
      </c>
      <c r="B2380" s="27" t="s">
        <v>1531</v>
      </c>
      <c r="C2380" s="18">
        <v>64.0</v>
      </c>
      <c r="D2380" s="19" t="s">
        <v>2241</v>
      </c>
      <c r="E2380" s="20" t="s">
        <v>443</v>
      </c>
      <c r="F2380" s="27" t="s">
        <v>4831</v>
      </c>
      <c r="G2380" s="17" t="s">
        <v>4832</v>
      </c>
      <c r="H2380" s="17" t="s">
        <v>4833</v>
      </c>
      <c r="I2380" s="17" t="s">
        <v>125</v>
      </c>
      <c r="J2380" s="22" t="s">
        <v>144</v>
      </c>
      <c r="K2380" s="23" t="s">
        <v>108</v>
      </c>
      <c r="L2380" s="24"/>
      <c r="M2380" s="2">
        <v>66.0</v>
      </c>
      <c r="N2380" s="25">
        <v>31.0</v>
      </c>
      <c r="O2380" s="25"/>
      <c r="P2380" s="25"/>
    </row>
    <row r="2381">
      <c r="A2381" s="16">
        <v>2379.0</v>
      </c>
      <c r="B2381" s="27" t="s">
        <v>1531</v>
      </c>
      <c r="C2381" s="18">
        <v>65.0</v>
      </c>
      <c r="D2381" s="19" t="s">
        <v>2241</v>
      </c>
      <c r="E2381" s="20" t="s">
        <v>443</v>
      </c>
      <c r="F2381" s="27" t="s">
        <v>1225</v>
      </c>
      <c r="G2381" s="17" t="s">
        <v>4834</v>
      </c>
      <c r="H2381" s="17" t="s">
        <v>4835</v>
      </c>
      <c r="I2381" s="17" t="s">
        <v>125</v>
      </c>
      <c r="J2381" s="22" t="s">
        <v>144</v>
      </c>
      <c r="K2381" s="23" t="s">
        <v>108</v>
      </c>
      <c r="L2381" s="24"/>
      <c r="M2381" s="2">
        <v>66.0</v>
      </c>
      <c r="N2381" s="25">
        <v>31.0</v>
      </c>
      <c r="O2381" s="25"/>
      <c r="P2381" s="25"/>
    </row>
    <row r="2382">
      <c r="A2382" s="16">
        <v>2380.0</v>
      </c>
      <c r="B2382" s="17" t="s">
        <v>1531</v>
      </c>
      <c r="C2382" s="18">
        <v>66.0</v>
      </c>
      <c r="D2382" s="19" t="s">
        <v>2242</v>
      </c>
      <c r="E2382" s="20" t="s">
        <v>443</v>
      </c>
      <c r="F2382" s="17" t="s">
        <v>660</v>
      </c>
      <c r="G2382" s="17" t="s">
        <v>4698</v>
      </c>
      <c r="H2382" s="17" t="s">
        <v>4699</v>
      </c>
      <c r="I2382" s="17" t="s">
        <v>125</v>
      </c>
      <c r="J2382" s="22" t="s">
        <v>144</v>
      </c>
      <c r="K2382" s="23" t="s">
        <v>108</v>
      </c>
      <c r="L2382" s="24" t="s">
        <v>91</v>
      </c>
      <c r="M2382" s="2">
        <v>66.0</v>
      </c>
      <c r="N2382" s="25">
        <v>31.0</v>
      </c>
      <c r="O2382" s="25"/>
      <c r="P2382" s="25"/>
    </row>
    <row r="2383">
      <c r="A2383" s="16">
        <v>2381.0</v>
      </c>
      <c r="B2383" s="17" t="s">
        <v>1531</v>
      </c>
      <c r="C2383" s="18">
        <v>67.0</v>
      </c>
      <c r="D2383" s="19" t="s">
        <v>2242</v>
      </c>
      <c r="E2383" s="20" t="s">
        <v>443</v>
      </c>
      <c r="F2383" s="17" t="s">
        <v>116</v>
      </c>
      <c r="G2383" s="17" t="s">
        <v>4532</v>
      </c>
      <c r="H2383" s="17" t="s">
        <v>5275</v>
      </c>
      <c r="I2383" s="17" t="s">
        <v>125</v>
      </c>
      <c r="J2383" s="22" t="s">
        <v>144</v>
      </c>
      <c r="K2383" s="23" t="s">
        <v>108</v>
      </c>
      <c r="L2383" s="24" t="s">
        <v>91</v>
      </c>
      <c r="M2383" s="2">
        <v>66.0</v>
      </c>
      <c r="N2383" s="25">
        <v>31.0</v>
      </c>
      <c r="O2383" s="25"/>
      <c r="P2383" s="25"/>
    </row>
    <row r="2384">
      <c r="A2384" s="16">
        <v>2382.0</v>
      </c>
      <c r="B2384" s="17" t="s">
        <v>1531</v>
      </c>
      <c r="C2384" s="18">
        <v>68.0</v>
      </c>
      <c r="D2384" s="19" t="s">
        <v>2242</v>
      </c>
      <c r="E2384" s="20" t="s">
        <v>443</v>
      </c>
      <c r="F2384" s="17" t="s">
        <v>999</v>
      </c>
      <c r="G2384" s="17" t="s">
        <v>5276</v>
      </c>
      <c r="H2384" s="17" t="s">
        <v>5277</v>
      </c>
      <c r="I2384" s="17" t="s">
        <v>125</v>
      </c>
      <c r="J2384" s="22" t="s">
        <v>144</v>
      </c>
      <c r="K2384" s="23" t="s">
        <v>108</v>
      </c>
      <c r="L2384" s="24" t="s">
        <v>91</v>
      </c>
      <c r="M2384" s="2">
        <v>66.0</v>
      </c>
      <c r="N2384" s="25">
        <v>31.0</v>
      </c>
      <c r="O2384" s="25"/>
      <c r="P2384" s="25"/>
    </row>
    <row r="2385">
      <c r="A2385" s="16">
        <v>2383.0</v>
      </c>
      <c r="B2385" s="17" t="s">
        <v>1531</v>
      </c>
      <c r="C2385" s="18">
        <v>69.0</v>
      </c>
      <c r="D2385" s="19" t="s">
        <v>2242</v>
      </c>
      <c r="E2385" s="20" t="s">
        <v>443</v>
      </c>
      <c r="F2385" s="17" t="s">
        <v>169</v>
      </c>
      <c r="G2385" s="17" t="s">
        <v>170</v>
      </c>
      <c r="H2385" s="17" t="s">
        <v>172</v>
      </c>
      <c r="I2385" s="17" t="s">
        <v>125</v>
      </c>
      <c r="J2385" s="22" t="s">
        <v>144</v>
      </c>
      <c r="K2385" s="23" t="s">
        <v>108</v>
      </c>
      <c r="L2385" s="24" t="s">
        <v>91</v>
      </c>
      <c r="M2385" s="2">
        <v>66.0</v>
      </c>
      <c r="N2385" s="25">
        <v>31.0</v>
      </c>
      <c r="O2385" s="25"/>
      <c r="P2385" s="25"/>
    </row>
    <row r="2386">
      <c r="A2386" s="16">
        <v>2384.0</v>
      </c>
      <c r="B2386" s="17" t="s">
        <v>1531</v>
      </c>
      <c r="C2386" s="18">
        <v>70.0</v>
      </c>
      <c r="D2386" s="19" t="s">
        <v>2242</v>
      </c>
      <c r="E2386" s="20" t="s">
        <v>443</v>
      </c>
      <c r="F2386" s="17" t="s">
        <v>240</v>
      </c>
      <c r="G2386" s="17" t="s">
        <v>4539</v>
      </c>
      <c r="H2386" s="17" t="s">
        <v>5278</v>
      </c>
      <c r="I2386" s="17" t="s">
        <v>125</v>
      </c>
      <c r="J2386" s="22" t="s">
        <v>144</v>
      </c>
      <c r="K2386" s="23" t="s">
        <v>108</v>
      </c>
      <c r="L2386" s="24" t="s">
        <v>91</v>
      </c>
      <c r="M2386" s="2">
        <v>66.0</v>
      </c>
      <c r="N2386" s="25">
        <v>31.0</v>
      </c>
      <c r="O2386" s="25"/>
      <c r="P2386" s="25"/>
    </row>
    <row r="2387">
      <c r="A2387" s="16">
        <v>2385.0</v>
      </c>
      <c r="B2387" s="17" t="s">
        <v>1531</v>
      </c>
      <c r="C2387" s="18">
        <v>71.0</v>
      </c>
      <c r="D2387" s="19" t="s">
        <v>2242</v>
      </c>
      <c r="E2387" s="20" t="s">
        <v>443</v>
      </c>
      <c r="F2387" s="17" t="s">
        <v>873</v>
      </c>
      <c r="G2387" s="17" t="s">
        <v>123</v>
      </c>
      <c r="H2387" s="17" t="s">
        <v>5279</v>
      </c>
      <c r="I2387" s="17" t="s">
        <v>125</v>
      </c>
      <c r="J2387" s="22" t="s">
        <v>144</v>
      </c>
      <c r="K2387" s="23" t="s">
        <v>108</v>
      </c>
      <c r="L2387" s="24" t="s">
        <v>91</v>
      </c>
      <c r="M2387" s="2">
        <v>66.0</v>
      </c>
      <c r="N2387" s="25">
        <v>31.0</v>
      </c>
      <c r="O2387" s="25"/>
      <c r="P2387" s="25"/>
    </row>
    <row r="2388">
      <c r="A2388" s="16">
        <v>2386.0</v>
      </c>
      <c r="B2388" s="17" t="s">
        <v>1531</v>
      </c>
      <c r="C2388" s="18">
        <v>72.0</v>
      </c>
      <c r="D2388" s="19" t="s">
        <v>2242</v>
      </c>
      <c r="E2388" s="20" t="s">
        <v>443</v>
      </c>
      <c r="F2388" s="17" t="s">
        <v>472</v>
      </c>
      <c r="G2388" s="17" t="s">
        <v>4572</v>
      </c>
      <c r="H2388" s="17" t="s">
        <v>4573</v>
      </c>
      <c r="I2388" s="17" t="s">
        <v>125</v>
      </c>
      <c r="J2388" s="22" t="s">
        <v>144</v>
      </c>
      <c r="K2388" s="23" t="s">
        <v>108</v>
      </c>
      <c r="L2388" s="24" t="s">
        <v>91</v>
      </c>
      <c r="M2388" s="2">
        <v>66.0</v>
      </c>
      <c r="N2388" s="25">
        <v>31.0</v>
      </c>
      <c r="O2388" s="25"/>
      <c r="P2388" s="25"/>
    </row>
    <row r="2389">
      <c r="A2389" s="16">
        <v>2387.0</v>
      </c>
      <c r="B2389" s="17" t="s">
        <v>1531</v>
      </c>
      <c r="C2389" s="18">
        <v>73.0</v>
      </c>
      <c r="D2389" s="19" t="s">
        <v>2242</v>
      </c>
      <c r="E2389" s="20" t="s">
        <v>443</v>
      </c>
      <c r="F2389" s="17" t="s">
        <v>137</v>
      </c>
      <c r="G2389" s="17" t="s">
        <v>4576</v>
      </c>
      <c r="H2389" s="17" t="s">
        <v>4577</v>
      </c>
      <c r="I2389" s="17" t="s">
        <v>125</v>
      </c>
      <c r="J2389" s="22" t="s">
        <v>144</v>
      </c>
      <c r="K2389" s="23" t="s">
        <v>108</v>
      </c>
      <c r="L2389" s="24" t="s">
        <v>91</v>
      </c>
      <c r="M2389" s="2">
        <v>66.0</v>
      </c>
      <c r="N2389" s="25">
        <v>31.0</v>
      </c>
      <c r="O2389" s="25"/>
      <c r="P2389" s="25"/>
    </row>
    <row r="2390">
      <c r="A2390" s="16">
        <v>2388.0</v>
      </c>
      <c r="B2390" s="17" t="s">
        <v>1531</v>
      </c>
      <c r="C2390" s="18">
        <v>74.0</v>
      </c>
      <c r="D2390" s="19" t="s">
        <v>2242</v>
      </c>
      <c r="E2390" s="20" t="s">
        <v>443</v>
      </c>
      <c r="F2390" s="17" t="s">
        <v>276</v>
      </c>
      <c r="G2390" s="17" t="s">
        <v>123</v>
      </c>
      <c r="H2390" s="17" t="s">
        <v>4873</v>
      </c>
      <c r="I2390" s="17" t="s">
        <v>125</v>
      </c>
      <c r="J2390" s="22" t="s">
        <v>144</v>
      </c>
      <c r="K2390" s="23" t="s">
        <v>108</v>
      </c>
      <c r="L2390" s="24" t="s">
        <v>91</v>
      </c>
      <c r="M2390" s="2">
        <v>66.0</v>
      </c>
      <c r="N2390" s="25">
        <v>31.0</v>
      </c>
      <c r="O2390" s="25"/>
      <c r="P2390" s="25"/>
    </row>
    <row r="2391">
      <c r="A2391" s="16">
        <v>2389.0</v>
      </c>
      <c r="B2391" s="17" t="s">
        <v>1531</v>
      </c>
      <c r="C2391" s="18">
        <v>75.0</v>
      </c>
      <c r="D2391" s="19" t="s">
        <v>2242</v>
      </c>
      <c r="E2391" s="20" t="s">
        <v>443</v>
      </c>
      <c r="F2391" s="17" t="s">
        <v>311</v>
      </c>
      <c r="G2391" s="17" t="s">
        <v>5280</v>
      </c>
      <c r="H2391" s="17" t="s">
        <v>5281</v>
      </c>
      <c r="I2391" s="17" t="s">
        <v>125</v>
      </c>
      <c r="J2391" s="22" t="s">
        <v>144</v>
      </c>
      <c r="K2391" s="23" t="s">
        <v>108</v>
      </c>
      <c r="L2391" s="24" t="s">
        <v>91</v>
      </c>
      <c r="M2391" s="2">
        <v>66.0</v>
      </c>
      <c r="N2391" s="25">
        <v>31.0</v>
      </c>
      <c r="O2391" s="25"/>
      <c r="P2391" s="25"/>
    </row>
    <row r="2392">
      <c r="A2392" s="16">
        <v>2390.0</v>
      </c>
      <c r="B2392" s="17" t="s">
        <v>1531</v>
      </c>
      <c r="C2392" s="18">
        <v>76.0</v>
      </c>
      <c r="D2392" s="19" t="s">
        <v>2242</v>
      </c>
      <c r="E2392" s="20" t="s">
        <v>443</v>
      </c>
      <c r="F2392" s="17" t="s">
        <v>879</v>
      </c>
      <c r="G2392" s="17" t="s">
        <v>5282</v>
      </c>
      <c r="H2392" s="17" t="s">
        <v>5283</v>
      </c>
      <c r="I2392" s="17" t="s">
        <v>125</v>
      </c>
      <c r="J2392" s="22" t="s">
        <v>144</v>
      </c>
      <c r="K2392" s="23" t="s">
        <v>108</v>
      </c>
      <c r="L2392" s="24" t="s">
        <v>91</v>
      </c>
      <c r="M2392" s="2">
        <v>66.0</v>
      </c>
      <c r="N2392" s="25">
        <v>31.0</v>
      </c>
      <c r="O2392" s="25"/>
      <c r="P2392" s="25"/>
    </row>
    <row r="2393">
      <c r="A2393" s="16">
        <v>2391.0</v>
      </c>
      <c r="B2393" s="17" t="s">
        <v>1531</v>
      </c>
      <c r="C2393" s="18">
        <v>77.0</v>
      </c>
      <c r="D2393" s="19" t="s">
        <v>2242</v>
      </c>
      <c r="E2393" s="20" t="s">
        <v>443</v>
      </c>
      <c r="F2393" s="17" t="s">
        <v>72</v>
      </c>
      <c r="G2393" s="17" t="s">
        <v>4982</v>
      </c>
      <c r="H2393" s="17" t="s">
        <v>4983</v>
      </c>
      <c r="I2393" s="17" t="s">
        <v>125</v>
      </c>
      <c r="J2393" s="22" t="s">
        <v>144</v>
      </c>
      <c r="K2393" s="23" t="s">
        <v>108</v>
      </c>
      <c r="L2393" s="24" t="s">
        <v>91</v>
      </c>
      <c r="M2393" s="2">
        <v>66.0</v>
      </c>
      <c r="N2393" s="25">
        <v>31.0</v>
      </c>
      <c r="O2393" s="25"/>
      <c r="P2393" s="25"/>
    </row>
    <row r="2394">
      <c r="A2394" s="16">
        <v>2392.0</v>
      </c>
      <c r="B2394" s="17" t="s">
        <v>1531</v>
      </c>
      <c r="C2394" s="18">
        <v>78.0</v>
      </c>
      <c r="D2394" s="19" t="s">
        <v>2242</v>
      </c>
      <c r="E2394" s="20" t="s">
        <v>443</v>
      </c>
      <c r="F2394" s="17" t="s">
        <v>791</v>
      </c>
      <c r="G2394" s="17" t="s">
        <v>4228</v>
      </c>
      <c r="H2394" s="17" t="s">
        <v>5284</v>
      </c>
      <c r="I2394" s="17" t="s">
        <v>125</v>
      </c>
      <c r="J2394" s="22" t="s">
        <v>144</v>
      </c>
      <c r="K2394" s="23" t="s">
        <v>108</v>
      </c>
      <c r="L2394" s="24" t="s">
        <v>91</v>
      </c>
      <c r="M2394" s="2">
        <v>66.0</v>
      </c>
      <c r="N2394" s="25">
        <v>31.0</v>
      </c>
      <c r="O2394" s="25"/>
      <c r="P2394" s="25"/>
    </row>
    <row r="2395">
      <c r="A2395" s="16">
        <v>2393.0</v>
      </c>
      <c r="B2395" s="17" t="s">
        <v>1531</v>
      </c>
      <c r="C2395" s="18">
        <v>79.0</v>
      </c>
      <c r="D2395" s="19" t="s">
        <v>2242</v>
      </c>
      <c r="E2395" s="20" t="s">
        <v>443</v>
      </c>
      <c r="F2395" s="17" t="s">
        <v>797</v>
      </c>
      <c r="G2395" s="17" t="s">
        <v>4551</v>
      </c>
      <c r="H2395" s="17" t="s">
        <v>5285</v>
      </c>
      <c r="I2395" s="17" t="s">
        <v>125</v>
      </c>
      <c r="J2395" s="22" t="s">
        <v>144</v>
      </c>
      <c r="K2395" s="23" t="s">
        <v>108</v>
      </c>
      <c r="L2395" s="24" t="s">
        <v>91</v>
      </c>
      <c r="M2395" s="2">
        <v>66.0</v>
      </c>
      <c r="N2395" s="25">
        <v>31.0</v>
      </c>
      <c r="O2395" s="25"/>
      <c r="P2395" s="25"/>
    </row>
    <row r="2396">
      <c r="A2396" s="16">
        <v>2394.0</v>
      </c>
      <c r="B2396" s="17" t="s">
        <v>1531</v>
      </c>
      <c r="C2396" s="18">
        <v>80.0</v>
      </c>
      <c r="D2396" s="19" t="s">
        <v>2242</v>
      </c>
      <c r="E2396" s="20" t="s">
        <v>443</v>
      </c>
      <c r="F2396" s="17" t="s">
        <v>229</v>
      </c>
      <c r="G2396" s="17" t="s">
        <v>4509</v>
      </c>
      <c r="H2396" s="17" t="s">
        <v>5286</v>
      </c>
      <c r="I2396" s="17" t="s">
        <v>125</v>
      </c>
      <c r="J2396" s="22" t="s">
        <v>144</v>
      </c>
      <c r="K2396" s="23" t="s">
        <v>108</v>
      </c>
      <c r="L2396" s="24" t="s">
        <v>91</v>
      </c>
      <c r="M2396" s="2">
        <v>66.0</v>
      </c>
      <c r="N2396" s="25">
        <v>31.0</v>
      </c>
      <c r="O2396" s="25"/>
      <c r="P2396" s="25"/>
    </row>
    <row r="2397">
      <c r="A2397" s="16">
        <v>2395.0</v>
      </c>
      <c r="B2397" s="17" t="s">
        <v>1531</v>
      </c>
      <c r="C2397" s="18">
        <v>81.0</v>
      </c>
      <c r="D2397" s="19" t="s">
        <v>2242</v>
      </c>
      <c r="E2397" s="20" t="s">
        <v>443</v>
      </c>
      <c r="F2397" s="17" t="s">
        <v>1021</v>
      </c>
      <c r="G2397" s="17" t="s">
        <v>5287</v>
      </c>
      <c r="H2397" s="17" t="s">
        <v>5288</v>
      </c>
      <c r="I2397" s="17" t="s">
        <v>125</v>
      </c>
      <c r="J2397" s="22" t="s">
        <v>144</v>
      </c>
      <c r="K2397" s="23" t="s">
        <v>108</v>
      </c>
      <c r="L2397" s="24" t="s">
        <v>91</v>
      </c>
      <c r="M2397" s="2">
        <v>66.0</v>
      </c>
      <c r="N2397" s="25">
        <v>31.0</v>
      </c>
      <c r="O2397" s="25"/>
      <c r="P2397" s="25"/>
    </row>
    <row r="2398">
      <c r="A2398" s="16">
        <v>2396.0</v>
      </c>
      <c r="B2398" s="17" t="s">
        <v>1531</v>
      </c>
      <c r="C2398" s="18">
        <v>82.0</v>
      </c>
      <c r="D2398" s="19" t="s">
        <v>2242</v>
      </c>
      <c r="E2398" s="20" t="s">
        <v>443</v>
      </c>
      <c r="F2398" s="17" t="s">
        <v>801</v>
      </c>
      <c r="G2398" s="17" t="s">
        <v>5289</v>
      </c>
      <c r="H2398" s="17" t="s">
        <v>5290</v>
      </c>
      <c r="I2398" s="17" t="s">
        <v>125</v>
      </c>
      <c r="J2398" s="22" t="s">
        <v>144</v>
      </c>
      <c r="K2398" s="23" t="s">
        <v>108</v>
      </c>
      <c r="L2398" s="24" t="s">
        <v>91</v>
      </c>
      <c r="M2398" s="2">
        <v>66.0</v>
      </c>
      <c r="N2398" s="25">
        <v>31.0</v>
      </c>
      <c r="O2398" s="25"/>
      <c r="P2398" s="25"/>
    </row>
    <row r="2399">
      <c r="A2399" s="16">
        <v>2397.0</v>
      </c>
      <c r="B2399" s="17" t="s">
        <v>1531</v>
      </c>
      <c r="C2399" s="18">
        <v>83.0</v>
      </c>
      <c r="D2399" s="19" t="s">
        <v>2242</v>
      </c>
      <c r="E2399" s="20" t="s">
        <v>443</v>
      </c>
      <c r="F2399" s="17" t="s">
        <v>300</v>
      </c>
      <c r="G2399" s="17" t="s">
        <v>5291</v>
      </c>
      <c r="H2399" s="17" t="s">
        <v>5292</v>
      </c>
      <c r="I2399" s="17" t="s">
        <v>125</v>
      </c>
      <c r="J2399" s="22" t="s">
        <v>144</v>
      </c>
      <c r="K2399" s="23" t="s">
        <v>108</v>
      </c>
      <c r="L2399" s="24" t="s">
        <v>91</v>
      </c>
      <c r="M2399" s="2">
        <v>66.0</v>
      </c>
      <c r="N2399" s="25">
        <v>31.0</v>
      </c>
      <c r="O2399" s="25"/>
      <c r="P2399" s="25"/>
    </row>
    <row r="2400">
      <c r="A2400" s="16">
        <v>2398.0</v>
      </c>
      <c r="B2400" s="17" t="s">
        <v>1531</v>
      </c>
      <c r="C2400" s="18">
        <v>84.0</v>
      </c>
      <c r="D2400" s="19" t="s">
        <v>2242</v>
      </c>
      <c r="E2400" s="20" t="s">
        <v>443</v>
      </c>
      <c r="F2400" s="17" t="s">
        <v>85</v>
      </c>
      <c r="G2400" s="17" t="s">
        <v>5293</v>
      </c>
      <c r="H2400" s="17" t="s">
        <v>5294</v>
      </c>
      <c r="I2400" s="17" t="s">
        <v>125</v>
      </c>
      <c r="J2400" s="22" t="s">
        <v>144</v>
      </c>
      <c r="K2400" s="23" t="s">
        <v>108</v>
      </c>
      <c r="L2400" s="24" t="s">
        <v>91</v>
      </c>
      <c r="M2400" s="2">
        <v>66.0</v>
      </c>
      <c r="N2400" s="25">
        <v>31.0</v>
      </c>
      <c r="O2400" s="25"/>
      <c r="P2400" s="25"/>
    </row>
    <row r="2401">
      <c r="A2401" s="16">
        <v>2399.0</v>
      </c>
      <c r="B2401" s="17" t="s">
        <v>1531</v>
      </c>
      <c r="C2401" s="18">
        <v>85.0</v>
      </c>
      <c r="D2401" s="19" t="s">
        <v>2242</v>
      </c>
      <c r="E2401" s="20" t="s">
        <v>443</v>
      </c>
      <c r="F2401" s="17" t="s">
        <v>273</v>
      </c>
      <c r="G2401" s="17" t="s">
        <v>5295</v>
      </c>
      <c r="H2401" s="17" t="s">
        <v>5296</v>
      </c>
      <c r="I2401" s="17" t="s">
        <v>125</v>
      </c>
      <c r="J2401" s="22" t="s">
        <v>144</v>
      </c>
      <c r="K2401" s="23" t="s">
        <v>108</v>
      </c>
      <c r="L2401" s="24" t="s">
        <v>91</v>
      </c>
      <c r="M2401" s="2">
        <v>66.0</v>
      </c>
      <c r="N2401" s="25">
        <v>31.0</v>
      </c>
      <c r="O2401" s="25"/>
      <c r="P2401" s="25"/>
    </row>
    <row r="2402">
      <c r="A2402" s="16">
        <v>2400.0</v>
      </c>
      <c r="B2402" s="17" t="s">
        <v>1531</v>
      </c>
      <c r="C2402" s="18">
        <v>86.0</v>
      </c>
      <c r="D2402" s="19" t="s">
        <v>2242</v>
      </c>
      <c r="E2402" s="20" t="s">
        <v>443</v>
      </c>
      <c r="F2402" s="17" t="s">
        <v>918</v>
      </c>
      <c r="G2402" s="17" t="s">
        <v>5297</v>
      </c>
      <c r="H2402" s="17" t="s">
        <v>5298</v>
      </c>
      <c r="I2402" s="17" t="s">
        <v>125</v>
      </c>
      <c r="J2402" s="22" t="s">
        <v>144</v>
      </c>
      <c r="K2402" s="23" t="s">
        <v>108</v>
      </c>
      <c r="L2402" s="24" t="s">
        <v>91</v>
      </c>
      <c r="M2402" s="2">
        <v>66.0</v>
      </c>
      <c r="N2402" s="25">
        <v>31.0</v>
      </c>
      <c r="O2402" s="25"/>
      <c r="P2402" s="25"/>
    </row>
    <row r="2403">
      <c r="A2403" s="16">
        <v>2401.0</v>
      </c>
      <c r="B2403" s="17" t="s">
        <v>1531</v>
      </c>
      <c r="C2403" s="18">
        <v>87.0</v>
      </c>
      <c r="D2403" s="19" t="s">
        <v>2242</v>
      </c>
      <c r="E2403" s="20" t="s">
        <v>443</v>
      </c>
      <c r="F2403" s="17" t="s">
        <v>878</v>
      </c>
      <c r="G2403" s="17" t="s">
        <v>123</v>
      </c>
      <c r="H2403" s="17" t="s">
        <v>5299</v>
      </c>
      <c r="I2403" s="17" t="s">
        <v>125</v>
      </c>
      <c r="J2403" s="22" t="s">
        <v>144</v>
      </c>
      <c r="K2403" s="23" t="s">
        <v>108</v>
      </c>
      <c r="L2403" s="24" t="s">
        <v>91</v>
      </c>
      <c r="M2403" s="2">
        <v>66.0</v>
      </c>
      <c r="N2403" s="25">
        <v>31.0</v>
      </c>
      <c r="O2403" s="25"/>
      <c r="P2403" s="25"/>
    </row>
    <row r="2404">
      <c r="A2404" s="16">
        <v>2402.0</v>
      </c>
      <c r="B2404" s="17" t="s">
        <v>1531</v>
      </c>
      <c r="C2404" s="18">
        <v>88.0</v>
      </c>
      <c r="D2404" s="19" t="s">
        <v>2242</v>
      </c>
      <c r="E2404" s="20" t="s">
        <v>443</v>
      </c>
      <c r="F2404" s="17" t="s">
        <v>730</v>
      </c>
      <c r="G2404" s="17" t="s">
        <v>123</v>
      </c>
      <c r="H2404" s="17" t="s">
        <v>5300</v>
      </c>
      <c r="I2404" s="17" t="s">
        <v>125</v>
      </c>
      <c r="J2404" s="22" t="s">
        <v>144</v>
      </c>
      <c r="K2404" s="23" t="s">
        <v>108</v>
      </c>
      <c r="L2404" s="24" t="s">
        <v>91</v>
      </c>
      <c r="M2404" s="2">
        <v>66.0</v>
      </c>
      <c r="N2404" s="25">
        <v>31.0</v>
      </c>
      <c r="O2404" s="25"/>
      <c r="P2404" s="25"/>
    </row>
    <row r="2405">
      <c r="A2405" s="16">
        <v>2403.0</v>
      </c>
      <c r="B2405" s="17" t="s">
        <v>1531</v>
      </c>
      <c r="C2405" s="18">
        <v>89.0</v>
      </c>
      <c r="D2405" s="19" t="s">
        <v>2242</v>
      </c>
      <c r="E2405" s="20" t="s">
        <v>443</v>
      </c>
      <c r="F2405" s="17" t="s">
        <v>1154</v>
      </c>
      <c r="G2405" s="17" t="s">
        <v>5301</v>
      </c>
      <c r="H2405" s="17" t="s">
        <v>5302</v>
      </c>
      <c r="I2405" s="17" t="s">
        <v>125</v>
      </c>
      <c r="J2405" s="22" t="s">
        <v>144</v>
      </c>
      <c r="K2405" s="23" t="s">
        <v>108</v>
      </c>
      <c r="L2405" s="24" t="s">
        <v>91</v>
      </c>
      <c r="M2405" s="2">
        <v>66.0</v>
      </c>
      <c r="N2405" s="25">
        <v>31.0</v>
      </c>
      <c r="O2405" s="25"/>
      <c r="P2405" s="25"/>
    </row>
    <row r="2406">
      <c r="A2406" s="16">
        <v>2404.0</v>
      </c>
      <c r="B2406" s="17" t="s">
        <v>1531</v>
      </c>
      <c r="C2406" s="18">
        <v>90.0</v>
      </c>
      <c r="D2406" s="19" t="s">
        <v>2242</v>
      </c>
      <c r="E2406" s="20" t="s">
        <v>443</v>
      </c>
      <c r="F2406" s="17" t="s">
        <v>907</v>
      </c>
      <c r="G2406" s="17" t="s">
        <v>123</v>
      </c>
      <c r="H2406" s="17" t="s">
        <v>4613</v>
      </c>
      <c r="I2406" s="17" t="s">
        <v>125</v>
      </c>
      <c r="J2406" s="22" t="s">
        <v>144</v>
      </c>
      <c r="K2406" s="23" t="s">
        <v>108</v>
      </c>
      <c r="L2406" s="24" t="s">
        <v>91</v>
      </c>
      <c r="M2406" s="2">
        <v>66.0</v>
      </c>
      <c r="N2406" s="25">
        <v>31.0</v>
      </c>
      <c r="O2406" s="25"/>
      <c r="P2406" s="25"/>
    </row>
    <row r="2407">
      <c r="A2407" s="16">
        <v>2405.0</v>
      </c>
      <c r="B2407" s="17" t="s">
        <v>1531</v>
      </c>
      <c r="C2407" s="18">
        <v>91.0</v>
      </c>
      <c r="D2407" s="19" t="s">
        <v>2242</v>
      </c>
      <c r="E2407" s="20" t="s">
        <v>443</v>
      </c>
      <c r="F2407" s="17" t="s">
        <v>906</v>
      </c>
      <c r="G2407" s="17" t="s">
        <v>5303</v>
      </c>
      <c r="H2407" s="17" t="s">
        <v>5294</v>
      </c>
      <c r="I2407" s="17" t="s">
        <v>125</v>
      </c>
      <c r="J2407" s="22" t="s">
        <v>144</v>
      </c>
      <c r="K2407" s="23" t="s">
        <v>108</v>
      </c>
      <c r="L2407" s="24" t="s">
        <v>91</v>
      </c>
      <c r="M2407" s="2">
        <v>66.0</v>
      </c>
      <c r="N2407" s="25">
        <v>31.0</v>
      </c>
      <c r="O2407" s="25"/>
      <c r="P2407" s="25"/>
    </row>
    <row r="2408">
      <c r="A2408" s="16">
        <v>2406.0</v>
      </c>
      <c r="B2408" s="17" t="s">
        <v>1531</v>
      </c>
      <c r="C2408" s="18">
        <v>92.0</v>
      </c>
      <c r="D2408" s="19" t="s">
        <v>2242</v>
      </c>
      <c r="E2408" s="20" t="s">
        <v>443</v>
      </c>
      <c r="F2408" s="17" t="s">
        <v>804</v>
      </c>
      <c r="G2408" s="17" t="s">
        <v>5304</v>
      </c>
      <c r="H2408" s="17" t="s">
        <v>5305</v>
      </c>
      <c r="I2408" s="17" t="s">
        <v>125</v>
      </c>
      <c r="J2408" s="22" t="s">
        <v>144</v>
      </c>
      <c r="K2408" s="23" t="s">
        <v>108</v>
      </c>
      <c r="L2408" s="24" t="s">
        <v>91</v>
      </c>
      <c r="M2408" s="2">
        <v>66.0</v>
      </c>
      <c r="N2408" s="25">
        <v>31.0</v>
      </c>
      <c r="O2408" s="25"/>
      <c r="P2408" s="25"/>
    </row>
    <row r="2409">
      <c r="A2409" s="16">
        <v>2407.0</v>
      </c>
      <c r="B2409" s="17" t="s">
        <v>1531</v>
      </c>
      <c r="C2409" s="18">
        <v>93.0</v>
      </c>
      <c r="D2409" s="19" t="s">
        <v>2242</v>
      </c>
      <c r="E2409" s="20" t="s">
        <v>443</v>
      </c>
      <c r="F2409" s="17" t="s">
        <v>712</v>
      </c>
      <c r="G2409" s="17" t="s">
        <v>123</v>
      </c>
      <c r="H2409" s="17" t="s">
        <v>5306</v>
      </c>
      <c r="I2409" s="17" t="s">
        <v>125</v>
      </c>
      <c r="J2409" s="22" t="s">
        <v>144</v>
      </c>
      <c r="K2409" s="23" t="s">
        <v>108</v>
      </c>
      <c r="L2409" s="24" t="s">
        <v>91</v>
      </c>
      <c r="M2409" s="2">
        <v>66.0</v>
      </c>
      <c r="N2409" s="25">
        <v>31.0</v>
      </c>
      <c r="O2409" s="25"/>
      <c r="P2409" s="25"/>
    </row>
    <row r="2410">
      <c r="A2410" s="16">
        <v>2408.0</v>
      </c>
      <c r="B2410" s="17" t="s">
        <v>1531</v>
      </c>
      <c r="C2410" s="18">
        <v>94.0</v>
      </c>
      <c r="D2410" s="19" t="s">
        <v>2242</v>
      </c>
      <c r="E2410" s="20" t="s">
        <v>443</v>
      </c>
      <c r="F2410" s="17" t="s">
        <v>722</v>
      </c>
      <c r="G2410" s="17" t="s">
        <v>5307</v>
      </c>
      <c r="H2410" s="17" t="s">
        <v>5308</v>
      </c>
      <c r="I2410" s="17" t="s">
        <v>125</v>
      </c>
      <c r="J2410" s="22" t="s">
        <v>144</v>
      </c>
      <c r="K2410" s="23" t="s">
        <v>108</v>
      </c>
      <c r="L2410" s="24" t="s">
        <v>91</v>
      </c>
      <c r="M2410" s="2">
        <v>66.0</v>
      </c>
      <c r="N2410" s="25">
        <v>31.0</v>
      </c>
      <c r="O2410" s="25"/>
      <c r="P2410" s="25"/>
    </row>
    <row r="2411">
      <c r="A2411" s="16">
        <v>2409.0</v>
      </c>
      <c r="B2411" s="17" t="s">
        <v>1531</v>
      </c>
      <c r="C2411" s="18">
        <v>95.0</v>
      </c>
      <c r="D2411" s="19" t="s">
        <v>2242</v>
      </c>
      <c r="E2411" s="20" t="s">
        <v>443</v>
      </c>
      <c r="F2411" s="17" t="s">
        <v>411</v>
      </c>
      <c r="G2411" s="17" t="s">
        <v>5309</v>
      </c>
      <c r="H2411" s="17" t="s">
        <v>5310</v>
      </c>
      <c r="I2411" s="17" t="s">
        <v>125</v>
      </c>
      <c r="J2411" s="22" t="s">
        <v>144</v>
      </c>
      <c r="K2411" s="23" t="s">
        <v>108</v>
      </c>
      <c r="L2411" s="24" t="s">
        <v>91</v>
      </c>
      <c r="M2411" s="2">
        <v>66.0</v>
      </c>
      <c r="N2411" s="25">
        <v>31.0</v>
      </c>
      <c r="O2411" s="25"/>
      <c r="P2411" s="25"/>
    </row>
    <row r="2412">
      <c r="A2412" s="16">
        <v>2410.0</v>
      </c>
      <c r="B2412" s="17" t="s">
        <v>1531</v>
      </c>
      <c r="C2412" s="18">
        <v>96.0</v>
      </c>
      <c r="D2412" s="19" t="s">
        <v>2242</v>
      </c>
      <c r="E2412" s="20" t="s">
        <v>443</v>
      </c>
      <c r="F2412" s="17" t="s">
        <v>549</v>
      </c>
      <c r="G2412" s="17" t="s">
        <v>5311</v>
      </c>
      <c r="H2412" s="17" t="s">
        <v>5312</v>
      </c>
      <c r="I2412" s="17" t="s">
        <v>125</v>
      </c>
      <c r="J2412" s="22" t="s">
        <v>144</v>
      </c>
      <c r="K2412" s="23" t="s">
        <v>108</v>
      </c>
      <c r="L2412" s="24" t="s">
        <v>91</v>
      </c>
      <c r="M2412" s="2">
        <v>66.0</v>
      </c>
      <c r="N2412" s="25">
        <v>31.0</v>
      </c>
      <c r="O2412" s="25"/>
      <c r="P2412" s="25"/>
    </row>
    <row r="2413">
      <c r="A2413" s="16">
        <v>2411.0</v>
      </c>
      <c r="B2413" s="17" t="s">
        <v>1531</v>
      </c>
      <c r="C2413" s="18">
        <v>97.0</v>
      </c>
      <c r="D2413" s="19" t="s">
        <v>2242</v>
      </c>
      <c r="E2413" s="20" t="s">
        <v>443</v>
      </c>
      <c r="F2413" s="17" t="s">
        <v>695</v>
      </c>
      <c r="G2413" s="17" t="s">
        <v>5313</v>
      </c>
      <c r="H2413" s="17" t="s">
        <v>5314</v>
      </c>
      <c r="I2413" s="17" t="s">
        <v>125</v>
      </c>
      <c r="J2413" s="22" t="s">
        <v>144</v>
      </c>
      <c r="K2413" s="23" t="s">
        <v>108</v>
      </c>
      <c r="L2413" s="24" t="s">
        <v>91</v>
      </c>
      <c r="M2413" s="2">
        <v>66.0</v>
      </c>
      <c r="N2413" s="25">
        <v>31.0</v>
      </c>
      <c r="O2413" s="25"/>
      <c r="P2413" s="25"/>
    </row>
    <row r="2414">
      <c r="A2414" s="16">
        <v>2412.0</v>
      </c>
      <c r="B2414" s="17" t="s">
        <v>1531</v>
      </c>
      <c r="C2414" s="18">
        <v>98.0</v>
      </c>
      <c r="D2414" s="19" t="s">
        <v>2242</v>
      </c>
      <c r="E2414" s="20" t="s">
        <v>443</v>
      </c>
      <c r="F2414" s="17" t="s">
        <v>1105</v>
      </c>
      <c r="G2414" s="17" t="s">
        <v>2878</v>
      </c>
      <c r="H2414" s="17" t="s">
        <v>5315</v>
      </c>
      <c r="I2414" s="17" t="s">
        <v>125</v>
      </c>
      <c r="J2414" s="22" t="s">
        <v>144</v>
      </c>
      <c r="K2414" s="23" t="s">
        <v>108</v>
      </c>
      <c r="L2414" s="24" t="s">
        <v>91</v>
      </c>
      <c r="M2414" s="2">
        <v>66.0</v>
      </c>
      <c r="N2414" s="25">
        <v>31.0</v>
      </c>
      <c r="O2414" s="25"/>
      <c r="P2414" s="25"/>
    </row>
    <row r="2415">
      <c r="A2415" s="16">
        <v>2413.0</v>
      </c>
      <c r="B2415" s="17" t="s">
        <v>1531</v>
      </c>
      <c r="C2415" s="18">
        <v>99.0</v>
      </c>
      <c r="D2415" s="19" t="s">
        <v>2242</v>
      </c>
      <c r="E2415" s="20" t="s">
        <v>443</v>
      </c>
      <c r="F2415" s="17" t="s">
        <v>532</v>
      </c>
      <c r="G2415" s="17" t="s">
        <v>4986</v>
      </c>
      <c r="H2415" s="17" t="s">
        <v>4987</v>
      </c>
      <c r="I2415" s="17" t="s">
        <v>125</v>
      </c>
      <c r="J2415" s="22" t="s">
        <v>144</v>
      </c>
      <c r="K2415" s="23" t="s">
        <v>108</v>
      </c>
      <c r="L2415" s="24" t="s">
        <v>91</v>
      </c>
      <c r="M2415" s="2">
        <v>66.0</v>
      </c>
      <c r="N2415" s="25">
        <v>31.0</v>
      </c>
      <c r="O2415" s="25"/>
      <c r="P2415" s="25"/>
    </row>
    <row r="2416">
      <c r="A2416" s="16">
        <v>2414.0</v>
      </c>
      <c r="B2416" s="17" t="s">
        <v>1531</v>
      </c>
      <c r="C2416" s="18">
        <v>100.0</v>
      </c>
      <c r="D2416" s="19" t="s">
        <v>2242</v>
      </c>
      <c r="E2416" s="20" t="s">
        <v>443</v>
      </c>
      <c r="F2416" s="17" t="s">
        <v>837</v>
      </c>
      <c r="G2416" s="17" t="s">
        <v>3525</v>
      </c>
      <c r="H2416" s="17" t="s">
        <v>5316</v>
      </c>
      <c r="I2416" s="17" t="s">
        <v>125</v>
      </c>
      <c r="J2416" s="22" t="s">
        <v>144</v>
      </c>
      <c r="K2416" s="23" t="s">
        <v>108</v>
      </c>
      <c r="L2416" s="24" t="s">
        <v>91</v>
      </c>
      <c r="M2416" s="2">
        <v>66.0</v>
      </c>
      <c r="N2416" s="25">
        <v>31.0</v>
      </c>
      <c r="O2416" s="25"/>
      <c r="P2416" s="25"/>
    </row>
    <row r="2417">
      <c r="A2417" s="16">
        <v>2415.0</v>
      </c>
      <c r="B2417" s="17" t="s">
        <v>1531</v>
      </c>
      <c r="C2417" s="18">
        <v>101.0</v>
      </c>
      <c r="D2417" s="19" t="s">
        <v>2242</v>
      </c>
      <c r="E2417" s="20" t="s">
        <v>443</v>
      </c>
      <c r="F2417" s="17" t="s">
        <v>1040</v>
      </c>
      <c r="G2417" s="17" t="s">
        <v>5317</v>
      </c>
      <c r="H2417" s="17" t="s">
        <v>5318</v>
      </c>
      <c r="I2417" s="17" t="s">
        <v>125</v>
      </c>
      <c r="J2417" s="22" t="s">
        <v>144</v>
      </c>
      <c r="K2417" s="23" t="s">
        <v>108</v>
      </c>
      <c r="L2417" s="24" t="s">
        <v>91</v>
      </c>
      <c r="M2417" s="2">
        <v>66.0</v>
      </c>
      <c r="N2417" s="25">
        <v>31.0</v>
      </c>
      <c r="O2417" s="25"/>
      <c r="P2417" s="25"/>
    </row>
    <row r="2418">
      <c r="A2418" s="16">
        <v>2416.0</v>
      </c>
      <c r="B2418" s="17" t="s">
        <v>1531</v>
      </c>
      <c r="C2418" s="18">
        <v>102.0</v>
      </c>
      <c r="D2418" s="19" t="s">
        <v>2242</v>
      </c>
      <c r="E2418" s="20" t="s">
        <v>443</v>
      </c>
      <c r="F2418" s="17" t="s">
        <v>1135</v>
      </c>
      <c r="G2418" s="17" t="s">
        <v>5319</v>
      </c>
      <c r="H2418" s="17" t="s">
        <v>5320</v>
      </c>
      <c r="I2418" s="17" t="s">
        <v>125</v>
      </c>
      <c r="J2418" s="22" t="s">
        <v>144</v>
      </c>
      <c r="K2418" s="23" t="s">
        <v>108</v>
      </c>
      <c r="L2418" s="24" t="s">
        <v>91</v>
      </c>
      <c r="M2418" s="2">
        <v>66.0</v>
      </c>
      <c r="N2418" s="25">
        <v>31.0</v>
      </c>
      <c r="O2418" s="25"/>
      <c r="P2418" s="25"/>
    </row>
    <row r="2419">
      <c r="A2419" s="16">
        <v>2417.0</v>
      </c>
      <c r="B2419" s="17" t="s">
        <v>1531</v>
      </c>
      <c r="C2419" s="18">
        <v>103.0</v>
      </c>
      <c r="D2419" s="19" t="s">
        <v>2242</v>
      </c>
      <c r="E2419" s="20" t="s">
        <v>443</v>
      </c>
      <c r="F2419" s="17" t="s">
        <v>1155</v>
      </c>
      <c r="G2419" s="17" t="s">
        <v>123</v>
      </c>
      <c r="H2419" s="17" t="s">
        <v>5321</v>
      </c>
      <c r="I2419" s="17" t="s">
        <v>125</v>
      </c>
      <c r="J2419" s="22" t="s">
        <v>144</v>
      </c>
      <c r="K2419" s="23" t="s">
        <v>108</v>
      </c>
      <c r="L2419" s="24" t="s">
        <v>91</v>
      </c>
      <c r="M2419" s="2">
        <v>66.0</v>
      </c>
      <c r="N2419" s="25">
        <v>31.0</v>
      </c>
      <c r="O2419" s="25"/>
      <c r="P2419" s="25"/>
    </row>
    <row r="2420">
      <c r="A2420" s="16">
        <v>2418.0</v>
      </c>
      <c r="B2420" s="17" t="s">
        <v>1531</v>
      </c>
      <c r="C2420" s="18">
        <v>104.0</v>
      </c>
      <c r="D2420" s="19" t="s">
        <v>2242</v>
      </c>
      <c r="E2420" s="20" t="s">
        <v>443</v>
      </c>
      <c r="F2420" s="17" t="s">
        <v>952</v>
      </c>
      <c r="G2420" s="17" t="s">
        <v>4564</v>
      </c>
      <c r="H2420" s="17" t="s">
        <v>5322</v>
      </c>
      <c r="I2420" s="17" t="s">
        <v>125</v>
      </c>
      <c r="J2420" s="22" t="s">
        <v>144</v>
      </c>
      <c r="K2420" s="23" t="s">
        <v>108</v>
      </c>
      <c r="L2420" s="24" t="s">
        <v>91</v>
      </c>
      <c r="M2420" s="2">
        <v>66.0</v>
      </c>
      <c r="N2420" s="25">
        <v>31.0</v>
      </c>
      <c r="O2420" s="25"/>
      <c r="P2420" s="25"/>
    </row>
    <row r="2421">
      <c r="A2421" s="16">
        <v>2419.0</v>
      </c>
      <c r="B2421" s="17" t="s">
        <v>1531</v>
      </c>
      <c r="C2421" s="18">
        <v>105.0</v>
      </c>
      <c r="D2421" s="19" t="s">
        <v>2242</v>
      </c>
      <c r="E2421" s="20" t="s">
        <v>443</v>
      </c>
      <c r="F2421" s="17" t="s">
        <v>863</v>
      </c>
      <c r="G2421" s="17" t="s">
        <v>5323</v>
      </c>
      <c r="H2421" s="17" t="s">
        <v>5324</v>
      </c>
      <c r="I2421" s="17" t="s">
        <v>125</v>
      </c>
      <c r="J2421" s="22" t="s">
        <v>144</v>
      </c>
      <c r="K2421" s="23" t="s">
        <v>108</v>
      </c>
      <c r="L2421" s="24" t="s">
        <v>91</v>
      </c>
      <c r="M2421" s="2">
        <v>66.0</v>
      </c>
      <c r="N2421" s="25">
        <v>31.0</v>
      </c>
      <c r="O2421" s="25"/>
      <c r="P2421" s="25"/>
    </row>
    <row r="2422">
      <c r="A2422" s="16">
        <v>2420.0</v>
      </c>
      <c r="B2422" s="17" t="s">
        <v>1531</v>
      </c>
      <c r="C2422" s="18">
        <v>106.0</v>
      </c>
      <c r="D2422" s="19" t="s">
        <v>2242</v>
      </c>
      <c r="E2422" s="20" t="s">
        <v>443</v>
      </c>
      <c r="F2422" s="17" t="s">
        <v>350</v>
      </c>
      <c r="G2422" s="17" t="s">
        <v>352</v>
      </c>
      <c r="H2422" s="17" t="s">
        <v>5325</v>
      </c>
      <c r="I2422" s="17" t="s">
        <v>125</v>
      </c>
      <c r="J2422" s="22" t="s">
        <v>144</v>
      </c>
      <c r="K2422" s="23" t="s">
        <v>108</v>
      </c>
      <c r="L2422" s="24" t="s">
        <v>91</v>
      </c>
      <c r="M2422" s="2">
        <v>66.0</v>
      </c>
      <c r="N2422" s="25">
        <v>31.0</v>
      </c>
      <c r="O2422" s="25"/>
      <c r="P2422" s="25"/>
    </row>
    <row r="2423">
      <c r="A2423" s="16">
        <v>2421.0</v>
      </c>
      <c r="B2423" s="17" t="s">
        <v>1531</v>
      </c>
      <c r="C2423" s="18">
        <v>107.0</v>
      </c>
      <c r="D2423" s="19" t="s">
        <v>2242</v>
      </c>
      <c r="E2423" s="20" t="s">
        <v>443</v>
      </c>
      <c r="F2423" s="17" t="s">
        <v>1057</v>
      </c>
      <c r="G2423" s="17" t="s">
        <v>5326</v>
      </c>
      <c r="H2423" s="17" t="s">
        <v>5327</v>
      </c>
      <c r="I2423" s="17" t="s">
        <v>125</v>
      </c>
      <c r="J2423" s="22" t="s">
        <v>144</v>
      </c>
      <c r="K2423" s="23" t="s">
        <v>108</v>
      </c>
      <c r="L2423" s="24" t="s">
        <v>91</v>
      </c>
      <c r="M2423" s="2">
        <v>66.0</v>
      </c>
      <c r="N2423" s="25">
        <v>31.0</v>
      </c>
      <c r="O2423" s="25"/>
      <c r="P2423" s="25"/>
    </row>
    <row r="2424">
      <c r="A2424" s="16">
        <v>2422.0</v>
      </c>
      <c r="B2424" s="27" t="s">
        <v>1531</v>
      </c>
      <c r="C2424" s="18">
        <v>108.0</v>
      </c>
      <c r="D2424" s="19" t="s">
        <v>2242</v>
      </c>
      <c r="E2424" s="20" t="s">
        <v>443</v>
      </c>
      <c r="F2424" s="27" t="s">
        <v>5328</v>
      </c>
      <c r="G2424" s="17" t="s">
        <v>5329</v>
      </c>
      <c r="H2424" s="17" t="s">
        <v>5330</v>
      </c>
      <c r="I2424" s="17" t="s">
        <v>125</v>
      </c>
      <c r="J2424" s="22" t="s">
        <v>144</v>
      </c>
      <c r="K2424" s="23" t="s">
        <v>108</v>
      </c>
      <c r="L2424" s="24"/>
      <c r="M2424" s="2">
        <v>66.0</v>
      </c>
      <c r="N2424" s="25">
        <v>31.0</v>
      </c>
      <c r="O2424" s="25"/>
      <c r="P2424" s="25"/>
    </row>
    <row r="2425">
      <c r="A2425" s="16">
        <v>2423.0</v>
      </c>
      <c r="B2425" s="27" t="s">
        <v>1531</v>
      </c>
      <c r="C2425" s="18">
        <v>109.0</v>
      </c>
      <c r="D2425" s="19" t="s">
        <v>2242</v>
      </c>
      <c r="E2425" s="20" t="s">
        <v>443</v>
      </c>
      <c r="F2425" s="27" t="s">
        <v>957</v>
      </c>
      <c r="G2425" s="17" t="s">
        <v>1984</v>
      </c>
      <c r="H2425" s="17" t="s">
        <v>5331</v>
      </c>
      <c r="I2425" s="17" t="s">
        <v>125</v>
      </c>
      <c r="J2425" s="22" t="s">
        <v>144</v>
      </c>
      <c r="K2425" s="23" t="s">
        <v>108</v>
      </c>
      <c r="L2425" s="24"/>
      <c r="M2425" s="2">
        <v>66.0</v>
      </c>
      <c r="N2425" s="25">
        <v>31.0</v>
      </c>
      <c r="O2425" s="25"/>
      <c r="P2425" s="25"/>
    </row>
    <row r="2426">
      <c r="A2426" s="16">
        <v>2424.0</v>
      </c>
      <c r="B2426" s="27" t="s">
        <v>1531</v>
      </c>
      <c r="C2426" s="18">
        <v>110.0</v>
      </c>
      <c r="D2426" s="19" t="s">
        <v>2242</v>
      </c>
      <c r="E2426" s="20" t="s">
        <v>443</v>
      </c>
      <c r="F2426" s="27" t="s">
        <v>1043</v>
      </c>
      <c r="G2426" s="17" t="s">
        <v>4668</v>
      </c>
      <c r="H2426" s="17" t="s">
        <v>5332</v>
      </c>
      <c r="I2426" s="17" t="s">
        <v>125</v>
      </c>
      <c r="J2426" s="22" t="s">
        <v>144</v>
      </c>
      <c r="K2426" s="23" t="s">
        <v>108</v>
      </c>
      <c r="L2426" s="24"/>
      <c r="M2426" s="2">
        <v>66.0</v>
      </c>
      <c r="N2426" s="25">
        <v>31.0</v>
      </c>
      <c r="O2426" s="25"/>
      <c r="P2426" s="25"/>
    </row>
    <row r="2427">
      <c r="A2427" s="16">
        <v>2425.0</v>
      </c>
      <c r="B2427" s="17" t="s">
        <v>1531</v>
      </c>
      <c r="C2427" s="18">
        <v>111.0</v>
      </c>
      <c r="D2427" s="19" t="s">
        <v>2242</v>
      </c>
      <c r="E2427" s="20" t="s">
        <v>443</v>
      </c>
      <c r="F2427" s="17" t="s">
        <v>1270</v>
      </c>
      <c r="G2427" s="17" t="s">
        <v>123</v>
      </c>
      <c r="H2427" s="17" t="s">
        <v>5333</v>
      </c>
      <c r="I2427" s="17" t="s">
        <v>125</v>
      </c>
      <c r="J2427" s="22" t="s">
        <v>144</v>
      </c>
      <c r="K2427" s="23" t="s">
        <v>108</v>
      </c>
      <c r="L2427" s="24" t="s">
        <v>1243</v>
      </c>
      <c r="M2427" s="2">
        <v>66.0</v>
      </c>
      <c r="N2427" s="25">
        <v>36.0</v>
      </c>
      <c r="O2427" s="25"/>
      <c r="P2427" s="25"/>
    </row>
    <row r="2428">
      <c r="A2428" s="16">
        <v>2426.0</v>
      </c>
      <c r="B2428" s="17" t="s">
        <v>1531</v>
      </c>
      <c r="C2428" s="18">
        <v>112.0</v>
      </c>
      <c r="D2428" s="19" t="s">
        <v>2242</v>
      </c>
      <c r="E2428" s="20" t="s">
        <v>443</v>
      </c>
      <c r="F2428" s="17" t="s">
        <v>781</v>
      </c>
      <c r="G2428" s="17" t="s">
        <v>123</v>
      </c>
      <c r="H2428" s="17" t="s">
        <v>5334</v>
      </c>
      <c r="I2428" s="17" t="s">
        <v>125</v>
      </c>
      <c r="J2428" s="22" t="s">
        <v>144</v>
      </c>
      <c r="K2428" s="23" t="s">
        <v>108</v>
      </c>
      <c r="L2428" s="24" t="s">
        <v>1243</v>
      </c>
      <c r="M2428" s="2">
        <v>66.0</v>
      </c>
      <c r="N2428" s="25">
        <v>36.0</v>
      </c>
      <c r="O2428" s="25"/>
      <c r="P2428" s="25"/>
    </row>
    <row r="2429">
      <c r="A2429" s="16">
        <v>2427.0</v>
      </c>
      <c r="B2429" s="17" t="s">
        <v>1540</v>
      </c>
      <c r="C2429" s="18">
        <v>1.0</v>
      </c>
      <c r="D2429" s="19" t="s">
        <v>4023</v>
      </c>
      <c r="E2429" s="20" t="s">
        <v>91</v>
      </c>
      <c r="F2429" s="17" t="s">
        <v>949</v>
      </c>
      <c r="G2429" s="17" t="s">
        <v>5049</v>
      </c>
      <c r="H2429" s="17" t="s">
        <v>5050</v>
      </c>
      <c r="I2429" s="17" t="s">
        <v>125</v>
      </c>
      <c r="J2429" s="22" t="s">
        <v>100</v>
      </c>
      <c r="K2429" s="23" t="s">
        <v>108</v>
      </c>
      <c r="L2429" s="24" t="s">
        <v>91</v>
      </c>
      <c r="M2429" s="2">
        <v>67.0</v>
      </c>
      <c r="N2429" s="25">
        <v>11.0</v>
      </c>
      <c r="O2429" s="25"/>
      <c r="P2429" s="25"/>
    </row>
    <row r="2430">
      <c r="A2430" s="16">
        <v>2428.0</v>
      </c>
      <c r="B2430" s="17" t="s">
        <v>1540</v>
      </c>
      <c r="C2430" s="18">
        <v>2.0</v>
      </c>
      <c r="D2430" s="19" t="s">
        <v>2970</v>
      </c>
      <c r="E2430" s="20" t="s">
        <v>91</v>
      </c>
      <c r="F2430" s="17" t="s">
        <v>1027</v>
      </c>
      <c r="G2430" s="17" t="s">
        <v>123</v>
      </c>
      <c r="H2430" s="17" t="s">
        <v>5335</v>
      </c>
      <c r="I2430" s="17" t="s">
        <v>125</v>
      </c>
      <c r="J2430" s="22" t="s">
        <v>100</v>
      </c>
      <c r="K2430" s="23" t="s">
        <v>108</v>
      </c>
      <c r="L2430" s="24" t="s">
        <v>91</v>
      </c>
      <c r="M2430" s="2">
        <v>67.0</v>
      </c>
      <c r="N2430" s="25">
        <v>11.0</v>
      </c>
      <c r="O2430" s="25"/>
      <c r="P2430" s="25"/>
    </row>
    <row r="2431">
      <c r="A2431" s="16">
        <v>2429.0</v>
      </c>
      <c r="B2431" s="17" t="s">
        <v>1540</v>
      </c>
      <c r="C2431" s="18">
        <v>3.0</v>
      </c>
      <c r="D2431" s="19" t="s">
        <v>4023</v>
      </c>
      <c r="E2431" s="20" t="s">
        <v>91</v>
      </c>
      <c r="F2431" s="17" t="s">
        <v>862</v>
      </c>
      <c r="G2431" s="17" t="s">
        <v>4690</v>
      </c>
      <c r="H2431" s="17" t="s">
        <v>5336</v>
      </c>
      <c r="I2431" s="17" t="s">
        <v>125</v>
      </c>
      <c r="J2431" s="22" t="s">
        <v>135</v>
      </c>
      <c r="K2431" s="23" t="s">
        <v>108</v>
      </c>
      <c r="L2431" s="24" t="s">
        <v>91</v>
      </c>
      <c r="M2431" s="2">
        <v>67.0</v>
      </c>
      <c r="N2431" s="25">
        <v>21.0</v>
      </c>
      <c r="O2431" s="25"/>
      <c r="P2431" s="25"/>
    </row>
    <row r="2432">
      <c r="A2432" s="16">
        <v>2430.0</v>
      </c>
      <c r="B2432" s="17" t="s">
        <v>1540</v>
      </c>
      <c r="C2432" s="18">
        <v>4.0</v>
      </c>
      <c r="D2432" s="19" t="s">
        <v>4023</v>
      </c>
      <c r="E2432" s="20" t="s">
        <v>91</v>
      </c>
      <c r="F2432" s="17" t="s">
        <v>705</v>
      </c>
      <c r="G2432" s="17" t="s">
        <v>4657</v>
      </c>
      <c r="H2432" s="17" t="s">
        <v>4658</v>
      </c>
      <c r="I2432" s="17" t="s">
        <v>125</v>
      </c>
      <c r="J2432" s="22" t="s">
        <v>135</v>
      </c>
      <c r="K2432" s="23" t="s">
        <v>108</v>
      </c>
      <c r="L2432" s="24" t="s">
        <v>91</v>
      </c>
      <c r="M2432" s="2">
        <v>67.0</v>
      </c>
      <c r="N2432" s="25">
        <v>21.0</v>
      </c>
      <c r="O2432" s="25"/>
      <c r="P2432" s="25"/>
    </row>
    <row r="2433">
      <c r="A2433" s="16">
        <v>2431.0</v>
      </c>
      <c r="B2433" s="17" t="s">
        <v>1540</v>
      </c>
      <c r="C2433" s="18">
        <v>5.0</v>
      </c>
      <c r="D2433" s="19" t="s">
        <v>4023</v>
      </c>
      <c r="E2433" s="20" t="s">
        <v>91</v>
      </c>
      <c r="F2433" s="17" t="s">
        <v>44</v>
      </c>
      <c r="G2433" s="17" t="s">
        <v>4962</v>
      </c>
      <c r="H2433" s="17" t="s">
        <v>5337</v>
      </c>
      <c r="I2433" s="17" t="s">
        <v>125</v>
      </c>
      <c r="J2433" s="22" t="s">
        <v>135</v>
      </c>
      <c r="K2433" s="23" t="s">
        <v>108</v>
      </c>
      <c r="L2433" s="24" t="s">
        <v>91</v>
      </c>
      <c r="M2433" s="2">
        <v>67.0</v>
      </c>
      <c r="N2433" s="25">
        <v>21.0</v>
      </c>
      <c r="O2433" s="25"/>
      <c r="P2433" s="25"/>
    </row>
    <row r="2434">
      <c r="A2434" s="16">
        <v>2432.0</v>
      </c>
      <c r="B2434" s="17" t="s">
        <v>1540</v>
      </c>
      <c r="C2434" s="18">
        <v>6.0</v>
      </c>
      <c r="D2434" s="19" t="s">
        <v>4023</v>
      </c>
      <c r="E2434" s="20" t="s">
        <v>91</v>
      </c>
      <c r="F2434" s="17" t="s">
        <v>883</v>
      </c>
      <c r="G2434" s="17" t="s">
        <v>4942</v>
      </c>
      <c r="H2434" s="17" t="s">
        <v>5338</v>
      </c>
      <c r="I2434" s="17" t="s">
        <v>125</v>
      </c>
      <c r="J2434" s="22" t="s">
        <v>144</v>
      </c>
      <c r="K2434" s="23" t="s">
        <v>108</v>
      </c>
      <c r="L2434" s="24" t="s">
        <v>91</v>
      </c>
      <c r="M2434" s="2">
        <v>67.0</v>
      </c>
      <c r="N2434" s="25">
        <v>31.0</v>
      </c>
      <c r="O2434" s="25"/>
      <c r="P2434" s="25"/>
    </row>
    <row r="2435">
      <c r="A2435" s="16">
        <v>2433.0</v>
      </c>
      <c r="B2435" s="17" t="s">
        <v>1540</v>
      </c>
      <c r="C2435" s="18">
        <v>7.0</v>
      </c>
      <c r="D2435" s="19" t="s">
        <v>4023</v>
      </c>
      <c r="E2435" s="20" t="s">
        <v>91</v>
      </c>
      <c r="F2435" s="17" t="s">
        <v>1146</v>
      </c>
      <c r="G2435" s="17" t="s">
        <v>4655</v>
      </c>
      <c r="H2435" s="17" t="s">
        <v>4656</v>
      </c>
      <c r="I2435" s="17" t="s">
        <v>125</v>
      </c>
      <c r="J2435" s="22" t="s">
        <v>144</v>
      </c>
      <c r="K2435" s="23" t="s">
        <v>108</v>
      </c>
      <c r="L2435" s="24" t="s">
        <v>91</v>
      </c>
      <c r="M2435" s="2">
        <v>67.0</v>
      </c>
      <c r="N2435" s="25">
        <v>31.0</v>
      </c>
      <c r="O2435" s="25"/>
      <c r="P2435" s="25"/>
    </row>
    <row r="2436">
      <c r="A2436" s="16">
        <v>2434.0</v>
      </c>
      <c r="B2436" s="17" t="s">
        <v>1540</v>
      </c>
      <c r="C2436" s="18">
        <v>8.0</v>
      </c>
      <c r="D2436" s="19" t="s">
        <v>4023</v>
      </c>
      <c r="E2436" s="20" t="s">
        <v>91</v>
      </c>
      <c r="F2436" s="17" t="s">
        <v>908</v>
      </c>
      <c r="G2436" s="17" t="s">
        <v>4768</v>
      </c>
      <c r="H2436" s="17" t="s">
        <v>5048</v>
      </c>
      <c r="I2436" s="17" t="s">
        <v>125</v>
      </c>
      <c r="J2436" s="22" t="s">
        <v>144</v>
      </c>
      <c r="K2436" s="23" t="s">
        <v>108</v>
      </c>
      <c r="L2436" s="24" t="s">
        <v>91</v>
      </c>
      <c r="M2436" s="2">
        <v>67.0</v>
      </c>
      <c r="N2436" s="25">
        <v>31.0</v>
      </c>
      <c r="O2436" s="25"/>
      <c r="P2436" s="25"/>
    </row>
    <row r="2437">
      <c r="A2437" s="16">
        <v>2435.0</v>
      </c>
      <c r="B2437" s="17" t="s">
        <v>1540</v>
      </c>
      <c r="C2437" s="18">
        <v>9.0</v>
      </c>
      <c r="D2437" s="19" t="s">
        <v>4023</v>
      </c>
      <c r="E2437" s="20" t="s">
        <v>91</v>
      </c>
      <c r="F2437" s="17" t="s">
        <v>648</v>
      </c>
      <c r="G2437" s="17" t="s">
        <v>5339</v>
      </c>
      <c r="H2437" s="17" t="s">
        <v>5340</v>
      </c>
      <c r="I2437" s="17" t="s">
        <v>125</v>
      </c>
      <c r="J2437" s="22" t="s">
        <v>144</v>
      </c>
      <c r="K2437" s="23" t="s">
        <v>108</v>
      </c>
      <c r="L2437" s="24" t="s">
        <v>91</v>
      </c>
      <c r="M2437" s="2">
        <v>67.0</v>
      </c>
      <c r="N2437" s="25">
        <v>31.0</v>
      </c>
      <c r="O2437" s="25"/>
      <c r="P2437" s="25"/>
    </row>
    <row r="2438">
      <c r="A2438" s="16">
        <v>2436.0</v>
      </c>
      <c r="B2438" s="17" t="s">
        <v>1540</v>
      </c>
      <c r="C2438" s="18">
        <v>10.0</v>
      </c>
      <c r="D2438" s="19" t="s">
        <v>4023</v>
      </c>
      <c r="E2438" s="20" t="s">
        <v>91</v>
      </c>
      <c r="F2438" s="17" t="s">
        <v>891</v>
      </c>
      <c r="G2438" s="17" t="s">
        <v>5057</v>
      </c>
      <c r="H2438" s="17" t="s">
        <v>5058</v>
      </c>
      <c r="I2438" s="17" t="s">
        <v>125</v>
      </c>
      <c r="J2438" s="22" t="s">
        <v>144</v>
      </c>
      <c r="K2438" s="23" t="s">
        <v>108</v>
      </c>
      <c r="L2438" s="24" t="s">
        <v>91</v>
      </c>
      <c r="M2438" s="2">
        <v>67.0</v>
      </c>
      <c r="N2438" s="25">
        <v>31.0</v>
      </c>
      <c r="O2438" s="25"/>
      <c r="P2438" s="25"/>
    </row>
    <row r="2439">
      <c r="A2439" s="16">
        <v>2437.0</v>
      </c>
      <c r="B2439" s="17" t="s">
        <v>1540</v>
      </c>
      <c r="C2439" s="18">
        <v>11.0</v>
      </c>
      <c r="D2439" s="19" t="s">
        <v>4023</v>
      </c>
      <c r="E2439" s="20" t="s">
        <v>91</v>
      </c>
      <c r="F2439" s="17" t="s">
        <v>895</v>
      </c>
      <c r="G2439" s="17" t="s">
        <v>123</v>
      </c>
      <c r="H2439" s="17" t="s">
        <v>5012</v>
      </c>
      <c r="I2439" s="17" t="s">
        <v>125</v>
      </c>
      <c r="J2439" s="22" t="s">
        <v>144</v>
      </c>
      <c r="K2439" s="23" t="s">
        <v>108</v>
      </c>
      <c r="L2439" s="24" t="s">
        <v>91</v>
      </c>
      <c r="M2439" s="2">
        <v>67.0</v>
      </c>
      <c r="N2439" s="25">
        <v>31.0</v>
      </c>
      <c r="O2439" s="25"/>
      <c r="P2439" s="25"/>
    </row>
    <row r="2440">
      <c r="A2440" s="16">
        <v>2438.0</v>
      </c>
      <c r="B2440" s="17" t="s">
        <v>1540</v>
      </c>
      <c r="C2440" s="18">
        <v>12.0</v>
      </c>
      <c r="D2440" s="19" t="s">
        <v>4023</v>
      </c>
      <c r="E2440" s="20" t="s">
        <v>91</v>
      </c>
      <c r="F2440" s="17" t="s">
        <v>1016</v>
      </c>
      <c r="G2440" s="17" t="s">
        <v>5035</v>
      </c>
      <c r="H2440" s="17" t="s">
        <v>5036</v>
      </c>
      <c r="I2440" s="17" t="s">
        <v>125</v>
      </c>
      <c r="J2440" s="22" t="s">
        <v>144</v>
      </c>
      <c r="K2440" s="23" t="s">
        <v>108</v>
      </c>
      <c r="L2440" s="24" t="s">
        <v>91</v>
      </c>
      <c r="M2440" s="2">
        <v>67.0</v>
      </c>
      <c r="N2440" s="25">
        <v>31.0</v>
      </c>
      <c r="O2440" s="25"/>
      <c r="P2440" s="25"/>
    </row>
    <row r="2441">
      <c r="A2441" s="16">
        <v>2439.0</v>
      </c>
      <c r="B2441" s="17" t="s">
        <v>1540</v>
      </c>
      <c r="C2441" s="18">
        <v>13.0</v>
      </c>
      <c r="D2441" s="19" t="s">
        <v>4023</v>
      </c>
      <c r="E2441" s="20" t="s">
        <v>91</v>
      </c>
      <c r="F2441" s="17" t="s">
        <v>1035</v>
      </c>
      <c r="G2441" s="17" t="s">
        <v>4990</v>
      </c>
      <c r="H2441" s="17" t="s">
        <v>5340</v>
      </c>
      <c r="I2441" s="17" t="s">
        <v>125</v>
      </c>
      <c r="J2441" s="22" t="s">
        <v>144</v>
      </c>
      <c r="K2441" s="23" t="s">
        <v>108</v>
      </c>
      <c r="L2441" s="24" t="s">
        <v>91</v>
      </c>
      <c r="M2441" s="2">
        <v>67.0</v>
      </c>
      <c r="N2441" s="25">
        <v>31.0</v>
      </c>
      <c r="O2441" s="25"/>
      <c r="P2441" s="25"/>
    </row>
    <row r="2442">
      <c r="A2442" s="16">
        <v>2440.0</v>
      </c>
      <c r="B2442" s="17" t="s">
        <v>1540</v>
      </c>
      <c r="C2442" s="18">
        <v>14.0</v>
      </c>
      <c r="D2442" s="19" t="s">
        <v>4023</v>
      </c>
      <c r="E2442" s="20" t="s">
        <v>91</v>
      </c>
      <c r="F2442" s="17" t="s">
        <v>1078</v>
      </c>
      <c r="G2442" s="17" t="s">
        <v>5070</v>
      </c>
      <c r="H2442" s="17" t="s">
        <v>5071</v>
      </c>
      <c r="I2442" s="17" t="s">
        <v>125</v>
      </c>
      <c r="J2442" s="22" t="s">
        <v>144</v>
      </c>
      <c r="K2442" s="23" t="s">
        <v>108</v>
      </c>
      <c r="L2442" s="24" t="s">
        <v>91</v>
      </c>
      <c r="M2442" s="2">
        <v>67.0</v>
      </c>
      <c r="N2442" s="25">
        <v>31.0</v>
      </c>
      <c r="O2442" s="25"/>
      <c r="P2442" s="25"/>
    </row>
    <row r="2443">
      <c r="A2443" s="16">
        <v>2441.0</v>
      </c>
      <c r="B2443" s="17" t="s">
        <v>1540</v>
      </c>
      <c r="C2443" s="18">
        <v>15.0</v>
      </c>
      <c r="D2443" s="19" t="s">
        <v>4023</v>
      </c>
      <c r="E2443" s="20" t="s">
        <v>91</v>
      </c>
      <c r="F2443" s="17" t="s">
        <v>1019</v>
      </c>
      <c r="G2443" s="17" t="s">
        <v>4886</v>
      </c>
      <c r="H2443" s="17" t="s">
        <v>5013</v>
      </c>
      <c r="I2443" s="17" t="s">
        <v>125</v>
      </c>
      <c r="J2443" s="22" t="s">
        <v>144</v>
      </c>
      <c r="K2443" s="23" t="s">
        <v>108</v>
      </c>
      <c r="L2443" s="24" t="s">
        <v>91</v>
      </c>
      <c r="M2443" s="2">
        <v>67.0</v>
      </c>
      <c r="N2443" s="25">
        <v>31.0</v>
      </c>
      <c r="O2443" s="25"/>
      <c r="P2443" s="25"/>
    </row>
    <row r="2444">
      <c r="A2444" s="16">
        <v>2442.0</v>
      </c>
      <c r="B2444" s="17" t="s">
        <v>1540</v>
      </c>
      <c r="C2444" s="18">
        <v>16.0</v>
      </c>
      <c r="D2444" s="19" t="s">
        <v>4023</v>
      </c>
      <c r="E2444" s="20" t="s">
        <v>91</v>
      </c>
      <c r="F2444" s="17" t="s">
        <v>685</v>
      </c>
      <c r="G2444" s="17" t="s">
        <v>5175</v>
      </c>
      <c r="H2444" s="17" t="s">
        <v>5341</v>
      </c>
      <c r="I2444" s="17" t="s">
        <v>125</v>
      </c>
      <c r="J2444" s="22" t="s">
        <v>144</v>
      </c>
      <c r="K2444" s="23" t="s">
        <v>108</v>
      </c>
      <c r="L2444" s="24" t="s">
        <v>91</v>
      </c>
      <c r="M2444" s="2">
        <v>67.0</v>
      </c>
      <c r="N2444" s="25">
        <v>31.0</v>
      </c>
      <c r="O2444" s="25"/>
      <c r="P2444" s="25"/>
    </row>
    <row r="2445">
      <c r="A2445" s="16">
        <v>2443.0</v>
      </c>
      <c r="B2445" s="17" t="s">
        <v>1540</v>
      </c>
      <c r="C2445" s="18">
        <v>17.0</v>
      </c>
      <c r="D2445" s="19" t="s">
        <v>4023</v>
      </c>
      <c r="E2445" s="20" t="s">
        <v>91</v>
      </c>
      <c r="F2445" s="17" t="s">
        <v>1119</v>
      </c>
      <c r="G2445" s="17" t="s">
        <v>5342</v>
      </c>
      <c r="H2445" s="17" t="s">
        <v>5065</v>
      </c>
      <c r="I2445" s="17" t="s">
        <v>125</v>
      </c>
      <c r="J2445" s="22" t="s">
        <v>144</v>
      </c>
      <c r="K2445" s="23" t="s">
        <v>108</v>
      </c>
      <c r="L2445" s="24" t="s">
        <v>91</v>
      </c>
      <c r="M2445" s="2">
        <v>67.0</v>
      </c>
      <c r="N2445" s="25">
        <v>31.0</v>
      </c>
      <c r="O2445" s="25"/>
      <c r="P2445" s="25"/>
    </row>
    <row r="2446">
      <c r="A2446" s="16">
        <v>2444.0</v>
      </c>
      <c r="B2446" s="17" t="s">
        <v>1540</v>
      </c>
      <c r="C2446" s="18">
        <v>18.0</v>
      </c>
      <c r="D2446" s="19" t="s">
        <v>4023</v>
      </c>
      <c r="E2446" s="20" t="s">
        <v>91</v>
      </c>
      <c r="F2446" s="17" t="s">
        <v>1004</v>
      </c>
      <c r="G2446" s="17" t="s">
        <v>5014</v>
      </c>
      <c r="H2446" s="17" t="s">
        <v>5015</v>
      </c>
      <c r="I2446" s="17" t="s">
        <v>125</v>
      </c>
      <c r="J2446" s="22" t="s">
        <v>144</v>
      </c>
      <c r="K2446" s="23" t="s">
        <v>108</v>
      </c>
      <c r="L2446" s="24" t="s">
        <v>91</v>
      </c>
      <c r="M2446" s="2">
        <v>67.0</v>
      </c>
      <c r="N2446" s="25">
        <v>31.0</v>
      </c>
      <c r="O2446" s="25"/>
      <c r="P2446" s="25"/>
    </row>
    <row r="2447">
      <c r="A2447" s="16">
        <v>2445.0</v>
      </c>
      <c r="B2447" s="17" t="s">
        <v>1540</v>
      </c>
      <c r="C2447" s="18">
        <v>19.0</v>
      </c>
      <c r="D2447" s="19" t="s">
        <v>4023</v>
      </c>
      <c r="E2447" s="20" t="s">
        <v>91</v>
      </c>
      <c r="F2447" s="17" t="s">
        <v>469</v>
      </c>
      <c r="G2447" s="17" t="s">
        <v>5343</v>
      </c>
      <c r="H2447" s="17" t="s">
        <v>5344</v>
      </c>
      <c r="I2447" s="17" t="s">
        <v>125</v>
      </c>
      <c r="J2447" s="22" t="s">
        <v>144</v>
      </c>
      <c r="K2447" s="23" t="s">
        <v>108</v>
      </c>
      <c r="L2447" s="24" t="s">
        <v>91</v>
      </c>
      <c r="M2447" s="2">
        <v>67.0</v>
      </c>
      <c r="N2447" s="25">
        <v>31.0</v>
      </c>
      <c r="O2447" s="25"/>
      <c r="P2447" s="25"/>
    </row>
    <row r="2448">
      <c r="A2448" s="16">
        <v>2446.0</v>
      </c>
      <c r="B2448" s="17" t="s">
        <v>1540</v>
      </c>
      <c r="C2448" s="18">
        <v>20.0</v>
      </c>
      <c r="D2448" s="19" t="s">
        <v>4023</v>
      </c>
      <c r="E2448" s="20" t="s">
        <v>91</v>
      </c>
      <c r="F2448" s="17" t="s">
        <v>980</v>
      </c>
      <c r="G2448" s="17" t="s">
        <v>2388</v>
      </c>
      <c r="H2448" s="17" t="s">
        <v>5345</v>
      </c>
      <c r="I2448" s="17" t="s">
        <v>125</v>
      </c>
      <c r="J2448" s="22" t="s">
        <v>144</v>
      </c>
      <c r="K2448" s="23" t="s">
        <v>108</v>
      </c>
      <c r="L2448" s="24" t="s">
        <v>91</v>
      </c>
      <c r="M2448" s="2">
        <v>67.0</v>
      </c>
      <c r="N2448" s="25">
        <v>31.0</v>
      </c>
      <c r="O2448" s="25"/>
      <c r="P2448" s="25"/>
    </row>
    <row r="2449">
      <c r="A2449" s="16">
        <v>2447.0</v>
      </c>
      <c r="B2449" s="17" t="s">
        <v>1540</v>
      </c>
      <c r="C2449" s="18">
        <v>21.0</v>
      </c>
      <c r="D2449" s="19" t="s">
        <v>4023</v>
      </c>
      <c r="E2449" s="20" t="s">
        <v>91</v>
      </c>
      <c r="F2449" s="17" t="s">
        <v>863</v>
      </c>
      <c r="G2449" s="17" t="s">
        <v>5323</v>
      </c>
      <c r="H2449" s="17" t="s">
        <v>5346</v>
      </c>
      <c r="I2449" s="17" t="s">
        <v>125</v>
      </c>
      <c r="J2449" s="22" t="s">
        <v>144</v>
      </c>
      <c r="K2449" s="23" t="s">
        <v>108</v>
      </c>
      <c r="L2449" s="24" t="s">
        <v>91</v>
      </c>
      <c r="M2449" s="2">
        <v>67.0</v>
      </c>
      <c r="N2449" s="25">
        <v>31.0</v>
      </c>
      <c r="O2449" s="25"/>
      <c r="P2449" s="25"/>
    </row>
    <row r="2450">
      <c r="A2450" s="16">
        <v>2448.0</v>
      </c>
      <c r="B2450" s="17" t="s">
        <v>1540</v>
      </c>
      <c r="C2450" s="18">
        <v>22.0</v>
      </c>
      <c r="D2450" s="19" t="s">
        <v>4023</v>
      </c>
      <c r="E2450" s="20" t="s">
        <v>91</v>
      </c>
      <c r="F2450" s="17" t="s">
        <v>1015</v>
      </c>
      <c r="G2450" s="17" t="s">
        <v>4657</v>
      </c>
      <c r="H2450" s="17" t="s">
        <v>4658</v>
      </c>
      <c r="I2450" s="17" t="s">
        <v>125</v>
      </c>
      <c r="J2450" s="22" t="s">
        <v>144</v>
      </c>
      <c r="K2450" s="23" t="s">
        <v>108</v>
      </c>
      <c r="L2450" s="24" t="s">
        <v>91</v>
      </c>
      <c r="M2450" s="2">
        <v>67.0</v>
      </c>
      <c r="N2450" s="25">
        <v>31.0</v>
      </c>
      <c r="O2450" s="25"/>
      <c r="P2450" s="25"/>
    </row>
    <row r="2451">
      <c r="A2451" s="16">
        <v>2449.0</v>
      </c>
      <c r="B2451" s="17" t="s">
        <v>1540</v>
      </c>
      <c r="C2451" s="18">
        <v>23.0</v>
      </c>
      <c r="D2451" s="19" t="s">
        <v>4023</v>
      </c>
      <c r="E2451" s="20" t="s">
        <v>91</v>
      </c>
      <c r="F2451" s="17" t="s">
        <v>889</v>
      </c>
      <c r="G2451" s="17" t="s">
        <v>5018</v>
      </c>
      <c r="H2451" s="17" t="s">
        <v>5019</v>
      </c>
      <c r="I2451" s="17" t="s">
        <v>125</v>
      </c>
      <c r="J2451" s="22" t="s">
        <v>144</v>
      </c>
      <c r="K2451" s="23" t="s">
        <v>108</v>
      </c>
      <c r="L2451" s="24" t="s">
        <v>91</v>
      </c>
      <c r="M2451" s="2">
        <v>67.0</v>
      </c>
      <c r="N2451" s="25">
        <v>31.0</v>
      </c>
      <c r="O2451" s="25"/>
      <c r="P2451" s="25"/>
    </row>
    <row r="2452">
      <c r="A2452" s="16">
        <v>2450.0</v>
      </c>
      <c r="B2452" s="17" t="s">
        <v>1540</v>
      </c>
      <c r="C2452" s="18">
        <v>24.0</v>
      </c>
      <c r="D2452" s="19" t="s">
        <v>4023</v>
      </c>
      <c r="E2452" s="20" t="s">
        <v>91</v>
      </c>
      <c r="F2452" s="17" t="s">
        <v>1005</v>
      </c>
      <c r="G2452" s="17" t="s">
        <v>5230</v>
      </c>
      <c r="H2452" s="17" t="s">
        <v>5347</v>
      </c>
      <c r="I2452" s="17" t="s">
        <v>125</v>
      </c>
      <c r="J2452" s="22" t="s">
        <v>144</v>
      </c>
      <c r="K2452" s="23" t="s">
        <v>108</v>
      </c>
      <c r="L2452" s="24" t="s">
        <v>91</v>
      </c>
      <c r="M2452" s="2">
        <v>67.0</v>
      </c>
      <c r="N2452" s="25">
        <v>31.0</v>
      </c>
      <c r="O2452" s="25"/>
      <c r="P2452" s="25"/>
    </row>
    <row r="2453">
      <c r="A2453" s="16">
        <v>2451.0</v>
      </c>
      <c r="B2453" s="17" t="s">
        <v>1540</v>
      </c>
      <c r="C2453" s="18">
        <v>25.0</v>
      </c>
      <c r="D2453" s="19" t="s">
        <v>4023</v>
      </c>
      <c r="E2453" s="20" t="s">
        <v>91</v>
      </c>
      <c r="F2453" s="17" t="s">
        <v>664</v>
      </c>
      <c r="G2453" s="17" t="s">
        <v>4702</v>
      </c>
      <c r="H2453" s="17" t="s">
        <v>4703</v>
      </c>
      <c r="I2453" s="17" t="s">
        <v>125</v>
      </c>
      <c r="J2453" s="22" t="s">
        <v>144</v>
      </c>
      <c r="K2453" s="23" t="s">
        <v>108</v>
      </c>
      <c r="L2453" s="24" t="s">
        <v>91</v>
      </c>
      <c r="M2453" s="2">
        <v>67.0</v>
      </c>
      <c r="N2453" s="25">
        <v>31.0</v>
      </c>
      <c r="O2453" s="25"/>
      <c r="P2453" s="25"/>
    </row>
    <row r="2454">
      <c r="A2454" s="16">
        <v>2452.0</v>
      </c>
      <c r="B2454" s="17" t="s">
        <v>1540</v>
      </c>
      <c r="C2454" s="18">
        <v>26.0</v>
      </c>
      <c r="D2454" s="19" t="s">
        <v>4023</v>
      </c>
      <c r="E2454" s="20" t="s">
        <v>91</v>
      </c>
      <c r="F2454" s="17" t="s">
        <v>898</v>
      </c>
      <c r="G2454" s="17" t="s">
        <v>3826</v>
      </c>
      <c r="H2454" s="17" t="s">
        <v>3827</v>
      </c>
      <c r="I2454" s="17" t="s">
        <v>125</v>
      </c>
      <c r="J2454" s="22" t="s">
        <v>144</v>
      </c>
      <c r="K2454" s="23" t="s">
        <v>108</v>
      </c>
      <c r="L2454" s="24" t="s">
        <v>91</v>
      </c>
      <c r="M2454" s="2">
        <v>67.0</v>
      </c>
      <c r="N2454" s="25">
        <v>31.0</v>
      </c>
      <c r="O2454" s="25"/>
      <c r="P2454" s="25"/>
    </row>
    <row r="2455">
      <c r="A2455" s="16">
        <v>2453.0</v>
      </c>
      <c r="B2455" s="17" t="s">
        <v>1540</v>
      </c>
      <c r="C2455" s="18">
        <v>27.0</v>
      </c>
      <c r="D2455" s="19" t="s">
        <v>4023</v>
      </c>
      <c r="E2455" s="20" t="s">
        <v>91</v>
      </c>
      <c r="F2455" s="17" t="s">
        <v>1008</v>
      </c>
      <c r="G2455" s="17" t="s">
        <v>5022</v>
      </c>
      <c r="H2455" s="17" t="s">
        <v>5023</v>
      </c>
      <c r="I2455" s="17" t="s">
        <v>125</v>
      </c>
      <c r="J2455" s="22" t="s">
        <v>144</v>
      </c>
      <c r="K2455" s="23" t="s">
        <v>108</v>
      </c>
      <c r="L2455" s="24" t="s">
        <v>91</v>
      </c>
      <c r="M2455" s="2">
        <v>67.0</v>
      </c>
      <c r="N2455" s="25">
        <v>31.0</v>
      </c>
      <c r="O2455" s="25"/>
      <c r="P2455" s="25"/>
    </row>
    <row r="2456">
      <c r="A2456" s="16">
        <v>2454.0</v>
      </c>
      <c r="B2456" s="17" t="s">
        <v>1540</v>
      </c>
      <c r="C2456" s="18">
        <v>28.0</v>
      </c>
      <c r="D2456" s="19" t="s">
        <v>4023</v>
      </c>
      <c r="E2456" s="20" t="s">
        <v>91</v>
      </c>
      <c r="F2456" s="17" t="s">
        <v>917</v>
      </c>
      <c r="G2456" s="17" t="s">
        <v>5025</v>
      </c>
      <c r="H2456" s="17" t="s">
        <v>5026</v>
      </c>
      <c r="I2456" s="17" t="s">
        <v>125</v>
      </c>
      <c r="J2456" s="22" t="s">
        <v>144</v>
      </c>
      <c r="K2456" s="23" t="s">
        <v>108</v>
      </c>
      <c r="L2456" s="24" t="s">
        <v>91</v>
      </c>
      <c r="M2456" s="2">
        <v>67.0</v>
      </c>
      <c r="N2456" s="25">
        <v>31.0</v>
      </c>
      <c r="O2456" s="25"/>
      <c r="P2456" s="25"/>
    </row>
    <row r="2457">
      <c r="A2457" s="16">
        <v>2455.0</v>
      </c>
      <c r="B2457" s="17" t="s">
        <v>1540</v>
      </c>
      <c r="C2457" s="18">
        <v>29.0</v>
      </c>
      <c r="D2457" s="19" t="s">
        <v>4023</v>
      </c>
      <c r="E2457" s="20" t="s">
        <v>91</v>
      </c>
      <c r="F2457" s="17" t="s">
        <v>997</v>
      </c>
      <c r="G2457" s="17" t="s">
        <v>3519</v>
      </c>
      <c r="H2457" s="17" t="s">
        <v>5030</v>
      </c>
      <c r="I2457" s="17" t="s">
        <v>125</v>
      </c>
      <c r="J2457" s="22" t="s">
        <v>144</v>
      </c>
      <c r="K2457" s="23" t="s">
        <v>108</v>
      </c>
      <c r="L2457" s="24" t="s">
        <v>91</v>
      </c>
      <c r="M2457" s="2">
        <v>67.0</v>
      </c>
      <c r="N2457" s="25">
        <v>31.0</v>
      </c>
      <c r="O2457" s="25"/>
      <c r="P2457" s="25"/>
    </row>
    <row r="2458">
      <c r="A2458" s="16">
        <v>2456.0</v>
      </c>
      <c r="B2458" s="17" t="s">
        <v>1540</v>
      </c>
      <c r="C2458" s="18">
        <v>30.0</v>
      </c>
      <c r="D2458" s="19" t="s">
        <v>4023</v>
      </c>
      <c r="E2458" s="20" t="s">
        <v>91</v>
      </c>
      <c r="F2458" s="17" t="s">
        <v>767</v>
      </c>
      <c r="G2458" s="17" t="s">
        <v>3721</v>
      </c>
      <c r="H2458" s="17" t="s">
        <v>5031</v>
      </c>
      <c r="I2458" s="17" t="s">
        <v>125</v>
      </c>
      <c r="J2458" s="22" t="s">
        <v>144</v>
      </c>
      <c r="K2458" s="23" t="s">
        <v>108</v>
      </c>
      <c r="L2458" s="24" t="s">
        <v>91</v>
      </c>
      <c r="M2458" s="2">
        <v>67.0</v>
      </c>
      <c r="N2458" s="25">
        <v>31.0</v>
      </c>
      <c r="O2458" s="25"/>
      <c r="P2458" s="25"/>
    </row>
    <row r="2459">
      <c r="A2459" s="16">
        <v>2457.0</v>
      </c>
      <c r="B2459" s="17" t="s">
        <v>1540</v>
      </c>
      <c r="C2459" s="18">
        <v>31.0</v>
      </c>
      <c r="D2459" s="19" t="s">
        <v>4023</v>
      </c>
      <c r="E2459" s="20" t="s">
        <v>91</v>
      </c>
      <c r="F2459" s="17" t="s">
        <v>544</v>
      </c>
      <c r="G2459" s="17" t="s">
        <v>4978</v>
      </c>
      <c r="H2459" s="17" t="s">
        <v>5337</v>
      </c>
      <c r="I2459" s="17" t="s">
        <v>125</v>
      </c>
      <c r="J2459" s="22" t="s">
        <v>144</v>
      </c>
      <c r="K2459" s="23" t="s">
        <v>108</v>
      </c>
      <c r="L2459" s="24" t="s">
        <v>91</v>
      </c>
      <c r="M2459" s="2">
        <v>67.0</v>
      </c>
      <c r="N2459" s="25">
        <v>31.0</v>
      </c>
      <c r="O2459" s="25"/>
      <c r="P2459" s="25"/>
    </row>
    <row r="2460">
      <c r="A2460" s="16">
        <v>2458.0</v>
      </c>
      <c r="B2460" s="17" t="s">
        <v>1540</v>
      </c>
      <c r="C2460" s="18">
        <v>32.0</v>
      </c>
      <c r="D2460" s="19" t="s">
        <v>4023</v>
      </c>
      <c r="E2460" s="20" t="s">
        <v>91</v>
      </c>
      <c r="F2460" s="17" t="s">
        <v>1020</v>
      </c>
      <c r="G2460" s="17" t="s">
        <v>5348</v>
      </c>
      <c r="H2460" s="17" t="s">
        <v>5349</v>
      </c>
      <c r="I2460" s="17" t="s">
        <v>125</v>
      </c>
      <c r="J2460" s="22" t="s">
        <v>144</v>
      </c>
      <c r="K2460" s="23" t="s">
        <v>108</v>
      </c>
      <c r="L2460" s="24" t="s">
        <v>91</v>
      </c>
      <c r="M2460" s="2">
        <v>67.0</v>
      </c>
      <c r="N2460" s="25">
        <v>31.0</v>
      </c>
      <c r="O2460" s="25"/>
      <c r="P2460" s="25"/>
    </row>
    <row r="2461">
      <c r="A2461" s="16">
        <v>2459.0</v>
      </c>
      <c r="B2461" s="17" t="s">
        <v>1540</v>
      </c>
      <c r="C2461" s="18">
        <v>33.0</v>
      </c>
      <c r="D2461" s="19" t="s">
        <v>4023</v>
      </c>
      <c r="E2461" s="20" t="s">
        <v>91</v>
      </c>
      <c r="F2461" s="17" t="s">
        <v>707</v>
      </c>
      <c r="G2461" s="17" t="s">
        <v>5037</v>
      </c>
      <c r="H2461" s="17" t="s">
        <v>5038</v>
      </c>
      <c r="I2461" s="17" t="s">
        <v>125</v>
      </c>
      <c r="J2461" s="22" t="s">
        <v>144</v>
      </c>
      <c r="K2461" s="23" t="s">
        <v>108</v>
      </c>
      <c r="L2461" s="24" t="s">
        <v>91</v>
      </c>
      <c r="M2461" s="2">
        <v>67.0</v>
      </c>
      <c r="N2461" s="25">
        <v>31.0</v>
      </c>
      <c r="O2461" s="25"/>
      <c r="P2461" s="25"/>
    </row>
    <row r="2462">
      <c r="A2462" s="16">
        <v>2460.0</v>
      </c>
      <c r="B2462" s="17" t="s">
        <v>1540</v>
      </c>
      <c r="C2462" s="18">
        <v>34.0</v>
      </c>
      <c r="D2462" s="19" t="s">
        <v>4023</v>
      </c>
      <c r="E2462" s="20" t="s">
        <v>91</v>
      </c>
      <c r="F2462" s="17" t="s">
        <v>1149</v>
      </c>
      <c r="G2462" s="17" t="s">
        <v>5039</v>
      </c>
      <c r="H2462" s="17" t="s">
        <v>5040</v>
      </c>
      <c r="I2462" s="17" t="s">
        <v>125</v>
      </c>
      <c r="J2462" s="22" t="s">
        <v>144</v>
      </c>
      <c r="K2462" s="23" t="s">
        <v>108</v>
      </c>
      <c r="L2462" s="24" t="s">
        <v>91</v>
      </c>
      <c r="M2462" s="2">
        <v>67.0</v>
      </c>
      <c r="N2462" s="25">
        <v>31.0</v>
      </c>
      <c r="O2462" s="25"/>
      <c r="P2462" s="25"/>
    </row>
    <row r="2463">
      <c r="A2463" s="16">
        <v>2461.0</v>
      </c>
      <c r="B2463" s="17" t="s">
        <v>1540</v>
      </c>
      <c r="C2463" s="18">
        <v>35.0</v>
      </c>
      <c r="D2463" s="19" t="s">
        <v>4023</v>
      </c>
      <c r="E2463" s="20" t="s">
        <v>91</v>
      </c>
      <c r="F2463" s="17" t="s">
        <v>1017</v>
      </c>
      <c r="G2463" s="17" t="s">
        <v>4662</v>
      </c>
      <c r="H2463" s="17" t="s">
        <v>4663</v>
      </c>
      <c r="I2463" s="17" t="s">
        <v>125</v>
      </c>
      <c r="J2463" s="22" t="s">
        <v>144</v>
      </c>
      <c r="K2463" s="23" t="s">
        <v>108</v>
      </c>
      <c r="L2463" s="24" t="s">
        <v>91</v>
      </c>
      <c r="M2463" s="2">
        <v>67.0</v>
      </c>
      <c r="N2463" s="25">
        <v>31.0</v>
      </c>
      <c r="O2463" s="25"/>
      <c r="P2463" s="25"/>
    </row>
    <row r="2464">
      <c r="A2464" s="16">
        <v>2462.0</v>
      </c>
      <c r="B2464" s="17" t="s">
        <v>1540</v>
      </c>
      <c r="C2464" s="18">
        <v>36.0</v>
      </c>
      <c r="D2464" s="19" t="s">
        <v>4023</v>
      </c>
      <c r="E2464" s="20" t="s">
        <v>91</v>
      </c>
      <c r="F2464" s="17" t="s">
        <v>1147</v>
      </c>
      <c r="G2464" s="17" t="s">
        <v>4664</v>
      </c>
      <c r="H2464" s="17" t="s">
        <v>4665</v>
      </c>
      <c r="I2464" s="17" t="s">
        <v>125</v>
      </c>
      <c r="J2464" s="22" t="s">
        <v>144</v>
      </c>
      <c r="K2464" s="23" t="s">
        <v>108</v>
      </c>
      <c r="L2464" s="24" t="s">
        <v>91</v>
      </c>
      <c r="M2464" s="2">
        <v>67.0</v>
      </c>
      <c r="N2464" s="25">
        <v>31.0</v>
      </c>
      <c r="O2464" s="25"/>
      <c r="P2464" s="25"/>
    </row>
    <row r="2465">
      <c r="A2465" s="16">
        <v>2463.0</v>
      </c>
      <c r="B2465" s="17" t="s">
        <v>1540</v>
      </c>
      <c r="C2465" s="18">
        <v>37.0</v>
      </c>
      <c r="D2465" s="19" t="s">
        <v>4023</v>
      </c>
      <c r="E2465" s="20" t="s">
        <v>91</v>
      </c>
      <c r="F2465" s="17" t="s">
        <v>865</v>
      </c>
      <c r="G2465" s="17" t="s">
        <v>4657</v>
      </c>
      <c r="H2465" s="17" t="s">
        <v>4658</v>
      </c>
      <c r="I2465" s="17" t="s">
        <v>125</v>
      </c>
      <c r="J2465" s="22" t="s">
        <v>144</v>
      </c>
      <c r="K2465" s="23" t="s">
        <v>108</v>
      </c>
      <c r="L2465" s="24" t="s">
        <v>91</v>
      </c>
      <c r="M2465" s="2">
        <v>67.0</v>
      </c>
      <c r="N2465" s="25">
        <v>31.0</v>
      </c>
      <c r="O2465" s="25"/>
      <c r="P2465" s="25"/>
    </row>
    <row r="2466">
      <c r="A2466" s="16">
        <v>2464.0</v>
      </c>
      <c r="B2466" s="17" t="s">
        <v>1540</v>
      </c>
      <c r="C2466" s="18">
        <v>38.0</v>
      </c>
      <c r="D2466" s="19" t="s">
        <v>4023</v>
      </c>
      <c r="E2466" s="20" t="s">
        <v>91</v>
      </c>
      <c r="F2466" s="17" t="s">
        <v>1271</v>
      </c>
      <c r="G2466" s="17" t="s">
        <v>123</v>
      </c>
      <c r="H2466" s="17" t="s">
        <v>5061</v>
      </c>
      <c r="I2466" s="17" t="s">
        <v>125</v>
      </c>
      <c r="J2466" s="22" t="s">
        <v>144</v>
      </c>
      <c r="K2466" s="23" t="s">
        <v>108</v>
      </c>
      <c r="L2466" s="24" t="s">
        <v>91</v>
      </c>
      <c r="M2466" s="2">
        <v>67.0</v>
      </c>
      <c r="N2466" s="25">
        <v>31.0</v>
      </c>
      <c r="O2466" s="25"/>
      <c r="P2466" s="25"/>
    </row>
    <row r="2467">
      <c r="A2467" s="16">
        <v>2465.0</v>
      </c>
      <c r="B2467" s="17" t="s">
        <v>1540</v>
      </c>
      <c r="C2467" s="18">
        <v>39.0</v>
      </c>
      <c r="D2467" s="19" t="s">
        <v>2970</v>
      </c>
      <c r="E2467" s="20" t="s">
        <v>91</v>
      </c>
      <c r="F2467" s="17" t="s">
        <v>893</v>
      </c>
      <c r="G2467" s="17" t="s">
        <v>3667</v>
      </c>
      <c r="H2467" s="17" t="s">
        <v>5350</v>
      </c>
      <c r="I2467" s="17" t="s">
        <v>125</v>
      </c>
      <c r="J2467" s="22" t="s">
        <v>144</v>
      </c>
      <c r="K2467" s="23" t="s">
        <v>108</v>
      </c>
      <c r="L2467" s="24" t="s">
        <v>91</v>
      </c>
      <c r="M2467" s="2">
        <v>67.0</v>
      </c>
      <c r="N2467" s="25">
        <v>31.0</v>
      </c>
      <c r="O2467" s="25"/>
      <c r="P2467" s="25"/>
    </row>
    <row r="2468">
      <c r="A2468" s="16">
        <v>2466.0</v>
      </c>
      <c r="B2468" s="17" t="s">
        <v>1540</v>
      </c>
      <c r="C2468" s="18">
        <v>40.0</v>
      </c>
      <c r="D2468" s="19" t="s">
        <v>2970</v>
      </c>
      <c r="E2468" s="20" t="s">
        <v>91</v>
      </c>
      <c r="F2468" s="17" t="s">
        <v>1003</v>
      </c>
      <c r="G2468" s="17" t="s">
        <v>4581</v>
      </c>
      <c r="H2468" s="17" t="s">
        <v>5351</v>
      </c>
      <c r="I2468" s="17" t="s">
        <v>125</v>
      </c>
      <c r="J2468" s="22" t="s">
        <v>144</v>
      </c>
      <c r="K2468" s="23" t="s">
        <v>108</v>
      </c>
      <c r="L2468" s="24" t="s">
        <v>91</v>
      </c>
      <c r="M2468" s="2">
        <v>67.0</v>
      </c>
      <c r="N2468" s="25">
        <v>31.0</v>
      </c>
      <c r="O2468" s="25"/>
      <c r="P2468" s="25"/>
    </row>
    <row r="2469">
      <c r="A2469" s="16">
        <v>2467.0</v>
      </c>
      <c r="B2469" s="17" t="s">
        <v>1540</v>
      </c>
      <c r="C2469" s="18">
        <v>41.0</v>
      </c>
      <c r="D2469" s="19" t="s">
        <v>2970</v>
      </c>
      <c r="E2469" s="20" t="s">
        <v>91</v>
      </c>
      <c r="F2469" s="17" t="s">
        <v>270</v>
      </c>
      <c r="G2469" s="17" t="s">
        <v>4939</v>
      </c>
      <c r="H2469" s="17" t="s">
        <v>5352</v>
      </c>
      <c r="I2469" s="17" t="s">
        <v>125</v>
      </c>
      <c r="J2469" s="22" t="s">
        <v>144</v>
      </c>
      <c r="K2469" s="23" t="s">
        <v>108</v>
      </c>
      <c r="L2469" s="24" t="s">
        <v>91</v>
      </c>
      <c r="M2469" s="2">
        <v>67.0</v>
      </c>
      <c r="N2469" s="25">
        <v>31.0</v>
      </c>
      <c r="O2469" s="25"/>
      <c r="P2469" s="25"/>
    </row>
    <row r="2470">
      <c r="A2470" s="16">
        <v>2468.0</v>
      </c>
      <c r="B2470" s="17" t="s">
        <v>1540</v>
      </c>
      <c r="C2470" s="18">
        <v>42.0</v>
      </c>
      <c r="D2470" s="19" t="s">
        <v>2970</v>
      </c>
      <c r="E2470" s="20" t="s">
        <v>91</v>
      </c>
      <c r="F2470" s="17" t="s">
        <v>329</v>
      </c>
      <c r="G2470" s="17" t="s">
        <v>5353</v>
      </c>
      <c r="H2470" s="17" t="s">
        <v>5354</v>
      </c>
      <c r="I2470" s="17" t="s">
        <v>125</v>
      </c>
      <c r="J2470" s="22" t="s">
        <v>144</v>
      </c>
      <c r="K2470" s="23" t="s">
        <v>108</v>
      </c>
      <c r="L2470" s="24" t="s">
        <v>91</v>
      </c>
      <c r="M2470" s="2">
        <v>67.0</v>
      </c>
      <c r="N2470" s="25">
        <v>31.0</v>
      </c>
      <c r="O2470" s="25"/>
      <c r="P2470" s="25"/>
    </row>
    <row r="2471">
      <c r="A2471" s="16">
        <v>2469.0</v>
      </c>
      <c r="B2471" s="17" t="s">
        <v>1540</v>
      </c>
      <c r="C2471" s="18">
        <v>43.0</v>
      </c>
      <c r="D2471" s="19" t="s">
        <v>2970</v>
      </c>
      <c r="E2471" s="20" t="s">
        <v>91</v>
      </c>
      <c r="F2471" s="17" t="s">
        <v>506</v>
      </c>
      <c r="G2471" s="17" t="s">
        <v>3894</v>
      </c>
      <c r="H2471" s="17" t="s">
        <v>5355</v>
      </c>
      <c r="I2471" s="17" t="s">
        <v>125</v>
      </c>
      <c r="J2471" s="22" t="s">
        <v>144</v>
      </c>
      <c r="K2471" s="23" t="s">
        <v>108</v>
      </c>
      <c r="L2471" s="24" t="s">
        <v>91</v>
      </c>
      <c r="M2471" s="2">
        <v>67.0</v>
      </c>
      <c r="N2471" s="25">
        <v>31.0</v>
      </c>
      <c r="O2471" s="25"/>
      <c r="P2471" s="25"/>
    </row>
    <row r="2472">
      <c r="A2472" s="16">
        <v>2470.0</v>
      </c>
      <c r="B2472" s="17" t="s">
        <v>1540</v>
      </c>
      <c r="C2472" s="18">
        <v>44.0</v>
      </c>
      <c r="D2472" s="19" t="s">
        <v>2970</v>
      </c>
      <c r="E2472" s="20" t="s">
        <v>91</v>
      </c>
      <c r="F2472" s="17" t="s">
        <v>90</v>
      </c>
      <c r="G2472" s="17" t="s">
        <v>123</v>
      </c>
      <c r="H2472" s="17" t="s">
        <v>5190</v>
      </c>
      <c r="I2472" s="17" t="s">
        <v>125</v>
      </c>
      <c r="J2472" s="22" t="s">
        <v>144</v>
      </c>
      <c r="K2472" s="23" t="s">
        <v>108</v>
      </c>
      <c r="L2472" s="24" t="s">
        <v>91</v>
      </c>
      <c r="M2472" s="2">
        <v>67.0</v>
      </c>
      <c r="N2472" s="25">
        <v>31.0</v>
      </c>
      <c r="O2472" s="25"/>
      <c r="P2472" s="25"/>
    </row>
    <row r="2473">
      <c r="A2473" s="16">
        <v>2471.0</v>
      </c>
      <c r="B2473" s="17" t="s">
        <v>1540</v>
      </c>
      <c r="C2473" s="18">
        <v>45.0</v>
      </c>
      <c r="D2473" s="19" t="s">
        <v>2970</v>
      </c>
      <c r="E2473" s="20" t="s">
        <v>91</v>
      </c>
      <c r="F2473" s="17" t="s">
        <v>626</v>
      </c>
      <c r="G2473" s="17" t="s">
        <v>5356</v>
      </c>
      <c r="H2473" s="17" t="s">
        <v>5357</v>
      </c>
      <c r="I2473" s="17" t="s">
        <v>125</v>
      </c>
      <c r="J2473" s="22" t="s">
        <v>144</v>
      </c>
      <c r="K2473" s="23" t="s">
        <v>108</v>
      </c>
      <c r="L2473" s="24" t="s">
        <v>91</v>
      </c>
      <c r="M2473" s="2">
        <v>67.0</v>
      </c>
      <c r="N2473" s="25">
        <v>31.0</v>
      </c>
      <c r="O2473" s="25"/>
      <c r="P2473" s="25"/>
    </row>
    <row r="2474">
      <c r="A2474" s="16">
        <v>2472.0</v>
      </c>
      <c r="B2474" s="17" t="s">
        <v>1540</v>
      </c>
      <c r="C2474" s="18">
        <v>46.0</v>
      </c>
      <c r="D2474" s="19" t="s">
        <v>2970</v>
      </c>
      <c r="E2474" s="20" t="s">
        <v>91</v>
      </c>
      <c r="F2474" s="17" t="s">
        <v>367</v>
      </c>
      <c r="G2474" s="17" t="s">
        <v>5358</v>
      </c>
      <c r="H2474" s="17" t="s">
        <v>5359</v>
      </c>
      <c r="I2474" s="17" t="s">
        <v>125</v>
      </c>
      <c r="J2474" s="22" t="s">
        <v>144</v>
      </c>
      <c r="K2474" s="23" t="s">
        <v>108</v>
      </c>
      <c r="L2474" s="24" t="s">
        <v>91</v>
      </c>
      <c r="M2474" s="2">
        <v>67.0</v>
      </c>
      <c r="N2474" s="25">
        <v>31.0</v>
      </c>
      <c r="O2474" s="25"/>
      <c r="P2474" s="25"/>
    </row>
    <row r="2475">
      <c r="A2475" s="16">
        <v>2473.0</v>
      </c>
      <c r="B2475" s="17" t="s">
        <v>1540</v>
      </c>
      <c r="C2475" s="18">
        <v>47.0</v>
      </c>
      <c r="D2475" s="19" t="s">
        <v>2970</v>
      </c>
      <c r="E2475" s="20" t="s">
        <v>91</v>
      </c>
      <c r="F2475" s="17" t="s">
        <v>1269</v>
      </c>
      <c r="G2475" s="17" t="s">
        <v>5360</v>
      </c>
      <c r="H2475" s="17" t="s">
        <v>5361</v>
      </c>
      <c r="I2475" s="17" t="s">
        <v>125</v>
      </c>
      <c r="J2475" s="22" t="s">
        <v>144</v>
      </c>
      <c r="K2475" s="23" t="s">
        <v>108</v>
      </c>
      <c r="L2475" s="24" t="s">
        <v>91</v>
      </c>
      <c r="M2475" s="2">
        <v>67.0</v>
      </c>
      <c r="N2475" s="25">
        <v>31.0</v>
      </c>
      <c r="O2475" s="25"/>
      <c r="P2475" s="25"/>
    </row>
    <row r="2476">
      <c r="A2476" s="16">
        <v>2474.0</v>
      </c>
      <c r="B2476" s="17" t="s">
        <v>1540</v>
      </c>
      <c r="C2476" s="18">
        <v>48.0</v>
      </c>
      <c r="D2476" s="19" t="s">
        <v>2970</v>
      </c>
      <c r="E2476" s="20" t="s">
        <v>91</v>
      </c>
      <c r="F2476" s="17" t="s">
        <v>728</v>
      </c>
      <c r="G2476" s="17" t="s">
        <v>5362</v>
      </c>
      <c r="H2476" s="17" t="s">
        <v>5363</v>
      </c>
      <c r="I2476" s="17" t="s">
        <v>125</v>
      </c>
      <c r="J2476" s="22" t="s">
        <v>144</v>
      </c>
      <c r="K2476" s="23" t="s">
        <v>108</v>
      </c>
      <c r="L2476" s="24" t="s">
        <v>91</v>
      </c>
      <c r="M2476" s="2">
        <v>67.0</v>
      </c>
      <c r="N2476" s="25">
        <v>31.0</v>
      </c>
      <c r="O2476" s="25"/>
      <c r="P2476" s="25"/>
    </row>
    <row r="2477">
      <c r="A2477" s="16">
        <v>2475.0</v>
      </c>
      <c r="B2477" s="17" t="s">
        <v>1540</v>
      </c>
      <c r="C2477" s="18">
        <v>49.0</v>
      </c>
      <c r="D2477" s="19" t="s">
        <v>2970</v>
      </c>
      <c r="E2477" s="20" t="s">
        <v>91</v>
      </c>
      <c r="F2477" s="17" t="s">
        <v>841</v>
      </c>
      <c r="G2477" s="17" t="s">
        <v>1853</v>
      </c>
      <c r="H2477" s="17" t="s">
        <v>5179</v>
      </c>
      <c r="I2477" s="17" t="s">
        <v>125</v>
      </c>
      <c r="J2477" s="22" t="s">
        <v>144</v>
      </c>
      <c r="K2477" s="23" t="s">
        <v>108</v>
      </c>
      <c r="L2477" s="24" t="s">
        <v>91</v>
      </c>
      <c r="M2477" s="2">
        <v>67.0</v>
      </c>
      <c r="N2477" s="25">
        <v>31.0</v>
      </c>
      <c r="O2477" s="25"/>
      <c r="P2477" s="25"/>
    </row>
    <row r="2478">
      <c r="A2478" s="16">
        <v>2476.0</v>
      </c>
      <c r="B2478" s="17" t="s">
        <v>1540</v>
      </c>
      <c r="C2478" s="18">
        <v>50.0</v>
      </c>
      <c r="D2478" s="19" t="s">
        <v>2970</v>
      </c>
      <c r="E2478" s="20" t="s">
        <v>91</v>
      </c>
      <c r="F2478" s="17" t="s">
        <v>1438</v>
      </c>
      <c r="G2478" s="17" t="s">
        <v>5364</v>
      </c>
      <c r="H2478" s="17" t="s">
        <v>5365</v>
      </c>
      <c r="I2478" s="17" t="s">
        <v>125</v>
      </c>
      <c r="J2478" s="22" t="s">
        <v>144</v>
      </c>
      <c r="K2478" s="23" t="s">
        <v>108</v>
      </c>
      <c r="L2478" s="24" t="s">
        <v>91</v>
      </c>
      <c r="M2478" s="2">
        <v>67.0</v>
      </c>
      <c r="N2478" s="25">
        <v>31.0</v>
      </c>
      <c r="O2478" s="25"/>
      <c r="P2478" s="25"/>
    </row>
    <row r="2479">
      <c r="A2479" s="16">
        <v>2477.0</v>
      </c>
      <c r="B2479" s="17" t="s">
        <v>1540</v>
      </c>
      <c r="C2479" s="18">
        <v>51.0</v>
      </c>
      <c r="D2479" s="19" t="s">
        <v>2970</v>
      </c>
      <c r="E2479" s="20" t="s">
        <v>91</v>
      </c>
      <c r="F2479" s="17" t="s">
        <v>901</v>
      </c>
      <c r="G2479" s="17" t="s">
        <v>5366</v>
      </c>
      <c r="H2479" s="17" t="s">
        <v>5367</v>
      </c>
      <c r="I2479" s="17" t="s">
        <v>125</v>
      </c>
      <c r="J2479" s="22" t="s">
        <v>144</v>
      </c>
      <c r="K2479" s="23" t="s">
        <v>108</v>
      </c>
      <c r="L2479" s="24" t="s">
        <v>91</v>
      </c>
      <c r="M2479" s="2">
        <v>67.0</v>
      </c>
      <c r="N2479" s="25">
        <v>31.0</v>
      </c>
      <c r="O2479" s="25"/>
      <c r="P2479" s="25"/>
    </row>
    <row r="2480">
      <c r="A2480" s="16">
        <v>2478.0</v>
      </c>
      <c r="B2480" s="17" t="s">
        <v>1540</v>
      </c>
      <c r="C2480" s="18">
        <v>52.0</v>
      </c>
      <c r="D2480" s="19" t="s">
        <v>2970</v>
      </c>
      <c r="E2480" s="20" t="s">
        <v>91</v>
      </c>
      <c r="F2480" s="17" t="s">
        <v>1088</v>
      </c>
      <c r="G2480" s="17" t="s">
        <v>2546</v>
      </c>
      <c r="H2480" s="17" t="s">
        <v>5368</v>
      </c>
      <c r="I2480" s="17" t="s">
        <v>125</v>
      </c>
      <c r="J2480" s="22" t="s">
        <v>144</v>
      </c>
      <c r="K2480" s="23" t="s">
        <v>108</v>
      </c>
      <c r="L2480" s="24" t="s">
        <v>91</v>
      </c>
      <c r="M2480" s="2">
        <v>67.0</v>
      </c>
      <c r="N2480" s="25">
        <v>31.0</v>
      </c>
      <c r="O2480" s="25"/>
      <c r="P2480" s="25"/>
    </row>
    <row r="2481">
      <c r="A2481" s="16">
        <v>2479.0</v>
      </c>
      <c r="B2481" s="17" t="s">
        <v>411</v>
      </c>
      <c r="C2481" s="18">
        <v>1.0</v>
      </c>
      <c r="D2481" s="19" t="s">
        <v>2198</v>
      </c>
      <c r="E2481" s="20" t="s">
        <v>443</v>
      </c>
      <c r="F2481" s="17" t="s">
        <v>209</v>
      </c>
      <c r="G2481" s="17" t="s">
        <v>4549</v>
      </c>
      <c r="H2481" s="17" t="s">
        <v>4550</v>
      </c>
      <c r="I2481" s="17" t="s">
        <v>125</v>
      </c>
      <c r="J2481" s="22" t="s">
        <v>100</v>
      </c>
      <c r="K2481" s="23" t="s">
        <v>108</v>
      </c>
      <c r="L2481" s="24" t="s">
        <v>91</v>
      </c>
      <c r="M2481" s="2">
        <v>68.0</v>
      </c>
      <c r="N2481" s="25">
        <v>11.0</v>
      </c>
      <c r="O2481" s="25"/>
      <c r="P2481" s="25"/>
    </row>
    <row r="2482">
      <c r="A2482" s="16">
        <v>2480.0</v>
      </c>
      <c r="B2482" s="17" t="s">
        <v>411</v>
      </c>
      <c r="C2482" s="18">
        <v>2.0</v>
      </c>
      <c r="D2482" s="19" t="s">
        <v>2188</v>
      </c>
      <c r="E2482" s="20" t="s">
        <v>443</v>
      </c>
      <c r="F2482" s="17" t="s">
        <v>873</v>
      </c>
      <c r="G2482" s="17" t="s">
        <v>123</v>
      </c>
      <c r="H2482" s="17" t="s">
        <v>5279</v>
      </c>
      <c r="I2482" s="17" t="s">
        <v>125</v>
      </c>
      <c r="J2482" s="22" t="s">
        <v>100</v>
      </c>
      <c r="K2482" s="23" t="s">
        <v>108</v>
      </c>
      <c r="L2482" s="24" t="s">
        <v>91</v>
      </c>
      <c r="M2482" s="2">
        <v>68.0</v>
      </c>
      <c r="N2482" s="25">
        <v>11.0</v>
      </c>
      <c r="O2482" s="25"/>
      <c r="P2482" s="25"/>
    </row>
    <row r="2483">
      <c r="A2483" s="16">
        <v>2481.0</v>
      </c>
      <c r="B2483" s="17" t="s">
        <v>411</v>
      </c>
      <c r="C2483" s="18">
        <v>3.0</v>
      </c>
      <c r="D2483" s="19" t="s">
        <v>2203</v>
      </c>
      <c r="E2483" s="20" t="s">
        <v>443</v>
      </c>
      <c r="F2483" s="17" t="s">
        <v>913</v>
      </c>
      <c r="G2483" s="17" t="s">
        <v>5369</v>
      </c>
      <c r="H2483" s="17" t="s">
        <v>5370</v>
      </c>
      <c r="I2483" s="17" t="s">
        <v>125</v>
      </c>
      <c r="J2483" s="22" t="s">
        <v>100</v>
      </c>
      <c r="K2483" s="23" t="s">
        <v>108</v>
      </c>
      <c r="L2483" s="24" t="s">
        <v>91</v>
      </c>
      <c r="M2483" s="2">
        <v>68.0</v>
      </c>
      <c r="N2483" s="25">
        <v>11.0</v>
      </c>
      <c r="O2483" s="25"/>
      <c r="P2483" s="25"/>
    </row>
    <row r="2484">
      <c r="A2484" s="16">
        <v>2482.0</v>
      </c>
      <c r="B2484" s="17" t="s">
        <v>411</v>
      </c>
      <c r="C2484" s="18">
        <v>4.0</v>
      </c>
      <c r="D2484" s="19" t="s">
        <v>2184</v>
      </c>
      <c r="E2484" s="20" t="s">
        <v>443</v>
      </c>
      <c r="F2484" s="17" t="s">
        <v>952</v>
      </c>
      <c r="G2484" s="17" t="s">
        <v>123</v>
      </c>
      <c r="H2484" s="17" t="s">
        <v>5371</v>
      </c>
      <c r="I2484" s="17" t="s">
        <v>125</v>
      </c>
      <c r="J2484" s="22" t="s">
        <v>100</v>
      </c>
      <c r="K2484" s="23" t="s">
        <v>108</v>
      </c>
      <c r="L2484" s="24" t="s">
        <v>5372</v>
      </c>
      <c r="M2484" s="2">
        <v>68.0</v>
      </c>
      <c r="N2484" s="25">
        <v>16.0</v>
      </c>
      <c r="O2484" s="25"/>
      <c r="P2484" s="25"/>
    </row>
    <row r="2485">
      <c r="A2485" s="16">
        <v>2483.0</v>
      </c>
      <c r="B2485" s="17" t="s">
        <v>411</v>
      </c>
      <c r="C2485" s="18">
        <v>5.0</v>
      </c>
      <c r="D2485" s="19" t="s">
        <v>2164</v>
      </c>
      <c r="E2485" s="20" t="s">
        <v>443</v>
      </c>
      <c r="F2485" s="17" t="s">
        <v>885</v>
      </c>
      <c r="G2485" s="17" t="s">
        <v>5373</v>
      </c>
      <c r="H2485" s="17" t="s">
        <v>5374</v>
      </c>
      <c r="I2485" s="17" t="s">
        <v>98</v>
      </c>
      <c r="J2485" s="22" t="s">
        <v>135</v>
      </c>
      <c r="K2485" s="23" t="s">
        <v>108</v>
      </c>
      <c r="L2485" s="24" t="s">
        <v>91</v>
      </c>
      <c r="M2485" s="2">
        <v>68.0</v>
      </c>
      <c r="N2485" s="25">
        <v>20.0</v>
      </c>
      <c r="O2485" s="25"/>
      <c r="P2485" s="25"/>
    </row>
    <row r="2486">
      <c r="A2486" s="16">
        <v>2484.0</v>
      </c>
      <c r="B2486" s="17" t="s">
        <v>411</v>
      </c>
      <c r="C2486" s="18">
        <v>6.0</v>
      </c>
      <c r="D2486" s="19" t="s">
        <v>2164</v>
      </c>
      <c r="E2486" s="20" t="s">
        <v>443</v>
      </c>
      <c r="F2486" s="17" t="s">
        <v>836</v>
      </c>
      <c r="G2486" s="17" t="s">
        <v>123</v>
      </c>
      <c r="H2486" s="17" t="s">
        <v>5375</v>
      </c>
      <c r="I2486" s="17" t="s">
        <v>98</v>
      </c>
      <c r="J2486" s="22" t="s">
        <v>135</v>
      </c>
      <c r="K2486" s="23" t="s">
        <v>108</v>
      </c>
      <c r="L2486" s="24" t="s">
        <v>91</v>
      </c>
      <c r="M2486" s="2">
        <v>68.0</v>
      </c>
      <c r="N2486" s="25">
        <v>20.0</v>
      </c>
      <c r="O2486" s="25"/>
      <c r="P2486" s="25"/>
    </row>
    <row r="2487">
      <c r="A2487" s="16">
        <v>2485.0</v>
      </c>
      <c r="B2487" s="17" t="s">
        <v>411</v>
      </c>
      <c r="C2487" s="18">
        <v>7.0</v>
      </c>
      <c r="D2487" s="19" t="s">
        <v>2164</v>
      </c>
      <c r="E2487" s="20" t="s">
        <v>443</v>
      </c>
      <c r="F2487" s="17" t="s">
        <v>1143</v>
      </c>
      <c r="G2487" s="17" t="s">
        <v>123</v>
      </c>
      <c r="H2487" s="17" t="s">
        <v>5376</v>
      </c>
      <c r="I2487" s="17" t="s">
        <v>98</v>
      </c>
      <c r="J2487" s="22" t="s">
        <v>135</v>
      </c>
      <c r="K2487" s="23" t="s">
        <v>108</v>
      </c>
      <c r="L2487" s="24" t="s">
        <v>91</v>
      </c>
      <c r="M2487" s="2">
        <v>68.0</v>
      </c>
      <c r="N2487" s="25">
        <v>20.0</v>
      </c>
      <c r="O2487" s="25"/>
      <c r="P2487" s="25"/>
    </row>
    <row r="2488">
      <c r="A2488" s="16">
        <v>2486.0</v>
      </c>
      <c r="B2488" s="17" t="s">
        <v>411</v>
      </c>
      <c r="C2488" s="18">
        <v>8.0</v>
      </c>
      <c r="D2488" s="19" t="s">
        <v>2164</v>
      </c>
      <c r="E2488" s="20" t="s">
        <v>443</v>
      </c>
      <c r="F2488" s="17" t="s">
        <v>929</v>
      </c>
      <c r="G2488" s="17" t="s">
        <v>5377</v>
      </c>
      <c r="H2488" s="17" t="s">
        <v>5378</v>
      </c>
      <c r="I2488" s="17" t="s">
        <v>98</v>
      </c>
      <c r="J2488" s="22" t="s">
        <v>135</v>
      </c>
      <c r="K2488" s="23" t="s">
        <v>108</v>
      </c>
      <c r="L2488" s="24" t="s">
        <v>91</v>
      </c>
      <c r="M2488" s="2">
        <v>68.0</v>
      </c>
      <c r="N2488" s="25">
        <v>20.0</v>
      </c>
      <c r="O2488" s="25"/>
      <c r="P2488" s="25"/>
    </row>
    <row r="2489">
      <c r="A2489" s="16">
        <v>2487.0</v>
      </c>
      <c r="B2489" s="17" t="s">
        <v>411</v>
      </c>
      <c r="C2489" s="18">
        <v>9.0</v>
      </c>
      <c r="D2489" s="19" t="s">
        <v>2164</v>
      </c>
      <c r="E2489" s="20" t="s">
        <v>443</v>
      </c>
      <c r="F2489" s="17" t="s">
        <v>1225</v>
      </c>
      <c r="G2489" s="17" t="s">
        <v>123</v>
      </c>
      <c r="H2489" s="17" t="s">
        <v>5379</v>
      </c>
      <c r="I2489" s="17" t="s">
        <v>98</v>
      </c>
      <c r="J2489" s="22" t="s">
        <v>135</v>
      </c>
      <c r="K2489" s="23" t="s">
        <v>108</v>
      </c>
      <c r="L2489" s="24" t="s">
        <v>91</v>
      </c>
      <c r="M2489" s="2">
        <v>68.0</v>
      </c>
      <c r="N2489" s="25">
        <v>20.0</v>
      </c>
      <c r="O2489" s="25"/>
      <c r="P2489" s="25"/>
    </row>
    <row r="2490">
      <c r="A2490" s="16">
        <v>2488.0</v>
      </c>
      <c r="B2490" s="17" t="s">
        <v>411</v>
      </c>
      <c r="C2490" s="18">
        <v>10.0</v>
      </c>
      <c r="D2490" s="19" t="s">
        <v>2164</v>
      </c>
      <c r="E2490" s="20" t="s">
        <v>443</v>
      </c>
      <c r="F2490" s="17" t="s">
        <v>1125</v>
      </c>
      <c r="G2490" s="17" t="s">
        <v>5380</v>
      </c>
      <c r="H2490" s="17" t="s">
        <v>5381</v>
      </c>
      <c r="I2490" s="17" t="s">
        <v>98</v>
      </c>
      <c r="J2490" s="22" t="s">
        <v>135</v>
      </c>
      <c r="K2490" s="23" t="s">
        <v>108</v>
      </c>
      <c r="L2490" s="24" t="s">
        <v>91</v>
      </c>
      <c r="M2490" s="2">
        <v>68.0</v>
      </c>
      <c r="N2490" s="25">
        <v>20.0</v>
      </c>
      <c r="O2490" s="25"/>
      <c r="P2490" s="25"/>
    </row>
    <row r="2491">
      <c r="A2491" s="16">
        <v>2489.0</v>
      </c>
      <c r="B2491" s="17" t="s">
        <v>411</v>
      </c>
      <c r="C2491" s="18">
        <v>11.0</v>
      </c>
      <c r="D2491" s="19" t="s">
        <v>2164</v>
      </c>
      <c r="E2491" s="20" t="s">
        <v>443</v>
      </c>
      <c r="F2491" s="17" t="s">
        <v>1439</v>
      </c>
      <c r="G2491" s="17" t="s">
        <v>5382</v>
      </c>
      <c r="H2491" s="17" t="s">
        <v>5383</v>
      </c>
      <c r="I2491" s="17" t="s">
        <v>98</v>
      </c>
      <c r="J2491" s="22" t="s">
        <v>135</v>
      </c>
      <c r="K2491" s="23" t="s">
        <v>108</v>
      </c>
      <c r="L2491" s="24" t="s">
        <v>91</v>
      </c>
      <c r="M2491" s="2">
        <v>68.0</v>
      </c>
      <c r="N2491" s="25">
        <v>20.0</v>
      </c>
      <c r="O2491" s="25"/>
      <c r="P2491" s="25"/>
    </row>
    <row r="2492">
      <c r="A2492" s="16">
        <v>2490.0</v>
      </c>
      <c r="B2492" s="17" t="s">
        <v>411</v>
      </c>
      <c r="C2492" s="18">
        <v>12.0</v>
      </c>
      <c r="D2492" s="19" t="s">
        <v>2164</v>
      </c>
      <c r="E2492" s="20" t="s">
        <v>443</v>
      </c>
      <c r="F2492" s="17" t="s">
        <v>247</v>
      </c>
      <c r="G2492" s="17" t="s">
        <v>1511</v>
      </c>
      <c r="H2492" s="17" t="s">
        <v>5384</v>
      </c>
      <c r="I2492" s="17" t="s">
        <v>98</v>
      </c>
      <c r="J2492" s="22" t="s">
        <v>135</v>
      </c>
      <c r="K2492" s="23" t="s">
        <v>108</v>
      </c>
      <c r="L2492" s="24" t="s">
        <v>91</v>
      </c>
      <c r="M2492" s="2">
        <v>68.0</v>
      </c>
      <c r="N2492" s="25">
        <v>20.0</v>
      </c>
      <c r="O2492" s="25"/>
      <c r="P2492" s="25"/>
    </row>
    <row r="2493">
      <c r="A2493" s="16">
        <v>2491.0</v>
      </c>
      <c r="B2493" s="17" t="s">
        <v>411</v>
      </c>
      <c r="C2493" s="18">
        <v>13.0</v>
      </c>
      <c r="D2493" s="19" t="s">
        <v>2164</v>
      </c>
      <c r="E2493" s="20" t="s">
        <v>443</v>
      </c>
      <c r="F2493" s="17" t="s">
        <v>1042</v>
      </c>
      <c r="G2493" s="17" t="s">
        <v>5385</v>
      </c>
      <c r="H2493" s="17" t="s">
        <v>5386</v>
      </c>
      <c r="I2493" s="17" t="s">
        <v>98</v>
      </c>
      <c r="J2493" s="22" t="s">
        <v>135</v>
      </c>
      <c r="K2493" s="23" t="s">
        <v>108</v>
      </c>
      <c r="L2493" s="24" t="s">
        <v>91</v>
      </c>
      <c r="M2493" s="2">
        <v>68.0</v>
      </c>
      <c r="N2493" s="25">
        <v>20.0</v>
      </c>
      <c r="O2493" s="25"/>
      <c r="P2493" s="25"/>
    </row>
    <row r="2494">
      <c r="A2494" s="16">
        <v>2492.0</v>
      </c>
      <c r="B2494" s="17" t="s">
        <v>411</v>
      </c>
      <c r="C2494" s="18">
        <v>14.0</v>
      </c>
      <c r="D2494" s="19" t="s">
        <v>2164</v>
      </c>
      <c r="E2494" s="20" t="s">
        <v>443</v>
      </c>
      <c r="F2494" s="17" t="s">
        <v>1440</v>
      </c>
      <c r="G2494" s="17" t="s">
        <v>5387</v>
      </c>
      <c r="H2494" s="17" t="s">
        <v>5388</v>
      </c>
      <c r="I2494" s="17" t="s">
        <v>98</v>
      </c>
      <c r="J2494" s="22" t="s">
        <v>135</v>
      </c>
      <c r="K2494" s="23" t="s">
        <v>108</v>
      </c>
      <c r="L2494" s="24" t="s">
        <v>91</v>
      </c>
      <c r="M2494" s="2">
        <v>68.0</v>
      </c>
      <c r="N2494" s="25">
        <v>20.0</v>
      </c>
      <c r="O2494" s="25"/>
      <c r="P2494" s="25"/>
    </row>
    <row r="2495">
      <c r="A2495" s="16">
        <v>2493.0</v>
      </c>
      <c r="B2495" s="17" t="s">
        <v>411</v>
      </c>
      <c r="C2495" s="18">
        <v>15.0</v>
      </c>
      <c r="D2495" s="19" t="s">
        <v>2164</v>
      </c>
      <c r="E2495" s="20" t="s">
        <v>443</v>
      </c>
      <c r="F2495" s="17" t="s">
        <v>930</v>
      </c>
      <c r="G2495" s="17" t="s">
        <v>1443</v>
      </c>
      <c r="H2495" s="17" t="s">
        <v>5389</v>
      </c>
      <c r="I2495" s="17" t="s">
        <v>98</v>
      </c>
      <c r="J2495" s="22" t="s">
        <v>135</v>
      </c>
      <c r="K2495" s="23" t="s">
        <v>108</v>
      </c>
      <c r="L2495" s="24" t="s">
        <v>91</v>
      </c>
      <c r="M2495" s="2">
        <v>68.0</v>
      </c>
      <c r="N2495" s="25">
        <v>20.0</v>
      </c>
      <c r="O2495" s="25"/>
      <c r="P2495" s="25"/>
    </row>
    <row r="2496">
      <c r="A2496" s="16">
        <v>2494.0</v>
      </c>
      <c r="B2496" s="17" t="s">
        <v>411</v>
      </c>
      <c r="C2496" s="18">
        <v>16.0</v>
      </c>
      <c r="D2496" s="19" t="s">
        <v>2164</v>
      </c>
      <c r="E2496" s="20" t="s">
        <v>443</v>
      </c>
      <c r="F2496" s="17" t="s">
        <v>146</v>
      </c>
      <c r="G2496" s="17" t="s">
        <v>147</v>
      </c>
      <c r="H2496" s="17" t="s">
        <v>5390</v>
      </c>
      <c r="I2496" s="17" t="s">
        <v>98</v>
      </c>
      <c r="J2496" s="22" t="s">
        <v>135</v>
      </c>
      <c r="K2496" s="23" t="s">
        <v>108</v>
      </c>
      <c r="L2496" s="24" t="s">
        <v>91</v>
      </c>
      <c r="M2496" s="2">
        <v>68.0</v>
      </c>
      <c r="N2496" s="25">
        <v>20.0</v>
      </c>
      <c r="O2496" s="25"/>
      <c r="P2496" s="25"/>
    </row>
    <row r="2497">
      <c r="A2497" s="16">
        <v>2495.0</v>
      </c>
      <c r="B2497" s="17" t="s">
        <v>411</v>
      </c>
      <c r="C2497" s="18">
        <v>17.0</v>
      </c>
      <c r="D2497" s="19" t="s">
        <v>2164</v>
      </c>
      <c r="E2497" s="20" t="s">
        <v>443</v>
      </c>
      <c r="F2497" s="17" t="s">
        <v>843</v>
      </c>
      <c r="G2497" s="17" t="s">
        <v>123</v>
      </c>
      <c r="H2497" s="17" t="s">
        <v>5391</v>
      </c>
      <c r="I2497" s="17" t="s">
        <v>98</v>
      </c>
      <c r="J2497" s="22" t="s">
        <v>135</v>
      </c>
      <c r="K2497" s="23" t="s">
        <v>108</v>
      </c>
      <c r="L2497" s="24" t="s">
        <v>91</v>
      </c>
      <c r="M2497" s="2">
        <v>68.0</v>
      </c>
      <c r="N2497" s="25">
        <v>20.0</v>
      </c>
      <c r="O2497" s="25"/>
      <c r="P2497" s="25"/>
    </row>
    <row r="2498">
      <c r="A2498" s="16">
        <v>2496.0</v>
      </c>
      <c r="B2498" s="17" t="s">
        <v>411</v>
      </c>
      <c r="C2498" s="18">
        <v>18.0</v>
      </c>
      <c r="D2498" s="19" t="s">
        <v>2164</v>
      </c>
      <c r="E2498" s="20" t="s">
        <v>443</v>
      </c>
      <c r="F2498" s="17" t="s">
        <v>80</v>
      </c>
      <c r="G2498" s="17" t="s">
        <v>1507</v>
      </c>
      <c r="H2498" s="17" t="s">
        <v>5392</v>
      </c>
      <c r="I2498" s="17" t="s">
        <v>98</v>
      </c>
      <c r="J2498" s="22" t="s">
        <v>135</v>
      </c>
      <c r="K2498" s="23" t="s">
        <v>108</v>
      </c>
      <c r="L2498" s="24" t="s">
        <v>91</v>
      </c>
      <c r="M2498" s="2">
        <v>68.0</v>
      </c>
      <c r="N2498" s="25">
        <v>20.0</v>
      </c>
      <c r="O2498" s="25"/>
      <c r="P2498" s="25"/>
    </row>
    <row r="2499">
      <c r="A2499" s="16">
        <v>2497.0</v>
      </c>
      <c r="B2499" s="17" t="s">
        <v>411</v>
      </c>
      <c r="C2499" s="18">
        <v>19.0</v>
      </c>
      <c r="D2499" s="19" t="s">
        <v>2164</v>
      </c>
      <c r="E2499" s="20" t="s">
        <v>443</v>
      </c>
      <c r="F2499" s="17" t="s">
        <v>47</v>
      </c>
      <c r="G2499" s="17" t="s">
        <v>5393</v>
      </c>
      <c r="H2499" s="17" t="s">
        <v>5394</v>
      </c>
      <c r="I2499" s="17" t="s">
        <v>98</v>
      </c>
      <c r="J2499" s="22" t="s">
        <v>135</v>
      </c>
      <c r="K2499" s="23" t="s">
        <v>108</v>
      </c>
      <c r="L2499" s="24" t="s">
        <v>91</v>
      </c>
      <c r="M2499" s="2">
        <v>68.0</v>
      </c>
      <c r="N2499" s="25">
        <v>20.0</v>
      </c>
      <c r="O2499" s="25"/>
      <c r="P2499" s="25"/>
    </row>
    <row r="2500">
      <c r="A2500" s="16">
        <v>2498.0</v>
      </c>
      <c r="B2500" s="17" t="s">
        <v>411</v>
      </c>
      <c r="C2500" s="18">
        <v>20.0</v>
      </c>
      <c r="D2500" s="19" t="s">
        <v>2164</v>
      </c>
      <c r="E2500" s="20" t="s">
        <v>443</v>
      </c>
      <c r="F2500" s="17" t="s">
        <v>631</v>
      </c>
      <c r="G2500" s="17" t="s">
        <v>5395</v>
      </c>
      <c r="H2500" s="17" t="s">
        <v>5396</v>
      </c>
      <c r="I2500" s="17" t="s">
        <v>98</v>
      </c>
      <c r="J2500" s="22" t="s">
        <v>135</v>
      </c>
      <c r="K2500" s="23" t="s">
        <v>108</v>
      </c>
      <c r="L2500" s="24" t="s">
        <v>91</v>
      </c>
      <c r="M2500" s="2">
        <v>68.0</v>
      </c>
      <c r="N2500" s="25">
        <v>20.0</v>
      </c>
      <c r="O2500" s="25"/>
      <c r="P2500" s="25"/>
    </row>
    <row r="2501">
      <c r="A2501" s="16">
        <v>2499.0</v>
      </c>
      <c r="B2501" s="17" t="s">
        <v>411</v>
      </c>
      <c r="C2501" s="18">
        <v>21.0</v>
      </c>
      <c r="D2501" s="19" t="s">
        <v>2164</v>
      </c>
      <c r="E2501" s="20" t="s">
        <v>443</v>
      </c>
      <c r="F2501" s="17" t="s">
        <v>833</v>
      </c>
      <c r="G2501" s="17" t="s">
        <v>5397</v>
      </c>
      <c r="H2501" s="17" t="s">
        <v>5398</v>
      </c>
      <c r="I2501" s="17" t="s">
        <v>98</v>
      </c>
      <c r="J2501" s="22" t="s">
        <v>135</v>
      </c>
      <c r="K2501" s="23" t="s">
        <v>108</v>
      </c>
      <c r="L2501" s="24" t="s">
        <v>91</v>
      </c>
      <c r="M2501" s="2">
        <v>68.0</v>
      </c>
      <c r="N2501" s="25">
        <v>20.0</v>
      </c>
      <c r="O2501" s="25"/>
      <c r="P2501" s="25"/>
    </row>
    <row r="2502">
      <c r="A2502" s="16">
        <v>2500.0</v>
      </c>
      <c r="B2502" s="17" t="s">
        <v>411</v>
      </c>
      <c r="C2502" s="18">
        <v>22.0</v>
      </c>
      <c r="D2502" s="19" t="s">
        <v>2164</v>
      </c>
      <c r="E2502" s="20" t="s">
        <v>443</v>
      </c>
      <c r="F2502" s="17" t="s">
        <v>675</v>
      </c>
      <c r="G2502" s="17" t="s">
        <v>5399</v>
      </c>
      <c r="H2502" s="17" t="s">
        <v>5400</v>
      </c>
      <c r="I2502" s="17" t="s">
        <v>98</v>
      </c>
      <c r="J2502" s="22" t="s">
        <v>135</v>
      </c>
      <c r="K2502" s="23" t="s">
        <v>108</v>
      </c>
      <c r="L2502" s="24" t="s">
        <v>91</v>
      </c>
      <c r="M2502" s="2">
        <v>68.0</v>
      </c>
      <c r="N2502" s="25">
        <v>20.0</v>
      </c>
      <c r="O2502" s="25"/>
      <c r="P2502" s="25"/>
    </row>
    <row r="2503">
      <c r="A2503" s="16">
        <v>2501.0</v>
      </c>
      <c r="B2503" s="17" t="s">
        <v>411</v>
      </c>
      <c r="C2503" s="18">
        <v>23.0</v>
      </c>
      <c r="D2503" s="19" t="s">
        <v>2164</v>
      </c>
      <c r="E2503" s="20" t="s">
        <v>443</v>
      </c>
      <c r="F2503" s="17" t="s">
        <v>1141</v>
      </c>
      <c r="G2503" s="17" t="s">
        <v>5401</v>
      </c>
      <c r="H2503" s="17" t="s">
        <v>5402</v>
      </c>
      <c r="I2503" s="17" t="s">
        <v>98</v>
      </c>
      <c r="J2503" s="22" t="s">
        <v>135</v>
      </c>
      <c r="K2503" s="23" t="s">
        <v>108</v>
      </c>
      <c r="L2503" s="24" t="s">
        <v>91</v>
      </c>
      <c r="M2503" s="2">
        <v>68.0</v>
      </c>
      <c r="N2503" s="25">
        <v>20.0</v>
      </c>
      <c r="O2503" s="25"/>
      <c r="P2503" s="25"/>
    </row>
    <row r="2504">
      <c r="A2504" s="16">
        <v>2502.0</v>
      </c>
      <c r="B2504" s="17" t="s">
        <v>411</v>
      </c>
      <c r="C2504" s="18">
        <v>24.0</v>
      </c>
      <c r="D2504" s="19" t="s">
        <v>2164</v>
      </c>
      <c r="E2504" s="20" t="s">
        <v>443</v>
      </c>
      <c r="F2504" s="17" t="s">
        <v>904</v>
      </c>
      <c r="G2504" s="17" t="s">
        <v>5403</v>
      </c>
      <c r="H2504" s="17" t="s">
        <v>5404</v>
      </c>
      <c r="I2504" s="17" t="s">
        <v>98</v>
      </c>
      <c r="J2504" s="22" t="s">
        <v>135</v>
      </c>
      <c r="K2504" s="23" t="s">
        <v>108</v>
      </c>
      <c r="L2504" s="24" t="s">
        <v>91</v>
      </c>
      <c r="M2504" s="2">
        <v>68.0</v>
      </c>
      <c r="N2504" s="25">
        <v>20.0</v>
      </c>
      <c r="O2504" s="25"/>
      <c r="P2504" s="25"/>
    </row>
    <row r="2505">
      <c r="A2505" s="16">
        <v>2503.0</v>
      </c>
      <c r="B2505" s="17" t="s">
        <v>411</v>
      </c>
      <c r="C2505" s="18">
        <v>25.0</v>
      </c>
      <c r="D2505" s="19" t="s">
        <v>2164</v>
      </c>
      <c r="E2505" s="20" t="s">
        <v>443</v>
      </c>
      <c r="F2505" s="17" t="s">
        <v>254</v>
      </c>
      <c r="G2505" s="17" t="s">
        <v>1297</v>
      </c>
      <c r="H2505" s="17" t="s">
        <v>5405</v>
      </c>
      <c r="I2505" s="17" t="s">
        <v>98</v>
      </c>
      <c r="J2505" s="22" t="s">
        <v>135</v>
      </c>
      <c r="K2505" s="23" t="s">
        <v>108</v>
      </c>
      <c r="L2505" s="24" t="s">
        <v>91</v>
      </c>
      <c r="M2505" s="2">
        <v>68.0</v>
      </c>
      <c r="N2505" s="25">
        <v>20.0</v>
      </c>
      <c r="O2505" s="25"/>
      <c r="P2505" s="25"/>
    </row>
    <row r="2506">
      <c r="A2506" s="16">
        <v>2504.0</v>
      </c>
      <c r="B2506" s="17" t="s">
        <v>411</v>
      </c>
      <c r="C2506" s="18">
        <v>26.0</v>
      </c>
      <c r="D2506" s="19" t="s">
        <v>2164</v>
      </c>
      <c r="E2506" s="20" t="s">
        <v>443</v>
      </c>
      <c r="F2506" s="17" t="s">
        <v>19</v>
      </c>
      <c r="G2506" s="17" t="s">
        <v>1512</v>
      </c>
      <c r="H2506" s="17" t="s">
        <v>5406</v>
      </c>
      <c r="I2506" s="17" t="s">
        <v>98</v>
      </c>
      <c r="J2506" s="22" t="s">
        <v>135</v>
      </c>
      <c r="K2506" s="23" t="s">
        <v>108</v>
      </c>
      <c r="L2506" s="24" t="s">
        <v>91</v>
      </c>
      <c r="M2506" s="2">
        <v>68.0</v>
      </c>
      <c r="N2506" s="25">
        <v>20.0</v>
      </c>
      <c r="O2506" s="25"/>
      <c r="P2506" s="25"/>
    </row>
    <row r="2507">
      <c r="A2507" s="16">
        <v>2505.0</v>
      </c>
      <c r="B2507" s="17" t="s">
        <v>411</v>
      </c>
      <c r="C2507" s="18">
        <v>27.0</v>
      </c>
      <c r="D2507" s="19" t="s">
        <v>2164</v>
      </c>
      <c r="E2507" s="20" t="s">
        <v>443</v>
      </c>
      <c r="F2507" s="17" t="s">
        <v>29</v>
      </c>
      <c r="G2507" s="17" t="s">
        <v>2019</v>
      </c>
      <c r="H2507" s="17" t="s">
        <v>5407</v>
      </c>
      <c r="I2507" s="17" t="s">
        <v>98</v>
      </c>
      <c r="J2507" s="22" t="s">
        <v>135</v>
      </c>
      <c r="K2507" s="23" t="s">
        <v>108</v>
      </c>
      <c r="L2507" s="24" t="s">
        <v>91</v>
      </c>
      <c r="M2507" s="2">
        <v>68.0</v>
      </c>
      <c r="N2507" s="25">
        <v>20.0</v>
      </c>
      <c r="O2507" s="25"/>
      <c r="P2507" s="25"/>
    </row>
    <row r="2508">
      <c r="A2508" s="16">
        <v>2506.0</v>
      </c>
      <c r="B2508" s="17" t="s">
        <v>411</v>
      </c>
      <c r="C2508" s="18">
        <v>28.0</v>
      </c>
      <c r="D2508" s="19" t="s">
        <v>2164</v>
      </c>
      <c r="E2508" s="20" t="s">
        <v>443</v>
      </c>
      <c r="F2508" s="17" t="s">
        <v>31</v>
      </c>
      <c r="G2508" s="17" t="s">
        <v>4471</v>
      </c>
      <c r="H2508" s="17" t="s">
        <v>5407</v>
      </c>
      <c r="I2508" s="17" t="s">
        <v>98</v>
      </c>
      <c r="J2508" s="22" t="s">
        <v>135</v>
      </c>
      <c r="K2508" s="23" t="s">
        <v>108</v>
      </c>
      <c r="L2508" s="24" t="s">
        <v>91</v>
      </c>
      <c r="M2508" s="2">
        <v>68.0</v>
      </c>
      <c r="N2508" s="25">
        <v>20.0</v>
      </c>
      <c r="O2508" s="25"/>
      <c r="P2508" s="25"/>
    </row>
    <row r="2509">
      <c r="A2509" s="16">
        <v>2507.0</v>
      </c>
      <c r="B2509" s="17" t="s">
        <v>411</v>
      </c>
      <c r="C2509" s="18">
        <v>29.0</v>
      </c>
      <c r="D2509" s="19" t="s">
        <v>2164</v>
      </c>
      <c r="E2509" s="20" t="s">
        <v>443</v>
      </c>
      <c r="F2509" s="17" t="s">
        <v>133</v>
      </c>
      <c r="G2509" s="17" t="s">
        <v>4463</v>
      </c>
      <c r="H2509" s="17" t="s">
        <v>5407</v>
      </c>
      <c r="I2509" s="17" t="s">
        <v>98</v>
      </c>
      <c r="J2509" s="22" t="s">
        <v>135</v>
      </c>
      <c r="K2509" s="23" t="s">
        <v>108</v>
      </c>
      <c r="L2509" s="24" t="s">
        <v>91</v>
      </c>
      <c r="M2509" s="2">
        <v>68.0</v>
      </c>
      <c r="N2509" s="25">
        <v>20.0</v>
      </c>
      <c r="O2509" s="25"/>
      <c r="P2509" s="25"/>
    </row>
    <row r="2510">
      <c r="A2510" s="16">
        <v>2508.0</v>
      </c>
      <c r="B2510" s="17" t="s">
        <v>411</v>
      </c>
      <c r="C2510" s="18">
        <v>30.0</v>
      </c>
      <c r="D2510" s="19" t="s">
        <v>2164</v>
      </c>
      <c r="E2510" s="20" t="s">
        <v>443</v>
      </c>
      <c r="F2510" s="17" t="s">
        <v>687</v>
      </c>
      <c r="G2510" s="17" t="s">
        <v>5408</v>
      </c>
      <c r="H2510" s="17" t="s">
        <v>5407</v>
      </c>
      <c r="I2510" s="17" t="s">
        <v>98</v>
      </c>
      <c r="J2510" s="22" t="s">
        <v>135</v>
      </c>
      <c r="K2510" s="23" t="s">
        <v>108</v>
      </c>
      <c r="L2510" s="24" t="s">
        <v>91</v>
      </c>
      <c r="M2510" s="2">
        <v>68.0</v>
      </c>
      <c r="N2510" s="25">
        <v>20.0</v>
      </c>
      <c r="O2510" s="25"/>
      <c r="P2510" s="25"/>
    </row>
    <row r="2511">
      <c r="A2511" s="16">
        <v>2509.0</v>
      </c>
      <c r="B2511" s="17" t="s">
        <v>411</v>
      </c>
      <c r="C2511" s="18">
        <v>31.0</v>
      </c>
      <c r="D2511" s="19" t="s">
        <v>2164</v>
      </c>
      <c r="E2511" s="20" t="s">
        <v>443</v>
      </c>
      <c r="F2511" s="17" t="s">
        <v>1264</v>
      </c>
      <c r="G2511" s="17" t="s">
        <v>5409</v>
      </c>
      <c r="H2511" s="17" t="s">
        <v>5410</v>
      </c>
      <c r="I2511" s="17" t="s">
        <v>98</v>
      </c>
      <c r="J2511" s="22" t="s">
        <v>135</v>
      </c>
      <c r="K2511" s="23" t="s">
        <v>108</v>
      </c>
      <c r="L2511" s="24" t="s">
        <v>91</v>
      </c>
      <c r="M2511" s="2">
        <v>68.0</v>
      </c>
      <c r="N2511" s="25">
        <v>20.0</v>
      </c>
      <c r="O2511" s="25"/>
      <c r="P2511" s="25"/>
    </row>
    <row r="2512">
      <c r="A2512" s="16">
        <v>2510.0</v>
      </c>
      <c r="B2512" s="17" t="s">
        <v>411</v>
      </c>
      <c r="C2512" s="18">
        <v>32.0</v>
      </c>
      <c r="D2512" s="19" t="s">
        <v>2164</v>
      </c>
      <c r="E2512" s="20" t="s">
        <v>443</v>
      </c>
      <c r="F2512" s="17" t="s">
        <v>251</v>
      </c>
      <c r="G2512" s="17" t="s">
        <v>5411</v>
      </c>
      <c r="H2512" s="17" t="s">
        <v>5412</v>
      </c>
      <c r="I2512" s="17" t="s">
        <v>98</v>
      </c>
      <c r="J2512" s="22" t="s">
        <v>135</v>
      </c>
      <c r="K2512" s="23" t="s">
        <v>108</v>
      </c>
      <c r="L2512" s="24" t="s">
        <v>91</v>
      </c>
      <c r="M2512" s="2">
        <v>68.0</v>
      </c>
      <c r="N2512" s="25">
        <v>20.0</v>
      </c>
      <c r="O2512" s="25"/>
      <c r="P2512" s="25"/>
    </row>
    <row r="2513">
      <c r="A2513" s="16">
        <v>2511.0</v>
      </c>
      <c r="B2513" s="17" t="s">
        <v>411</v>
      </c>
      <c r="C2513" s="18">
        <v>33.0</v>
      </c>
      <c r="D2513" s="19" t="s">
        <v>2164</v>
      </c>
      <c r="E2513" s="20" t="s">
        <v>443</v>
      </c>
      <c r="F2513" s="17" t="s">
        <v>218</v>
      </c>
      <c r="G2513" s="17" t="s">
        <v>5413</v>
      </c>
      <c r="H2513" s="17" t="s">
        <v>5407</v>
      </c>
      <c r="I2513" s="17" t="s">
        <v>98</v>
      </c>
      <c r="J2513" s="22" t="s">
        <v>135</v>
      </c>
      <c r="K2513" s="23" t="s">
        <v>108</v>
      </c>
      <c r="L2513" s="24" t="s">
        <v>91</v>
      </c>
      <c r="M2513" s="2">
        <v>68.0</v>
      </c>
      <c r="N2513" s="25">
        <v>20.0</v>
      </c>
      <c r="O2513" s="25"/>
      <c r="P2513" s="25"/>
    </row>
    <row r="2514">
      <c r="A2514" s="16">
        <v>2512.0</v>
      </c>
      <c r="B2514" s="17" t="s">
        <v>411</v>
      </c>
      <c r="C2514" s="18">
        <v>34.0</v>
      </c>
      <c r="D2514" s="19" t="s">
        <v>2164</v>
      </c>
      <c r="E2514" s="20" t="s">
        <v>443</v>
      </c>
      <c r="F2514" s="17" t="s">
        <v>1220</v>
      </c>
      <c r="G2514" s="17" t="s">
        <v>2746</v>
      </c>
      <c r="H2514" s="17" t="s">
        <v>5414</v>
      </c>
      <c r="I2514" s="17" t="s">
        <v>98</v>
      </c>
      <c r="J2514" s="22" t="s">
        <v>135</v>
      </c>
      <c r="K2514" s="23" t="s">
        <v>108</v>
      </c>
      <c r="L2514" s="24" t="s">
        <v>91</v>
      </c>
      <c r="M2514" s="2">
        <v>68.0</v>
      </c>
      <c r="N2514" s="25">
        <v>20.0</v>
      </c>
      <c r="O2514" s="25"/>
      <c r="P2514" s="25"/>
    </row>
    <row r="2515">
      <c r="A2515" s="16">
        <v>2513.0</v>
      </c>
      <c r="B2515" s="17" t="s">
        <v>411</v>
      </c>
      <c r="C2515" s="18">
        <v>35.0</v>
      </c>
      <c r="D2515" s="19" t="s">
        <v>2164</v>
      </c>
      <c r="E2515" s="20" t="s">
        <v>443</v>
      </c>
      <c r="F2515" s="17" t="s">
        <v>212</v>
      </c>
      <c r="G2515" s="17" t="s">
        <v>5415</v>
      </c>
      <c r="H2515" s="17" t="s">
        <v>5407</v>
      </c>
      <c r="I2515" s="17" t="s">
        <v>98</v>
      </c>
      <c r="J2515" s="22" t="s">
        <v>135</v>
      </c>
      <c r="K2515" s="23" t="s">
        <v>108</v>
      </c>
      <c r="L2515" s="24" t="s">
        <v>91</v>
      </c>
      <c r="M2515" s="2">
        <v>68.0</v>
      </c>
      <c r="N2515" s="25">
        <v>20.0</v>
      </c>
      <c r="O2515" s="25"/>
      <c r="P2515" s="25"/>
    </row>
    <row r="2516">
      <c r="A2516" s="16">
        <v>2514.0</v>
      </c>
      <c r="B2516" s="17" t="s">
        <v>411</v>
      </c>
      <c r="C2516" s="18">
        <v>36.0</v>
      </c>
      <c r="D2516" s="19" t="s">
        <v>2164</v>
      </c>
      <c r="E2516" s="20" t="s">
        <v>443</v>
      </c>
      <c r="F2516" s="17" t="s">
        <v>1171</v>
      </c>
      <c r="G2516" s="17" t="s">
        <v>5416</v>
      </c>
      <c r="H2516" s="17" t="s">
        <v>5417</v>
      </c>
      <c r="I2516" s="17" t="s">
        <v>98</v>
      </c>
      <c r="J2516" s="22" t="s">
        <v>135</v>
      </c>
      <c r="K2516" s="23" t="s">
        <v>108</v>
      </c>
      <c r="L2516" s="24" t="s">
        <v>91</v>
      </c>
      <c r="M2516" s="2">
        <v>68.0</v>
      </c>
      <c r="N2516" s="25">
        <v>20.0</v>
      </c>
      <c r="O2516" s="25"/>
      <c r="P2516" s="25"/>
    </row>
    <row r="2517">
      <c r="A2517" s="16">
        <v>2515.0</v>
      </c>
      <c r="B2517" s="17" t="s">
        <v>411</v>
      </c>
      <c r="C2517" s="18">
        <v>37.0</v>
      </c>
      <c r="D2517" s="19" t="s">
        <v>2164</v>
      </c>
      <c r="E2517" s="20" t="s">
        <v>443</v>
      </c>
      <c r="F2517" s="17" t="s">
        <v>1026</v>
      </c>
      <c r="G2517" s="17" t="s">
        <v>5418</v>
      </c>
      <c r="H2517" s="17" t="s">
        <v>5419</v>
      </c>
      <c r="I2517" s="17" t="s">
        <v>98</v>
      </c>
      <c r="J2517" s="22" t="s">
        <v>135</v>
      </c>
      <c r="K2517" s="23" t="s">
        <v>108</v>
      </c>
      <c r="L2517" s="24" t="s">
        <v>91</v>
      </c>
      <c r="M2517" s="2">
        <v>68.0</v>
      </c>
      <c r="N2517" s="25">
        <v>20.0</v>
      </c>
      <c r="O2517" s="25"/>
      <c r="P2517" s="25"/>
    </row>
    <row r="2518">
      <c r="A2518" s="16">
        <v>2516.0</v>
      </c>
      <c r="B2518" s="27" t="s">
        <v>411</v>
      </c>
      <c r="C2518" s="18">
        <v>38.0</v>
      </c>
      <c r="D2518" s="19" t="s">
        <v>2164</v>
      </c>
      <c r="E2518" s="20" t="s">
        <v>443</v>
      </c>
      <c r="F2518" s="27" t="s">
        <v>5328</v>
      </c>
      <c r="G2518" s="17" t="s">
        <v>5329</v>
      </c>
      <c r="H2518" s="17" t="s">
        <v>5330</v>
      </c>
      <c r="I2518" s="17" t="s">
        <v>98</v>
      </c>
      <c r="J2518" s="22" t="s">
        <v>135</v>
      </c>
      <c r="K2518" s="23" t="s">
        <v>108</v>
      </c>
      <c r="L2518" s="24"/>
      <c r="M2518" s="2">
        <v>68.0</v>
      </c>
      <c r="N2518" s="25">
        <v>20.0</v>
      </c>
      <c r="O2518" s="25"/>
      <c r="P2518" s="25"/>
    </row>
    <row r="2519">
      <c r="A2519" s="16">
        <v>2517.0</v>
      </c>
      <c r="B2519" s="17" t="s">
        <v>411</v>
      </c>
      <c r="C2519" s="18">
        <v>39.0</v>
      </c>
      <c r="D2519" s="19" t="s">
        <v>2160</v>
      </c>
      <c r="E2519" s="20" t="s">
        <v>443</v>
      </c>
      <c r="F2519" s="17" t="s">
        <v>1135</v>
      </c>
      <c r="G2519" s="17" t="s">
        <v>123</v>
      </c>
      <c r="H2519" s="17" t="s">
        <v>5420</v>
      </c>
      <c r="I2519" s="17" t="s">
        <v>98</v>
      </c>
      <c r="J2519" s="22" t="s">
        <v>135</v>
      </c>
      <c r="K2519" s="23" t="s">
        <v>108</v>
      </c>
      <c r="L2519" s="24" t="s">
        <v>91</v>
      </c>
      <c r="M2519" s="2">
        <v>68.0</v>
      </c>
      <c r="N2519" s="25">
        <v>20.0</v>
      </c>
      <c r="O2519" s="25"/>
      <c r="P2519" s="25"/>
    </row>
    <row r="2520">
      <c r="A2520" s="16">
        <v>2518.0</v>
      </c>
      <c r="B2520" s="17" t="s">
        <v>411</v>
      </c>
      <c r="C2520" s="18">
        <v>40.0</v>
      </c>
      <c r="D2520" s="19" t="s">
        <v>2167</v>
      </c>
      <c r="E2520" s="20" t="s">
        <v>443</v>
      </c>
      <c r="F2520" s="17" t="s">
        <v>1441</v>
      </c>
      <c r="G2520" s="17" t="s">
        <v>5421</v>
      </c>
      <c r="H2520" s="17" t="s">
        <v>5422</v>
      </c>
      <c r="I2520" s="17" t="s">
        <v>98</v>
      </c>
      <c r="J2520" s="22" t="s">
        <v>135</v>
      </c>
      <c r="K2520" s="23" t="s">
        <v>108</v>
      </c>
      <c r="L2520" s="24" t="s">
        <v>91</v>
      </c>
      <c r="M2520" s="2">
        <v>68.0</v>
      </c>
      <c r="N2520" s="25">
        <v>20.0</v>
      </c>
      <c r="O2520" s="25"/>
      <c r="P2520" s="25"/>
    </row>
    <row r="2521">
      <c r="A2521" s="16">
        <v>2519.0</v>
      </c>
      <c r="B2521" s="17" t="s">
        <v>411</v>
      </c>
      <c r="C2521" s="18">
        <v>41.0</v>
      </c>
      <c r="D2521" s="19" t="s">
        <v>2167</v>
      </c>
      <c r="E2521" s="20" t="s">
        <v>443</v>
      </c>
      <c r="F2521" s="17" t="s">
        <v>830</v>
      </c>
      <c r="G2521" s="17" t="s">
        <v>5423</v>
      </c>
      <c r="H2521" s="17" t="s">
        <v>5424</v>
      </c>
      <c r="I2521" s="17" t="s">
        <v>98</v>
      </c>
      <c r="J2521" s="22" t="s">
        <v>135</v>
      </c>
      <c r="K2521" s="23" t="s">
        <v>108</v>
      </c>
      <c r="L2521" s="24" t="s">
        <v>91</v>
      </c>
      <c r="M2521" s="2">
        <v>68.0</v>
      </c>
      <c r="N2521" s="25">
        <v>20.0</v>
      </c>
      <c r="O2521" s="25"/>
      <c r="P2521" s="25"/>
    </row>
    <row r="2522">
      <c r="A2522" s="16">
        <v>2520.0</v>
      </c>
      <c r="B2522" s="17" t="s">
        <v>411</v>
      </c>
      <c r="C2522" s="18">
        <v>42.0</v>
      </c>
      <c r="D2522" s="19" t="s">
        <v>2164</v>
      </c>
      <c r="E2522" s="20" t="s">
        <v>443</v>
      </c>
      <c r="F2522" s="17" t="s">
        <v>695</v>
      </c>
      <c r="G2522" s="17" t="s">
        <v>123</v>
      </c>
      <c r="H2522" s="17" t="s">
        <v>5425</v>
      </c>
      <c r="I2522" s="17" t="s">
        <v>98</v>
      </c>
      <c r="J2522" s="22" t="s">
        <v>144</v>
      </c>
      <c r="K2522" s="23" t="s">
        <v>108</v>
      </c>
      <c r="L2522" s="24" t="s">
        <v>91</v>
      </c>
      <c r="M2522" s="2">
        <v>68.0</v>
      </c>
      <c r="N2522" s="25">
        <v>30.0</v>
      </c>
      <c r="O2522" s="25"/>
      <c r="P2522" s="25"/>
    </row>
    <row r="2523">
      <c r="A2523" s="16">
        <v>2521.0</v>
      </c>
      <c r="B2523" s="17" t="s">
        <v>411</v>
      </c>
      <c r="C2523" s="18">
        <v>43.0</v>
      </c>
      <c r="D2523" s="19" t="s">
        <v>2164</v>
      </c>
      <c r="E2523" s="20" t="s">
        <v>443</v>
      </c>
      <c r="F2523" s="17" t="s">
        <v>115</v>
      </c>
      <c r="G2523" s="17" t="s">
        <v>123</v>
      </c>
      <c r="H2523" s="17" t="s">
        <v>5426</v>
      </c>
      <c r="I2523" s="17" t="s">
        <v>98</v>
      </c>
      <c r="J2523" s="22" t="s">
        <v>144</v>
      </c>
      <c r="K2523" s="23" t="s">
        <v>108</v>
      </c>
      <c r="L2523" s="24" t="s">
        <v>91</v>
      </c>
      <c r="M2523" s="2">
        <v>68.0</v>
      </c>
      <c r="N2523" s="25">
        <v>30.0</v>
      </c>
      <c r="O2523" s="25"/>
      <c r="P2523" s="25"/>
    </row>
    <row r="2524">
      <c r="A2524" s="16">
        <v>2522.0</v>
      </c>
      <c r="B2524" s="17" t="s">
        <v>411</v>
      </c>
      <c r="C2524" s="18">
        <v>44.0</v>
      </c>
      <c r="D2524" s="19" t="s">
        <v>2164</v>
      </c>
      <c r="E2524" s="20" t="s">
        <v>443</v>
      </c>
      <c r="F2524" s="17" t="s">
        <v>93</v>
      </c>
      <c r="G2524" s="17" t="s">
        <v>123</v>
      </c>
      <c r="H2524" s="17" t="s">
        <v>5427</v>
      </c>
      <c r="I2524" s="17" t="s">
        <v>98</v>
      </c>
      <c r="J2524" s="22" t="s">
        <v>144</v>
      </c>
      <c r="K2524" s="23" t="s">
        <v>108</v>
      </c>
      <c r="L2524" s="24" t="s">
        <v>91</v>
      </c>
      <c r="M2524" s="2">
        <v>68.0</v>
      </c>
      <c r="N2524" s="25">
        <v>30.0</v>
      </c>
      <c r="O2524" s="25"/>
      <c r="P2524" s="25"/>
    </row>
    <row r="2525">
      <c r="A2525" s="16">
        <v>2523.0</v>
      </c>
      <c r="B2525" s="17" t="s">
        <v>411</v>
      </c>
      <c r="C2525" s="18">
        <v>45.0</v>
      </c>
      <c r="D2525" s="19" t="s">
        <v>2164</v>
      </c>
      <c r="E2525" s="20" t="s">
        <v>443</v>
      </c>
      <c r="F2525" s="17" t="s">
        <v>72</v>
      </c>
      <c r="G2525" s="17" t="s">
        <v>123</v>
      </c>
      <c r="H2525" s="17" t="s">
        <v>4850</v>
      </c>
      <c r="I2525" s="17" t="s">
        <v>98</v>
      </c>
      <c r="J2525" s="22" t="s">
        <v>144</v>
      </c>
      <c r="K2525" s="23" t="s">
        <v>108</v>
      </c>
      <c r="L2525" s="24" t="s">
        <v>91</v>
      </c>
      <c r="M2525" s="2">
        <v>68.0</v>
      </c>
      <c r="N2525" s="25">
        <v>30.0</v>
      </c>
      <c r="O2525" s="25"/>
      <c r="P2525" s="25"/>
    </row>
    <row r="2526">
      <c r="A2526" s="16">
        <v>2524.0</v>
      </c>
      <c r="B2526" s="17" t="s">
        <v>411</v>
      </c>
      <c r="C2526" s="18">
        <v>46.0</v>
      </c>
      <c r="D2526" s="19" t="s">
        <v>2164</v>
      </c>
      <c r="E2526" s="20" t="s">
        <v>443</v>
      </c>
      <c r="F2526" s="17" t="s">
        <v>13</v>
      </c>
      <c r="G2526" s="17" t="s">
        <v>123</v>
      </c>
      <c r="H2526" s="17" t="s">
        <v>5428</v>
      </c>
      <c r="I2526" s="17" t="s">
        <v>98</v>
      </c>
      <c r="J2526" s="22" t="s">
        <v>144</v>
      </c>
      <c r="K2526" s="23" t="s">
        <v>108</v>
      </c>
      <c r="L2526" s="24" t="s">
        <v>91</v>
      </c>
      <c r="M2526" s="2">
        <v>68.0</v>
      </c>
      <c r="N2526" s="25">
        <v>30.0</v>
      </c>
      <c r="O2526" s="25"/>
      <c r="P2526" s="25"/>
    </row>
    <row r="2527">
      <c r="A2527" s="16">
        <v>2525.0</v>
      </c>
      <c r="B2527" s="17" t="s">
        <v>411</v>
      </c>
      <c r="C2527" s="18">
        <v>47.0</v>
      </c>
      <c r="D2527" s="19" t="s">
        <v>2164</v>
      </c>
      <c r="E2527" s="20" t="s">
        <v>443</v>
      </c>
      <c r="F2527" s="17" t="s">
        <v>206</v>
      </c>
      <c r="G2527" s="17" t="s">
        <v>123</v>
      </c>
      <c r="H2527" s="17" t="s">
        <v>5429</v>
      </c>
      <c r="I2527" s="17" t="s">
        <v>98</v>
      </c>
      <c r="J2527" s="22" t="s">
        <v>144</v>
      </c>
      <c r="K2527" s="23" t="s">
        <v>108</v>
      </c>
      <c r="L2527" s="24" t="s">
        <v>91</v>
      </c>
      <c r="M2527" s="2">
        <v>68.0</v>
      </c>
      <c r="N2527" s="25">
        <v>30.0</v>
      </c>
      <c r="O2527" s="25"/>
      <c r="P2527" s="25"/>
    </row>
    <row r="2528">
      <c r="A2528" s="16">
        <v>2526.0</v>
      </c>
      <c r="B2528" s="17" t="s">
        <v>411</v>
      </c>
      <c r="C2528" s="18">
        <v>48.0</v>
      </c>
      <c r="D2528" s="19" t="s">
        <v>2164</v>
      </c>
      <c r="E2528" s="20" t="s">
        <v>443</v>
      </c>
      <c r="F2528" s="17" t="s">
        <v>131</v>
      </c>
      <c r="G2528" s="17" t="s">
        <v>123</v>
      </c>
      <c r="H2528" s="17" t="s">
        <v>5430</v>
      </c>
      <c r="I2528" s="17" t="s">
        <v>98</v>
      </c>
      <c r="J2528" s="22" t="s">
        <v>144</v>
      </c>
      <c r="K2528" s="23" t="s">
        <v>108</v>
      </c>
      <c r="L2528" s="24" t="s">
        <v>91</v>
      </c>
      <c r="M2528" s="2">
        <v>68.0</v>
      </c>
      <c r="N2528" s="25">
        <v>30.0</v>
      </c>
      <c r="O2528" s="25"/>
      <c r="P2528" s="25"/>
    </row>
    <row r="2529">
      <c r="A2529" s="16">
        <v>2527.0</v>
      </c>
      <c r="B2529" s="17" t="s">
        <v>411</v>
      </c>
      <c r="C2529" s="18">
        <v>49.0</v>
      </c>
      <c r="D2529" s="19" t="s">
        <v>2164</v>
      </c>
      <c r="E2529" s="20" t="s">
        <v>443</v>
      </c>
      <c r="F2529" s="17" t="s">
        <v>367</v>
      </c>
      <c r="G2529" s="17" t="s">
        <v>123</v>
      </c>
      <c r="H2529" s="17" t="s">
        <v>5431</v>
      </c>
      <c r="I2529" s="17" t="s">
        <v>98</v>
      </c>
      <c r="J2529" s="22" t="s">
        <v>144</v>
      </c>
      <c r="K2529" s="23" t="s">
        <v>108</v>
      </c>
      <c r="L2529" s="24" t="s">
        <v>91</v>
      </c>
      <c r="M2529" s="2">
        <v>68.0</v>
      </c>
      <c r="N2529" s="25">
        <v>30.0</v>
      </c>
      <c r="O2529" s="25"/>
      <c r="P2529" s="25"/>
    </row>
    <row r="2530">
      <c r="A2530" s="16">
        <v>2528.0</v>
      </c>
      <c r="B2530" s="17" t="s">
        <v>411</v>
      </c>
      <c r="C2530" s="18">
        <v>50.0</v>
      </c>
      <c r="D2530" s="19" t="s">
        <v>2164</v>
      </c>
      <c r="E2530" s="20" t="s">
        <v>443</v>
      </c>
      <c r="F2530" s="17" t="s">
        <v>593</v>
      </c>
      <c r="G2530" s="17" t="s">
        <v>123</v>
      </c>
      <c r="H2530" s="17" t="s">
        <v>5432</v>
      </c>
      <c r="I2530" s="17" t="s">
        <v>98</v>
      </c>
      <c r="J2530" s="22" t="s">
        <v>144</v>
      </c>
      <c r="K2530" s="23" t="s">
        <v>108</v>
      </c>
      <c r="L2530" s="24" t="s">
        <v>91</v>
      </c>
      <c r="M2530" s="2">
        <v>68.0</v>
      </c>
      <c r="N2530" s="25">
        <v>30.0</v>
      </c>
      <c r="O2530" s="25"/>
      <c r="P2530" s="25"/>
    </row>
    <row r="2531">
      <c r="A2531" s="16">
        <v>2529.0</v>
      </c>
      <c r="B2531" s="17" t="s">
        <v>411</v>
      </c>
      <c r="C2531" s="18">
        <v>51.0</v>
      </c>
      <c r="D2531" s="19" t="s">
        <v>2164</v>
      </c>
      <c r="E2531" s="20" t="s">
        <v>443</v>
      </c>
      <c r="F2531" s="17" t="s">
        <v>26</v>
      </c>
      <c r="G2531" s="17" t="s">
        <v>123</v>
      </c>
      <c r="H2531" s="17" t="s">
        <v>5433</v>
      </c>
      <c r="I2531" s="17" t="s">
        <v>98</v>
      </c>
      <c r="J2531" s="22" t="s">
        <v>144</v>
      </c>
      <c r="K2531" s="23" t="s">
        <v>108</v>
      </c>
      <c r="L2531" s="24" t="s">
        <v>91</v>
      </c>
      <c r="M2531" s="2">
        <v>68.0</v>
      </c>
      <c r="N2531" s="25">
        <v>30.0</v>
      </c>
      <c r="O2531" s="25"/>
      <c r="P2531" s="25"/>
    </row>
    <row r="2532">
      <c r="A2532" s="16">
        <v>2530.0</v>
      </c>
      <c r="B2532" s="17" t="s">
        <v>411</v>
      </c>
      <c r="C2532" s="18">
        <v>52.0</v>
      </c>
      <c r="D2532" s="19" t="s">
        <v>2164</v>
      </c>
      <c r="E2532" s="20" t="s">
        <v>443</v>
      </c>
      <c r="F2532" s="17" t="s">
        <v>116</v>
      </c>
      <c r="G2532" s="17" t="s">
        <v>123</v>
      </c>
      <c r="H2532" s="17" t="s">
        <v>5434</v>
      </c>
      <c r="I2532" s="17" t="s">
        <v>98</v>
      </c>
      <c r="J2532" s="22" t="s">
        <v>144</v>
      </c>
      <c r="K2532" s="23" t="s">
        <v>108</v>
      </c>
      <c r="L2532" s="24" t="s">
        <v>91</v>
      </c>
      <c r="M2532" s="2">
        <v>68.0</v>
      </c>
      <c r="N2532" s="25">
        <v>30.0</v>
      </c>
      <c r="O2532" s="25"/>
      <c r="P2532" s="25"/>
    </row>
    <row r="2533">
      <c r="A2533" s="16">
        <v>2531.0</v>
      </c>
      <c r="B2533" s="17" t="s">
        <v>411</v>
      </c>
      <c r="C2533" s="18">
        <v>53.0</v>
      </c>
      <c r="D2533" s="19" t="s">
        <v>2164</v>
      </c>
      <c r="E2533" s="20" t="s">
        <v>443</v>
      </c>
      <c r="F2533" s="17" t="s">
        <v>109</v>
      </c>
      <c r="G2533" s="17" t="s">
        <v>123</v>
      </c>
      <c r="H2533" s="17" t="s">
        <v>5435</v>
      </c>
      <c r="I2533" s="17" t="s">
        <v>98</v>
      </c>
      <c r="J2533" s="22" t="s">
        <v>144</v>
      </c>
      <c r="K2533" s="23" t="s">
        <v>108</v>
      </c>
      <c r="L2533" s="24" t="s">
        <v>91</v>
      </c>
      <c r="M2533" s="2">
        <v>68.0</v>
      </c>
      <c r="N2533" s="25">
        <v>30.0</v>
      </c>
      <c r="O2533" s="25"/>
      <c r="P2533" s="25"/>
    </row>
    <row r="2534">
      <c r="A2534" s="16">
        <v>2532.0</v>
      </c>
      <c r="B2534" s="17" t="s">
        <v>411</v>
      </c>
      <c r="C2534" s="18">
        <v>54.0</v>
      </c>
      <c r="D2534" s="19" t="s">
        <v>2164</v>
      </c>
      <c r="E2534" s="20" t="s">
        <v>443</v>
      </c>
      <c r="F2534" s="17" t="s">
        <v>156</v>
      </c>
      <c r="G2534" s="17" t="s">
        <v>123</v>
      </c>
      <c r="H2534" s="17" t="s">
        <v>5436</v>
      </c>
      <c r="I2534" s="17" t="s">
        <v>98</v>
      </c>
      <c r="J2534" s="22" t="s">
        <v>144</v>
      </c>
      <c r="K2534" s="23" t="s">
        <v>108</v>
      </c>
      <c r="L2534" s="24" t="s">
        <v>91</v>
      </c>
      <c r="M2534" s="2">
        <v>68.0</v>
      </c>
      <c r="N2534" s="25">
        <v>30.0</v>
      </c>
      <c r="O2534" s="25"/>
      <c r="P2534" s="25"/>
    </row>
    <row r="2535">
      <c r="A2535" s="16">
        <v>2533.0</v>
      </c>
      <c r="B2535" s="17" t="s">
        <v>411</v>
      </c>
      <c r="C2535" s="18">
        <v>55.0</v>
      </c>
      <c r="D2535" s="19" t="s">
        <v>2164</v>
      </c>
      <c r="E2535" s="20" t="s">
        <v>443</v>
      </c>
      <c r="F2535" s="17" t="s">
        <v>375</v>
      </c>
      <c r="G2535" s="17" t="s">
        <v>123</v>
      </c>
      <c r="H2535" s="17" t="s">
        <v>5437</v>
      </c>
      <c r="I2535" s="17" t="s">
        <v>98</v>
      </c>
      <c r="J2535" s="22" t="s">
        <v>144</v>
      </c>
      <c r="K2535" s="23" t="s">
        <v>108</v>
      </c>
      <c r="L2535" s="24" t="s">
        <v>91</v>
      </c>
      <c r="M2535" s="2">
        <v>68.0</v>
      </c>
      <c r="N2535" s="25">
        <v>30.0</v>
      </c>
      <c r="O2535" s="25"/>
      <c r="P2535" s="25"/>
    </row>
    <row r="2536">
      <c r="A2536" s="16">
        <v>2534.0</v>
      </c>
      <c r="B2536" s="17" t="s">
        <v>411</v>
      </c>
      <c r="C2536" s="18">
        <v>56.0</v>
      </c>
      <c r="D2536" s="19" t="s">
        <v>2164</v>
      </c>
      <c r="E2536" s="20" t="s">
        <v>443</v>
      </c>
      <c r="F2536" s="17" t="s">
        <v>306</v>
      </c>
      <c r="G2536" s="17" t="s">
        <v>123</v>
      </c>
      <c r="H2536" s="17" t="s">
        <v>5438</v>
      </c>
      <c r="I2536" s="17" t="s">
        <v>98</v>
      </c>
      <c r="J2536" s="22" t="s">
        <v>144</v>
      </c>
      <c r="K2536" s="23" t="s">
        <v>108</v>
      </c>
      <c r="L2536" s="24" t="s">
        <v>91</v>
      </c>
      <c r="M2536" s="2">
        <v>68.0</v>
      </c>
      <c r="N2536" s="25">
        <v>30.0</v>
      </c>
      <c r="O2536" s="25"/>
      <c r="P2536" s="25"/>
    </row>
    <row r="2537">
      <c r="A2537" s="16">
        <v>2535.0</v>
      </c>
      <c r="B2537" s="17" t="s">
        <v>411</v>
      </c>
      <c r="C2537" s="18">
        <v>57.0</v>
      </c>
      <c r="D2537" s="19" t="s">
        <v>2164</v>
      </c>
      <c r="E2537" s="20" t="s">
        <v>443</v>
      </c>
      <c r="F2537" s="17" t="s">
        <v>106</v>
      </c>
      <c r="G2537" s="17" t="s">
        <v>123</v>
      </c>
      <c r="H2537" s="17" t="s">
        <v>4241</v>
      </c>
      <c r="I2537" s="17" t="s">
        <v>98</v>
      </c>
      <c r="J2537" s="22" t="s">
        <v>144</v>
      </c>
      <c r="K2537" s="23" t="s">
        <v>108</v>
      </c>
      <c r="L2537" s="24" t="s">
        <v>91</v>
      </c>
      <c r="M2537" s="2">
        <v>68.0</v>
      </c>
      <c r="N2537" s="25">
        <v>30.0</v>
      </c>
      <c r="O2537" s="25"/>
      <c r="P2537" s="25"/>
    </row>
    <row r="2538">
      <c r="A2538" s="16">
        <v>2536.0</v>
      </c>
      <c r="B2538" s="17" t="s">
        <v>411</v>
      </c>
      <c r="C2538" s="18">
        <v>58.0</v>
      </c>
      <c r="D2538" s="19" t="s">
        <v>2164</v>
      </c>
      <c r="E2538" s="20" t="s">
        <v>443</v>
      </c>
      <c r="F2538" s="17" t="s">
        <v>150</v>
      </c>
      <c r="G2538" s="17" t="s">
        <v>123</v>
      </c>
      <c r="H2538" s="17" t="s">
        <v>5439</v>
      </c>
      <c r="I2538" s="17" t="s">
        <v>98</v>
      </c>
      <c r="J2538" s="22" t="s">
        <v>144</v>
      </c>
      <c r="K2538" s="23" t="s">
        <v>108</v>
      </c>
      <c r="L2538" s="24" t="s">
        <v>91</v>
      </c>
      <c r="M2538" s="2">
        <v>68.0</v>
      </c>
      <c r="N2538" s="25">
        <v>30.0</v>
      </c>
      <c r="O2538" s="25"/>
      <c r="P2538" s="25"/>
    </row>
    <row r="2539">
      <c r="A2539" s="16">
        <v>2537.0</v>
      </c>
      <c r="B2539" s="17" t="s">
        <v>411</v>
      </c>
      <c r="C2539" s="18">
        <v>59.0</v>
      </c>
      <c r="D2539" s="19" t="s">
        <v>2164</v>
      </c>
      <c r="E2539" s="20" t="s">
        <v>443</v>
      </c>
      <c r="F2539" s="17" t="s">
        <v>203</v>
      </c>
      <c r="G2539" s="17" t="s">
        <v>123</v>
      </c>
      <c r="H2539" s="17" t="s">
        <v>5440</v>
      </c>
      <c r="I2539" s="17" t="s">
        <v>98</v>
      </c>
      <c r="J2539" s="22" t="s">
        <v>144</v>
      </c>
      <c r="K2539" s="23" t="s">
        <v>108</v>
      </c>
      <c r="L2539" s="24" t="s">
        <v>91</v>
      </c>
      <c r="M2539" s="2">
        <v>68.0</v>
      </c>
      <c r="N2539" s="25">
        <v>30.0</v>
      </c>
      <c r="O2539" s="25"/>
      <c r="P2539" s="25"/>
    </row>
    <row r="2540">
      <c r="A2540" s="16">
        <v>2538.0</v>
      </c>
      <c r="B2540" s="17" t="s">
        <v>411</v>
      </c>
      <c r="C2540" s="18">
        <v>60.0</v>
      </c>
      <c r="D2540" s="19" t="s">
        <v>2164</v>
      </c>
      <c r="E2540" s="20" t="s">
        <v>443</v>
      </c>
      <c r="F2540" s="17" t="s">
        <v>151</v>
      </c>
      <c r="G2540" s="17" t="s">
        <v>123</v>
      </c>
      <c r="H2540" s="17" t="s">
        <v>5441</v>
      </c>
      <c r="I2540" s="17" t="s">
        <v>98</v>
      </c>
      <c r="J2540" s="22" t="s">
        <v>144</v>
      </c>
      <c r="K2540" s="23" t="s">
        <v>108</v>
      </c>
      <c r="L2540" s="24" t="s">
        <v>91</v>
      </c>
      <c r="M2540" s="2">
        <v>68.0</v>
      </c>
      <c r="N2540" s="25">
        <v>30.0</v>
      </c>
      <c r="O2540" s="25"/>
      <c r="P2540" s="25"/>
    </row>
    <row r="2541">
      <c r="A2541" s="16">
        <v>2539.0</v>
      </c>
      <c r="B2541" s="17" t="s">
        <v>411</v>
      </c>
      <c r="C2541" s="18">
        <v>61.0</v>
      </c>
      <c r="D2541" s="19" t="s">
        <v>2164</v>
      </c>
      <c r="E2541" s="20" t="s">
        <v>443</v>
      </c>
      <c r="F2541" s="17" t="s">
        <v>74</v>
      </c>
      <c r="G2541" s="17" t="s">
        <v>123</v>
      </c>
      <c r="H2541" s="17" t="s">
        <v>5442</v>
      </c>
      <c r="I2541" s="17" t="s">
        <v>98</v>
      </c>
      <c r="J2541" s="22" t="s">
        <v>144</v>
      </c>
      <c r="K2541" s="23" t="s">
        <v>108</v>
      </c>
      <c r="L2541" s="24" t="s">
        <v>91</v>
      </c>
      <c r="M2541" s="2">
        <v>68.0</v>
      </c>
      <c r="N2541" s="25">
        <v>30.0</v>
      </c>
      <c r="O2541" s="25"/>
      <c r="P2541" s="25"/>
    </row>
    <row r="2542">
      <c r="A2542" s="16">
        <v>2540.0</v>
      </c>
      <c r="B2542" s="17" t="s">
        <v>411</v>
      </c>
      <c r="C2542" s="18">
        <v>62.0</v>
      </c>
      <c r="D2542" s="19" t="s">
        <v>2164</v>
      </c>
      <c r="E2542" s="20" t="s">
        <v>443</v>
      </c>
      <c r="F2542" s="17" t="s">
        <v>71</v>
      </c>
      <c r="G2542" s="17" t="s">
        <v>123</v>
      </c>
      <c r="H2542" s="17" t="s">
        <v>5443</v>
      </c>
      <c r="I2542" s="17" t="s">
        <v>98</v>
      </c>
      <c r="J2542" s="22" t="s">
        <v>144</v>
      </c>
      <c r="K2542" s="23" t="s">
        <v>108</v>
      </c>
      <c r="L2542" s="24" t="s">
        <v>91</v>
      </c>
      <c r="M2542" s="2">
        <v>68.0</v>
      </c>
      <c r="N2542" s="25">
        <v>30.0</v>
      </c>
      <c r="O2542" s="25"/>
      <c r="P2542" s="25"/>
    </row>
    <row r="2543">
      <c r="A2543" s="16">
        <v>2541.0</v>
      </c>
      <c r="B2543" s="17" t="s">
        <v>411</v>
      </c>
      <c r="C2543" s="18">
        <v>63.0</v>
      </c>
      <c r="D2543" s="19" t="s">
        <v>2164</v>
      </c>
      <c r="E2543" s="20" t="s">
        <v>443</v>
      </c>
      <c r="F2543" s="17" t="s">
        <v>801</v>
      </c>
      <c r="G2543" s="17" t="s">
        <v>123</v>
      </c>
      <c r="H2543" s="17" t="s">
        <v>4612</v>
      </c>
      <c r="I2543" s="17" t="s">
        <v>98</v>
      </c>
      <c r="J2543" s="22" t="s">
        <v>144</v>
      </c>
      <c r="K2543" s="23" t="s">
        <v>108</v>
      </c>
      <c r="L2543" s="24" t="s">
        <v>91</v>
      </c>
      <c r="M2543" s="2">
        <v>68.0</v>
      </c>
      <c r="N2543" s="25">
        <v>30.0</v>
      </c>
      <c r="O2543" s="25"/>
      <c r="P2543" s="25"/>
    </row>
    <row r="2544">
      <c r="A2544" s="16">
        <v>2542.0</v>
      </c>
      <c r="B2544" s="17" t="s">
        <v>411</v>
      </c>
      <c r="C2544" s="18">
        <v>64.0</v>
      </c>
      <c r="D2544" s="19" t="s">
        <v>2164</v>
      </c>
      <c r="E2544" s="20" t="s">
        <v>443</v>
      </c>
      <c r="F2544" s="17" t="s">
        <v>554</v>
      </c>
      <c r="G2544" s="17" t="s">
        <v>123</v>
      </c>
      <c r="H2544" s="17" t="s">
        <v>5444</v>
      </c>
      <c r="I2544" s="17" t="s">
        <v>98</v>
      </c>
      <c r="J2544" s="22" t="s">
        <v>144</v>
      </c>
      <c r="K2544" s="23" t="s">
        <v>108</v>
      </c>
      <c r="L2544" s="24" t="s">
        <v>91</v>
      </c>
      <c r="M2544" s="2">
        <v>68.0</v>
      </c>
      <c r="N2544" s="25">
        <v>30.0</v>
      </c>
      <c r="O2544" s="25"/>
      <c r="P2544" s="25"/>
    </row>
    <row r="2545">
      <c r="A2545" s="16">
        <v>2543.0</v>
      </c>
      <c r="B2545" s="17" t="s">
        <v>411</v>
      </c>
      <c r="C2545" s="18">
        <v>65.0</v>
      </c>
      <c r="D2545" s="19" t="s">
        <v>2164</v>
      </c>
      <c r="E2545" s="20" t="s">
        <v>443</v>
      </c>
      <c r="F2545" s="17" t="s">
        <v>691</v>
      </c>
      <c r="G2545" s="17" t="s">
        <v>123</v>
      </c>
      <c r="H2545" s="17" t="s">
        <v>5445</v>
      </c>
      <c r="I2545" s="17" t="s">
        <v>98</v>
      </c>
      <c r="J2545" s="22" t="s">
        <v>144</v>
      </c>
      <c r="K2545" s="23" t="s">
        <v>108</v>
      </c>
      <c r="L2545" s="24" t="s">
        <v>91</v>
      </c>
      <c r="M2545" s="2">
        <v>68.0</v>
      </c>
      <c r="N2545" s="25">
        <v>30.0</v>
      </c>
      <c r="O2545" s="25"/>
      <c r="P2545" s="25"/>
    </row>
    <row r="2546">
      <c r="A2546" s="16">
        <v>2544.0</v>
      </c>
      <c r="B2546" s="17" t="s">
        <v>411</v>
      </c>
      <c r="C2546" s="18">
        <v>66.0</v>
      </c>
      <c r="D2546" s="19" t="s">
        <v>2164</v>
      </c>
      <c r="E2546" s="20" t="s">
        <v>443</v>
      </c>
      <c r="F2546" s="17" t="s">
        <v>240</v>
      </c>
      <c r="G2546" s="17" t="s">
        <v>123</v>
      </c>
      <c r="H2546" s="17" t="s">
        <v>5446</v>
      </c>
      <c r="I2546" s="17" t="s">
        <v>98</v>
      </c>
      <c r="J2546" s="22" t="s">
        <v>144</v>
      </c>
      <c r="K2546" s="23" t="s">
        <v>108</v>
      </c>
      <c r="L2546" s="24" t="s">
        <v>91</v>
      </c>
      <c r="M2546" s="2">
        <v>68.0</v>
      </c>
      <c r="N2546" s="25">
        <v>30.0</v>
      </c>
      <c r="O2546" s="25"/>
      <c r="P2546" s="25"/>
    </row>
    <row r="2547">
      <c r="A2547" s="16">
        <v>2545.0</v>
      </c>
      <c r="B2547" s="17" t="s">
        <v>411</v>
      </c>
      <c r="C2547" s="18">
        <v>67.0</v>
      </c>
      <c r="D2547" s="19" t="s">
        <v>2164</v>
      </c>
      <c r="E2547" s="20" t="s">
        <v>443</v>
      </c>
      <c r="F2547" s="17" t="s">
        <v>303</v>
      </c>
      <c r="G2547" s="17" t="s">
        <v>123</v>
      </c>
      <c r="H2547" s="17" t="s">
        <v>5447</v>
      </c>
      <c r="I2547" s="17" t="s">
        <v>98</v>
      </c>
      <c r="J2547" s="22" t="s">
        <v>144</v>
      </c>
      <c r="K2547" s="23" t="s">
        <v>108</v>
      </c>
      <c r="L2547" s="24" t="s">
        <v>91</v>
      </c>
      <c r="M2547" s="2">
        <v>68.0</v>
      </c>
      <c r="N2547" s="25">
        <v>30.0</v>
      </c>
      <c r="O2547" s="25"/>
      <c r="P2547" s="25"/>
    </row>
    <row r="2548">
      <c r="A2548" s="16">
        <v>2546.0</v>
      </c>
      <c r="B2548" s="17" t="s">
        <v>411</v>
      </c>
      <c r="C2548" s="18">
        <v>68.0</v>
      </c>
      <c r="D2548" s="19" t="s">
        <v>2164</v>
      </c>
      <c r="E2548" s="20" t="s">
        <v>443</v>
      </c>
      <c r="F2548" s="17" t="s">
        <v>582</v>
      </c>
      <c r="G2548" s="17" t="s">
        <v>123</v>
      </c>
      <c r="H2548" s="17" t="s">
        <v>5448</v>
      </c>
      <c r="I2548" s="17" t="s">
        <v>98</v>
      </c>
      <c r="J2548" s="22" t="s">
        <v>144</v>
      </c>
      <c r="K2548" s="23" t="s">
        <v>108</v>
      </c>
      <c r="L2548" s="24" t="s">
        <v>91</v>
      </c>
      <c r="M2548" s="2">
        <v>68.0</v>
      </c>
      <c r="N2548" s="25">
        <v>30.0</v>
      </c>
      <c r="O2548" s="25"/>
      <c r="P2548" s="25"/>
    </row>
    <row r="2549">
      <c r="A2549" s="16">
        <v>2547.0</v>
      </c>
      <c r="B2549" s="17" t="s">
        <v>411</v>
      </c>
      <c r="C2549" s="18">
        <v>69.0</v>
      </c>
      <c r="D2549" s="19" t="s">
        <v>2164</v>
      </c>
      <c r="E2549" s="20" t="s">
        <v>443</v>
      </c>
      <c r="F2549" s="17" t="s">
        <v>596</v>
      </c>
      <c r="G2549" s="17" t="s">
        <v>123</v>
      </c>
      <c r="H2549" s="17" t="s">
        <v>5449</v>
      </c>
      <c r="I2549" s="17" t="s">
        <v>98</v>
      </c>
      <c r="J2549" s="22" t="s">
        <v>144</v>
      </c>
      <c r="K2549" s="23" t="s">
        <v>108</v>
      </c>
      <c r="L2549" s="24" t="s">
        <v>91</v>
      </c>
      <c r="M2549" s="2">
        <v>68.0</v>
      </c>
      <c r="N2549" s="25">
        <v>30.0</v>
      </c>
      <c r="O2549" s="25"/>
      <c r="P2549" s="25"/>
    </row>
    <row r="2550">
      <c r="A2550" s="16">
        <v>2548.0</v>
      </c>
      <c r="B2550" s="17" t="s">
        <v>411</v>
      </c>
      <c r="C2550" s="18">
        <v>70.0</v>
      </c>
      <c r="D2550" s="19" t="s">
        <v>2164</v>
      </c>
      <c r="E2550" s="20" t="s">
        <v>443</v>
      </c>
      <c r="F2550" s="17" t="s">
        <v>300</v>
      </c>
      <c r="G2550" s="17" t="s">
        <v>123</v>
      </c>
      <c r="H2550" s="17" t="s">
        <v>5450</v>
      </c>
      <c r="I2550" s="17" t="s">
        <v>98</v>
      </c>
      <c r="J2550" s="22" t="s">
        <v>144</v>
      </c>
      <c r="K2550" s="23" t="s">
        <v>108</v>
      </c>
      <c r="L2550" s="24" t="s">
        <v>91</v>
      </c>
      <c r="M2550" s="2">
        <v>68.0</v>
      </c>
      <c r="N2550" s="25">
        <v>30.0</v>
      </c>
      <c r="O2550" s="25"/>
      <c r="P2550" s="25"/>
    </row>
    <row r="2551">
      <c r="A2551" s="16">
        <v>2549.0</v>
      </c>
      <c r="B2551" s="17" t="s">
        <v>411</v>
      </c>
      <c r="C2551" s="18">
        <v>71.0</v>
      </c>
      <c r="D2551" s="19" t="s">
        <v>2164</v>
      </c>
      <c r="E2551" s="20" t="s">
        <v>443</v>
      </c>
      <c r="F2551" s="17" t="s">
        <v>85</v>
      </c>
      <c r="G2551" s="17" t="s">
        <v>123</v>
      </c>
      <c r="H2551" s="17" t="s">
        <v>5451</v>
      </c>
      <c r="I2551" s="17" t="s">
        <v>98</v>
      </c>
      <c r="J2551" s="22" t="s">
        <v>144</v>
      </c>
      <c r="K2551" s="23" t="s">
        <v>108</v>
      </c>
      <c r="L2551" s="24" t="s">
        <v>91</v>
      </c>
      <c r="M2551" s="2">
        <v>68.0</v>
      </c>
      <c r="N2551" s="25">
        <v>30.0</v>
      </c>
      <c r="O2551" s="25"/>
      <c r="P2551" s="25"/>
    </row>
    <row r="2552">
      <c r="A2552" s="16">
        <v>2550.0</v>
      </c>
      <c r="B2552" s="17" t="s">
        <v>411</v>
      </c>
      <c r="C2552" s="18">
        <v>72.0</v>
      </c>
      <c r="D2552" s="19" t="s">
        <v>2164</v>
      </c>
      <c r="E2552" s="20" t="s">
        <v>443</v>
      </c>
      <c r="F2552" s="17" t="s">
        <v>292</v>
      </c>
      <c r="G2552" s="17" t="s">
        <v>123</v>
      </c>
      <c r="H2552" s="17" t="s">
        <v>5452</v>
      </c>
      <c r="I2552" s="17" t="s">
        <v>98</v>
      </c>
      <c r="J2552" s="22" t="s">
        <v>144</v>
      </c>
      <c r="K2552" s="23" t="s">
        <v>108</v>
      </c>
      <c r="L2552" s="24" t="s">
        <v>91</v>
      </c>
      <c r="M2552" s="2">
        <v>68.0</v>
      </c>
      <c r="N2552" s="25">
        <v>30.0</v>
      </c>
      <c r="O2552" s="25"/>
      <c r="P2552" s="25"/>
    </row>
    <row r="2553">
      <c r="A2553" s="16">
        <v>2551.0</v>
      </c>
      <c r="B2553" s="17" t="s">
        <v>411</v>
      </c>
      <c r="C2553" s="18">
        <v>73.0</v>
      </c>
      <c r="D2553" s="19" t="s">
        <v>2164</v>
      </c>
      <c r="E2553" s="20" t="s">
        <v>443</v>
      </c>
      <c r="F2553" s="17" t="s">
        <v>163</v>
      </c>
      <c r="G2553" s="17" t="s">
        <v>123</v>
      </c>
      <c r="H2553" s="17" t="s">
        <v>5453</v>
      </c>
      <c r="I2553" s="17" t="s">
        <v>98</v>
      </c>
      <c r="J2553" s="22" t="s">
        <v>144</v>
      </c>
      <c r="K2553" s="23" t="s">
        <v>108</v>
      </c>
      <c r="L2553" s="24" t="s">
        <v>91</v>
      </c>
      <c r="M2553" s="2">
        <v>68.0</v>
      </c>
      <c r="N2553" s="25">
        <v>30.0</v>
      </c>
      <c r="O2553" s="25"/>
      <c r="P2553" s="25"/>
    </row>
    <row r="2554">
      <c r="A2554" s="16">
        <v>2552.0</v>
      </c>
      <c r="B2554" s="17" t="s">
        <v>411</v>
      </c>
      <c r="C2554" s="18">
        <v>74.0</v>
      </c>
      <c r="D2554" s="19" t="s">
        <v>2164</v>
      </c>
      <c r="E2554" s="20" t="s">
        <v>443</v>
      </c>
      <c r="F2554" s="17" t="s">
        <v>129</v>
      </c>
      <c r="G2554" s="17" t="s">
        <v>5454</v>
      </c>
      <c r="H2554" s="17" t="s">
        <v>5455</v>
      </c>
      <c r="I2554" s="17" t="s">
        <v>98</v>
      </c>
      <c r="J2554" s="22" t="s">
        <v>144</v>
      </c>
      <c r="K2554" s="23" t="s">
        <v>108</v>
      </c>
      <c r="L2554" s="24" t="s">
        <v>91</v>
      </c>
      <c r="M2554" s="2">
        <v>68.0</v>
      </c>
      <c r="N2554" s="25">
        <v>30.0</v>
      </c>
      <c r="O2554" s="25"/>
      <c r="P2554" s="25"/>
    </row>
    <row r="2555">
      <c r="A2555" s="16">
        <v>2553.0</v>
      </c>
      <c r="B2555" s="17" t="s">
        <v>411</v>
      </c>
      <c r="C2555" s="18">
        <v>75.0</v>
      </c>
      <c r="D2555" s="19" t="s">
        <v>2164</v>
      </c>
      <c r="E2555" s="20" t="s">
        <v>443</v>
      </c>
      <c r="F2555" s="17" t="s">
        <v>797</v>
      </c>
      <c r="G2555" s="17" t="s">
        <v>123</v>
      </c>
      <c r="H2555" s="17" t="s">
        <v>4648</v>
      </c>
      <c r="I2555" s="17" t="s">
        <v>98</v>
      </c>
      <c r="J2555" s="22" t="s">
        <v>144</v>
      </c>
      <c r="K2555" s="23" t="s">
        <v>108</v>
      </c>
      <c r="L2555" s="24" t="s">
        <v>91</v>
      </c>
      <c r="M2555" s="2">
        <v>68.0</v>
      </c>
      <c r="N2555" s="25">
        <v>30.0</v>
      </c>
      <c r="O2555" s="25"/>
      <c r="P2555" s="25"/>
    </row>
    <row r="2556">
      <c r="A2556" s="16">
        <v>2554.0</v>
      </c>
      <c r="B2556" s="17" t="s">
        <v>411</v>
      </c>
      <c r="C2556" s="18">
        <v>76.0</v>
      </c>
      <c r="D2556" s="19" t="s">
        <v>2164</v>
      </c>
      <c r="E2556" s="20" t="s">
        <v>443</v>
      </c>
      <c r="F2556" s="17" t="s">
        <v>571</v>
      </c>
      <c r="G2556" s="17" t="s">
        <v>123</v>
      </c>
      <c r="H2556" s="17" t="s">
        <v>5456</v>
      </c>
      <c r="I2556" s="17" t="s">
        <v>98</v>
      </c>
      <c r="J2556" s="22" t="s">
        <v>144</v>
      </c>
      <c r="K2556" s="23" t="s">
        <v>108</v>
      </c>
      <c r="L2556" s="24" t="s">
        <v>91</v>
      </c>
      <c r="M2556" s="2">
        <v>68.0</v>
      </c>
      <c r="N2556" s="25">
        <v>30.0</v>
      </c>
      <c r="O2556" s="25"/>
      <c r="P2556" s="25"/>
    </row>
    <row r="2557">
      <c r="A2557" s="16">
        <v>2555.0</v>
      </c>
      <c r="B2557" s="17" t="s">
        <v>411</v>
      </c>
      <c r="C2557" s="18">
        <v>77.0</v>
      </c>
      <c r="D2557" s="19" t="s">
        <v>2164</v>
      </c>
      <c r="E2557" s="20" t="s">
        <v>443</v>
      </c>
      <c r="F2557" s="17" t="s">
        <v>56</v>
      </c>
      <c r="G2557" s="17" t="s">
        <v>5457</v>
      </c>
      <c r="H2557" s="17" t="s">
        <v>5458</v>
      </c>
      <c r="I2557" s="17" t="s">
        <v>98</v>
      </c>
      <c r="J2557" s="22" t="s">
        <v>144</v>
      </c>
      <c r="K2557" s="23" t="s">
        <v>108</v>
      </c>
      <c r="L2557" s="24" t="s">
        <v>91</v>
      </c>
      <c r="M2557" s="2">
        <v>68.0</v>
      </c>
      <c r="N2557" s="25">
        <v>30.0</v>
      </c>
      <c r="O2557" s="25"/>
      <c r="P2557" s="25"/>
    </row>
    <row r="2558">
      <c r="A2558" s="16">
        <v>2556.0</v>
      </c>
      <c r="B2558" s="17" t="s">
        <v>411</v>
      </c>
      <c r="C2558" s="18">
        <v>78.0</v>
      </c>
      <c r="D2558" s="19" t="s">
        <v>2164</v>
      </c>
      <c r="E2558" s="20" t="s">
        <v>443</v>
      </c>
      <c r="F2558" s="17" t="s">
        <v>472</v>
      </c>
      <c r="G2558" s="17" t="s">
        <v>123</v>
      </c>
      <c r="H2558" s="17" t="s">
        <v>5459</v>
      </c>
      <c r="I2558" s="17" t="s">
        <v>98</v>
      </c>
      <c r="J2558" s="22" t="s">
        <v>144</v>
      </c>
      <c r="K2558" s="23" t="s">
        <v>108</v>
      </c>
      <c r="L2558" s="24" t="s">
        <v>91</v>
      </c>
      <c r="M2558" s="2">
        <v>68.0</v>
      </c>
      <c r="N2558" s="25">
        <v>30.0</v>
      </c>
      <c r="O2558" s="25"/>
      <c r="P2558" s="25"/>
    </row>
    <row r="2559">
      <c r="A2559" s="16">
        <v>2557.0</v>
      </c>
      <c r="B2559" s="17" t="s">
        <v>411</v>
      </c>
      <c r="C2559" s="18">
        <v>79.0</v>
      </c>
      <c r="D2559" s="19" t="s">
        <v>2164</v>
      </c>
      <c r="E2559" s="20" t="s">
        <v>443</v>
      </c>
      <c r="F2559" s="17" t="s">
        <v>308</v>
      </c>
      <c r="G2559" s="17" t="s">
        <v>123</v>
      </c>
      <c r="H2559" s="17" t="s">
        <v>5460</v>
      </c>
      <c r="I2559" s="17" t="s">
        <v>98</v>
      </c>
      <c r="J2559" s="22" t="s">
        <v>144</v>
      </c>
      <c r="K2559" s="23" t="s">
        <v>108</v>
      </c>
      <c r="L2559" s="24" t="s">
        <v>91</v>
      </c>
      <c r="M2559" s="2">
        <v>68.0</v>
      </c>
      <c r="N2559" s="25">
        <v>30.0</v>
      </c>
      <c r="O2559" s="25"/>
      <c r="P2559" s="25"/>
    </row>
    <row r="2560">
      <c r="A2560" s="16">
        <v>2558.0</v>
      </c>
      <c r="B2560" s="17" t="s">
        <v>411</v>
      </c>
      <c r="C2560" s="18">
        <v>80.0</v>
      </c>
      <c r="D2560" s="19" t="s">
        <v>2164</v>
      </c>
      <c r="E2560" s="20" t="s">
        <v>443</v>
      </c>
      <c r="F2560" s="17" t="s">
        <v>186</v>
      </c>
      <c r="G2560" s="17" t="s">
        <v>123</v>
      </c>
      <c r="H2560" s="17" t="s">
        <v>5461</v>
      </c>
      <c r="I2560" s="17" t="s">
        <v>98</v>
      </c>
      <c r="J2560" s="22" t="s">
        <v>144</v>
      </c>
      <c r="K2560" s="23" t="s">
        <v>108</v>
      </c>
      <c r="L2560" s="24" t="s">
        <v>91</v>
      </c>
      <c r="M2560" s="2">
        <v>68.0</v>
      </c>
      <c r="N2560" s="25">
        <v>30.0</v>
      </c>
      <c r="O2560" s="25"/>
      <c r="P2560" s="25"/>
    </row>
    <row r="2561">
      <c r="A2561" s="16">
        <v>2559.0</v>
      </c>
      <c r="B2561" s="17" t="s">
        <v>411</v>
      </c>
      <c r="C2561" s="18">
        <v>81.0</v>
      </c>
      <c r="D2561" s="19" t="s">
        <v>2164</v>
      </c>
      <c r="E2561" s="20" t="s">
        <v>443</v>
      </c>
      <c r="F2561" s="17" t="s">
        <v>357</v>
      </c>
      <c r="G2561" s="17" t="s">
        <v>123</v>
      </c>
      <c r="H2561" s="17" t="s">
        <v>5462</v>
      </c>
      <c r="I2561" s="17" t="s">
        <v>98</v>
      </c>
      <c r="J2561" s="22" t="s">
        <v>144</v>
      </c>
      <c r="K2561" s="23" t="s">
        <v>108</v>
      </c>
      <c r="L2561" s="24" t="s">
        <v>91</v>
      </c>
      <c r="M2561" s="2">
        <v>68.0</v>
      </c>
      <c r="N2561" s="25">
        <v>30.0</v>
      </c>
      <c r="O2561" s="25"/>
      <c r="P2561" s="25"/>
    </row>
    <row r="2562">
      <c r="A2562" s="16">
        <v>2560.0</v>
      </c>
      <c r="B2562" s="17" t="s">
        <v>411</v>
      </c>
      <c r="C2562" s="18">
        <v>82.0</v>
      </c>
      <c r="D2562" s="19" t="s">
        <v>2164</v>
      </c>
      <c r="E2562" s="20" t="s">
        <v>443</v>
      </c>
      <c r="F2562" s="17" t="s">
        <v>101</v>
      </c>
      <c r="G2562" s="17" t="s">
        <v>123</v>
      </c>
      <c r="H2562" s="17" t="s">
        <v>5463</v>
      </c>
      <c r="I2562" s="17" t="s">
        <v>98</v>
      </c>
      <c r="J2562" s="22" t="s">
        <v>144</v>
      </c>
      <c r="K2562" s="23" t="s">
        <v>108</v>
      </c>
      <c r="L2562" s="24" t="s">
        <v>91</v>
      </c>
      <c r="M2562" s="2">
        <v>68.0</v>
      </c>
      <c r="N2562" s="25">
        <v>30.0</v>
      </c>
      <c r="O2562" s="25"/>
      <c r="P2562" s="25"/>
    </row>
    <row r="2563">
      <c r="A2563" s="16">
        <v>2561.0</v>
      </c>
      <c r="B2563" s="17" t="s">
        <v>411</v>
      </c>
      <c r="C2563" s="18">
        <v>83.0</v>
      </c>
      <c r="D2563" s="19" t="s">
        <v>2164</v>
      </c>
      <c r="E2563" s="20" t="s">
        <v>443</v>
      </c>
      <c r="F2563" s="17" t="s">
        <v>878</v>
      </c>
      <c r="G2563" s="17" t="s">
        <v>123</v>
      </c>
      <c r="H2563" s="17" t="s">
        <v>5464</v>
      </c>
      <c r="I2563" s="17" t="s">
        <v>98</v>
      </c>
      <c r="J2563" s="22" t="s">
        <v>144</v>
      </c>
      <c r="K2563" s="23" t="s">
        <v>108</v>
      </c>
      <c r="L2563" s="24" t="s">
        <v>91</v>
      </c>
      <c r="M2563" s="2">
        <v>68.0</v>
      </c>
      <c r="N2563" s="25">
        <v>30.0</v>
      </c>
      <c r="O2563" s="25"/>
      <c r="P2563" s="25"/>
    </row>
    <row r="2564">
      <c r="A2564" s="16">
        <v>2562.0</v>
      </c>
      <c r="B2564" s="17" t="s">
        <v>411</v>
      </c>
      <c r="C2564" s="18">
        <v>84.0</v>
      </c>
      <c r="D2564" s="19" t="s">
        <v>2164</v>
      </c>
      <c r="E2564" s="20" t="s">
        <v>443</v>
      </c>
      <c r="F2564" s="17" t="s">
        <v>383</v>
      </c>
      <c r="G2564" s="17" t="s">
        <v>123</v>
      </c>
      <c r="H2564" s="17" t="s">
        <v>5465</v>
      </c>
      <c r="I2564" s="17" t="s">
        <v>98</v>
      </c>
      <c r="J2564" s="22" t="s">
        <v>144</v>
      </c>
      <c r="K2564" s="23" t="s">
        <v>108</v>
      </c>
      <c r="L2564" s="24" t="s">
        <v>91</v>
      </c>
      <c r="M2564" s="2">
        <v>68.0</v>
      </c>
      <c r="N2564" s="25">
        <v>30.0</v>
      </c>
      <c r="O2564" s="25"/>
      <c r="P2564" s="25"/>
    </row>
    <row r="2565">
      <c r="A2565" s="16">
        <v>2563.0</v>
      </c>
      <c r="B2565" s="17" t="s">
        <v>411</v>
      </c>
      <c r="C2565" s="18">
        <v>85.0</v>
      </c>
      <c r="D2565" s="19" t="s">
        <v>2164</v>
      </c>
      <c r="E2565" s="20" t="s">
        <v>443</v>
      </c>
      <c r="F2565" s="17" t="s">
        <v>999</v>
      </c>
      <c r="G2565" s="17" t="s">
        <v>123</v>
      </c>
      <c r="H2565" s="17" t="s">
        <v>5466</v>
      </c>
      <c r="I2565" s="17" t="s">
        <v>98</v>
      </c>
      <c r="J2565" s="22" t="s">
        <v>144</v>
      </c>
      <c r="K2565" s="23" t="s">
        <v>108</v>
      </c>
      <c r="L2565" s="24" t="s">
        <v>91</v>
      </c>
      <c r="M2565" s="2">
        <v>68.0</v>
      </c>
      <c r="N2565" s="25">
        <v>30.0</v>
      </c>
      <c r="O2565" s="25"/>
      <c r="P2565" s="25"/>
    </row>
    <row r="2566">
      <c r="A2566" s="16">
        <v>2564.0</v>
      </c>
      <c r="B2566" s="17" t="s">
        <v>411</v>
      </c>
      <c r="C2566" s="18">
        <v>86.0</v>
      </c>
      <c r="D2566" s="19" t="s">
        <v>2164</v>
      </c>
      <c r="E2566" s="20" t="s">
        <v>443</v>
      </c>
      <c r="F2566" s="17" t="s">
        <v>400</v>
      </c>
      <c r="G2566" s="17" t="s">
        <v>123</v>
      </c>
      <c r="H2566" s="17" t="s">
        <v>5467</v>
      </c>
      <c r="I2566" s="17" t="s">
        <v>98</v>
      </c>
      <c r="J2566" s="22" t="s">
        <v>144</v>
      </c>
      <c r="K2566" s="23" t="s">
        <v>108</v>
      </c>
      <c r="L2566" s="24" t="s">
        <v>91</v>
      </c>
      <c r="M2566" s="2">
        <v>68.0</v>
      </c>
      <c r="N2566" s="25">
        <v>30.0</v>
      </c>
      <c r="O2566" s="25"/>
      <c r="P2566" s="25"/>
    </row>
    <row r="2567">
      <c r="A2567" s="16">
        <v>2565.0</v>
      </c>
      <c r="B2567" s="17" t="s">
        <v>411</v>
      </c>
      <c r="C2567" s="18">
        <v>87.0</v>
      </c>
      <c r="D2567" s="19" t="s">
        <v>2164</v>
      </c>
      <c r="E2567" s="20" t="s">
        <v>443</v>
      </c>
      <c r="F2567" s="17" t="s">
        <v>730</v>
      </c>
      <c r="G2567" s="17" t="s">
        <v>123</v>
      </c>
      <c r="H2567" s="17" t="s">
        <v>5468</v>
      </c>
      <c r="I2567" s="17" t="s">
        <v>98</v>
      </c>
      <c r="J2567" s="22" t="s">
        <v>144</v>
      </c>
      <c r="K2567" s="23" t="s">
        <v>108</v>
      </c>
      <c r="L2567" s="24" t="s">
        <v>91</v>
      </c>
      <c r="M2567" s="2">
        <v>68.0</v>
      </c>
      <c r="N2567" s="25">
        <v>30.0</v>
      </c>
      <c r="O2567" s="25"/>
      <c r="P2567" s="25"/>
    </row>
    <row r="2568">
      <c r="A2568" s="16">
        <v>2566.0</v>
      </c>
      <c r="B2568" s="17" t="s">
        <v>411</v>
      </c>
      <c r="C2568" s="18">
        <v>88.0</v>
      </c>
      <c r="D2568" s="19" t="s">
        <v>2164</v>
      </c>
      <c r="E2568" s="20" t="s">
        <v>443</v>
      </c>
      <c r="F2568" s="17" t="s">
        <v>1154</v>
      </c>
      <c r="G2568" s="17" t="s">
        <v>123</v>
      </c>
      <c r="H2568" s="17" t="s">
        <v>5469</v>
      </c>
      <c r="I2568" s="17" t="s">
        <v>98</v>
      </c>
      <c r="J2568" s="22" t="s">
        <v>144</v>
      </c>
      <c r="K2568" s="23" t="s">
        <v>108</v>
      </c>
      <c r="L2568" s="24" t="s">
        <v>91</v>
      </c>
      <c r="M2568" s="2">
        <v>68.0</v>
      </c>
      <c r="N2568" s="25">
        <v>30.0</v>
      </c>
      <c r="O2568" s="25"/>
      <c r="P2568" s="25"/>
    </row>
    <row r="2569">
      <c r="A2569" s="16">
        <v>2567.0</v>
      </c>
      <c r="B2569" s="17" t="s">
        <v>411</v>
      </c>
      <c r="C2569" s="18">
        <v>89.0</v>
      </c>
      <c r="D2569" s="19" t="s">
        <v>2164</v>
      </c>
      <c r="E2569" s="20" t="s">
        <v>443</v>
      </c>
      <c r="F2569" s="17" t="s">
        <v>1014</v>
      </c>
      <c r="G2569" s="17" t="s">
        <v>4565</v>
      </c>
      <c r="H2569" s="17" t="s">
        <v>5470</v>
      </c>
      <c r="I2569" s="17" t="s">
        <v>98</v>
      </c>
      <c r="J2569" s="22" t="s">
        <v>144</v>
      </c>
      <c r="K2569" s="23" t="s">
        <v>108</v>
      </c>
      <c r="L2569" s="24" t="s">
        <v>91</v>
      </c>
      <c r="M2569" s="2">
        <v>68.0</v>
      </c>
      <c r="N2569" s="25">
        <v>30.0</v>
      </c>
      <c r="O2569" s="25"/>
      <c r="P2569" s="25"/>
    </row>
    <row r="2570">
      <c r="A2570" s="16">
        <v>2568.0</v>
      </c>
      <c r="B2570" s="17" t="s">
        <v>411</v>
      </c>
      <c r="C2570" s="18">
        <v>90.0</v>
      </c>
      <c r="D2570" s="19" t="s">
        <v>2164</v>
      </c>
      <c r="E2570" s="20" t="s">
        <v>443</v>
      </c>
      <c r="F2570" s="17" t="s">
        <v>906</v>
      </c>
      <c r="G2570" s="17" t="s">
        <v>123</v>
      </c>
      <c r="H2570" s="17" t="s">
        <v>5471</v>
      </c>
      <c r="I2570" s="17" t="s">
        <v>98</v>
      </c>
      <c r="J2570" s="22" t="s">
        <v>144</v>
      </c>
      <c r="K2570" s="23" t="s">
        <v>108</v>
      </c>
      <c r="L2570" s="24" t="s">
        <v>91</v>
      </c>
      <c r="M2570" s="2">
        <v>68.0</v>
      </c>
      <c r="N2570" s="25">
        <v>30.0</v>
      </c>
      <c r="O2570" s="25"/>
      <c r="P2570" s="25"/>
    </row>
    <row r="2571">
      <c r="A2571" s="16">
        <v>2569.0</v>
      </c>
      <c r="B2571" s="17" t="s">
        <v>411</v>
      </c>
      <c r="C2571" s="18">
        <v>91.0</v>
      </c>
      <c r="D2571" s="19" t="s">
        <v>2164</v>
      </c>
      <c r="E2571" s="20" t="s">
        <v>443</v>
      </c>
      <c r="F2571" s="17" t="s">
        <v>229</v>
      </c>
      <c r="G2571" s="17" t="s">
        <v>123</v>
      </c>
      <c r="H2571" s="17" t="s">
        <v>5472</v>
      </c>
      <c r="I2571" s="17" t="s">
        <v>98</v>
      </c>
      <c r="J2571" s="22" t="s">
        <v>144</v>
      </c>
      <c r="K2571" s="23" t="s">
        <v>108</v>
      </c>
      <c r="L2571" s="24" t="s">
        <v>91</v>
      </c>
      <c r="M2571" s="2">
        <v>68.0</v>
      </c>
      <c r="N2571" s="25">
        <v>30.0</v>
      </c>
      <c r="O2571" s="25"/>
      <c r="P2571" s="25"/>
    </row>
    <row r="2572">
      <c r="A2572" s="16">
        <v>2570.0</v>
      </c>
      <c r="B2572" s="17" t="s">
        <v>411</v>
      </c>
      <c r="C2572" s="18">
        <v>92.0</v>
      </c>
      <c r="D2572" s="19" t="s">
        <v>2164</v>
      </c>
      <c r="E2572" s="20" t="s">
        <v>443</v>
      </c>
      <c r="F2572" s="17" t="s">
        <v>1021</v>
      </c>
      <c r="G2572" s="17" t="s">
        <v>123</v>
      </c>
      <c r="H2572" s="17" t="s">
        <v>5473</v>
      </c>
      <c r="I2572" s="17" t="s">
        <v>98</v>
      </c>
      <c r="J2572" s="22" t="s">
        <v>144</v>
      </c>
      <c r="K2572" s="23" t="s">
        <v>108</v>
      </c>
      <c r="L2572" s="24" t="s">
        <v>91</v>
      </c>
      <c r="M2572" s="2">
        <v>68.0</v>
      </c>
      <c r="N2572" s="25">
        <v>30.0</v>
      </c>
      <c r="O2572" s="25"/>
      <c r="P2572" s="25"/>
    </row>
    <row r="2573">
      <c r="A2573" s="16">
        <v>2571.0</v>
      </c>
      <c r="B2573" s="17" t="s">
        <v>411</v>
      </c>
      <c r="C2573" s="18">
        <v>93.0</v>
      </c>
      <c r="D2573" s="19" t="s">
        <v>2164</v>
      </c>
      <c r="E2573" s="20" t="s">
        <v>443</v>
      </c>
      <c r="F2573" s="17" t="s">
        <v>807</v>
      </c>
      <c r="G2573" s="17" t="s">
        <v>123</v>
      </c>
      <c r="H2573" s="17" t="s">
        <v>5474</v>
      </c>
      <c r="I2573" s="17" t="s">
        <v>98</v>
      </c>
      <c r="J2573" s="22" t="s">
        <v>144</v>
      </c>
      <c r="K2573" s="23" t="s">
        <v>108</v>
      </c>
      <c r="L2573" s="24" t="s">
        <v>91</v>
      </c>
      <c r="M2573" s="2">
        <v>68.0</v>
      </c>
      <c r="N2573" s="25">
        <v>30.0</v>
      </c>
      <c r="O2573" s="25"/>
      <c r="P2573" s="25"/>
    </row>
    <row r="2574">
      <c r="A2574" s="16">
        <v>2572.0</v>
      </c>
      <c r="B2574" s="17" t="s">
        <v>411</v>
      </c>
      <c r="C2574" s="18">
        <v>94.0</v>
      </c>
      <c r="D2574" s="19" t="s">
        <v>2164</v>
      </c>
      <c r="E2574" s="20" t="s">
        <v>443</v>
      </c>
      <c r="F2574" s="17" t="s">
        <v>168</v>
      </c>
      <c r="G2574" s="17" t="s">
        <v>123</v>
      </c>
      <c r="H2574" s="17" t="s">
        <v>5475</v>
      </c>
      <c r="I2574" s="17" t="s">
        <v>98</v>
      </c>
      <c r="J2574" s="22" t="s">
        <v>144</v>
      </c>
      <c r="K2574" s="23" t="s">
        <v>108</v>
      </c>
      <c r="L2574" s="24" t="s">
        <v>91</v>
      </c>
      <c r="M2574" s="2">
        <v>68.0</v>
      </c>
      <c r="N2574" s="25">
        <v>30.0</v>
      </c>
      <c r="O2574" s="25"/>
      <c r="P2574" s="25"/>
    </row>
    <row r="2575">
      <c r="A2575" s="16">
        <v>2573.0</v>
      </c>
      <c r="B2575" s="17" t="s">
        <v>411</v>
      </c>
      <c r="C2575" s="18">
        <v>95.0</v>
      </c>
      <c r="D2575" s="19" t="s">
        <v>2164</v>
      </c>
      <c r="E2575" s="20" t="s">
        <v>443</v>
      </c>
      <c r="F2575" s="17" t="s">
        <v>712</v>
      </c>
      <c r="G2575" s="17" t="s">
        <v>123</v>
      </c>
      <c r="H2575" s="17" t="s">
        <v>5476</v>
      </c>
      <c r="I2575" s="17" t="s">
        <v>98</v>
      </c>
      <c r="J2575" s="22" t="s">
        <v>144</v>
      </c>
      <c r="K2575" s="23" t="s">
        <v>108</v>
      </c>
      <c r="L2575" s="24" t="s">
        <v>91</v>
      </c>
      <c r="M2575" s="2">
        <v>68.0</v>
      </c>
      <c r="N2575" s="25">
        <v>30.0</v>
      </c>
      <c r="O2575" s="25"/>
      <c r="P2575" s="25"/>
    </row>
    <row r="2576">
      <c r="A2576" s="16">
        <v>2574.0</v>
      </c>
      <c r="B2576" s="17" t="s">
        <v>411</v>
      </c>
      <c r="C2576" s="18">
        <v>96.0</v>
      </c>
      <c r="D2576" s="19" t="s">
        <v>2164</v>
      </c>
      <c r="E2576" s="20" t="s">
        <v>443</v>
      </c>
      <c r="F2576" s="17" t="s">
        <v>722</v>
      </c>
      <c r="G2576" s="17" t="s">
        <v>123</v>
      </c>
      <c r="H2576" s="17" t="s">
        <v>5477</v>
      </c>
      <c r="I2576" s="17" t="s">
        <v>98</v>
      </c>
      <c r="J2576" s="22" t="s">
        <v>144</v>
      </c>
      <c r="K2576" s="23" t="s">
        <v>108</v>
      </c>
      <c r="L2576" s="24" t="s">
        <v>91</v>
      </c>
      <c r="M2576" s="2">
        <v>68.0</v>
      </c>
      <c r="N2576" s="25">
        <v>30.0</v>
      </c>
      <c r="O2576" s="25"/>
      <c r="P2576" s="25"/>
    </row>
    <row r="2577">
      <c r="A2577" s="16">
        <v>2575.0</v>
      </c>
      <c r="B2577" s="17" t="s">
        <v>411</v>
      </c>
      <c r="C2577" s="18">
        <v>97.0</v>
      </c>
      <c r="D2577" s="19" t="s">
        <v>2164</v>
      </c>
      <c r="E2577" s="20" t="s">
        <v>443</v>
      </c>
      <c r="F2577" s="17" t="s">
        <v>804</v>
      </c>
      <c r="G2577" s="17" t="s">
        <v>123</v>
      </c>
      <c r="H2577" s="17" t="s">
        <v>5478</v>
      </c>
      <c r="I2577" s="17" t="s">
        <v>98</v>
      </c>
      <c r="J2577" s="22" t="s">
        <v>144</v>
      </c>
      <c r="K2577" s="23" t="s">
        <v>108</v>
      </c>
      <c r="L2577" s="24" t="s">
        <v>91</v>
      </c>
      <c r="M2577" s="2">
        <v>68.0</v>
      </c>
      <c r="N2577" s="25">
        <v>30.0</v>
      </c>
      <c r="O2577" s="25"/>
      <c r="P2577" s="25"/>
    </row>
    <row r="2578">
      <c r="A2578" s="16">
        <v>2576.0</v>
      </c>
      <c r="B2578" s="17" t="s">
        <v>411</v>
      </c>
      <c r="C2578" s="18">
        <v>98.0</v>
      </c>
      <c r="D2578" s="19" t="s">
        <v>2164</v>
      </c>
      <c r="E2578" s="20" t="s">
        <v>443</v>
      </c>
      <c r="F2578" s="17" t="s">
        <v>549</v>
      </c>
      <c r="G2578" s="17" t="s">
        <v>123</v>
      </c>
      <c r="H2578" s="17" t="s">
        <v>5479</v>
      </c>
      <c r="I2578" s="17" t="s">
        <v>98</v>
      </c>
      <c r="J2578" s="22" t="s">
        <v>144</v>
      </c>
      <c r="K2578" s="23" t="s">
        <v>108</v>
      </c>
      <c r="L2578" s="24" t="s">
        <v>91</v>
      </c>
      <c r="M2578" s="2">
        <v>68.0</v>
      </c>
      <c r="N2578" s="25">
        <v>30.0</v>
      </c>
      <c r="O2578" s="25"/>
      <c r="P2578" s="25"/>
    </row>
    <row r="2579">
      <c r="A2579" s="16">
        <v>2577.0</v>
      </c>
      <c r="B2579" s="17" t="s">
        <v>411</v>
      </c>
      <c r="C2579" s="18">
        <v>99.0</v>
      </c>
      <c r="D2579" s="19" t="s">
        <v>2164</v>
      </c>
      <c r="E2579" s="20" t="s">
        <v>443</v>
      </c>
      <c r="F2579" s="17" t="s">
        <v>1151</v>
      </c>
      <c r="G2579" s="17" t="s">
        <v>123</v>
      </c>
      <c r="H2579" s="17" t="s">
        <v>5480</v>
      </c>
      <c r="I2579" s="17" t="s">
        <v>98</v>
      </c>
      <c r="J2579" s="22" t="s">
        <v>144</v>
      </c>
      <c r="K2579" s="23" t="s">
        <v>108</v>
      </c>
      <c r="L2579" s="24" t="s">
        <v>91</v>
      </c>
      <c r="M2579" s="2">
        <v>68.0</v>
      </c>
      <c r="N2579" s="25">
        <v>30.0</v>
      </c>
      <c r="O2579" s="25"/>
      <c r="P2579" s="25"/>
    </row>
    <row r="2580">
      <c r="A2580" s="16">
        <v>2578.0</v>
      </c>
      <c r="B2580" s="17" t="s">
        <v>411</v>
      </c>
      <c r="C2580" s="18">
        <v>100.0</v>
      </c>
      <c r="D2580" s="19" t="s">
        <v>2164</v>
      </c>
      <c r="E2580" s="20" t="s">
        <v>443</v>
      </c>
      <c r="F2580" s="17" t="s">
        <v>309</v>
      </c>
      <c r="G2580" s="17" t="s">
        <v>123</v>
      </c>
      <c r="H2580" s="17" t="s">
        <v>5481</v>
      </c>
      <c r="I2580" s="17" t="s">
        <v>98</v>
      </c>
      <c r="J2580" s="22" t="s">
        <v>144</v>
      </c>
      <c r="K2580" s="23" t="s">
        <v>108</v>
      </c>
      <c r="L2580" s="24" t="s">
        <v>91</v>
      </c>
      <c r="M2580" s="2">
        <v>68.0</v>
      </c>
      <c r="N2580" s="25">
        <v>30.0</v>
      </c>
      <c r="O2580" s="25"/>
      <c r="P2580" s="25"/>
    </row>
    <row r="2581">
      <c r="A2581" s="16">
        <v>2579.0</v>
      </c>
      <c r="B2581" s="17" t="s">
        <v>411</v>
      </c>
      <c r="C2581" s="18">
        <v>101.0</v>
      </c>
      <c r="D2581" s="19" t="s">
        <v>2164</v>
      </c>
      <c r="E2581" s="20" t="s">
        <v>443</v>
      </c>
      <c r="F2581" s="17" t="s">
        <v>938</v>
      </c>
      <c r="G2581" s="17" t="s">
        <v>123</v>
      </c>
      <c r="H2581" s="17" t="s">
        <v>5482</v>
      </c>
      <c r="I2581" s="17" t="s">
        <v>98</v>
      </c>
      <c r="J2581" s="22" t="s">
        <v>144</v>
      </c>
      <c r="K2581" s="23" t="s">
        <v>108</v>
      </c>
      <c r="L2581" s="24" t="s">
        <v>91</v>
      </c>
      <c r="M2581" s="2">
        <v>68.0</v>
      </c>
      <c r="N2581" s="25">
        <v>30.0</v>
      </c>
      <c r="O2581" s="25"/>
      <c r="P2581" s="25"/>
    </row>
    <row r="2582">
      <c r="A2582" s="16">
        <v>2580.0</v>
      </c>
      <c r="B2582" s="17" t="s">
        <v>411</v>
      </c>
      <c r="C2582" s="18">
        <v>102.0</v>
      </c>
      <c r="D2582" s="19" t="s">
        <v>2164</v>
      </c>
      <c r="E2582" s="20" t="s">
        <v>443</v>
      </c>
      <c r="F2582" s="17" t="s">
        <v>837</v>
      </c>
      <c r="G2582" s="17" t="s">
        <v>123</v>
      </c>
      <c r="H2582" s="17" t="s">
        <v>5483</v>
      </c>
      <c r="I2582" s="17" t="s">
        <v>98</v>
      </c>
      <c r="J2582" s="22" t="s">
        <v>144</v>
      </c>
      <c r="K2582" s="23" t="s">
        <v>108</v>
      </c>
      <c r="L2582" s="24" t="s">
        <v>91</v>
      </c>
      <c r="M2582" s="2">
        <v>68.0</v>
      </c>
      <c r="N2582" s="25">
        <v>30.0</v>
      </c>
      <c r="O2582" s="25"/>
      <c r="P2582" s="25"/>
    </row>
    <row r="2583">
      <c r="A2583" s="16">
        <v>2581.0</v>
      </c>
      <c r="B2583" s="17" t="s">
        <v>411</v>
      </c>
      <c r="C2583" s="18">
        <v>103.0</v>
      </c>
      <c r="D2583" s="19" t="s">
        <v>2164</v>
      </c>
      <c r="E2583" s="20" t="s">
        <v>443</v>
      </c>
      <c r="F2583" s="17" t="s">
        <v>1040</v>
      </c>
      <c r="G2583" s="17" t="s">
        <v>5484</v>
      </c>
      <c r="H2583" s="17" t="s">
        <v>5485</v>
      </c>
      <c r="I2583" s="17" t="s">
        <v>98</v>
      </c>
      <c r="J2583" s="22" t="s">
        <v>144</v>
      </c>
      <c r="K2583" s="23" t="s">
        <v>108</v>
      </c>
      <c r="L2583" s="24" t="s">
        <v>91</v>
      </c>
      <c r="M2583" s="2">
        <v>68.0</v>
      </c>
      <c r="N2583" s="25">
        <v>30.0</v>
      </c>
      <c r="O2583" s="25"/>
      <c r="P2583" s="25"/>
    </row>
    <row r="2584">
      <c r="A2584" s="16">
        <v>2582.0</v>
      </c>
      <c r="B2584" s="17" t="s">
        <v>411</v>
      </c>
      <c r="C2584" s="18">
        <v>104.0</v>
      </c>
      <c r="D2584" s="19" t="s">
        <v>2164</v>
      </c>
      <c r="E2584" s="20" t="s">
        <v>443</v>
      </c>
      <c r="F2584" s="17" t="s">
        <v>1013</v>
      </c>
      <c r="G2584" s="17" t="s">
        <v>123</v>
      </c>
      <c r="H2584" s="17" t="s">
        <v>5486</v>
      </c>
      <c r="I2584" s="17" t="s">
        <v>98</v>
      </c>
      <c r="J2584" s="22" t="s">
        <v>144</v>
      </c>
      <c r="K2584" s="23" t="s">
        <v>108</v>
      </c>
      <c r="L2584" s="24" t="s">
        <v>91</v>
      </c>
      <c r="M2584" s="2">
        <v>68.0</v>
      </c>
      <c r="N2584" s="25">
        <v>30.0</v>
      </c>
      <c r="O2584" s="25"/>
      <c r="P2584" s="25"/>
    </row>
    <row r="2585">
      <c r="A2585" s="16">
        <v>2583.0</v>
      </c>
      <c r="B2585" s="17" t="s">
        <v>411</v>
      </c>
      <c r="C2585" s="18">
        <v>105.0</v>
      </c>
      <c r="D2585" s="19" t="s">
        <v>2164</v>
      </c>
      <c r="E2585" s="20" t="s">
        <v>443</v>
      </c>
      <c r="F2585" s="17" t="s">
        <v>1155</v>
      </c>
      <c r="G2585" s="17" t="s">
        <v>123</v>
      </c>
      <c r="H2585" s="17" t="s">
        <v>5487</v>
      </c>
      <c r="I2585" s="17" t="s">
        <v>98</v>
      </c>
      <c r="J2585" s="22" t="s">
        <v>144</v>
      </c>
      <c r="K2585" s="23" t="s">
        <v>108</v>
      </c>
      <c r="L2585" s="24" t="s">
        <v>91</v>
      </c>
      <c r="M2585" s="2">
        <v>68.0</v>
      </c>
      <c r="N2585" s="25">
        <v>30.0</v>
      </c>
      <c r="O2585" s="25"/>
      <c r="P2585" s="25"/>
    </row>
    <row r="2586">
      <c r="A2586" s="16">
        <v>2584.0</v>
      </c>
      <c r="B2586" s="17" t="s">
        <v>411</v>
      </c>
      <c r="C2586" s="18">
        <v>106.0</v>
      </c>
      <c r="D2586" s="19" t="s">
        <v>2164</v>
      </c>
      <c r="E2586" s="20" t="s">
        <v>443</v>
      </c>
      <c r="F2586" s="17" t="s">
        <v>432</v>
      </c>
      <c r="G2586" s="17" t="s">
        <v>123</v>
      </c>
      <c r="H2586" s="17" t="s">
        <v>5488</v>
      </c>
      <c r="I2586" s="17" t="s">
        <v>98</v>
      </c>
      <c r="J2586" s="22" t="s">
        <v>144</v>
      </c>
      <c r="K2586" s="23" t="s">
        <v>108</v>
      </c>
      <c r="L2586" s="24" t="s">
        <v>91</v>
      </c>
      <c r="M2586" s="2">
        <v>68.0</v>
      </c>
      <c r="N2586" s="25">
        <v>30.0</v>
      </c>
      <c r="O2586" s="25"/>
      <c r="P2586" s="25"/>
    </row>
    <row r="2587">
      <c r="A2587" s="16">
        <v>2585.0</v>
      </c>
      <c r="B2587" s="17" t="s">
        <v>411</v>
      </c>
      <c r="C2587" s="18">
        <v>107.0</v>
      </c>
      <c r="D2587" s="19" t="s">
        <v>2164</v>
      </c>
      <c r="E2587" s="20" t="s">
        <v>443</v>
      </c>
      <c r="F2587" s="17" t="s">
        <v>682</v>
      </c>
      <c r="G2587" s="17" t="s">
        <v>123</v>
      </c>
      <c r="H2587" s="17" t="s">
        <v>5489</v>
      </c>
      <c r="I2587" s="17" t="s">
        <v>98</v>
      </c>
      <c r="J2587" s="22" t="s">
        <v>144</v>
      </c>
      <c r="K2587" s="23" t="s">
        <v>108</v>
      </c>
      <c r="L2587" s="24" t="s">
        <v>91</v>
      </c>
      <c r="M2587" s="2">
        <v>68.0</v>
      </c>
      <c r="N2587" s="25">
        <v>30.0</v>
      </c>
      <c r="O2587" s="25"/>
      <c r="P2587" s="25"/>
    </row>
    <row r="2588">
      <c r="A2588" s="16">
        <v>2586.0</v>
      </c>
      <c r="B2588" s="17" t="s">
        <v>411</v>
      </c>
      <c r="C2588" s="18">
        <v>108.0</v>
      </c>
      <c r="D2588" s="19" t="s">
        <v>2164</v>
      </c>
      <c r="E2588" s="20" t="s">
        <v>443</v>
      </c>
      <c r="F2588" s="17" t="s">
        <v>165</v>
      </c>
      <c r="G2588" s="17" t="s">
        <v>123</v>
      </c>
      <c r="H2588" s="17" t="s">
        <v>5490</v>
      </c>
      <c r="I2588" s="17" t="s">
        <v>98</v>
      </c>
      <c r="J2588" s="22" t="s">
        <v>144</v>
      </c>
      <c r="K2588" s="23" t="s">
        <v>108</v>
      </c>
      <c r="L2588" s="24" t="s">
        <v>91</v>
      </c>
      <c r="M2588" s="2">
        <v>68.0</v>
      </c>
      <c r="N2588" s="25">
        <v>30.0</v>
      </c>
      <c r="O2588" s="25"/>
      <c r="P2588" s="25"/>
    </row>
    <row r="2589">
      <c r="A2589" s="16">
        <v>2587.0</v>
      </c>
      <c r="B2589" s="17" t="s">
        <v>411</v>
      </c>
      <c r="C2589" s="18">
        <v>109.0</v>
      </c>
      <c r="D2589" s="19" t="s">
        <v>2164</v>
      </c>
      <c r="E2589" s="20" t="s">
        <v>443</v>
      </c>
      <c r="F2589" s="17" t="s">
        <v>5</v>
      </c>
      <c r="G2589" s="17" t="s">
        <v>5491</v>
      </c>
      <c r="H2589" s="17" t="s">
        <v>5492</v>
      </c>
      <c r="I2589" s="17" t="s">
        <v>98</v>
      </c>
      <c r="J2589" s="22" t="s">
        <v>144</v>
      </c>
      <c r="K2589" s="23" t="s">
        <v>108</v>
      </c>
      <c r="L2589" s="24" t="s">
        <v>91</v>
      </c>
      <c r="M2589" s="2">
        <v>68.0</v>
      </c>
      <c r="N2589" s="25">
        <v>30.0</v>
      </c>
      <c r="O2589" s="25"/>
      <c r="P2589" s="25"/>
    </row>
    <row r="2590">
      <c r="A2590" s="16">
        <v>2588.0</v>
      </c>
      <c r="B2590" s="17" t="s">
        <v>411</v>
      </c>
      <c r="C2590" s="18">
        <v>110.0</v>
      </c>
      <c r="D2590" s="19" t="s">
        <v>2164</v>
      </c>
      <c r="E2590" s="20" t="s">
        <v>443</v>
      </c>
      <c r="F2590" s="17" t="s">
        <v>813</v>
      </c>
      <c r="G2590" s="17" t="s">
        <v>5493</v>
      </c>
      <c r="H2590" s="17" t="s">
        <v>5494</v>
      </c>
      <c r="I2590" s="17" t="s">
        <v>98</v>
      </c>
      <c r="J2590" s="22" t="s">
        <v>144</v>
      </c>
      <c r="K2590" s="23" t="s">
        <v>108</v>
      </c>
      <c r="L2590" s="24" t="s">
        <v>91</v>
      </c>
      <c r="M2590" s="2">
        <v>68.0</v>
      </c>
      <c r="N2590" s="25">
        <v>30.0</v>
      </c>
      <c r="O2590" s="25"/>
      <c r="P2590" s="25"/>
    </row>
    <row r="2591">
      <c r="A2591" s="16">
        <v>2589.0</v>
      </c>
      <c r="B2591" s="17" t="s">
        <v>411</v>
      </c>
      <c r="C2591" s="18">
        <v>111.0</v>
      </c>
      <c r="D2591" s="19" t="s">
        <v>2164</v>
      </c>
      <c r="E2591" s="20" t="s">
        <v>443</v>
      </c>
      <c r="F2591" s="17" t="s">
        <v>76</v>
      </c>
      <c r="G2591" s="17" t="s">
        <v>5495</v>
      </c>
      <c r="H2591" s="17" t="s">
        <v>5496</v>
      </c>
      <c r="I2591" s="17" t="s">
        <v>98</v>
      </c>
      <c r="J2591" s="22" t="s">
        <v>144</v>
      </c>
      <c r="K2591" s="23" t="s">
        <v>108</v>
      </c>
      <c r="L2591" s="24" t="s">
        <v>91</v>
      </c>
      <c r="M2591" s="2">
        <v>68.0</v>
      </c>
      <c r="N2591" s="25">
        <v>30.0</v>
      </c>
      <c r="O2591" s="25"/>
      <c r="P2591" s="25"/>
    </row>
    <row r="2592">
      <c r="A2592" s="16">
        <v>2590.0</v>
      </c>
      <c r="B2592" s="17" t="s">
        <v>411</v>
      </c>
      <c r="C2592" s="18">
        <v>112.0</v>
      </c>
      <c r="D2592" s="19" t="s">
        <v>2164</v>
      </c>
      <c r="E2592" s="20" t="s">
        <v>443</v>
      </c>
      <c r="F2592" s="17" t="s">
        <v>325</v>
      </c>
      <c r="G2592" s="17" t="s">
        <v>5497</v>
      </c>
      <c r="H2592" s="17" t="s">
        <v>5498</v>
      </c>
      <c r="I2592" s="17" t="s">
        <v>98</v>
      </c>
      <c r="J2592" s="22" t="s">
        <v>144</v>
      </c>
      <c r="K2592" s="23" t="s">
        <v>108</v>
      </c>
      <c r="L2592" s="24" t="s">
        <v>91</v>
      </c>
      <c r="M2592" s="2">
        <v>68.0</v>
      </c>
      <c r="N2592" s="25">
        <v>30.0</v>
      </c>
      <c r="O2592" s="25"/>
      <c r="P2592" s="25"/>
    </row>
    <row r="2593">
      <c r="A2593" s="16">
        <v>2591.0</v>
      </c>
      <c r="B2593" s="17" t="s">
        <v>411</v>
      </c>
      <c r="C2593" s="18">
        <v>113.0</v>
      </c>
      <c r="D2593" s="19" t="s">
        <v>2164</v>
      </c>
      <c r="E2593" s="20" t="s">
        <v>443</v>
      </c>
      <c r="F2593" s="17" t="s">
        <v>350</v>
      </c>
      <c r="G2593" s="17" t="s">
        <v>352</v>
      </c>
      <c r="H2593" s="17" t="s">
        <v>5499</v>
      </c>
      <c r="I2593" s="17" t="s">
        <v>98</v>
      </c>
      <c r="J2593" s="22" t="s">
        <v>144</v>
      </c>
      <c r="K2593" s="23" t="s">
        <v>108</v>
      </c>
      <c r="L2593" s="24" t="s">
        <v>91</v>
      </c>
      <c r="M2593" s="2">
        <v>68.0</v>
      </c>
      <c r="N2593" s="25">
        <v>30.0</v>
      </c>
      <c r="O2593" s="25"/>
      <c r="P2593" s="25"/>
    </row>
    <row r="2594">
      <c r="A2594" s="16">
        <v>2592.0</v>
      </c>
      <c r="B2594" s="17" t="s">
        <v>411</v>
      </c>
      <c r="C2594" s="18">
        <v>114.0</v>
      </c>
      <c r="D2594" s="19" t="s">
        <v>2164</v>
      </c>
      <c r="E2594" s="20" t="s">
        <v>443</v>
      </c>
      <c r="F2594" s="17" t="s">
        <v>1229</v>
      </c>
      <c r="G2594" s="17" t="s">
        <v>2891</v>
      </c>
      <c r="H2594" s="17" t="s">
        <v>5500</v>
      </c>
      <c r="I2594" s="17" t="s">
        <v>98</v>
      </c>
      <c r="J2594" s="22" t="s">
        <v>144</v>
      </c>
      <c r="K2594" s="23" t="s">
        <v>108</v>
      </c>
      <c r="L2594" s="24" t="s">
        <v>91</v>
      </c>
      <c r="M2594" s="2">
        <v>68.0</v>
      </c>
      <c r="N2594" s="25">
        <v>30.0</v>
      </c>
      <c r="O2594" s="25"/>
      <c r="P2594" s="25"/>
    </row>
    <row r="2595">
      <c r="A2595" s="16">
        <v>2593.0</v>
      </c>
      <c r="B2595" s="17" t="s">
        <v>411</v>
      </c>
      <c r="C2595" s="18">
        <v>115.0</v>
      </c>
      <c r="D2595" s="19" t="s">
        <v>2164</v>
      </c>
      <c r="E2595" s="20" t="s">
        <v>443</v>
      </c>
      <c r="F2595" s="17" t="s">
        <v>166</v>
      </c>
      <c r="G2595" s="17" t="s">
        <v>5501</v>
      </c>
      <c r="H2595" s="17" t="s">
        <v>5502</v>
      </c>
      <c r="I2595" s="17" t="s">
        <v>98</v>
      </c>
      <c r="J2595" s="22" t="s">
        <v>144</v>
      </c>
      <c r="K2595" s="23" t="s">
        <v>108</v>
      </c>
      <c r="L2595" s="24" t="s">
        <v>91</v>
      </c>
      <c r="M2595" s="2">
        <v>68.0</v>
      </c>
      <c r="N2595" s="25">
        <v>30.0</v>
      </c>
      <c r="O2595" s="25"/>
      <c r="P2595" s="25"/>
    </row>
    <row r="2596">
      <c r="A2596" s="16">
        <v>2594.0</v>
      </c>
      <c r="B2596" s="17" t="s">
        <v>411</v>
      </c>
      <c r="C2596" s="18">
        <v>116.0</v>
      </c>
      <c r="D2596" s="19" t="s">
        <v>2164</v>
      </c>
      <c r="E2596" s="20" t="s">
        <v>443</v>
      </c>
      <c r="F2596" s="17" t="s">
        <v>494</v>
      </c>
      <c r="G2596" s="17" t="s">
        <v>5503</v>
      </c>
      <c r="H2596" s="17" t="s">
        <v>5504</v>
      </c>
      <c r="I2596" s="17" t="s">
        <v>98</v>
      </c>
      <c r="J2596" s="22" t="s">
        <v>144</v>
      </c>
      <c r="K2596" s="23" t="s">
        <v>108</v>
      </c>
      <c r="L2596" s="24" t="s">
        <v>91</v>
      </c>
      <c r="M2596" s="2">
        <v>68.0</v>
      </c>
      <c r="N2596" s="25">
        <v>30.0</v>
      </c>
      <c r="O2596" s="25"/>
      <c r="P2596" s="25"/>
    </row>
    <row r="2597">
      <c r="A2597" s="16">
        <v>2595.0</v>
      </c>
      <c r="B2597" s="17" t="s">
        <v>411</v>
      </c>
      <c r="C2597" s="18">
        <v>117.0</v>
      </c>
      <c r="D2597" s="19" t="s">
        <v>2164</v>
      </c>
      <c r="E2597" s="20" t="s">
        <v>443</v>
      </c>
      <c r="F2597" s="17" t="s">
        <v>1246</v>
      </c>
      <c r="G2597" s="17" t="s">
        <v>5505</v>
      </c>
      <c r="H2597" s="17" t="s">
        <v>5506</v>
      </c>
      <c r="I2597" s="17" t="s">
        <v>98</v>
      </c>
      <c r="J2597" s="22" t="s">
        <v>144</v>
      </c>
      <c r="K2597" s="23" t="s">
        <v>108</v>
      </c>
      <c r="L2597" s="24" t="s">
        <v>91</v>
      </c>
      <c r="M2597" s="2">
        <v>68.0</v>
      </c>
      <c r="N2597" s="25">
        <v>30.0</v>
      </c>
      <c r="O2597" s="25"/>
      <c r="P2597" s="25"/>
    </row>
    <row r="2598">
      <c r="A2598" s="16">
        <v>2596.0</v>
      </c>
      <c r="B2598" s="17" t="s">
        <v>411</v>
      </c>
      <c r="C2598" s="18">
        <v>118.0</v>
      </c>
      <c r="D2598" s="19" t="s">
        <v>2164</v>
      </c>
      <c r="E2598" s="20" t="s">
        <v>443</v>
      </c>
      <c r="F2598" s="17" t="s">
        <v>1057</v>
      </c>
      <c r="G2598" s="17" t="s">
        <v>5326</v>
      </c>
      <c r="H2598" s="17" t="s">
        <v>5507</v>
      </c>
      <c r="I2598" s="17" t="s">
        <v>98</v>
      </c>
      <c r="J2598" s="22" t="s">
        <v>144</v>
      </c>
      <c r="K2598" s="23" t="s">
        <v>108</v>
      </c>
      <c r="L2598" s="24" t="s">
        <v>91</v>
      </c>
      <c r="M2598" s="2">
        <v>68.0</v>
      </c>
      <c r="N2598" s="25">
        <v>30.0</v>
      </c>
      <c r="O2598" s="25"/>
      <c r="P2598" s="25"/>
    </row>
    <row r="2599">
      <c r="A2599" s="16">
        <v>2597.0</v>
      </c>
      <c r="B2599" s="17" t="s">
        <v>411</v>
      </c>
      <c r="C2599" s="18">
        <v>119.0</v>
      </c>
      <c r="D2599" s="19" t="s">
        <v>2164</v>
      </c>
      <c r="E2599" s="20" t="s">
        <v>443</v>
      </c>
      <c r="F2599" s="17" t="s">
        <v>1085</v>
      </c>
      <c r="G2599" s="17" t="s">
        <v>1867</v>
      </c>
      <c r="H2599" s="17" t="s">
        <v>5508</v>
      </c>
      <c r="I2599" s="17" t="s">
        <v>98</v>
      </c>
      <c r="J2599" s="22" t="s">
        <v>144</v>
      </c>
      <c r="K2599" s="23" t="s">
        <v>108</v>
      </c>
      <c r="L2599" s="24" t="s">
        <v>91</v>
      </c>
      <c r="M2599" s="2">
        <v>68.0</v>
      </c>
      <c r="N2599" s="25">
        <v>30.0</v>
      </c>
      <c r="O2599" s="25"/>
      <c r="P2599" s="25"/>
    </row>
    <row r="2600">
      <c r="A2600" s="16">
        <v>2598.0</v>
      </c>
      <c r="B2600" s="17" t="s">
        <v>411</v>
      </c>
      <c r="C2600" s="18">
        <v>120.0</v>
      </c>
      <c r="D2600" s="19" t="s">
        <v>2164</v>
      </c>
      <c r="E2600" s="20" t="s">
        <v>443</v>
      </c>
      <c r="F2600" s="17" t="s">
        <v>969</v>
      </c>
      <c r="G2600" s="17" t="s">
        <v>5509</v>
      </c>
      <c r="H2600" s="17" t="s">
        <v>5510</v>
      </c>
      <c r="I2600" s="17" t="s">
        <v>98</v>
      </c>
      <c r="J2600" s="22" t="s">
        <v>144</v>
      </c>
      <c r="K2600" s="23" t="s">
        <v>108</v>
      </c>
      <c r="L2600" s="24" t="s">
        <v>91</v>
      </c>
      <c r="M2600" s="2">
        <v>68.0</v>
      </c>
      <c r="N2600" s="25">
        <v>30.0</v>
      </c>
      <c r="O2600" s="25"/>
      <c r="P2600" s="25"/>
    </row>
    <row r="2601">
      <c r="A2601" s="16">
        <v>2599.0</v>
      </c>
      <c r="B2601" s="17" t="s">
        <v>411</v>
      </c>
      <c r="C2601" s="18">
        <v>121.0</v>
      </c>
      <c r="D2601" s="19" t="s">
        <v>2164</v>
      </c>
      <c r="E2601" s="20" t="s">
        <v>443</v>
      </c>
      <c r="F2601" s="17" t="s">
        <v>986</v>
      </c>
      <c r="G2601" s="17" t="s">
        <v>5511</v>
      </c>
      <c r="H2601" s="17" t="s">
        <v>5512</v>
      </c>
      <c r="I2601" s="17" t="s">
        <v>98</v>
      </c>
      <c r="J2601" s="22" t="s">
        <v>144</v>
      </c>
      <c r="K2601" s="23" t="s">
        <v>108</v>
      </c>
      <c r="L2601" s="24" t="s">
        <v>91</v>
      </c>
      <c r="M2601" s="2">
        <v>68.0</v>
      </c>
      <c r="N2601" s="25">
        <v>30.0</v>
      </c>
      <c r="O2601" s="25"/>
      <c r="P2601" s="25"/>
    </row>
    <row r="2602">
      <c r="A2602" s="16">
        <v>2600.0</v>
      </c>
      <c r="B2602" s="17" t="s">
        <v>411</v>
      </c>
      <c r="C2602" s="18">
        <v>122.0</v>
      </c>
      <c r="D2602" s="19" t="s">
        <v>2164</v>
      </c>
      <c r="E2602" s="20" t="s">
        <v>443</v>
      </c>
      <c r="F2602" s="17" t="s">
        <v>977</v>
      </c>
      <c r="G2602" s="17" t="s">
        <v>4583</v>
      </c>
      <c r="H2602" s="17" t="s">
        <v>5513</v>
      </c>
      <c r="I2602" s="17" t="s">
        <v>98</v>
      </c>
      <c r="J2602" s="22" t="s">
        <v>144</v>
      </c>
      <c r="K2602" s="23" t="s">
        <v>108</v>
      </c>
      <c r="L2602" s="24" t="s">
        <v>91</v>
      </c>
      <c r="M2602" s="2">
        <v>68.0</v>
      </c>
      <c r="N2602" s="25">
        <v>30.0</v>
      </c>
      <c r="O2602" s="25"/>
      <c r="P2602" s="25"/>
    </row>
    <row r="2603">
      <c r="A2603" s="16">
        <v>2601.0</v>
      </c>
      <c r="B2603" s="17" t="s">
        <v>411</v>
      </c>
      <c r="C2603" s="18">
        <v>123.0</v>
      </c>
      <c r="D2603" s="19" t="s">
        <v>2164</v>
      </c>
      <c r="E2603" s="20" t="s">
        <v>443</v>
      </c>
      <c r="F2603" s="17" t="s">
        <v>1104</v>
      </c>
      <c r="G2603" s="17" t="s">
        <v>123</v>
      </c>
      <c r="H2603" s="17" t="s">
        <v>3499</v>
      </c>
      <c r="I2603" s="17" t="s">
        <v>98</v>
      </c>
      <c r="J2603" s="22" t="s">
        <v>144</v>
      </c>
      <c r="K2603" s="23" t="s">
        <v>108</v>
      </c>
      <c r="L2603" s="24" t="s">
        <v>91</v>
      </c>
      <c r="M2603" s="2">
        <v>68.0</v>
      </c>
      <c r="N2603" s="25">
        <v>30.0</v>
      </c>
      <c r="O2603" s="25"/>
      <c r="P2603" s="25"/>
    </row>
    <row r="2604">
      <c r="A2604" s="16">
        <v>2602.0</v>
      </c>
      <c r="B2604" s="17" t="s">
        <v>411</v>
      </c>
      <c r="C2604" s="18">
        <v>124.0</v>
      </c>
      <c r="D2604" s="19" t="s">
        <v>2164</v>
      </c>
      <c r="E2604" s="20" t="s">
        <v>443</v>
      </c>
      <c r="F2604" s="17" t="s">
        <v>586</v>
      </c>
      <c r="G2604" s="17" t="s">
        <v>123</v>
      </c>
      <c r="H2604" s="17" t="s">
        <v>5514</v>
      </c>
      <c r="I2604" s="17" t="s">
        <v>98</v>
      </c>
      <c r="J2604" s="22" t="s">
        <v>144</v>
      </c>
      <c r="K2604" s="23" t="s">
        <v>108</v>
      </c>
      <c r="L2604" s="24" t="s">
        <v>91</v>
      </c>
      <c r="M2604" s="2">
        <v>68.0</v>
      </c>
      <c r="N2604" s="25">
        <v>30.0</v>
      </c>
      <c r="O2604" s="25"/>
      <c r="P2604" s="25"/>
    </row>
    <row r="2605">
      <c r="A2605" s="16">
        <v>2603.0</v>
      </c>
      <c r="B2605" s="17" t="s">
        <v>411</v>
      </c>
      <c r="C2605" s="18">
        <v>125.0</v>
      </c>
      <c r="D2605" s="19" t="s">
        <v>2164</v>
      </c>
      <c r="E2605" s="20" t="s">
        <v>443</v>
      </c>
      <c r="F2605" s="17" t="s">
        <v>996</v>
      </c>
      <c r="G2605" s="17" t="s">
        <v>5130</v>
      </c>
      <c r="H2605" s="17" t="s">
        <v>5515</v>
      </c>
      <c r="I2605" s="17" t="s">
        <v>98</v>
      </c>
      <c r="J2605" s="22" t="s">
        <v>144</v>
      </c>
      <c r="K2605" s="23" t="s">
        <v>108</v>
      </c>
      <c r="L2605" s="24" t="s">
        <v>91</v>
      </c>
      <c r="M2605" s="2">
        <v>68.0</v>
      </c>
      <c r="N2605" s="25">
        <v>30.0</v>
      </c>
      <c r="O2605" s="25"/>
      <c r="P2605" s="25"/>
    </row>
    <row r="2606">
      <c r="A2606" s="16">
        <v>2604.0</v>
      </c>
      <c r="B2606" s="17" t="s">
        <v>411</v>
      </c>
      <c r="C2606" s="18">
        <v>126.0</v>
      </c>
      <c r="D2606" s="19" t="s">
        <v>2164</v>
      </c>
      <c r="E2606" s="20" t="s">
        <v>443</v>
      </c>
      <c r="F2606" s="17" t="s">
        <v>886</v>
      </c>
      <c r="G2606" s="17" t="s">
        <v>5516</v>
      </c>
      <c r="H2606" s="17" t="s">
        <v>5517</v>
      </c>
      <c r="I2606" s="17" t="s">
        <v>98</v>
      </c>
      <c r="J2606" s="22" t="s">
        <v>144</v>
      </c>
      <c r="K2606" s="23" t="s">
        <v>108</v>
      </c>
      <c r="L2606" s="24" t="s">
        <v>91</v>
      </c>
      <c r="M2606" s="2">
        <v>68.0</v>
      </c>
      <c r="N2606" s="25">
        <v>30.0</v>
      </c>
      <c r="O2606" s="25"/>
      <c r="P2606" s="25"/>
    </row>
    <row r="2607">
      <c r="A2607" s="16">
        <v>2605.0</v>
      </c>
      <c r="B2607" s="17" t="s">
        <v>411</v>
      </c>
      <c r="C2607" s="18">
        <v>127.0</v>
      </c>
      <c r="D2607" s="19" t="s">
        <v>2164</v>
      </c>
      <c r="E2607" s="20" t="s">
        <v>443</v>
      </c>
      <c r="F2607" s="17" t="s">
        <v>794</v>
      </c>
      <c r="G2607" s="17" t="s">
        <v>123</v>
      </c>
      <c r="H2607" s="17" t="s">
        <v>5518</v>
      </c>
      <c r="I2607" s="17" t="s">
        <v>98</v>
      </c>
      <c r="J2607" s="22" t="s">
        <v>144</v>
      </c>
      <c r="K2607" s="23" t="s">
        <v>108</v>
      </c>
      <c r="L2607" s="24" t="s">
        <v>91</v>
      </c>
      <c r="M2607" s="2">
        <v>68.0</v>
      </c>
      <c r="N2607" s="25">
        <v>30.0</v>
      </c>
      <c r="O2607" s="25"/>
      <c r="P2607" s="25"/>
    </row>
    <row r="2608">
      <c r="A2608" s="16">
        <v>2606.0</v>
      </c>
      <c r="B2608" s="17" t="s">
        <v>411</v>
      </c>
      <c r="C2608" s="18">
        <v>128.0</v>
      </c>
      <c r="D2608" s="19" t="s">
        <v>2164</v>
      </c>
      <c r="E2608" s="20" t="s">
        <v>443</v>
      </c>
      <c r="F2608" s="17" t="s">
        <v>773</v>
      </c>
      <c r="G2608" s="17" t="s">
        <v>5519</v>
      </c>
      <c r="H2608" s="17" t="s">
        <v>5520</v>
      </c>
      <c r="I2608" s="17" t="s">
        <v>98</v>
      </c>
      <c r="J2608" s="22" t="s">
        <v>144</v>
      </c>
      <c r="K2608" s="23" t="s">
        <v>108</v>
      </c>
      <c r="L2608" s="24" t="s">
        <v>91</v>
      </c>
      <c r="M2608" s="2">
        <v>68.0</v>
      </c>
      <c r="N2608" s="25">
        <v>30.0</v>
      </c>
      <c r="O2608" s="25"/>
      <c r="P2608" s="25"/>
    </row>
    <row r="2609">
      <c r="A2609" s="16">
        <v>2607.0</v>
      </c>
      <c r="B2609" s="17" t="s">
        <v>411</v>
      </c>
      <c r="C2609" s="18">
        <v>129.0</v>
      </c>
      <c r="D2609" s="19" t="s">
        <v>2164</v>
      </c>
      <c r="E2609" s="20" t="s">
        <v>443</v>
      </c>
      <c r="F2609" s="17" t="s">
        <v>717</v>
      </c>
      <c r="G2609" s="17" t="s">
        <v>123</v>
      </c>
      <c r="H2609" s="17" t="s">
        <v>5521</v>
      </c>
      <c r="I2609" s="17" t="s">
        <v>98</v>
      </c>
      <c r="J2609" s="22" t="s">
        <v>144</v>
      </c>
      <c r="K2609" s="23" t="s">
        <v>108</v>
      </c>
      <c r="L2609" s="24" t="s">
        <v>91</v>
      </c>
      <c r="M2609" s="2">
        <v>68.0</v>
      </c>
      <c r="N2609" s="25">
        <v>30.0</v>
      </c>
      <c r="O2609" s="25"/>
      <c r="P2609" s="25"/>
    </row>
    <row r="2610">
      <c r="A2610" s="16">
        <v>2608.0</v>
      </c>
      <c r="B2610" s="17" t="s">
        <v>411</v>
      </c>
      <c r="C2610" s="18">
        <v>130.0</v>
      </c>
      <c r="D2610" s="19" t="s">
        <v>2164</v>
      </c>
      <c r="E2610" s="20" t="s">
        <v>443</v>
      </c>
      <c r="F2610" s="17" t="s">
        <v>1003</v>
      </c>
      <c r="G2610" s="17" t="s">
        <v>4581</v>
      </c>
      <c r="H2610" s="17" t="s">
        <v>5522</v>
      </c>
      <c r="I2610" s="17" t="s">
        <v>98</v>
      </c>
      <c r="J2610" s="22" t="s">
        <v>144</v>
      </c>
      <c r="K2610" s="23" t="s">
        <v>108</v>
      </c>
      <c r="L2610" s="24" t="s">
        <v>91</v>
      </c>
      <c r="M2610" s="2">
        <v>68.0</v>
      </c>
      <c r="N2610" s="25">
        <v>30.0</v>
      </c>
      <c r="O2610" s="25"/>
      <c r="P2610" s="25"/>
    </row>
    <row r="2611">
      <c r="A2611" s="16">
        <v>2609.0</v>
      </c>
      <c r="B2611" s="17" t="s">
        <v>411</v>
      </c>
      <c r="C2611" s="18">
        <v>131.0</v>
      </c>
      <c r="D2611" s="19" t="s">
        <v>2164</v>
      </c>
      <c r="E2611" s="20" t="s">
        <v>443</v>
      </c>
      <c r="F2611" s="17" t="s">
        <v>527</v>
      </c>
      <c r="G2611" s="17" t="s">
        <v>5523</v>
      </c>
      <c r="H2611" s="17" t="s">
        <v>5524</v>
      </c>
      <c r="I2611" s="17" t="s">
        <v>98</v>
      </c>
      <c r="J2611" s="22" t="s">
        <v>144</v>
      </c>
      <c r="K2611" s="23" t="s">
        <v>108</v>
      </c>
      <c r="L2611" s="24" t="s">
        <v>91</v>
      </c>
      <c r="M2611" s="2">
        <v>68.0</v>
      </c>
      <c r="N2611" s="25">
        <v>30.0</v>
      </c>
      <c r="O2611" s="25"/>
      <c r="P2611" s="25"/>
    </row>
    <row r="2612">
      <c r="A2612" s="16">
        <v>2610.0</v>
      </c>
      <c r="B2612" s="17" t="s">
        <v>411</v>
      </c>
      <c r="C2612" s="18">
        <v>132.0</v>
      </c>
      <c r="D2612" s="19" t="s">
        <v>2164</v>
      </c>
      <c r="E2612" s="20" t="s">
        <v>443</v>
      </c>
      <c r="F2612" s="17" t="s">
        <v>447</v>
      </c>
      <c r="G2612" s="17" t="s">
        <v>5525</v>
      </c>
      <c r="H2612" s="17" t="s">
        <v>5526</v>
      </c>
      <c r="I2612" s="17" t="s">
        <v>98</v>
      </c>
      <c r="J2612" s="22" t="s">
        <v>144</v>
      </c>
      <c r="K2612" s="23" t="s">
        <v>108</v>
      </c>
      <c r="L2612" s="24" t="s">
        <v>91</v>
      </c>
      <c r="M2612" s="2">
        <v>68.0</v>
      </c>
      <c r="N2612" s="25">
        <v>30.0</v>
      </c>
      <c r="O2612" s="25"/>
      <c r="P2612" s="25"/>
    </row>
    <row r="2613">
      <c r="A2613" s="16">
        <v>2611.0</v>
      </c>
      <c r="B2613" s="17" t="s">
        <v>411</v>
      </c>
      <c r="C2613" s="18">
        <v>133.0</v>
      </c>
      <c r="D2613" s="19" t="s">
        <v>2164</v>
      </c>
      <c r="E2613" s="20" t="s">
        <v>443</v>
      </c>
      <c r="F2613" s="17" t="s">
        <v>263</v>
      </c>
      <c r="G2613" s="17" t="s">
        <v>4644</v>
      </c>
      <c r="H2613" s="17" t="s">
        <v>5527</v>
      </c>
      <c r="I2613" s="17" t="s">
        <v>98</v>
      </c>
      <c r="J2613" s="22" t="s">
        <v>144</v>
      </c>
      <c r="K2613" s="23" t="s">
        <v>108</v>
      </c>
      <c r="L2613" s="24" t="s">
        <v>91</v>
      </c>
      <c r="M2613" s="2">
        <v>68.0</v>
      </c>
      <c r="N2613" s="25">
        <v>30.0</v>
      </c>
      <c r="O2613" s="25"/>
      <c r="P2613" s="25"/>
    </row>
    <row r="2614">
      <c r="A2614" s="16">
        <v>2612.0</v>
      </c>
      <c r="B2614" s="17" t="s">
        <v>411</v>
      </c>
      <c r="C2614" s="18">
        <v>134.0</v>
      </c>
      <c r="D2614" s="19" t="s">
        <v>2164</v>
      </c>
      <c r="E2614" s="20" t="s">
        <v>443</v>
      </c>
      <c r="F2614" s="17" t="s">
        <v>287</v>
      </c>
      <c r="G2614" s="17" t="s">
        <v>2847</v>
      </c>
      <c r="H2614" s="17" t="s">
        <v>5528</v>
      </c>
      <c r="I2614" s="17" t="s">
        <v>98</v>
      </c>
      <c r="J2614" s="22" t="s">
        <v>144</v>
      </c>
      <c r="K2614" s="23" t="s">
        <v>108</v>
      </c>
      <c r="L2614" s="24" t="s">
        <v>91</v>
      </c>
      <c r="M2614" s="2">
        <v>68.0</v>
      </c>
      <c r="N2614" s="25">
        <v>30.0</v>
      </c>
      <c r="O2614" s="25"/>
      <c r="P2614" s="25"/>
    </row>
    <row r="2615">
      <c r="A2615" s="16">
        <v>2613.0</v>
      </c>
      <c r="B2615" s="17" t="s">
        <v>411</v>
      </c>
      <c r="C2615" s="18">
        <v>135.0</v>
      </c>
      <c r="D2615" s="19" t="s">
        <v>2164</v>
      </c>
      <c r="E2615" s="20" t="s">
        <v>443</v>
      </c>
      <c r="F2615" s="17" t="s">
        <v>1120</v>
      </c>
      <c r="G2615" s="17" t="s">
        <v>5529</v>
      </c>
      <c r="H2615" s="17" t="s">
        <v>5530</v>
      </c>
      <c r="I2615" s="17" t="s">
        <v>98</v>
      </c>
      <c r="J2615" s="22" t="s">
        <v>144</v>
      </c>
      <c r="K2615" s="23" t="s">
        <v>108</v>
      </c>
      <c r="L2615" s="24" t="s">
        <v>91</v>
      </c>
      <c r="M2615" s="2">
        <v>68.0</v>
      </c>
      <c r="N2615" s="25">
        <v>30.0</v>
      </c>
      <c r="O2615" s="25"/>
      <c r="P2615" s="25"/>
    </row>
    <row r="2616">
      <c r="A2616" s="16">
        <v>2614.0</v>
      </c>
      <c r="B2616" s="17" t="s">
        <v>411</v>
      </c>
      <c r="C2616" s="18">
        <v>136.0</v>
      </c>
      <c r="D2616" s="19" t="s">
        <v>2164</v>
      </c>
      <c r="E2616" s="20" t="s">
        <v>443</v>
      </c>
      <c r="F2616" s="17" t="s">
        <v>877</v>
      </c>
      <c r="G2616" s="17" t="s">
        <v>5531</v>
      </c>
      <c r="H2616" s="17" t="s">
        <v>5532</v>
      </c>
      <c r="I2616" s="17" t="s">
        <v>98</v>
      </c>
      <c r="J2616" s="22" t="s">
        <v>144</v>
      </c>
      <c r="K2616" s="23" t="s">
        <v>108</v>
      </c>
      <c r="L2616" s="24" t="s">
        <v>91</v>
      </c>
      <c r="M2616" s="2">
        <v>68.0</v>
      </c>
      <c r="N2616" s="25">
        <v>30.0</v>
      </c>
      <c r="O2616" s="25"/>
      <c r="P2616" s="25"/>
    </row>
    <row r="2617">
      <c r="A2617" s="16">
        <v>2615.0</v>
      </c>
      <c r="B2617" s="17" t="s">
        <v>411</v>
      </c>
      <c r="C2617" s="18">
        <v>137.0</v>
      </c>
      <c r="D2617" s="19" t="s">
        <v>2164</v>
      </c>
      <c r="E2617" s="20" t="s">
        <v>443</v>
      </c>
      <c r="F2617" s="17" t="s">
        <v>364</v>
      </c>
      <c r="G2617" s="17" t="s">
        <v>5533</v>
      </c>
      <c r="H2617" s="17" t="s">
        <v>5534</v>
      </c>
      <c r="I2617" s="17" t="s">
        <v>98</v>
      </c>
      <c r="J2617" s="22" t="s">
        <v>144</v>
      </c>
      <c r="K2617" s="23" t="s">
        <v>108</v>
      </c>
      <c r="L2617" s="24" t="s">
        <v>91</v>
      </c>
      <c r="M2617" s="2">
        <v>68.0</v>
      </c>
      <c r="N2617" s="25">
        <v>30.0</v>
      </c>
      <c r="O2617" s="25"/>
      <c r="P2617" s="25"/>
    </row>
    <row r="2618">
      <c r="A2618" s="16">
        <v>2616.0</v>
      </c>
      <c r="B2618" s="17" t="s">
        <v>411</v>
      </c>
      <c r="C2618" s="18">
        <v>138.0</v>
      </c>
      <c r="D2618" s="19" t="s">
        <v>2164</v>
      </c>
      <c r="E2618" s="20" t="s">
        <v>443</v>
      </c>
      <c r="F2618" s="17" t="s">
        <v>889</v>
      </c>
      <c r="G2618" s="17" t="s">
        <v>5535</v>
      </c>
      <c r="H2618" s="17" t="s">
        <v>5536</v>
      </c>
      <c r="I2618" s="17" t="s">
        <v>98</v>
      </c>
      <c r="J2618" s="22" t="s">
        <v>144</v>
      </c>
      <c r="K2618" s="23" t="s">
        <v>108</v>
      </c>
      <c r="L2618" s="24" t="s">
        <v>91</v>
      </c>
      <c r="M2618" s="2">
        <v>68.0</v>
      </c>
      <c r="N2618" s="25">
        <v>30.0</v>
      </c>
      <c r="O2618" s="25"/>
      <c r="P2618" s="25"/>
    </row>
    <row r="2619">
      <c r="A2619" s="16">
        <v>2617.0</v>
      </c>
      <c r="B2619" s="17" t="s">
        <v>411</v>
      </c>
      <c r="C2619" s="18">
        <v>139.0</v>
      </c>
      <c r="D2619" s="19" t="s">
        <v>2164</v>
      </c>
      <c r="E2619" s="20" t="s">
        <v>443</v>
      </c>
      <c r="F2619" s="17" t="s">
        <v>898</v>
      </c>
      <c r="G2619" s="17" t="s">
        <v>3826</v>
      </c>
      <c r="H2619" s="17" t="s">
        <v>5537</v>
      </c>
      <c r="I2619" s="17" t="s">
        <v>98</v>
      </c>
      <c r="J2619" s="22" t="s">
        <v>144</v>
      </c>
      <c r="K2619" s="23" t="s">
        <v>108</v>
      </c>
      <c r="L2619" s="24" t="s">
        <v>91</v>
      </c>
      <c r="M2619" s="2">
        <v>68.0</v>
      </c>
      <c r="N2619" s="25">
        <v>30.0</v>
      </c>
      <c r="O2619" s="25"/>
      <c r="P2619" s="25"/>
    </row>
    <row r="2620">
      <c r="A2620" s="16">
        <v>2618.0</v>
      </c>
      <c r="B2620" s="17" t="s">
        <v>411</v>
      </c>
      <c r="C2620" s="18">
        <v>140.0</v>
      </c>
      <c r="D2620" s="19" t="s">
        <v>2164</v>
      </c>
      <c r="E2620" s="20" t="s">
        <v>443</v>
      </c>
      <c r="F2620" s="17" t="s">
        <v>777</v>
      </c>
      <c r="G2620" s="17" t="s">
        <v>3694</v>
      </c>
      <c r="H2620" s="17" t="s">
        <v>5538</v>
      </c>
      <c r="I2620" s="17" t="s">
        <v>98</v>
      </c>
      <c r="J2620" s="22" t="s">
        <v>144</v>
      </c>
      <c r="K2620" s="23" t="s">
        <v>108</v>
      </c>
      <c r="L2620" s="24" t="s">
        <v>91</v>
      </c>
      <c r="M2620" s="2">
        <v>68.0</v>
      </c>
      <c r="N2620" s="25">
        <v>30.0</v>
      </c>
      <c r="O2620" s="25"/>
      <c r="P2620" s="25"/>
    </row>
    <row r="2621">
      <c r="A2621" s="16">
        <v>2619.0</v>
      </c>
      <c r="B2621" s="17" t="s">
        <v>411</v>
      </c>
      <c r="C2621" s="18">
        <v>141.0</v>
      </c>
      <c r="D2621" s="19" t="s">
        <v>2164</v>
      </c>
      <c r="E2621" s="20" t="s">
        <v>443</v>
      </c>
      <c r="F2621" s="17" t="s">
        <v>565</v>
      </c>
      <c r="G2621" s="17" t="s">
        <v>4519</v>
      </c>
      <c r="H2621" s="17" t="s">
        <v>5539</v>
      </c>
      <c r="I2621" s="17" t="s">
        <v>98</v>
      </c>
      <c r="J2621" s="22" t="s">
        <v>144</v>
      </c>
      <c r="K2621" s="23" t="s">
        <v>108</v>
      </c>
      <c r="L2621" s="24" t="s">
        <v>91</v>
      </c>
      <c r="M2621" s="2">
        <v>68.0</v>
      </c>
      <c r="N2621" s="25">
        <v>30.0</v>
      </c>
      <c r="O2621" s="25"/>
      <c r="P2621" s="25"/>
    </row>
    <row r="2622">
      <c r="A2622" s="16">
        <v>2620.0</v>
      </c>
      <c r="B2622" s="17" t="s">
        <v>411</v>
      </c>
      <c r="C2622" s="18">
        <v>142.0</v>
      </c>
      <c r="D2622" s="19" t="s">
        <v>2164</v>
      </c>
      <c r="E2622" s="20" t="s">
        <v>443</v>
      </c>
      <c r="F2622" s="17" t="s">
        <v>764</v>
      </c>
      <c r="G2622" s="17" t="s">
        <v>5540</v>
      </c>
      <c r="H2622" s="17" t="s">
        <v>5541</v>
      </c>
      <c r="I2622" s="17" t="s">
        <v>98</v>
      </c>
      <c r="J2622" s="22" t="s">
        <v>144</v>
      </c>
      <c r="K2622" s="23" t="s">
        <v>108</v>
      </c>
      <c r="L2622" s="24" t="s">
        <v>91</v>
      </c>
      <c r="M2622" s="2">
        <v>68.0</v>
      </c>
      <c r="N2622" s="25">
        <v>30.0</v>
      </c>
      <c r="O2622" s="25"/>
      <c r="P2622" s="25"/>
    </row>
    <row r="2623">
      <c r="A2623" s="16">
        <v>2621.0</v>
      </c>
      <c r="B2623" s="17" t="s">
        <v>411</v>
      </c>
      <c r="C2623" s="18">
        <v>143.0</v>
      </c>
      <c r="D2623" s="19" t="s">
        <v>2164</v>
      </c>
      <c r="E2623" s="20" t="s">
        <v>443</v>
      </c>
      <c r="F2623" s="17" t="s">
        <v>524</v>
      </c>
      <c r="G2623" s="17" t="s">
        <v>4785</v>
      </c>
      <c r="H2623" s="17" t="s">
        <v>5542</v>
      </c>
      <c r="I2623" s="17" t="s">
        <v>98</v>
      </c>
      <c r="J2623" s="22" t="s">
        <v>144</v>
      </c>
      <c r="K2623" s="23" t="s">
        <v>108</v>
      </c>
      <c r="L2623" s="24" t="s">
        <v>91</v>
      </c>
      <c r="M2623" s="2">
        <v>68.0</v>
      </c>
      <c r="N2623" s="25">
        <v>30.0</v>
      </c>
      <c r="O2623" s="25"/>
      <c r="P2623" s="25"/>
    </row>
    <row r="2624">
      <c r="A2624" s="16">
        <v>2622.0</v>
      </c>
      <c r="B2624" s="17" t="s">
        <v>411</v>
      </c>
      <c r="C2624" s="18">
        <v>144.0</v>
      </c>
      <c r="D2624" s="19" t="s">
        <v>2164</v>
      </c>
      <c r="E2624" s="20" t="s">
        <v>443</v>
      </c>
      <c r="F2624" s="17" t="s">
        <v>90</v>
      </c>
      <c r="G2624" s="17" t="s">
        <v>3884</v>
      </c>
      <c r="H2624" s="17" t="s">
        <v>5543</v>
      </c>
      <c r="I2624" s="17" t="s">
        <v>98</v>
      </c>
      <c r="J2624" s="22" t="s">
        <v>144</v>
      </c>
      <c r="K2624" s="23" t="s">
        <v>108</v>
      </c>
      <c r="L2624" s="24" t="s">
        <v>91</v>
      </c>
      <c r="M2624" s="2">
        <v>68.0</v>
      </c>
      <c r="N2624" s="25">
        <v>30.0</v>
      </c>
      <c r="O2624" s="25"/>
      <c r="P2624" s="25"/>
    </row>
    <row r="2625">
      <c r="A2625" s="16">
        <v>2623.0</v>
      </c>
      <c r="B2625" s="17" t="s">
        <v>411</v>
      </c>
      <c r="C2625" s="18">
        <v>145.0</v>
      </c>
      <c r="D2625" s="19" t="s">
        <v>2164</v>
      </c>
      <c r="E2625" s="20" t="s">
        <v>443</v>
      </c>
      <c r="F2625" s="17" t="s">
        <v>97</v>
      </c>
      <c r="G2625" s="17" t="s">
        <v>4912</v>
      </c>
      <c r="H2625" s="17" t="s">
        <v>5544</v>
      </c>
      <c r="I2625" s="17" t="s">
        <v>98</v>
      </c>
      <c r="J2625" s="22" t="s">
        <v>144</v>
      </c>
      <c r="K2625" s="23" t="s">
        <v>108</v>
      </c>
      <c r="L2625" s="24" t="s">
        <v>91</v>
      </c>
      <c r="M2625" s="2">
        <v>68.0</v>
      </c>
      <c r="N2625" s="25">
        <v>30.0</v>
      </c>
      <c r="O2625" s="25"/>
      <c r="P2625" s="25"/>
    </row>
    <row r="2626">
      <c r="A2626" s="16">
        <v>2624.0</v>
      </c>
      <c r="B2626" s="17" t="s">
        <v>411</v>
      </c>
      <c r="C2626" s="18">
        <v>146.0</v>
      </c>
      <c r="D2626" s="19" t="s">
        <v>2164</v>
      </c>
      <c r="E2626" s="20" t="s">
        <v>443</v>
      </c>
      <c r="F2626" s="17" t="s">
        <v>537</v>
      </c>
      <c r="G2626" s="17" t="s">
        <v>5545</v>
      </c>
      <c r="H2626" s="17" t="s">
        <v>5546</v>
      </c>
      <c r="I2626" s="17" t="s">
        <v>98</v>
      </c>
      <c r="J2626" s="22" t="s">
        <v>144</v>
      </c>
      <c r="K2626" s="23" t="s">
        <v>108</v>
      </c>
      <c r="L2626" s="24" t="s">
        <v>91</v>
      </c>
      <c r="M2626" s="2">
        <v>68.0</v>
      </c>
      <c r="N2626" s="25">
        <v>30.0</v>
      </c>
      <c r="O2626" s="25"/>
      <c r="P2626" s="25"/>
    </row>
    <row r="2627">
      <c r="A2627" s="16">
        <v>2625.0</v>
      </c>
      <c r="B2627" s="17" t="s">
        <v>411</v>
      </c>
      <c r="C2627" s="18">
        <v>147.0</v>
      </c>
      <c r="D2627" s="19" t="s">
        <v>2164</v>
      </c>
      <c r="E2627" s="20" t="s">
        <v>443</v>
      </c>
      <c r="F2627" s="17" t="s">
        <v>270</v>
      </c>
      <c r="G2627" s="17" t="s">
        <v>4525</v>
      </c>
      <c r="H2627" s="17" t="s">
        <v>4526</v>
      </c>
      <c r="I2627" s="17" t="s">
        <v>98</v>
      </c>
      <c r="J2627" s="22" t="s">
        <v>144</v>
      </c>
      <c r="K2627" s="23" t="s">
        <v>108</v>
      </c>
      <c r="L2627" s="24" t="s">
        <v>91</v>
      </c>
      <c r="M2627" s="2">
        <v>68.0</v>
      </c>
      <c r="N2627" s="25">
        <v>30.0</v>
      </c>
      <c r="O2627" s="25"/>
      <c r="P2627" s="25"/>
    </row>
    <row r="2628">
      <c r="A2628" s="16">
        <v>2626.0</v>
      </c>
      <c r="B2628" s="17" t="s">
        <v>411</v>
      </c>
      <c r="C2628" s="18">
        <v>148.0</v>
      </c>
      <c r="D2628" s="19" t="s">
        <v>2164</v>
      </c>
      <c r="E2628" s="20" t="s">
        <v>443</v>
      </c>
      <c r="F2628" s="17" t="s">
        <v>120</v>
      </c>
      <c r="G2628" s="17" t="s">
        <v>5547</v>
      </c>
      <c r="H2628" s="17" t="s">
        <v>5548</v>
      </c>
      <c r="I2628" s="17" t="s">
        <v>98</v>
      </c>
      <c r="J2628" s="22" t="s">
        <v>144</v>
      </c>
      <c r="K2628" s="23" t="s">
        <v>108</v>
      </c>
      <c r="L2628" s="24" t="s">
        <v>91</v>
      </c>
      <c r="M2628" s="2">
        <v>68.0</v>
      </c>
      <c r="N2628" s="25">
        <v>30.0</v>
      </c>
      <c r="O2628" s="25"/>
      <c r="P2628" s="25"/>
    </row>
    <row r="2629">
      <c r="A2629" s="16">
        <v>2627.0</v>
      </c>
      <c r="B2629" s="17" t="s">
        <v>411</v>
      </c>
      <c r="C2629" s="18">
        <v>149.0</v>
      </c>
      <c r="D2629" s="19" t="s">
        <v>2164</v>
      </c>
      <c r="E2629" s="20" t="s">
        <v>443</v>
      </c>
      <c r="F2629" s="17" t="s">
        <v>7</v>
      </c>
      <c r="G2629" s="17" t="s">
        <v>4517</v>
      </c>
      <c r="H2629" s="17" t="s">
        <v>4518</v>
      </c>
      <c r="I2629" s="17" t="s">
        <v>98</v>
      </c>
      <c r="J2629" s="22" t="s">
        <v>144</v>
      </c>
      <c r="K2629" s="23" t="s">
        <v>108</v>
      </c>
      <c r="L2629" s="24" t="s">
        <v>91</v>
      </c>
      <c r="M2629" s="2">
        <v>68.0</v>
      </c>
      <c r="N2629" s="25">
        <v>30.0</v>
      </c>
      <c r="O2629" s="25"/>
      <c r="P2629" s="25"/>
    </row>
    <row r="2630">
      <c r="A2630" s="16">
        <v>2628.0</v>
      </c>
      <c r="B2630" s="17" t="s">
        <v>411</v>
      </c>
      <c r="C2630" s="18">
        <v>150.0</v>
      </c>
      <c r="D2630" s="19" t="s">
        <v>2160</v>
      </c>
      <c r="E2630" s="20" t="s">
        <v>443</v>
      </c>
      <c r="F2630" s="17" t="s">
        <v>909</v>
      </c>
      <c r="G2630" s="17" t="s">
        <v>5549</v>
      </c>
      <c r="H2630" s="17" t="s">
        <v>5550</v>
      </c>
      <c r="I2630" s="17" t="s">
        <v>98</v>
      </c>
      <c r="J2630" s="22" t="s">
        <v>144</v>
      </c>
      <c r="K2630" s="23" t="s">
        <v>108</v>
      </c>
      <c r="L2630" s="24" t="s">
        <v>91</v>
      </c>
      <c r="M2630" s="2">
        <v>68.0</v>
      </c>
      <c r="N2630" s="25">
        <v>30.0</v>
      </c>
      <c r="O2630" s="25"/>
      <c r="P2630" s="25"/>
    </row>
    <row r="2631">
      <c r="A2631" s="16">
        <v>2629.0</v>
      </c>
      <c r="B2631" s="17" t="s">
        <v>411</v>
      </c>
      <c r="C2631" s="18">
        <v>151.0</v>
      </c>
      <c r="D2631" s="19" t="s">
        <v>2160</v>
      </c>
      <c r="E2631" s="20" t="s">
        <v>443</v>
      </c>
      <c r="F2631" s="17" t="s">
        <v>119</v>
      </c>
      <c r="G2631" s="17" t="s">
        <v>5551</v>
      </c>
      <c r="H2631" s="17" t="s">
        <v>5552</v>
      </c>
      <c r="I2631" s="17" t="s">
        <v>98</v>
      </c>
      <c r="J2631" s="22" t="s">
        <v>144</v>
      </c>
      <c r="K2631" s="23" t="s">
        <v>108</v>
      </c>
      <c r="L2631" s="24" t="s">
        <v>91</v>
      </c>
      <c r="M2631" s="2">
        <v>68.0</v>
      </c>
      <c r="N2631" s="25">
        <v>30.0</v>
      </c>
      <c r="O2631" s="25"/>
      <c r="P2631" s="25"/>
    </row>
    <row r="2632">
      <c r="A2632" s="16">
        <v>2630.0</v>
      </c>
      <c r="B2632" s="17" t="s">
        <v>411</v>
      </c>
      <c r="C2632" s="18">
        <v>152.0</v>
      </c>
      <c r="D2632" s="19" t="s">
        <v>2160</v>
      </c>
      <c r="E2632" s="20" t="s">
        <v>443</v>
      </c>
      <c r="F2632" s="17" t="s">
        <v>155</v>
      </c>
      <c r="G2632" s="17" t="s">
        <v>5553</v>
      </c>
      <c r="H2632" s="17" t="s">
        <v>5554</v>
      </c>
      <c r="I2632" s="17" t="s">
        <v>98</v>
      </c>
      <c r="J2632" s="22" t="s">
        <v>144</v>
      </c>
      <c r="K2632" s="23" t="s">
        <v>108</v>
      </c>
      <c r="L2632" s="24" t="s">
        <v>91</v>
      </c>
      <c r="M2632" s="2">
        <v>68.0</v>
      </c>
      <c r="N2632" s="25">
        <v>30.0</v>
      </c>
      <c r="O2632" s="25"/>
      <c r="P2632" s="25"/>
    </row>
    <row r="2633">
      <c r="A2633" s="16">
        <v>2631.0</v>
      </c>
      <c r="B2633" s="17" t="s">
        <v>411</v>
      </c>
      <c r="C2633" s="18">
        <v>153.0</v>
      </c>
      <c r="D2633" s="19" t="s">
        <v>2160</v>
      </c>
      <c r="E2633" s="20" t="s">
        <v>443</v>
      </c>
      <c r="F2633" s="17" t="s">
        <v>513</v>
      </c>
      <c r="G2633" s="17" t="s">
        <v>5555</v>
      </c>
      <c r="H2633" s="17" t="s">
        <v>5556</v>
      </c>
      <c r="I2633" s="17" t="s">
        <v>98</v>
      </c>
      <c r="J2633" s="22" t="s">
        <v>144</v>
      </c>
      <c r="K2633" s="23" t="s">
        <v>108</v>
      </c>
      <c r="L2633" s="24" t="s">
        <v>91</v>
      </c>
      <c r="M2633" s="2">
        <v>68.0</v>
      </c>
      <c r="N2633" s="25">
        <v>30.0</v>
      </c>
      <c r="O2633" s="25"/>
      <c r="P2633" s="25"/>
    </row>
    <row r="2634">
      <c r="A2634" s="16">
        <v>2632.0</v>
      </c>
      <c r="B2634" s="17" t="s">
        <v>411</v>
      </c>
      <c r="C2634" s="18">
        <v>154.0</v>
      </c>
      <c r="D2634" s="19" t="s">
        <v>2160</v>
      </c>
      <c r="E2634" s="20" t="s">
        <v>443</v>
      </c>
      <c r="F2634" s="17" t="s">
        <v>520</v>
      </c>
      <c r="G2634" s="17" t="s">
        <v>4548</v>
      </c>
      <c r="H2634" s="17" t="s">
        <v>5557</v>
      </c>
      <c r="I2634" s="17" t="s">
        <v>98</v>
      </c>
      <c r="J2634" s="22" t="s">
        <v>144</v>
      </c>
      <c r="K2634" s="23" t="s">
        <v>108</v>
      </c>
      <c r="L2634" s="24" t="s">
        <v>91</v>
      </c>
      <c r="M2634" s="2">
        <v>68.0</v>
      </c>
      <c r="N2634" s="25">
        <v>30.0</v>
      </c>
      <c r="O2634" s="25"/>
      <c r="P2634" s="25"/>
    </row>
    <row r="2635">
      <c r="A2635" s="16">
        <v>2633.0</v>
      </c>
      <c r="B2635" s="17" t="s">
        <v>411</v>
      </c>
      <c r="C2635" s="18">
        <v>155.0</v>
      </c>
      <c r="D2635" s="19" t="s">
        <v>2160</v>
      </c>
      <c r="E2635" s="20" t="s">
        <v>443</v>
      </c>
      <c r="F2635" s="17" t="s">
        <v>791</v>
      </c>
      <c r="G2635" s="17" t="s">
        <v>5558</v>
      </c>
      <c r="H2635" s="17" t="s">
        <v>5559</v>
      </c>
      <c r="I2635" s="17" t="s">
        <v>98</v>
      </c>
      <c r="J2635" s="22" t="s">
        <v>144</v>
      </c>
      <c r="K2635" s="23" t="s">
        <v>108</v>
      </c>
      <c r="L2635" s="24" t="s">
        <v>91</v>
      </c>
      <c r="M2635" s="2">
        <v>68.0</v>
      </c>
      <c r="N2635" s="25">
        <v>30.0</v>
      </c>
      <c r="O2635" s="25"/>
      <c r="P2635" s="25"/>
    </row>
    <row r="2636">
      <c r="A2636" s="16">
        <v>2634.0</v>
      </c>
      <c r="B2636" s="17" t="s">
        <v>411</v>
      </c>
      <c r="C2636" s="18">
        <v>156.0</v>
      </c>
      <c r="D2636" s="19" t="s">
        <v>2160</v>
      </c>
      <c r="E2636" s="20" t="s">
        <v>443</v>
      </c>
      <c r="F2636" s="17" t="s">
        <v>491</v>
      </c>
      <c r="G2636" s="17" t="s">
        <v>5560</v>
      </c>
      <c r="H2636" s="17" t="s">
        <v>5561</v>
      </c>
      <c r="I2636" s="17" t="s">
        <v>98</v>
      </c>
      <c r="J2636" s="22" t="s">
        <v>144</v>
      </c>
      <c r="K2636" s="23" t="s">
        <v>108</v>
      </c>
      <c r="L2636" s="24" t="s">
        <v>91</v>
      </c>
      <c r="M2636" s="2">
        <v>68.0</v>
      </c>
      <c r="N2636" s="25">
        <v>30.0</v>
      </c>
      <c r="O2636" s="25"/>
      <c r="P2636" s="25"/>
    </row>
    <row r="2637">
      <c r="A2637" s="16">
        <v>2635.0</v>
      </c>
      <c r="B2637" s="17" t="s">
        <v>411</v>
      </c>
      <c r="C2637" s="18">
        <v>157.0</v>
      </c>
      <c r="D2637" s="19" t="s">
        <v>2160</v>
      </c>
      <c r="E2637" s="20" t="s">
        <v>443</v>
      </c>
      <c r="F2637" s="17" t="s">
        <v>744</v>
      </c>
      <c r="G2637" s="17" t="s">
        <v>5562</v>
      </c>
      <c r="H2637" s="17" t="s">
        <v>5563</v>
      </c>
      <c r="I2637" s="17" t="s">
        <v>98</v>
      </c>
      <c r="J2637" s="22" t="s">
        <v>144</v>
      </c>
      <c r="K2637" s="23" t="s">
        <v>108</v>
      </c>
      <c r="L2637" s="24" t="s">
        <v>91</v>
      </c>
      <c r="M2637" s="2">
        <v>68.0</v>
      </c>
      <c r="N2637" s="25">
        <v>30.0</v>
      </c>
      <c r="O2637" s="25"/>
      <c r="P2637" s="25"/>
    </row>
    <row r="2638">
      <c r="A2638" s="16">
        <v>2636.0</v>
      </c>
      <c r="B2638" s="17" t="s">
        <v>411</v>
      </c>
      <c r="C2638" s="18">
        <v>158.0</v>
      </c>
      <c r="D2638" s="19" t="s">
        <v>2160</v>
      </c>
      <c r="E2638" s="20" t="s">
        <v>443</v>
      </c>
      <c r="F2638" s="17" t="s">
        <v>579</v>
      </c>
      <c r="G2638" s="17" t="s">
        <v>5259</v>
      </c>
      <c r="H2638" s="17" t="s">
        <v>5564</v>
      </c>
      <c r="I2638" s="17" t="s">
        <v>98</v>
      </c>
      <c r="J2638" s="22" t="s">
        <v>144</v>
      </c>
      <c r="K2638" s="23" t="s">
        <v>108</v>
      </c>
      <c r="L2638" s="24" t="s">
        <v>91</v>
      </c>
      <c r="M2638" s="2">
        <v>68.0</v>
      </c>
      <c r="N2638" s="25">
        <v>30.0</v>
      </c>
      <c r="O2638" s="25"/>
      <c r="P2638" s="25"/>
    </row>
    <row r="2639">
      <c r="A2639" s="16">
        <v>2637.0</v>
      </c>
      <c r="B2639" s="17" t="s">
        <v>411</v>
      </c>
      <c r="C2639" s="18">
        <v>159.0</v>
      </c>
      <c r="D2639" s="19" t="s">
        <v>2160</v>
      </c>
      <c r="E2639" s="20" t="s">
        <v>443</v>
      </c>
      <c r="F2639" s="17" t="s">
        <v>902</v>
      </c>
      <c r="G2639" s="17" t="s">
        <v>4541</v>
      </c>
      <c r="H2639" s="17" t="s">
        <v>5565</v>
      </c>
      <c r="I2639" s="17" t="s">
        <v>98</v>
      </c>
      <c r="J2639" s="22" t="s">
        <v>144</v>
      </c>
      <c r="K2639" s="23" t="s">
        <v>108</v>
      </c>
      <c r="L2639" s="24" t="s">
        <v>91</v>
      </c>
      <c r="M2639" s="2">
        <v>68.0</v>
      </c>
      <c r="N2639" s="25">
        <v>30.0</v>
      </c>
      <c r="O2639" s="25"/>
      <c r="P2639" s="25"/>
    </row>
    <row r="2640">
      <c r="A2640" s="16">
        <v>2638.0</v>
      </c>
      <c r="B2640" s="17" t="s">
        <v>411</v>
      </c>
      <c r="C2640" s="18">
        <v>160.0</v>
      </c>
      <c r="D2640" s="19" t="s">
        <v>2160</v>
      </c>
      <c r="E2640" s="20" t="s">
        <v>443</v>
      </c>
      <c r="F2640" s="17" t="s">
        <v>853</v>
      </c>
      <c r="G2640" s="17" t="s">
        <v>2084</v>
      </c>
      <c r="H2640" s="17" t="s">
        <v>5566</v>
      </c>
      <c r="I2640" s="17" t="s">
        <v>98</v>
      </c>
      <c r="J2640" s="22" t="s">
        <v>144</v>
      </c>
      <c r="K2640" s="23" t="s">
        <v>108</v>
      </c>
      <c r="L2640" s="24" t="s">
        <v>91</v>
      </c>
      <c r="M2640" s="2">
        <v>68.0</v>
      </c>
      <c r="N2640" s="25">
        <v>30.0</v>
      </c>
      <c r="O2640" s="25"/>
      <c r="P2640" s="25"/>
    </row>
    <row r="2641">
      <c r="A2641" s="16">
        <v>2639.0</v>
      </c>
      <c r="B2641" s="17" t="s">
        <v>411</v>
      </c>
      <c r="C2641" s="18">
        <v>161.0</v>
      </c>
      <c r="D2641" s="19" t="s">
        <v>2160</v>
      </c>
      <c r="E2641" s="20" t="s">
        <v>443</v>
      </c>
      <c r="F2641" s="17" t="s">
        <v>532</v>
      </c>
      <c r="G2641" s="17" t="s">
        <v>2967</v>
      </c>
      <c r="H2641" s="17" t="s">
        <v>5567</v>
      </c>
      <c r="I2641" s="17" t="s">
        <v>98</v>
      </c>
      <c r="J2641" s="22" t="s">
        <v>144</v>
      </c>
      <c r="K2641" s="23" t="s">
        <v>108</v>
      </c>
      <c r="L2641" s="24" t="s">
        <v>91</v>
      </c>
      <c r="M2641" s="2">
        <v>68.0</v>
      </c>
      <c r="N2641" s="25">
        <v>30.0</v>
      </c>
      <c r="O2641" s="25"/>
      <c r="P2641" s="25"/>
    </row>
    <row r="2642">
      <c r="A2642" s="16">
        <v>2640.0</v>
      </c>
      <c r="B2642" s="17" t="s">
        <v>411</v>
      </c>
      <c r="C2642" s="18">
        <v>162.0</v>
      </c>
      <c r="D2642" s="19" t="s">
        <v>2167</v>
      </c>
      <c r="E2642" s="20" t="s">
        <v>443</v>
      </c>
      <c r="F2642" s="17" t="s">
        <v>360</v>
      </c>
      <c r="G2642" s="17" t="s">
        <v>123</v>
      </c>
      <c r="H2642" s="17" t="s">
        <v>5568</v>
      </c>
      <c r="I2642" s="17" t="s">
        <v>98</v>
      </c>
      <c r="J2642" s="22" t="s">
        <v>144</v>
      </c>
      <c r="K2642" s="23" t="s">
        <v>108</v>
      </c>
      <c r="L2642" s="24" t="s">
        <v>91</v>
      </c>
      <c r="M2642" s="2">
        <v>68.0</v>
      </c>
      <c r="N2642" s="25">
        <v>30.0</v>
      </c>
      <c r="O2642" s="25"/>
      <c r="P2642" s="25"/>
    </row>
    <row r="2643">
      <c r="A2643" s="16">
        <v>2641.0</v>
      </c>
      <c r="B2643" s="17" t="s">
        <v>411</v>
      </c>
      <c r="C2643" s="18">
        <v>163.0</v>
      </c>
      <c r="D2643" s="19" t="s">
        <v>2167</v>
      </c>
      <c r="E2643" s="20" t="s">
        <v>443</v>
      </c>
      <c r="F2643" s="17" t="s">
        <v>259</v>
      </c>
      <c r="G2643" s="17" t="s">
        <v>5569</v>
      </c>
      <c r="H2643" s="17" t="s">
        <v>5570</v>
      </c>
      <c r="I2643" s="17" t="s">
        <v>98</v>
      </c>
      <c r="J2643" s="22" t="s">
        <v>144</v>
      </c>
      <c r="K2643" s="23" t="s">
        <v>108</v>
      </c>
      <c r="L2643" s="24" t="s">
        <v>91</v>
      </c>
      <c r="M2643" s="2">
        <v>68.0</v>
      </c>
      <c r="N2643" s="25">
        <v>30.0</v>
      </c>
      <c r="O2643" s="25"/>
      <c r="P2643" s="25"/>
    </row>
    <row r="2644">
      <c r="A2644" s="16">
        <v>2642.0</v>
      </c>
      <c r="B2644" s="17" t="s">
        <v>411</v>
      </c>
      <c r="C2644" s="18">
        <v>164.0</v>
      </c>
      <c r="D2644" s="19" t="s">
        <v>2167</v>
      </c>
      <c r="E2644" s="20" t="s">
        <v>443</v>
      </c>
      <c r="F2644" s="17" t="s">
        <v>137</v>
      </c>
      <c r="G2644" s="17" t="s">
        <v>123</v>
      </c>
      <c r="H2644" s="17" t="s">
        <v>5571</v>
      </c>
      <c r="I2644" s="17" t="s">
        <v>98</v>
      </c>
      <c r="J2644" s="22" t="s">
        <v>144</v>
      </c>
      <c r="K2644" s="23" t="s">
        <v>108</v>
      </c>
      <c r="L2644" s="24" t="s">
        <v>91</v>
      </c>
      <c r="M2644" s="2">
        <v>68.0</v>
      </c>
      <c r="N2644" s="25">
        <v>30.0</v>
      </c>
      <c r="O2644" s="25"/>
      <c r="P2644" s="25"/>
    </row>
    <row r="2645">
      <c r="A2645" s="16">
        <v>2643.0</v>
      </c>
      <c r="B2645" s="17" t="s">
        <v>411</v>
      </c>
      <c r="C2645" s="18">
        <v>165.0</v>
      </c>
      <c r="D2645" s="19" t="s">
        <v>2167</v>
      </c>
      <c r="E2645" s="20" t="s">
        <v>443</v>
      </c>
      <c r="F2645" s="17" t="s">
        <v>276</v>
      </c>
      <c r="G2645" s="17" t="s">
        <v>123</v>
      </c>
      <c r="H2645" s="17" t="s">
        <v>5572</v>
      </c>
      <c r="I2645" s="17" t="s">
        <v>98</v>
      </c>
      <c r="J2645" s="22" t="s">
        <v>144</v>
      </c>
      <c r="K2645" s="23" t="s">
        <v>108</v>
      </c>
      <c r="L2645" s="24" t="s">
        <v>91</v>
      </c>
      <c r="M2645" s="2">
        <v>68.0</v>
      </c>
      <c r="N2645" s="25">
        <v>30.0</v>
      </c>
      <c r="O2645" s="25"/>
      <c r="P2645" s="25"/>
    </row>
    <row r="2646">
      <c r="A2646" s="16">
        <v>2644.0</v>
      </c>
      <c r="B2646" s="17" t="s">
        <v>411</v>
      </c>
      <c r="C2646" s="18">
        <v>166.0</v>
      </c>
      <c r="D2646" s="19" t="s">
        <v>2167</v>
      </c>
      <c r="E2646" s="20" t="s">
        <v>443</v>
      </c>
      <c r="F2646" s="17" t="s">
        <v>531</v>
      </c>
      <c r="G2646" s="17" t="s">
        <v>123</v>
      </c>
      <c r="H2646" s="17" t="s">
        <v>5573</v>
      </c>
      <c r="I2646" s="17" t="s">
        <v>98</v>
      </c>
      <c r="J2646" s="22" t="s">
        <v>144</v>
      </c>
      <c r="K2646" s="23" t="s">
        <v>108</v>
      </c>
      <c r="L2646" s="24" t="s">
        <v>91</v>
      </c>
      <c r="M2646" s="2">
        <v>68.0</v>
      </c>
      <c r="N2646" s="25">
        <v>30.0</v>
      </c>
      <c r="O2646" s="25"/>
      <c r="P2646" s="25"/>
    </row>
    <row r="2647">
      <c r="A2647" s="16">
        <v>2645.0</v>
      </c>
      <c r="B2647" s="17" t="s">
        <v>411</v>
      </c>
      <c r="C2647" s="18">
        <v>167.0</v>
      </c>
      <c r="D2647" s="19" t="s">
        <v>2167</v>
      </c>
      <c r="E2647" s="20" t="s">
        <v>443</v>
      </c>
      <c r="F2647" s="17" t="s">
        <v>748</v>
      </c>
      <c r="G2647" s="17" t="s">
        <v>123</v>
      </c>
      <c r="H2647" s="17" t="s">
        <v>5574</v>
      </c>
      <c r="I2647" s="17" t="s">
        <v>98</v>
      </c>
      <c r="J2647" s="22" t="s">
        <v>144</v>
      </c>
      <c r="K2647" s="23" t="s">
        <v>108</v>
      </c>
      <c r="L2647" s="24" t="s">
        <v>91</v>
      </c>
      <c r="M2647" s="2">
        <v>68.0</v>
      </c>
      <c r="N2647" s="25">
        <v>30.0</v>
      </c>
      <c r="O2647" s="25"/>
      <c r="P2647" s="25"/>
    </row>
    <row r="2648">
      <c r="A2648" s="16">
        <v>2646.0</v>
      </c>
      <c r="B2648" s="17" t="s">
        <v>411</v>
      </c>
      <c r="C2648" s="18">
        <v>168.0</v>
      </c>
      <c r="D2648" s="19" t="s">
        <v>2167</v>
      </c>
      <c r="E2648" s="20" t="s">
        <v>443</v>
      </c>
      <c r="F2648" s="17" t="s">
        <v>621</v>
      </c>
      <c r="G2648" s="17" t="s">
        <v>123</v>
      </c>
      <c r="H2648" s="17" t="s">
        <v>5575</v>
      </c>
      <c r="I2648" s="17" t="s">
        <v>98</v>
      </c>
      <c r="J2648" s="22" t="s">
        <v>144</v>
      </c>
      <c r="K2648" s="23" t="s">
        <v>108</v>
      </c>
      <c r="L2648" s="24" t="s">
        <v>91</v>
      </c>
      <c r="M2648" s="2">
        <v>68.0</v>
      </c>
      <c r="N2648" s="25">
        <v>30.0</v>
      </c>
      <c r="O2648" s="25"/>
      <c r="P2648" s="25"/>
    </row>
    <row r="2649">
      <c r="A2649" s="16">
        <v>2647.0</v>
      </c>
      <c r="B2649" s="17" t="s">
        <v>411</v>
      </c>
      <c r="C2649" s="18">
        <v>169.0</v>
      </c>
      <c r="D2649" s="19" t="s">
        <v>2167</v>
      </c>
      <c r="E2649" s="20" t="s">
        <v>443</v>
      </c>
      <c r="F2649" s="17" t="s">
        <v>787</v>
      </c>
      <c r="G2649" s="17" t="s">
        <v>5576</v>
      </c>
      <c r="H2649" s="17" t="s">
        <v>5577</v>
      </c>
      <c r="I2649" s="17" t="s">
        <v>98</v>
      </c>
      <c r="J2649" s="22" t="s">
        <v>144</v>
      </c>
      <c r="K2649" s="23" t="s">
        <v>108</v>
      </c>
      <c r="L2649" s="24" t="s">
        <v>91</v>
      </c>
      <c r="M2649" s="2">
        <v>68.0</v>
      </c>
      <c r="N2649" s="25">
        <v>30.0</v>
      </c>
      <c r="O2649" s="25"/>
      <c r="P2649" s="25"/>
    </row>
    <row r="2650">
      <c r="A2650" s="16">
        <v>2648.0</v>
      </c>
      <c r="B2650" s="17" t="s">
        <v>411</v>
      </c>
      <c r="C2650" s="18">
        <v>170.0</v>
      </c>
      <c r="D2650" s="19" t="s">
        <v>2167</v>
      </c>
      <c r="E2650" s="20" t="s">
        <v>443</v>
      </c>
      <c r="F2650" s="17" t="s">
        <v>154</v>
      </c>
      <c r="G2650" s="17" t="s">
        <v>123</v>
      </c>
      <c r="H2650" s="17" t="s">
        <v>5578</v>
      </c>
      <c r="I2650" s="17" t="s">
        <v>98</v>
      </c>
      <c r="J2650" s="22" t="s">
        <v>144</v>
      </c>
      <c r="K2650" s="23" t="s">
        <v>108</v>
      </c>
      <c r="L2650" s="24" t="s">
        <v>91</v>
      </c>
      <c r="M2650" s="2">
        <v>68.0</v>
      </c>
      <c r="N2650" s="25">
        <v>30.0</v>
      </c>
      <c r="O2650" s="25"/>
      <c r="P2650" s="25"/>
    </row>
    <row r="2651">
      <c r="A2651" s="16">
        <v>2649.0</v>
      </c>
      <c r="B2651" s="17" t="s">
        <v>411</v>
      </c>
      <c r="C2651" s="18">
        <v>171.0</v>
      </c>
      <c r="D2651" s="19" t="s">
        <v>2167</v>
      </c>
      <c r="E2651" s="20" t="s">
        <v>443</v>
      </c>
      <c r="F2651" s="17" t="s">
        <v>16</v>
      </c>
      <c r="G2651" s="17" t="s">
        <v>5579</v>
      </c>
      <c r="H2651" s="17" t="s">
        <v>5580</v>
      </c>
      <c r="I2651" s="17" t="s">
        <v>98</v>
      </c>
      <c r="J2651" s="22" t="s">
        <v>144</v>
      </c>
      <c r="K2651" s="23" t="s">
        <v>108</v>
      </c>
      <c r="L2651" s="24" t="s">
        <v>91</v>
      </c>
      <c r="M2651" s="2">
        <v>68.0</v>
      </c>
      <c r="N2651" s="25">
        <v>30.0</v>
      </c>
      <c r="O2651" s="25"/>
      <c r="P2651" s="25"/>
    </row>
    <row r="2652">
      <c r="A2652" s="16">
        <v>2650.0</v>
      </c>
      <c r="B2652" s="17" t="s">
        <v>411</v>
      </c>
      <c r="C2652" s="18">
        <v>172.0</v>
      </c>
      <c r="D2652" s="19" t="s">
        <v>2167</v>
      </c>
      <c r="E2652" s="20" t="s">
        <v>443</v>
      </c>
      <c r="F2652" s="17" t="s">
        <v>380</v>
      </c>
      <c r="G2652" s="17" t="s">
        <v>5581</v>
      </c>
      <c r="H2652" s="17" t="s">
        <v>5582</v>
      </c>
      <c r="I2652" s="17" t="s">
        <v>98</v>
      </c>
      <c r="J2652" s="22" t="s">
        <v>144</v>
      </c>
      <c r="K2652" s="23" t="s">
        <v>108</v>
      </c>
      <c r="L2652" s="24" t="s">
        <v>91</v>
      </c>
      <c r="M2652" s="2">
        <v>68.0</v>
      </c>
      <c r="N2652" s="25">
        <v>30.0</v>
      </c>
      <c r="O2652" s="25"/>
      <c r="P2652" s="25"/>
    </row>
    <row r="2653">
      <c r="A2653" s="16">
        <v>2651.0</v>
      </c>
      <c r="B2653" s="17" t="s">
        <v>411</v>
      </c>
      <c r="C2653" s="18">
        <v>173.0</v>
      </c>
      <c r="D2653" s="19" t="s">
        <v>2167</v>
      </c>
      <c r="E2653" s="20" t="s">
        <v>443</v>
      </c>
      <c r="F2653" s="17" t="s">
        <v>118</v>
      </c>
      <c r="G2653" s="17" t="s">
        <v>5583</v>
      </c>
      <c r="H2653" s="17" t="s">
        <v>5584</v>
      </c>
      <c r="I2653" s="17" t="s">
        <v>98</v>
      </c>
      <c r="J2653" s="22" t="s">
        <v>144</v>
      </c>
      <c r="K2653" s="23" t="s">
        <v>108</v>
      </c>
      <c r="L2653" s="24" t="s">
        <v>91</v>
      </c>
      <c r="M2653" s="2">
        <v>68.0</v>
      </c>
      <c r="N2653" s="25">
        <v>30.0</v>
      </c>
      <c r="O2653" s="25"/>
      <c r="P2653" s="25"/>
    </row>
    <row r="2654">
      <c r="A2654" s="16">
        <v>2652.0</v>
      </c>
      <c r="B2654" s="17" t="s">
        <v>411</v>
      </c>
      <c r="C2654" s="18">
        <v>174.0</v>
      </c>
      <c r="D2654" s="19" t="s">
        <v>2167</v>
      </c>
      <c r="E2654" s="20" t="s">
        <v>443</v>
      </c>
      <c r="F2654" s="17" t="s">
        <v>117</v>
      </c>
      <c r="G2654" s="17" t="s">
        <v>5585</v>
      </c>
      <c r="H2654" s="17" t="s">
        <v>5586</v>
      </c>
      <c r="I2654" s="17" t="s">
        <v>98</v>
      </c>
      <c r="J2654" s="22" t="s">
        <v>144</v>
      </c>
      <c r="K2654" s="23" t="s">
        <v>108</v>
      </c>
      <c r="L2654" s="24" t="s">
        <v>91</v>
      </c>
      <c r="M2654" s="2">
        <v>68.0</v>
      </c>
      <c r="N2654" s="25">
        <v>30.0</v>
      </c>
      <c r="O2654" s="25"/>
      <c r="P2654" s="25"/>
    </row>
    <row r="2655">
      <c r="A2655" s="16">
        <v>2653.0</v>
      </c>
      <c r="B2655" s="17" t="s">
        <v>411</v>
      </c>
      <c r="C2655" s="18">
        <v>175.0</v>
      </c>
      <c r="D2655" s="19" t="s">
        <v>2167</v>
      </c>
      <c r="E2655" s="20" t="s">
        <v>443</v>
      </c>
      <c r="F2655" s="17" t="s">
        <v>192</v>
      </c>
      <c r="G2655" s="17" t="s">
        <v>5587</v>
      </c>
      <c r="H2655" s="17" t="s">
        <v>5588</v>
      </c>
      <c r="I2655" s="17" t="s">
        <v>98</v>
      </c>
      <c r="J2655" s="22" t="s">
        <v>144</v>
      </c>
      <c r="K2655" s="23" t="s">
        <v>108</v>
      </c>
      <c r="L2655" s="24" t="s">
        <v>91</v>
      </c>
      <c r="M2655" s="2">
        <v>68.0</v>
      </c>
      <c r="N2655" s="25">
        <v>30.0</v>
      </c>
      <c r="O2655" s="25"/>
      <c r="P2655" s="25"/>
    </row>
    <row r="2656">
      <c r="A2656" s="16">
        <v>2654.0</v>
      </c>
      <c r="B2656" s="17" t="s">
        <v>411</v>
      </c>
      <c r="C2656" s="18">
        <v>176.0</v>
      </c>
      <c r="D2656" s="19" t="s">
        <v>2167</v>
      </c>
      <c r="E2656" s="20" t="s">
        <v>443</v>
      </c>
      <c r="F2656" s="17" t="s">
        <v>113</v>
      </c>
      <c r="G2656" s="17" t="s">
        <v>123</v>
      </c>
      <c r="H2656" s="17" t="s">
        <v>5589</v>
      </c>
      <c r="I2656" s="17" t="s">
        <v>98</v>
      </c>
      <c r="J2656" s="22" t="s">
        <v>144</v>
      </c>
      <c r="K2656" s="23" t="s">
        <v>108</v>
      </c>
      <c r="L2656" s="24" t="s">
        <v>91</v>
      </c>
      <c r="M2656" s="2">
        <v>68.0</v>
      </c>
      <c r="N2656" s="25">
        <v>30.0</v>
      </c>
      <c r="O2656" s="25"/>
      <c r="P2656" s="25"/>
    </row>
    <row r="2657">
      <c r="A2657" s="16">
        <v>2655.0</v>
      </c>
      <c r="B2657" s="17" t="s">
        <v>411</v>
      </c>
      <c r="C2657" s="18">
        <v>177.0</v>
      </c>
      <c r="D2657" s="19" t="s">
        <v>2167</v>
      </c>
      <c r="E2657" s="20" t="s">
        <v>443</v>
      </c>
      <c r="F2657" s="17" t="s">
        <v>879</v>
      </c>
      <c r="G2657" s="17" t="s">
        <v>5590</v>
      </c>
      <c r="H2657" s="17" t="s">
        <v>5591</v>
      </c>
      <c r="I2657" s="17" t="s">
        <v>98</v>
      </c>
      <c r="J2657" s="22" t="s">
        <v>144</v>
      </c>
      <c r="K2657" s="23" t="s">
        <v>108</v>
      </c>
      <c r="L2657" s="24" t="s">
        <v>91</v>
      </c>
      <c r="M2657" s="2">
        <v>68.0</v>
      </c>
      <c r="N2657" s="25">
        <v>30.0</v>
      </c>
      <c r="O2657" s="25"/>
      <c r="P2657" s="25"/>
    </row>
    <row r="2658">
      <c r="A2658" s="16">
        <v>2656.0</v>
      </c>
      <c r="B2658" s="17" t="s">
        <v>411</v>
      </c>
      <c r="C2658" s="18">
        <v>178.0</v>
      </c>
      <c r="D2658" s="19" t="s">
        <v>2167</v>
      </c>
      <c r="E2658" s="20" t="s">
        <v>443</v>
      </c>
      <c r="F2658" s="17" t="s">
        <v>83</v>
      </c>
      <c r="G2658" s="17" t="s">
        <v>5592</v>
      </c>
      <c r="H2658" s="17" t="s">
        <v>5593</v>
      </c>
      <c r="I2658" s="17" t="s">
        <v>98</v>
      </c>
      <c r="J2658" s="22" t="s">
        <v>144</v>
      </c>
      <c r="K2658" s="23" t="s">
        <v>108</v>
      </c>
      <c r="L2658" s="24" t="s">
        <v>91</v>
      </c>
      <c r="M2658" s="2">
        <v>68.0</v>
      </c>
      <c r="N2658" s="25">
        <v>30.0</v>
      </c>
      <c r="O2658" s="25"/>
      <c r="P2658" s="25"/>
    </row>
    <row r="2659">
      <c r="A2659" s="16">
        <v>2657.0</v>
      </c>
      <c r="B2659" s="17" t="s">
        <v>411</v>
      </c>
      <c r="C2659" s="18">
        <v>179.0</v>
      </c>
      <c r="D2659" s="19" t="s">
        <v>2167</v>
      </c>
      <c r="E2659" s="20" t="s">
        <v>443</v>
      </c>
      <c r="F2659" s="17" t="s">
        <v>311</v>
      </c>
      <c r="G2659" s="17" t="s">
        <v>5280</v>
      </c>
      <c r="H2659" s="17" t="s">
        <v>5594</v>
      </c>
      <c r="I2659" s="17" t="s">
        <v>98</v>
      </c>
      <c r="J2659" s="22" t="s">
        <v>144</v>
      </c>
      <c r="K2659" s="23" t="s">
        <v>108</v>
      </c>
      <c r="L2659" s="24" t="s">
        <v>91</v>
      </c>
      <c r="M2659" s="2">
        <v>68.0</v>
      </c>
      <c r="N2659" s="25">
        <v>30.0</v>
      </c>
      <c r="O2659" s="25"/>
      <c r="P2659" s="25"/>
    </row>
    <row r="2660">
      <c r="A2660" s="16">
        <v>2658.0</v>
      </c>
      <c r="B2660" s="17" t="s">
        <v>411</v>
      </c>
      <c r="C2660" s="18">
        <v>180.0</v>
      </c>
      <c r="D2660" s="19" t="s">
        <v>2167</v>
      </c>
      <c r="E2660" s="20" t="s">
        <v>443</v>
      </c>
      <c r="F2660" s="17" t="s">
        <v>273</v>
      </c>
      <c r="G2660" s="17" t="s">
        <v>5295</v>
      </c>
      <c r="H2660" s="17" t="s">
        <v>5595</v>
      </c>
      <c r="I2660" s="17" t="s">
        <v>98</v>
      </c>
      <c r="J2660" s="22" t="s">
        <v>144</v>
      </c>
      <c r="K2660" s="23" t="s">
        <v>108</v>
      </c>
      <c r="L2660" s="24" t="s">
        <v>91</v>
      </c>
      <c r="M2660" s="2">
        <v>68.0</v>
      </c>
      <c r="N2660" s="25">
        <v>30.0</v>
      </c>
      <c r="O2660" s="25"/>
      <c r="P2660" s="25"/>
    </row>
    <row r="2661">
      <c r="A2661" s="16">
        <v>2659.0</v>
      </c>
      <c r="B2661" s="17" t="s">
        <v>411</v>
      </c>
      <c r="C2661" s="18">
        <v>181.0</v>
      </c>
      <c r="D2661" s="19" t="s">
        <v>2167</v>
      </c>
      <c r="E2661" s="20" t="s">
        <v>443</v>
      </c>
      <c r="F2661" s="17" t="s">
        <v>158</v>
      </c>
      <c r="G2661" s="17" t="s">
        <v>5596</v>
      </c>
      <c r="H2661" s="17" t="s">
        <v>5597</v>
      </c>
      <c r="I2661" s="17" t="s">
        <v>98</v>
      </c>
      <c r="J2661" s="22" t="s">
        <v>144</v>
      </c>
      <c r="K2661" s="23" t="s">
        <v>108</v>
      </c>
      <c r="L2661" s="24" t="s">
        <v>91</v>
      </c>
      <c r="M2661" s="2">
        <v>68.0</v>
      </c>
      <c r="N2661" s="25">
        <v>30.0</v>
      </c>
      <c r="O2661" s="25"/>
      <c r="P2661" s="25"/>
    </row>
    <row r="2662">
      <c r="A2662" s="16">
        <v>2660.0</v>
      </c>
      <c r="B2662" s="17" t="s">
        <v>411</v>
      </c>
      <c r="C2662" s="18">
        <v>182.0</v>
      </c>
      <c r="D2662" s="19" t="s">
        <v>2167</v>
      </c>
      <c r="E2662" s="20" t="s">
        <v>443</v>
      </c>
      <c r="F2662" s="17" t="s">
        <v>145</v>
      </c>
      <c r="G2662" s="17" t="s">
        <v>4751</v>
      </c>
      <c r="H2662" s="17" t="s">
        <v>5598</v>
      </c>
      <c r="I2662" s="17" t="s">
        <v>98</v>
      </c>
      <c r="J2662" s="22" t="s">
        <v>144</v>
      </c>
      <c r="K2662" s="23" t="s">
        <v>108</v>
      </c>
      <c r="L2662" s="24" t="s">
        <v>91</v>
      </c>
      <c r="M2662" s="2">
        <v>68.0</v>
      </c>
      <c r="N2662" s="25">
        <v>30.0</v>
      </c>
      <c r="O2662" s="25"/>
      <c r="P2662" s="25"/>
    </row>
    <row r="2663">
      <c r="A2663" s="16">
        <v>2661.0</v>
      </c>
      <c r="B2663" s="17" t="s">
        <v>411</v>
      </c>
      <c r="C2663" s="18">
        <v>183.0</v>
      </c>
      <c r="D2663" s="19" t="s">
        <v>2167</v>
      </c>
      <c r="E2663" s="20" t="s">
        <v>443</v>
      </c>
      <c r="F2663" s="17" t="s">
        <v>918</v>
      </c>
      <c r="G2663" s="17" t="s">
        <v>5599</v>
      </c>
      <c r="H2663" s="17" t="s">
        <v>5600</v>
      </c>
      <c r="I2663" s="17" t="s">
        <v>98</v>
      </c>
      <c r="J2663" s="22" t="s">
        <v>144</v>
      </c>
      <c r="K2663" s="23" t="s">
        <v>108</v>
      </c>
      <c r="L2663" s="24" t="s">
        <v>91</v>
      </c>
      <c r="M2663" s="2">
        <v>68.0</v>
      </c>
      <c r="N2663" s="25">
        <v>30.0</v>
      </c>
      <c r="O2663" s="25"/>
      <c r="P2663" s="25"/>
    </row>
    <row r="2664">
      <c r="A2664" s="16">
        <v>2662.0</v>
      </c>
      <c r="B2664" s="17" t="s">
        <v>411</v>
      </c>
      <c r="C2664" s="18">
        <v>184.0</v>
      </c>
      <c r="D2664" s="19" t="s">
        <v>2167</v>
      </c>
      <c r="E2664" s="20" t="s">
        <v>443</v>
      </c>
      <c r="F2664" s="17" t="s">
        <v>243</v>
      </c>
      <c r="G2664" s="17" t="s">
        <v>5601</v>
      </c>
      <c r="H2664" s="17" t="s">
        <v>5602</v>
      </c>
      <c r="I2664" s="17" t="s">
        <v>98</v>
      </c>
      <c r="J2664" s="22" t="s">
        <v>144</v>
      </c>
      <c r="K2664" s="23" t="s">
        <v>108</v>
      </c>
      <c r="L2664" s="24" t="s">
        <v>91</v>
      </c>
      <c r="M2664" s="2">
        <v>68.0</v>
      </c>
      <c r="N2664" s="25">
        <v>30.0</v>
      </c>
      <c r="O2664" s="25"/>
      <c r="P2664" s="25"/>
    </row>
    <row r="2665">
      <c r="A2665" s="16">
        <v>2663.0</v>
      </c>
      <c r="B2665" s="17" t="s">
        <v>411</v>
      </c>
      <c r="C2665" s="18">
        <v>185.0</v>
      </c>
      <c r="D2665" s="19" t="s">
        <v>2167</v>
      </c>
      <c r="E2665" s="20" t="s">
        <v>443</v>
      </c>
      <c r="F2665" s="17" t="s">
        <v>905</v>
      </c>
      <c r="G2665" s="17" t="s">
        <v>123</v>
      </c>
      <c r="H2665" s="17" t="s">
        <v>5603</v>
      </c>
      <c r="I2665" s="17" t="s">
        <v>98</v>
      </c>
      <c r="J2665" s="22" t="s">
        <v>144</v>
      </c>
      <c r="K2665" s="23" t="s">
        <v>108</v>
      </c>
      <c r="L2665" s="24" t="s">
        <v>91</v>
      </c>
      <c r="M2665" s="2">
        <v>68.0</v>
      </c>
      <c r="N2665" s="25">
        <v>30.0</v>
      </c>
      <c r="O2665" s="25"/>
      <c r="P2665" s="25"/>
    </row>
    <row r="2666">
      <c r="A2666" s="16">
        <v>2664.0</v>
      </c>
      <c r="B2666" s="17" t="s">
        <v>411</v>
      </c>
      <c r="C2666" s="18">
        <v>186.0</v>
      </c>
      <c r="D2666" s="19" t="s">
        <v>2167</v>
      </c>
      <c r="E2666" s="20" t="s">
        <v>443</v>
      </c>
      <c r="F2666" s="17" t="s">
        <v>753</v>
      </c>
      <c r="G2666" s="17" t="s">
        <v>4600</v>
      </c>
      <c r="H2666" s="17" t="s">
        <v>5604</v>
      </c>
      <c r="I2666" s="17" t="s">
        <v>98</v>
      </c>
      <c r="J2666" s="22" t="s">
        <v>144</v>
      </c>
      <c r="K2666" s="23" t="s">
        <v>108</v>
      </c>
      <c r="L2666" s="24" t="s">
        <v>91</v>
      </c>
      <c r="M2666" s="2">
        <v>68.0</v>
      </c>
      <c r="N2666" s="25">
        <v>30.0</v>
      </c>
      <c r="O2666" s="25"/>
      <c r="P2666" s="25"/>
    </row>
    <row r="2667">
      <c r="A2667" s="16">
        <v>2665.0</v>
      </c>
      <c r="B2667" s="17" t="s">
        <v>411</v>
      </c>
      <c r="C2667" s="18">
        <v>187.0</v>
      </c>
      <c r="D2667" s="19" t="s">
        <v>2167</v>
      </c>
      <c r="E2667" s="20" t="s">
        <v>443</v>
      </c>
      <c r="F2667" s="17" t="s">
        <v>907</v>
      </c>
      <c r="G2667" s="17" t="s">
        <v>5605</v>
      </c>
      <c r="H2667" s="17" t="s">
        <v>5606</v>
      </c>
      <c r="I2667" s="17" t="s">
        <v>98</v>
      </c>
      <c r="J2667" s="22" t="s">
        <v>144</v>
      </c>
      <c r="K2667" s="23" t="s">
        <v>108</v>
      </c>
      <c r="L2667" s="24" t="s">
        <v>91</v>
      </c>
      <c r="M2667" s="2">
        <v>68.0</v>
      </c>
      <c r="N2667" s="25">
        <v>30.0</v>
      </c>
      <c r="O2667" s="25"/>
      <c r="P2667" s="25"/>
    </row>
    <row r="2668">
      <c r="A2668" s="16">
        <v>2666.0</v>
      </c>
      <c r="B2668" s="17" t="s">
        <v>411</v>
      </c>
      <c r="C2668" s="18">
        <v>188.0</v>
      </c>
      <c r="D2668" s="19" t="s">
        <v>2167</v>
      </c>
      <c r="E2668" s="20" t="s">
        <v>443</v>
      </c>
      <c r="F2668" s="17" t="s">
        <v>283</v>
      </c>
      <c r="G2668" s="17" t="s">
        <v>123</v>
      </c>
      <c r="H2668" s="17" t="s">
        <v>5607</v>
      </c>
      <c r="I2668" s="17" t="s">
        <v>98</v>
      </c>
      <c r="J2668" s="22" t="s">
        <v>144</v>
      </c>
      <c r="K2668" s="23" t="s">
        <v>108</v>
      </c>
      <c r="L2668" s="24" t="s">
        <v>91</v>
      </c>
      <c r="M2668" s="2">
        <v>68.0</v>
      </c>
      <c r="N2668" s="25">
        <v>30.0</v>
      </c>
      <c r="O2668" s="25"/>
      <c r="P2668" s="25"/>
    </row>
    <row r="2669">
      <c r="A2669" s="16">
        <v>2667.0</v>
      </c>
      <c r="B2669" s="17" t="s">
        <v>411</v>
      </c>
      <c r="C2669" s="18">
        <v>189.0</v>
      </c>
      <c r="D2669" s="19" t="s">
        <v>2167</v>
      </c>
      <c r="E2669" s="20" t="s">
        <v>443</v>
      </c>
      <c r="F2669" s="17" t="s">
        <v>642</v>
      </c>
      <c r="G2669" s="17" t="s">
        <v>123</v>
      </c>
      <c r="H2669" s="17" t="s">
        <v>5608</v>
      </c>
      <c r="I2669" s="17" t="s">
        <v>98</v>
      </c>
      <c r="J2669" s="22" t="s">
        <v>144</v>
      </c>
      <c r="K2669" s="23" t="s">
        <v>108</v>
      </c>
      <c r="L2669" s="24" t="s">
        <v>91</v>
      </c>
      <c r="M2669" s="2">
        <v>68.0</v>
      </c>
      <c r="N2669" s="25">
        <v>30.0</v>
      </c>
      <c r="O2669" s="25"/>
      <c r="P2669" s="25"/>
    </row>
    <row r="2670">
      <c r="A2670" s="16">
        <v>2668.0</v>
      </c>
      <c r="B2670" s="17" t="s">
        <v>411</v>
      </c>
      <c r="C2670" s="18">
        <v>190.0</v>
      </c>
      <c r="D2670" s="19" t="s">
        <v>2167</v>
      </c>
      <c r="E2670" s="20" t="s">
        <v>443</v>
      </c>
      <c r="F2670" s="17" t="s">
        <v>23</v>
      </c>
      <c r="G2670" s="17" t="s">
        <v>3503</v>
      </c>
      <c r="H2670" s="17" t="s">
        <v>5609</v>
      </c>
      <c r="I2670" s="17" t="s">
        <v>98</v>
      </c>
      <c r="J2670" s="22" t="s">
        <v>144</v>
      </c>
      <c r="K2670" s="23" t="s">
        <v>108</v>
      </c>
      <c r="L2670" s="24" t="s">
        <v>91</v>
      </c>
      <c r="M2670" s="2">
        <v>68.0</v>
      </c>
      <c r="N2670" s="25">
        <v>30.0</v>
      </c>
      <c r="O2670" s="25"/>
      <c r="P2670" s="25"/>
    </row>
    <row r="2671">
      <c r="A2671" s="16">
        <v>2669.0</v>
      </c>
      <c r="B2671" s="17" t="s">
        <v>411</v>
      </c>
      <c r="C2671" s="18">
        <v>191.0</v>
      </c>
      <c r="D2671" s="19" t="s">
        <v>2167</v>
      </c>
      <c r="E2671" s="20" t="s">
        <v>443</v>
      </c>
      <c r="F2671" s="17" t="s">
        <v>477</v>
      </c>
      <c r="G2671" s="17" t="s">
        <v>5610</v>
      </c>
      <c r="H2671" s="17" t="s">
        <v>5611</v>
      </c>
      <c r="I2671" s="17" t="s">
        <v>98</v>
      </c>
      <c r="J2671" s="22" t="s">
        <v>144</v>
      </c>
      <c r="K2671" s="23" t="s">
        <v>108</v>
      </c>
      <c r="L2671" s="24" t="s">
        <v>91</v>
      </c>
      <c r="M2671" s="2">
        <v>68.0</v>
      </c>
      <c r="N2671" s="25">
        <v>30.0</v>
      </c>
      <c r="O2671" s="25"/>
      <c r="P2671" s="25"/>
    </row>
    <row r="2672">
      <c r="A2672" s="16">
        <v>2670.0</v>
      </c>
      <c r="B2672" s="17" t="s">
        <v>411</v>
      </c>
      <c r="C2672" s="18">
        <v>192.0</v>
      </c>
      <c r="D2672" s="19" t="s">
        <v>2167</v>
      </c>
      <c r="E2672" s="20" t="s">
        <v>443</v>
      </c>
      <c r="F2672" s="17" t="s">
        <v>1105</v>
      </c>
      <c r="G2672" s="17" t="s">
        <v>2878</v>
      </c>
      <c r="H2672" s="17" t="s">
        <v>5612</v>
      </c>
      <c r="I2672" s="17" t="s">
        <v>98</v>
      </c>
      <c r="J2672" s="22" t="s">
        <v>144</v>
      </c>
      <c r="K2672" s="23" t="s">
        <v>108</v>
      </c>
      <c r="L2672" s="24" t="s">
        <v>91</v>
      </c>
      <c r="M2672" s="2">
        <v>68.0</v>
      </c>
      <c r="N2672" s="25">
        <v>30.0</v>
      </c>
      <c r="O2672" s="25"/>
      <c r="P2672" s="25"/>
    </row>
    <row r="2673">
      <c r="A2673" s="16">
        <v>2671.0</v>
      </c>
      <c r="B2673" s="17" t="s">
        <v>411</v>
      </c>
      <c r="C2673" s="18">
        <v>193.0</v>
      </c>
      <c r="D2673" s="19" t="s">
        <v>2167</v>
      </c>
      <c r="E2673" s="20" t="s">
        <v>443</v>
      </c>
      <c r="F2673" s="17" t="s">
        <v>488</v>
      </c>
      <c r="G2673" s="17" t="s">
        <v>4544</v>
      </c>
      <c r="H2673" s="17" t="s">
        <v>5613</v>
      </c>
      <c r="I2673" s="17" t="s">
        <v>98</v>
      </c>
      <c r="J2673" s="22" t="s">
        <v>144</v>
      </c>
      <c r="K2673" s="23" t="s">
        <v>108</v>
      </c>
      <c r="L2673" s="24" t="s">
        <v>91</v>
      </c>
      <c r="M2673" s="2">
        <v>68.0</v>
      </c>
      <c r="N2673" s="25">
        <v>30.0</v>
      </c>
      <c r="O2673" s="25"/>
      <c r="P2673" s="25"/>
    </row>
    <row r="2674">
      <c r="A2674" s="16">
        <v>2672.0</v>
      </c>
      <c r="B2674" s="17" t="s">
        <v>411</v>
      </c>
      <c r="C2674" s="18">
        <v>194.0</v>
      </c>
      <c r="D2674" s="19" t="s">
        <v>2167</v>
      </c>
      <c r="E2674" s="20" t="s">
        <v>443</v>
      </c>
      <c r="F2674" s="17" t="s">
        <v>321</v>
      </c>
      <c r="G2674" s="17" t="s">
        <v>3697</v>
      </c>
      <c r="H2674" s="17" t="s">
        <v>5614</v>
      </c>
      <c r="I2674" s="17" t="s">
        <v>98</v>
      </c>
      <c r="J2674" s="22" t="s">
        <v>144</v>
      </c>
      <c r="K2674" s="23" t="s">
        <v>108</v>
      </c>
      <c r="L2674" s="24" t="s">
        <v>91</v>
      </c>
      <c r="M2674" s="2">
        <v>68.0</v>
      </c>
      <c r="N2674" s="25">
        <v>30.0</v>
      </c>
      <c r="O2674" s="25"/>
      <c r="P2674" s="25"/>
    </row>
    <row r="2675">
      <c r="A2675" s="16">
        <v>2673.0</v>
      </c>
      <c r="B2675" s="17" t="s">
        <v>411</v>
      </c>
      <c r="C2675" s="18">
        <v>195.0</v>
      </c>
      <c r="D2675" s="19" t="s">
        <v>2167</v>
      </c>
      <c r="E2675" s="20" t="s">
        <v>443</v>
      </c>
      <c r="F2675" s="17" t="s">
        <v>315</v>
      </c>
      <c r="G2675" s="17" t="s">
        <v>5615</v>
      </c>
      <c r="H2675" s="17" t="s">
        <v>5616</v>
      </c>
      <c r="I2675" s="17" t="s">
        <v>98</v>
      </c>
      <c r="J2675" s="22" t="s">
        <v>144</v>
      </c>
      <c r="K2675" s="23" t="s">
        <v>108</v>
      </c>
      <c r="L2675" s="24" t="s">
        <v>91</v>
      </c>
      <c r="M2675" s="2">
        <v>68.0</v>
      </c>
      <c r="N2675" s="25">
        <v>30.0</v>
      </c>
      <c r="O2675" s="25"/>
      <c r="P2675" s="25"/>
    </row>
    <row r="2676">
      <c r="A2676" s="16">
        <v>2674.0</v>
      </c>
      <c r="B2676" s="17" t="s">
        <v>411</v>
      </c>
      <c r="C2676" s="18">
        <v>196.0</v>
      </c>
      <c r="D2676" s="19" t="s">
        <v>2167</v>
      </c>
      <c r="E2676" s="20" t="s">
        <v>443</v>
      </c>
      <c r="F2676" s="17" t="s">
        <v>334</v>
      </c>
      <c r="G2676" s="17" t="s">
        <v>5108</v>
      </c>
      <c r="H2676" s="17" t="s">
        <v>5617</v>
      </c>
      <c r="I2676" s="17" t="s">
        <v>98</v>
      </c>
      <c r="J2676" s="22" t="s">
        <v>144</v>
      </c>
      <c r="K2676" s="23" t="s">
        <v>108</v>
      </c>
      <c r="L2676" s="24" t="s">
        <v>91</v>
      </c>
      <c r="M2676" s="2">
        <v>68.0</v>
      </c>
      <c r="N2676" s="25">
        <v>30.0</v>
      </c>
      <c r="O2676" s="25"/>
      <c r="P2676" s="25"/>
    </row>
    <row r="2677">
      <c r="A2677" s="16">
        <v>2675.0</v>
      </c>
      <c r="B2677" s="17" t="s">
        <v>411</v>
      </c>
      <c r="C2677" s="18">
        <v>197.0</v>
      </c>
      <c r="D2677" s="19" t="s">
        <v>2167</v>
      </c>
      <c r="E2677" s="20" t="s">
        <v>443</v>
      </c>
      <c r="F2677" s="17" t="s">
        <v>469</v>
      </c>
      <c r="G2677" s="17" t="s">
        <v>5152</v>
      </c>
      <c r="H2677" s="17" t="s">
        <v>5618</v>
      </c>
      <c r="I2677" s="17" t="s">
        <v>98</v>
      </c>
      <c r="J2677" s="22" t="s">
        <v>144</v>
      </c>
      <c r="K2677" s="23" t="s">
        <v>108</v>
      </c>
      <c r="L2677" s="24" t="s">
        <v>91</v>
      </c>
      <c r="M2677" s="2">
        <v>68.0</v>
      </c>
      <c r="N2677" s="25">
        <v>30.0</v>
      </c>
      <c r="O2677" s="25"/>
      <c r="P2677" s="25"/>
    </row>
    <row r="2678">
      <c r="A2678" s="16">
        <v>2676.0</v>
      </c>
      <c r="B2678" s="17" t="s">
        <v>411</v>
      </c>
      <c r="C2678" s="18">
        <v>198.0</v>
      </c>
      <c r="D2678" s="19" t="s">
        <v>2180</v>
      </c>
      <c r="E2678" s="20" t="s">
        <v>443</v>
      </c>
      <c r="F2678" s="17" t="s">
        <v>87</v>
      </c>
      <c r="G2678" s="17" t="s">
        <v>123</v>
      </c>
      <c r="H2678" s="17" t="s">
        <v>2052</v>
      </c>
      <c r="I2678" s="17" t="s">
        <v>125</v>
      </c>
      <c r="J2678" s="22" t="s">
        <v>144</v>
      </c>
      <c r="K2678" s="23" t="s">
        <v>108</v>
      </c>
      <c r="L2678" s="24" t="s">
        <v>91</v>
      </c>
      <c r="M2678" s="2">
        <v>68.0</v>
      </c>
      <c r="N2678" s="25">
        <v>31.0</v>
      </c>
      <c r="O2678" s="25"/>
      <c r="P2678" s="25"/>
    </row>
    <row r="2679">
      <c r="A2679" s="16">
        <v>2677.0</v>
      </c>
      <c r="B2679" s="17" t="s">
        <v>411</v>
      </c>
      <c r="C2679" s="18">
        <v>199.0</v>
      </c>
      <c r="D2679" s="19" t="s">
        <v>2164</v>
      </c>
      <c r="E2679" s="20" t="s">
        <v>443</v>
      </c>
      <c r="F2679" s="17" t="s">
        <v>781</v>
      </c>
      <c r="G2679" s="17" t="s">
        <v>123</v>
      </c>
      <c r="H2679" s="17" t="s">
        <v>5619</v>
      </c>
      <c r="I2679" s="17" t="s">
        <v>98</v>
      </c>
      <c r="J2679" s="22" t="s">
        <v>144</v>
      </c>
      <c r="K2679" s="23" t="s">
        <v>108</v>
      </c>
      <c r="L2679" s="24" t="s">
        <v>1243</v>
      </c>
      <c r="M2679" s="2">
        <v>68.0</v>
      </c>
      <c r="N2679" s="25">
        <v>35.0</v>
      </c>
      <c r="O2679" s="25"/>
      <c r="P2679" s="25"/>
    </row>
    <row r="2680">
      <c r="A2680" s="16">
        <v>2678.0</v>
      </c>
      <c r="B2680" s="17" t="s">
        <v>411</v>
      </c>
      <c r="C2680" s="18">
        <v>200.0</v>
      </c>
      <c r="D2680" s="19" t="s">
        <v>2160</v>
      </c>
      <c r="E2680" s="20" t="s">
        <v>443</v>
      </c>
      <c r="F2680" s="17" t="s">
        <v>1270</v>
      </c>
      <c r="G2680" s="17" t="s">
        <v>2075</v>
      </c>
      <c r="H2680" s="17" t="s">
        <v>5620</v>
      </c>
      <c r="I2680" s="17" t="s">
        <v>98</v>
      </c>
      <c r="J2680" s="22" t="s">
        <v>144</v>
      </c>
      <c r="K2680" s="23" t="s">
        <v>108</v>
      </c>
      <c r="L2680" s="24" t="s">
        <v>1243</v>
      </c>
      <c r="M2680" s="2">
        <v>68.0</v>
      </c>
      <c r="N2680" s="25">
        <v>35.0</v>
      </c>
      <c r="O2680" s="25"/>
      <c r="P2680" s="25"/>
    </row>
    <row r="2681">
      <c r="A2681" s="16">
        <v>2679.0</v>
      </c>
      <c r="B2681" s="17" t="s">
        <v>276</v>
      </c>
      <c r="C2681" s="18">
        <v>1.0</v>
      </c>
      <c r="D2681" s="19" t="s">
        <v>2273</v>
      </c>
      <c r="E2681" s="20" t="s">
        <v>443</v>
      </c>
      <c r="F2681" s="17" t="s">
        <v>586</v>
      </c>
      <c r="G2681" s="17" t="s">
        <v>123</v>
      </c>
      <c r="H2681" s="17" t="s">
        <v>5514</v>
      </c>
      <c r="I2681" s="17" t="s">
        <v>125</v>
      </c>
      <c r="J2681" s="22" t="s">
        <v>100</v>
      </c>
      <c r="K2681" s="23" t="s">
        <v>108</v>
      </c>
      <c r="L2681" s="24" t="s">
        <v>91</v>
      </c>
      <c r="M2681" s="2">
        <v>69.0</v>
      </c>
      <c r="N2681" s="25">
        <v>11.0</v>
      </c>
      <c r="O2681" s="25"/>
      <c r="P2681" s="25"/>
    </row>
    <row r="2682">
      <c r="A2682" s="16">
        <v>2680.0</v>
      </c>
      <c r="B2682" s="17" t="s">
        <v>276</v>
      </c>
      <c r="C2682" s="18">
        <v>2.0</v>
      </c>
      <c r="D2682" s="19" t="s">
        <v>2280</v>
      </c>
      <c r="E2682" s="20" t="s">
        <v>443</v>
      </c>
      <c r="F2682" s="17" t="s">
        <v>472</v>
      </c>
      <c r="G2682" s="17" t="s">
        <v>4857</v>
      </c>
      <c r="H2682" s="17" t="s">
        <v>4858</v>
      </c>
      <c r="I2682" s="17" t="s">
        <v>125</v>
      </c>
      <c r="J2682" s="22" t="s">
        <v>100</v>
      </c>
      <c r="K2682" s="23" t="s">
        <v>108</v>
      </c>
      <c r="L2682" s="24" t="s">
        <v>91</v>
      </c>
      <c r="M2682" s="2">
        <v>69.0</v>
      </c>
      <c r="N2682" s="25">
        <v>11.0</v>
      </c>
      <c r="O2682" s="25"/>
      <c r="P2682" s="25"/>
    </row>
    <row r="2683">
      <c r="A2683" s="16">
        <v>2681.0</v>
      </c>
      <c r="B2683" s="17" t="s">
        <v>276</v>
      </c>
      <c r="C2683" s="18">
        <v>3.0</v>
      </c>
      <c r="D2683" s="19" t="s">
        <v>2277</v>
      </c>
      <c r="E2683" s="20" t="s">
        <v>443</v>
      </c>
      <c r="F2683" s="17" t="s">
        <v>26</v>
      </c>
      <c r="G2683" s="17" t="s">
        <v>5621</v>
      </c>
      <c r="H2683" s="17" t="s">
        <v>5622</v>
      </c>
      <c r="I2683" s="17" t="s">
        <v>125</v>
      </c>
      <c r="J2683" s="22" t="s">
        <v>100</v>
      </c>
      <c r="K2683" s="23" t="s">
        <v>108</v>
      </c>
      <c r="L2683" s="24" t="s">
        <v>91</v>
      </c>
      <c r="M2683" s="2">
        <v>69.0</v>
      </c>
      <c r="N2683" s="25">
        <v>11.0</v>
      </c>
      <c r="O2683" s="25"/>
      <c r="P2683" s="25"/>
    </row>
    <row r="2684">
      <c r="A2684" s="16">
        <v>2682.0</v>
      </c>
      <c r="B2684" s="17" t="s">
        <v>276</v>
      </c>
      <c r="C2684" s="18">
        <v>4.0</v>
      </c>
      <c r="D2684" s="19" t="s">
        <v>2264</v>
      </c>
      <c r="E2684" s="20" t="s">
        <v>443</v>
      </c>
      <c r="F2684" s="17" t="s">
        <v>166</v>
      </c>
      <c r="G2684" s="17" t="s">
        <v>4521</v>
      </c>
      <c r="H2684" s="17" t="s">
        <v>5623</v>
      </c>
      <c r="I2684" s="17" t="s">
        <v>98</v>
      </c>
      <c r="J2684" s="22" t="s">
        <v>135</v>
      </c>
      <c r="K2684" s="23" t="s">
        <v>108</v>
      </c>
      <c r="L2684" s="24" t="s">
        <v>91</v>
      </c>
      <c r="M2684" s="2">
        <v>69.0</v>
      </c>
      <c r="N2684" s="25">
        <v>20.0</v>
      </c>
      <c r="O2684" s="25"/>
      <c r="P2684" s="25"/>
    </row>
    <row r="2685">
      <c r="A2685" s="16">
        <v>2683.0</v>
      </c>
      <c r="B2685" s="17" t="s">
        <v>276</v>
      </c>
      <c r="C2685" s="18">
        <v>5.0</v>
      </c>
      <c r="D2685" s="19" t="s">
        <v>2264</v>
      </c>
      <c r="E2685" s="20" t="s">
        <v>443</v>
      </c>
      <c r="F2685" s="17" t="s">
        <v>165</v>
      </c>
      <c r="G2685" s="17" t="s">
        <v>4523</v>
      </c>
      <c r="H2685" s="17" t="s">
        <v>5624</v>
      </c>
      <c r="I2685" s="17" t="s">
        <v>98</v>
      </c>
      <c r="J2685" s="22" t="s">
        <v>135</v>
      </c>
      <c r="K2685" s="23" t="s">
        <v>108</v>
      </c>
      <c r="L2685" s="24" t="s">
        <v>91</v>
      </c>
      <c r="M2685" s="2">
        <v>69.0</v>
      </c>
      <c r="N2685" s="25">
        <v>20.0</v>
      </c>
      <c r="O2685" s="25"/>
      <c r="P2685" s="25"/>
    </row>
    <row r="2686">
      <c r="A2686" s="16">
        <v>2684.0</v>
      </c>
      <c r="B2686" s="17" t="s">
        <v>276</v>
      </c>
      <c r="C2686" s="18">
        <v>6.0</v>
      </c>
      <c r="D2686" s="19" t="s">
        <v>2273</v>
      </c>
      <c r="E2686" s="20" t="s">
        <v>443</v>
      </c>
      <c r="F2686" s="17" t="s">
        <v>682</v>
      </c>
      <c r="G2686" s="17" t="s">
        <v>4553</v>
      </c>
      <c r="H2686" s="17" t="s">
        <v>4758</v>
      </c>
      <c r="I2686" s="17" t="s">
        <v>125</v>
      </c>
      <c r="J2686" s="22" t="s">
        <v>135</v>
      </c>
      <c r="K2686" s="23" t="s">
        <v>108</v>
      </c>
      <c r="L2686" s="24" t="s">
        <v>91</v>
      </c>
      <c r="M2686" s="2">
        <v>69.0</v>
      </c>
      <c r="N2686" s="25">
        <v>21.0</v>
      </c>
      <c r="O2686" s="25"/>
      <c r="P2686" s="25"/>
    </row>
    <row r="2687">
      <c r="A2687" s="16">
        <v>2685.0</v>
      </c>
      <c r="B2687" s="17" t="s">
        <v>276</v>
      </c>
      <c r="C2687" s="18">
        <v>7.0</v>
      </c>
      <c r="D2687" s="19" t="s">
        <v>2273</v>
      </c>
      <c r="E2687" s="20" t="s">
        <v>443</v>
      </c>
      <c r="F2687" s="17" t="s">
        <v>364</v>
      </c>
      <c r="G2687" s="17" t="s">
        <v>4736</v>
      </c>
      <c r="H2687" s="17" t="s">
        <v>4737</v>
      </c>
      <c r="I2687" s="17" t="s">
        <v>125</v>
      </c>
      <c r="J2687" s="22" t="s">
        <v>135</v>
      </c>
      <c r="K2687" s="23" t="s">
        <v>108</v>
      </c>
      <c r="L2687" s="24" t="s">
        <v>91</v>
      </c>
      <c r="M2687" s="2">
        <v>69.0</v>
      </c>
      <c r="N2687" s="25">
        <v>21.0</v>
      </c>
      <c r="O2687" s="25"/>
      <c r="P2687" s="25"/>
    </row>
    <row r="2688">
      <c r="A2688" s="16">
        <v>2686.0</v>
      </c>
      <c r="B2688" s="17" t="s">
        <v>276</v>
      </c>
      <c r="C2688" s="18">
        <v>8.0</v>
      </c>
      <c r="D2688" s="19" t="s">
        <v>2264</v>
      </c>
      <c r="E2688" s="20" t="s">
        <v>443</v>
      </c>
      <c r="F2688" s="17" t="s">
        <v>367</v>
      </c>
      <c r="G2688" s="17" t="s">
        <v>123</v>
      </c>
      <c r="H2688" s="17" t="s">
        <v>5625</v>
      </c>
      <c r="I2688" s="17" t="s">
        <v>98</v>
      </c>
      <c r="J2688" s="22" t="s">
        <v>144</v>
      </c>
      <c r="K2688" s="23" t="s">
        <v>108</v>
      </c>
      <c r="L2688" s="24" t="s">
        <v>91</v>
      </c>
      <c r="M2688" s="2">
        <v>69.0</v>
      </c>
      <c r="N2688" s="25">
        <v>30.0</v>
      </c>
      <c r="O2688" s="25"/>
      <c r="P2688" s="25"/>
    </row>
    <row r="2689">
      <c r="A2689" s="16">
        <v>2687.0</v>
      </c>
      <c r="B2689" s="17" t="s">
        <v>276</v>
      </c>
      <c r="C2689" s="18">
        <v>9.0</v>
      </c>
      <c r="D2689" s="19" t="s">
        <v>2273</v>
      </c>
      <c r="E2689" s="20" t="s">
        <v>443</v>
      </c>
      <c r="F2689" s="17" t="s">
        <v>131</v>
      </c>
      <c r="G2689" s="17" t="s">
        <v>4744</v>
      </c>
      <c r="H2689" s="17" t="s">
        <v>4745</v>
      </c>
      <c r="I2689" s="17" t="s">
        <v>125</v>
      </c>
      <c r="J2689" s="22" t="s">
        <v>144</v>
      </c>
      <c r="K2689" s="23" t="s">
        <v>108</v>
      </c>
      <c r="L2689" s="24" t="s">
        <v>91</v>
      </c>
      <c r="M2689" s="2">
        <v>69.0</v>
      </c>
      <c r="N2689" s="25">
        <v>31.0</v>
      </c>
      <c r="O2689" s="25"/>
      <c r="P2689" s="25"/>
    </row>
    <row r="2690">
      <c r="A2690" s="16">
        <v>2688.0</v>
      </c>
      <c r="B2690" s="17" t="s">
        <v>276</v>
      </c>
      <c r="C2690" s="18">
        <v>10.0</v>
      </c>
      <c r="D2690" s="19" t="s">
        <v>2273</v>
      </c>
      <c r="E2690" s="20" t="s">
        <v>443</v>
      </c>
      <c r="F2690" s="17" t="s">
        <v>118</v>
      </c>
      <c r="G2690" s="17" t="s">
        <v>4742</v>
      </c>
      <c r="H2690" s="17" t="s">
        <v>4743</v>
      </c>
      <c r="I2690" s="17" t="s">
        <v>125</v>
      </c>
      <c r="J2690" s="22" t="s">
        <v>144</v>
      </c>
      <c r="K2690" s="23" t="s">
        <v>108</v>
      </c>
      <c r="L2690" s="24" t="s">
        <v>91</v>
      </c>
      <c r="M2690" s="2">
        <v>69.0</v>
      </c>
      <c r="N2690" s="25">
        <v>31.0</v>
      </c>
      <c r="O2690" s="25"/>
      <c r="P2690" s="25"/>
    </row>
    <row r="2691">
      <c r="A2691" s="16">
        <v>2689.0</v>
      </c>
      <c r="B2691" s="17" t="s">
        <v>276</v>
      </c>
      <c r="C2691" s="18">
        <v>11.0</v>
      </c>
      <c r="D2691" s="19" t="s">
        <v>2273</v>
      </c>
      <c r="E2691" s="20" t="s">
        <v>443</v>
      </c>
      <c r="F2691" s="17" t="s">
        <v>150</v>
      </c>
      <c r="G2691" s="17" t="s">
        <v>2087</v>
      </c>
      <c r="H2691" s="17" t="s">
        <v>5254</v>
      </c>
      <c r="I2691" s="17" t="s">
        <v>125</v>
      </c>
      <c r="J2691" s="22" t="s">
        <v>144</v>
      </c>
      <c r="K2691" s="23" t="s">
        <v>108</v>
      </c>
      <c r="L2691" s="24" t="s">
        <v>91</v>
      </c>
      <c r="M2691" s="2">
        <v>69.0</v>
      </c>
      <c r="N2691" s="25">
        <v>31.0</v>
      </c>
      <c r="O2691" s="25"/>
      <c r="P2691" s="25"/>
    </row>
    <row r="2692">
      <c r="A2692" s="16">
        <v>2690.0</v>
      </c>
      <c r="B2692" s="17" t="s">
        <v>276</v>
      </c>
      <c r="C2692" s="18">
        <v>12.0</v>
      </c>
      <c r="D2692" s="19" t="s">
        <v>2273</v>
      </c>
      <c r="E2692" s="20" t="s">
        <v>443</v>
      </c>
      <c r="F2692" s="17" t="s">
        <v>71</v>
      </c>
      <c r="G2692" s="17" t="s">
        <v>4753</v>
      </c>
      <c r="H2692" s="17" t="s">
        <v>4754</v>
      </c>
      <c r="I2692" s="17" t="s">
        <v>125</v>
      </c>
      <c r="J2692" s="22" t="s">
        <v>144</v>
      </c>
      <c r="K2692" s="23" t="s">
        <v>108</v>
      </c>
      <c r="L2692" s="24" t="s">
        <v>91</v>
      </c>
      <c r="M2692" s="2">
        <v>69.0</v>
      </c>
      <c r="N2692" s="25">
        <v>31.0</v>
      </c>
      <c r="O2692" s="25"/>
      <c r="P2692" s="25"/>
    </row>
    <row r="2693">
      <c r="A2693" s="16">
        <v>2691.0</v>
      </c>
      <c r="B2693" s="17" t="s">
        <v>276</v>
      </c>
      <c r="C2693" s="18">
        <v>13.0</v>
      </c>
      <c r="D2693" s="19" t="s">
        <v>2273</v>
      </c>
      <c r="E2693" s="20" t="s">
        <v>443</v>
      </c>
      <c r="F2693" s="17" t="s">
        <v>741</v>
      </c>
      <c r="G2693" s="17" t="s">
        <v>4726</v>
      </c>
      <c r="H2693" s="17" t="s">
        <v>4727</v>
      </c>
      <c r="I2693" s="17" t="s">
        <v>125</v>
      </c>
      <c r="J2693" s="22" t="s">
        <v>144</v>
      </c>
      <c r="K2693" s="23" t="s">
        <v>108</v>
      </c>
      <c r="L2693" s="24" t="s">
        <v>91</v>
      </c>
      <c r="M2693" s="2">
        <v>69.0</v>
      </c>
      <c r="N2693" s="25">
        <v>31.0</v>
      </c>
      <c r="O2693" s="25"/>
      <c r="P2693" s="25"/>
    </row>
    <row r="2694">
      <c r="A2694" s="16">
        <v>2692.0</v>
      </c>
      <c r="B2694" s="17" t="s">
        <v>276</v>
      </c>
      <c r="C2694" s="18">
        <v>14.0</v>
      </c>
      <c r="D2694" s="19" t="s">
        <v>2273</v>
      </c>
      <c r="E2694" s="20" t="s">
        <v>443</v>
      </c>
      <c r="F2694" s="17" t="s">
        <v>513</v>
      </c>
      <c r="G2694" s="17" t="s">
        <v>4719</v>
      </c>
      <c r="H2694" s="17" t="s">
        <v>4720</v>
      </c>
      <c r="I2694" s="17" t="s">
        <v>125</v>
      </c>
      <c r="J2694" s="22" t="s">
        <v>144</v>
      </c>
      <c r="K2694" s="23" t="s">
        <v>108</v>
      </c>
      <c r="L2694" s="24" t="s">
        <v>91</v>
      </c>
      <c r="M2694" s="2">
        <v>69.0</v>
      </c>
      <c r="N2694" s="25">
        <v>31.0</v>
      </c>
      <c r="O2694" s="25"/>
      <c r="P2694" s="25"/>
    </row>
    <row r="2695">
      <c r="A2695" s="16">
        <v>2693.0</v>
      </c>
      <c r="B2695" s="17" t="s">
        <v>276</v>
      </c>
      <c r="C2695" s="18">
        <v>15.0</v>
      </c>
      <c r="D2695" s="19" t="s">
        <v>2273</v>
      </c>
      <c r="E2695" s="20" t="s">
        <v>443</v>
      </c>
      <c r="F2695" s="17" t="s">
        <v>273</v>
      </c>
      <c r="G2695" s="17" t="s">
        <v>2113</v>
      </c>
      <c r="H2695" s="17" t="s">
        <v>4739</v>
      </c>
      <c r="I2695" s="17" t="s">
        <v>125</v>
      </c>
      <c r="J2695" s="22" t="s">
        <v>144</v>
      </c>
      <c r="K2695" s="23" t="s">
        <v>108</v>
      </c>
      <c r="L2695" s="24" t="s">
        <v>91</v>
      </c>
      <c r="M2695" s="2">
        <v>69.0</v>
      </c>
      <c r="N2695" s="25">
        <v>31.0</v>
      </c>
      <c r="O2695" s="25"/>
      <c r="P2695" s="25"/>
    </row>
    <row r="2696">
      <c r="A2696" s="16">
        <v>2694.0</v>
      </c>
      <c r="B2696" s="17" t="s">
        <v>276</v>
      </c>
      <c r="C2696" s="18">
        <v>16.0</v>
      </c>
      <c r="D2696" s="19" t="s">
        <v>2273</v>
      </c>
      <c r="E2696" s="20" t="s">
        <v>443</v>
      </c>
      <c r="F2696" s="17" t="s">
        <v>156</v>
      </c>
      <c r="G2696" s="17" t="s">
        <v>157</v>
      </c>
      <c r="H2696" s="17" t="s">
        <v>4772</v>
      </c>
      <c r="I2696" s="17" t="s">
        <v>125</v>
      </c>
      <c r="J2696" s="22" t="s">
        <v>144</v>
      </c>
      <c r="K2696" s="23" t="s">
        <v>108</v>
      </c>
      <c r="L2696" s="24" t="s">
        <v>91</v>
      </c>
      <c r="M2696" s="2">
        <v>69.0</v>
      </c>
      <c r="N2696" s="25">
        <v>31.0</v>
      </c>
      <c r="O2696" s="25"/>
      <c r="P2696" s="25"/>
    </row>
    <row r="2697">
      <c r="A2697" s="16">
        <v>2695.0</v>
      </c>
      <c r="B2697" s="17" t="s">
        <v>276</v>
      </c>
      <c r="C2697" s="18">
        <v>17.0</v>
      </c>
      <c r="D2697" s="19" t="s">
        <v>2273</v>
      </c>
      <c r="E2697" s="20" t="s">
        <v>443</v>
      </c>
      <c r="F2697" s="17" t="s">
        <v>375</v>
      </c>
      <c r="G2697" s="17" t="s">
        <v>5255</v>
      </c>
      <c r="H2697" s="17" t="s">
        <v>5256</v>
      </c>
      <c r="I2697" s="17" t="s">
        <v>125</v>
      </c>
      <c r="J2697" s="22" t="s">
        <v>144</v>
      </c>
      <c r="K2697" s="23" t="s">
        <v>108</v>
      </c>
      <c r="L2697" s="24" t="s">
        <v>91</v>
      </c>
      <c r="M2697" s="2">
        <v>69.0</v>
      </c>
      <c r="N2697" s="25">
        <v>31.0</v>
      </c>
      <c r="O2697" s="25"/>
      <c r="P2697" s="25"/>
    </row>
    <row r="2698">
      <c r="A2698" s="16">
        <v>2696.0</v>
      </c>
      <c r="B2698" s="17" t="s">
        <v>276</v>
      </c>
      <c r="C2698" s="18">
        <v>18.0</v>
      </c>
      <c r="D2698" s="19" t="s">
        <v>2273</v>
      </c>
      <c r="E2698" s="20" t="s">
        <v>443</v>
      </c>
      <c r="F2698" s="17" t="s">
        <v>477</v>
      </c>
      <c r="G2698" s="17" t="s">
        <v>4729</v>
      </c>
      <c r="H2698" s="17" t="s">
        <v>4730</v>
      </c>
      <c r="I2698" s="17" t="s">
        <v>125</v>
      </c>
      <c r="J2698" s="22" t="s">
        <v>144</v>
      </c>
      <c r="K2698" s="23" t="s">
        <v>108</v>
      </c>
      <c r="L2698" s="24" t="s">
        <v>91</v>
      </c>
      <c r="M2698" s="2">
        <v>69.0</v>
      </c>
      <c r="N2698" s="25">
        <v>31.0</v>
      </c>
      <c r="O2698" s="25"/>
      <c r="P2698" s="25"/>
    </row>
    <row r="2699">
      <c r="A2699" s="16">
        <v>2697.0</v>
      </c>
      <c r="B2699" s="17" t="s">
        <v>276</v>
      </c>
      <c r="C2699" s="18">
        <v>19.0</v>
      </c>
      <c r="D2699" s="19" t="s">
        <v>2273</v>
      </c>
      <c r="E2699" s="20" t="s">
        <v>443</v>
      </c>
      <c r="F2699" s="17" t="s">
        <v>801</v>
      </c>
      <c r="G2699" s="17" t="s">
        <v>5626</v>
      </c>
      <c r="H2699" s="17" t="s">
        <v>5627</v>
      </c>
      <c r="I2699" s="17" t="s">
        <v>125</v>
      </c>
      <c r="J2699" s="22" t="s">
        <v>144</v>
      </c>
      <c r="K2699" s="23" t="s">
        <v>108</v>
      </c>
      <c r="L2699" s="24" t="s">
        <v>91</v>
      </c>
      <c r="M2699" s="2">
        <v>69.0</v>
      </c>
      <c r="N2699" s="25">
        <v>31.0</v>
      </c>
      <c r="O2699" s="25"/>
      <c r="P2699" s="25"/>
    </row>
    <row r="2700">
      <c r="A2700" s="16">
        <v>2698.0</v>
      </c>
      <c r="B2700" s="17" t="s">
        <v>276</v>
      </c>
      <c r="C2700" s="18">
        <v>20.0</v>
      </c>
      <c r="D2700" s="19" t="s">
        <v>2273</v>
      </c>
      <c r="E2700" s="20" t="s">
        <v>443</v>
      </c>
      <c r="F2700" s="17" t="s">
        <v>879</v>
      </c>
      <c r="G2700" s="17" t="s">
        <v>5628</v>
      </c>
      <c r="H2700" s="17" t="s">
        <v>5629</v>
      </c>
      <c r="I2700" s="17" t="s">
        <v>125</v>
      </c>
      <c r="J2700" s="22" t="s">
        <v>144</v>
      </c>
      <c r="K2700" s="23" t="s">
        <v>108</v>
      </c>
      <c r="L2700" s="24" t="s">
        <v>91</v>
      </c>
      <c r="M2700" s="2">
        <v>69.0</v>
      </c>
      <c r="N2700" s="25">
        <v>31.0</v>
      </c>
      <c r="O2700" s="25"/>
      <c r="P2700" s="25"/>
    </row>
    <row r="2701">
      <c r="A2701" s="16">
        <v>2699.0</v>
      </c>
      <c r="B2701" s="17" t="s">
        <v>276</v>
      </c>
      <c r="C2701" s="18">
        <v>21.0</v>
      </c>
      <c r="D2701" s="19" t="s">
        <v>2273</v>
      </c>
      <c r="E2701" s="20" t="s">
        <v>443</v>
      </c>
      <c r="F2701" s="17" t="s">
        <v>621</v>
      </c>
      <c r="G2701" s="17" t="s">
        <v>2833</v>
      </c>
      <c r="H2701" s="17" t="s">
        <v>5630</v>
      </c>
      <c r="I2701" s="17" t="s">
        <v>125</v>
      </c>
      <c r="J2701" s="22" t="s">
        <v>144</v>
      </c>
      <c r="K2701" s="23" t="s">
        <v>108</v>
      </c>
      <c r="L2701" s="24" t="s">
        <v>91</v>
      </c>
      <c r="M2701" s="2">
        <v>69.0</v>
      </c>
      <c r="N2701" s="25">
        <v>31.0</v>
      </c>
      <c r="O2701" s="25"/>
      <c r="P2701" s="25"/>
    </row>
    <row r="2702">
      <c r="A2702" s="16">
        <v>2700.0</v>
      </c>
      <c r="B2702" s="17" t="s">
        <v>276</v>
      </c>
      <c r="C2702" s="18">
        <v>22.0</v>
      </c>
      <c r="D2702" s="19" t="s">
        <v>2273</v>
      </c>
      <c r="E2702" s="20" t="s">
        <v>443</v>
      </c>
      <c r="F2702" s="17" t="s">
        <v>300</v>
      </c>
      <c r="G2702" s="17" t="s">
        <v>5291</v>
      </c>
      <c r="H2702" s="17" t="s">
        <v>5292</v>
      </c>
      <c r="I2702" s="17" t="s">
        <v>125</v>
      </c>
      <c r="J2702" s="22" t="s">
        <v>144</v>
      </c>
      <c r="K2702" s="23" t="s">
        <v>108</v>
      </c>
      <c r="L2702" s="24" t="s">
        <v>91</v>
      </c>
      <c r="M2702" s="2">
        <v>69.0</v>
      </c>
      <c r="N2702" s="25">
        <v>31.0</v>
      </c>
      <c r="O2702" s="25"/>
      <c r="P2702" s="25"/>
    </row>
    <row r="2703">
      <c r="A2703" s="16">
        <v>2701.0</v>
      </c>
      <c r="B2703" s="17" t="s">
        <v>276</v>
      </c>
      <c r="C2703" s="18">
        <v>23.0</v>
      </c>
      <c r="D2703" s="19" t="s">
        <v>2273</v>
      </c>
      <c r="E2703" s="20" t="s">
        <v>443</v>
      </c>
      <c r="F2703" s="17" t="s">
        <v>186</v>
      </c>
      <c r="G2703" s="17" t="s">
        <v>4776</v>
      </c>
      <c r="H2703" s="17" t="s">
        <v>4777</v>
      </c>
      <c r="I2703" s="17" t="s">
        <v>125</v>
      </c>
      <c r="J2703" s="22" t="s">
        <v>144</v>
      </c>
      <c r="K2703" s="23" t="s">
        <v>108</v>
      </c>
      <c r="L2703" s="24" t="s">
        <v>91</v>
      </c>
      <c r="M2703" s="2">
        <v>69.0</v>
      </c>
      <c r="N2703" s="25">
        <v>31.0</v>
      </c>
      <c r="O2703" s="25"/>
      <c r="P2703" s="25"/>
    </row>
    <row r="2704">
      <c r="A2704" s="16">
        <v>2702.0</v>
      </c>
      <c r="B2704" s="17" t="s">
        <v>276</v>
      </c>
      <c r="C2704" s="18">
        <v>24.0</v>
      </c>
      <c r="D2704" s="19" t="s">
        <v>2273</v>
      </c>
      <c r="E2704" s="20" t="s">
        <v>443</v>
      </c>
      <c r="F2704" s="17" t="s">
        <v>918</v>
      </c>
      <c r="G2704" s="17" t="s">
        <v>5297</v>
      </c>
      <c r="H2704" s="17" t="s">
        <v>5298</v>
      </c>
      <c r="I2704" s="17" t="s">
        <v>125</v>
      </c>
      <c r="J2704" s="22" t="s">
        <v>144</v>
      </c>
      <c r="K2704" s="23" t="s">
        <v>108</v>
      </c>
      <c r="L2704" s="24" t="s">
        <v>91</v>
      </c>
      <c r="M2704" s="2">
        <v>69.0</v>
      </c>
      <c r="N2704" s="25">
        <v>31.0</v>
      </c>
      <c r="O2704" s="25"/>
      <c r="P2704" s="25"/>
    </row>
    <row r="2705">
      <c r="A2705" s="16">
        <v>2703.0</v>
      </c>
      <c r="B2705" s="17" t="s">
        <v>276</v>
      </c>
      <c r="C2705" s="18">
        <v>25.0</v>
      </c>
      <c r="D2705" s="19" t="s">
        <v>2273</v>
      </c>
      <c r="E2705" s="20" t="s">
        <v>443</v>
      </c>
      <c r="F2705" s="17" t="s">
        <v>491</v>
      </c>
      <c r="G2705" s="17" t="s">
        <v>4595</v>
      </c>
      <c r="H2705" s="17" t="s">
        <v>4596</v>
      </c>
      <c r="I2705" s="17" t="s">
        <v>125</v>
      </c>
      <c r="J2705" s="22" t="s">
        <v>144</v>
      </c>
      <c r="K2705" s="23" t="s">
        <v>108</v>
      </c>
      <c r="L2705" s="24" t="s">
        <v>91</v>
      </c>
      <c r="M2705" s="2">
        <v>69.0</v>
      </c>
      <c r="N2705" s="25">
        <v>31.0</v>
      </c>
      <c r="O2705" s="25"/>
      <c r="P2705" s="25"/>
    </row>
    <row r="2706">
      <c r="A2706" s="16">
        <v>2704.0</v>
      </c>
      <c r="B2706" s="17" t="s">
        <v>276</v>
      </c>
      <c r="C2706" s="18">
        <v>26.0</v>
      </c>
      <c r="D2706" s="19" t="s">
        <v>2273</v>
      </c>
      <c r="E2706" s="20" t="s">
        <v>443</v>
      </c>
      <c r="F2706" s="17" t="s">
        <v>400</v>
      </c>
      <c r="G2706" s="17" t="s">
        <v>4713</v>
      </c>
      <c r="H2706" s="17" t="s">
        <v>4714</v>
      </c>
      <c r="I2706" s="17" t="s">
        <v>125</v>
      </c>
      <c r="J2706" s="22" t="s">
        <v>144</v>
      </c>
      <c r="K2706" s="23" t="s">
        <v>108</v>
      </c>
      <c r="L2706" s="24" t="s">
        <v>91</v>
      </c>
      <c r="M2706" s="2">
        <v>69.0</v>
      </c>
      <c r="N2706" s="25">
        <v>31.0</v>
      </c>
      <c r="O2706" s="25"/>
      <c r="P2706" s="25"/>
    </row>
    <row r="2707">
      <c r="A2707" s="16">
        <v>2705.0</v>
      </c>
      <c r="B2707" s="17" t="s">
        <v>276</v>
      </c>
      <c r="C2707" s="18">
        <v>27.0</v>
      </c>
      <c r="D2707" s="19" t="s">
        <v>2273</v>
      </c>
      <c r="E2707" s="20" t="s">
        <v>443</v>
      </c>
      <c r="F2707" s="17" t="s">
        <v>730</v>
      </c>
      <c r="G2707" s="17" t="s">
        <v>123</v>
      </c>
      <c r="H2707" s="17" t="s">
        <v>5300</v>
      </c>
      <c r="I2707" s="17" t="s">
        <v>125</v>
      </c>
      <c r="J2707" s="22" t="s">
        <v>144</v>
      </c>
      <c r="K2707" s="23" t="s">
        <v>108</v>
      </c>
      <c r="L2707" s="24" t="s">
        <v>91</v>
      </c>
      <c r="M2707" s="2">
        <v>69.0</v>
      </c>
      <c r="N2707" s="25">
        <v>31.0</v>
      </c>
      <c r="O2707" s="25"/>
      <c r="P2707" s="25"/>
    </row>
    <row r="2708">
      <c r="A2708" s="16">
        <v>2706.0</v>
      </c>
      <c r="B2708" s="17" t="s">
        <v>276</v>
      </c>
      <c r="C2708" s="18">
        <v>28.0</v>
      </c>
      <c r="D2708" s="19" t="s">
        <v>2273</v>
      </c>
      <c r="E2708" s="20" t="s">
        <v>443</v>
      </c>
      <c r="F2708" s="17" t="s">
        <v>905</v>
      </c>
      <c r="G2708" s="17" t="s">
        <v>123</v>
      </c>
      <c r="H2708" s="17" t="s">
        <v>5631</v>
      </c>
      <c r="I2708" s="17" t="s">
        <v>125</v>
      </c>
      <c r="J2708" s="22" t="s">
        <v>144</v>
      </c>
      <c r="K2708" s="23" t="s">
        <v>108</v>
      </c>
      <c r="L2708" s="24" t="s">
        <v>91</v>
      </c>
      <c r="M2708" s="2">
        <v>69.0</v>
      </c>
      <c r="N2708" s="25">
        <v>31.0</v>
      </c>
      <c r="O2708" s="25"/>
      <c r="P2708" s="25"/>
    </row>
    <row r="2709">
      <c r="A2709" s="16">
        <v>2707.0</v>
      </c>
      <c r="B2709" s="17" t="s">
        <v>276</v>
      </c>
      <c r="C2709" s="18">
        <v>29.0</v>
      </c>
      <c r="D2709" s="19" t="s">
        <v>2273</v>
      </c>
      <c r="E2709" s="20" t="s">
        <v>443</v>
      </c>
      <c r="F2709" s="17" t="s">
        <v>748</v>
      </c>
      <c r="G2709" s="17" t="s">
        <v>4791</v>
      </c>
      <c r="H2709" s="17" t="s">
        <v>4792</v>
      </c>
      <c r="I2709" s="17" t="s">
        <v>125</v>
      </c>
      <c r="J2709" s="22" t="s">
        <v>144</v>
      </c>
      <c r="K2709" s="23" t="s">
        <v>108</v>
      </c>
      <c r="L2709" s="24" t="s">
        <v>91</v>
      </c>
      <c r="M2709" s="2">
        <v>69.0</v>
      </c>
      <c r="N2709" s="25">
        <v>31.0</v>
      </c>
      <c r="O2709" s="25"/>
      <c r="P2709" s="25"/>
    </row>
    <row r="2710">
      <c r="A2710" s="16">
        <v>2708.0</v>
      </c>
      <c r="B2710" s="17" t="s">
        <v>276</v>
      </c>
      <c r="C2710" s="18">
        <v>30.0</v>
      </c>
      <c r="D2710" s="19" t="s">
        <v>2273</v>
      </c>
      <c r="E2710" s="20" t="s">
        <v>443</v>
      </c>
      <c r="F2710" s="17" t="s">
        <v>902</v>
      </c>
      <c r="G2710" s="17" t="s">
        <v>4541</v>
      </c>
      <c r="H2710" s="17" t="s">
        <v>4542</v>
      </c>
      <c r="I2710" s="17" t="s">
        <v>125</v>
      </c>
      <c r="J2710" s="22" t="s">
        <v>144</v>
      </c>
      <c r="K2710" s="23" t="s">
        <v>108</v>
      </c>
      <c r="L2710" s="24" t="s">
        <v>91</v>
      </c>
      <c r="M2710" s="2">
        <v>69.0</v>
      </c>
      <c r="N2710" s="25">
        <v>31.0</v>
      </c>
      <c r="O2710" s="25"/>
      <c r="P2710" s="25"/>
    </row>
    <row r="2711">
      <c r="A2711" s="16">
        <v>2709.0</v>
      </c>
      <c r="B2711" s="17" t="s">
        <v>276</v>
      </c>
      <c r="C2711" s="18">
        <v>31.0</v>
      </c>
      <c r="D2711" s="19" t="s">
        <v>2273</v>
      </c>
      <c r="E2711" s="20" t="s">
        <v>443</v>
      </c>
      <c r="F2711" s="17" t="s">
        <v>853</v>
      </c>
      <c r="G2711" s="17" t="s">
        <v>5261</v>
      </c>
      <c r="H2711" s="17" t="s">
        <v>5262</v>
      </c>
      <c r="I2711" s="17" t="s">
        <v>125</v>
      </c>
      <c r="J2711" s="22" t="s">
        <v>144</v>
      </c>
      <c r="K2711" s="23" t="s">
        <v>108</v>
      </c>
      <c r="L2711" s="24" t="s">
        <v>91</v>
      </c>
      <c r="M2711" s="2">
        <v>69.0</v>
      </c>
      <c r="N2711" s="25">
        <v>31.0</v>
      </c>
      <c r="O2711" s="25"/>
      <c r="P2711" s="25"/>
    </row>
    <row r="2712">
      <c r="A2712" s="16">
        <v>2710.0</v>
      </c>
      <c r="B2712" s="17" t="s">
        <v>276</v>
      </c>
      <c r="C2712" s="18">
        <v>32.0</v>
      </c>
      <c r="D2712" s="19" t="s">
        <v>2273</v>
      </c>
      <c r="E2712" s="20" t="s">
        <v>443</v>
      </c>
      <c r="F2712" s="17" t="s">
        <v>1021</v>
      </c>
      <c r="G2712" s="17" t="s">
        <v>5287</v>
      </c>
      <c r="H2712" s="17" t="s">
        <v>5288</v>
      </c>
      <c r="I2712" s="17" t="s">
        <v>125</v>
      </c>
      <c r="J2712" s="22" t="s">
        <v>144</v>
      </c>
      <c r="K2712" s="23" t="s">
        <v>108</v>
      </c>
      <c r="L2712" s="24" t="s">
        <v>91</v>
      </c>
      <c r="M2712" s="2">
        <v>69.0</v>
      </c>
      <c r="N2712" s="25">
        <v>31.0</v>
      </c>
      <c r="O2712" s="25"/>
      <c r="P2712" s="25"/>
    </row>
    <row r="2713">
      <c r="A2713" s="16">
        <v>2711.0</v>
      </c>
      <c r="B2713" s="17" t="s">
        <v>276</v>
      </c>
      <c r="C2713" s="18">
        <v>33.0</v>
      </c>
      <c r="D2713" s="19" t="s">
        <v>2264</v>
      </c>
      <c r="E2713" s="20" t="s">
        <v>443</v>
      </c>
      <c r="F2713" s="17" t="s">
        <v>101</v>
      </c>
      <c r="G2713" s="17" t="s">
        <v>4755</v>
      </c>
      <c r="H2713" s="17" t="s">
        <v>4756</v>
      </c>
      <c r="I2713" s="17" t="s">
        <v>125</v>
      </c>
      <c r="J2713" s="22" t="s">
        <v>144</v>
      </c>
      <c r="K2713" s="23" t="s">
        <v>108</v>
      </c>
      <c r="L2713" s="24" t="s">
        <v>91</v>
      </c>
      <c r="M2713" s="2">
        <v>69.0</v>
      </c>
      <c r="N2713" s="25">
        <v>31.0</v>
      </c>
      <c r="O2713" s="25"/>
      <c r="P2713" s="25"/>
    </row>
    <row r="2714">
      <c r="A2714" s="16">
        <v>2712.0</v>
      </c>
      <c r="B2714" s="17" t="s">
        <v>276</v>
      </c>
      <c r="C2714" s="18">
        <v>34.0</v>
      </c>
      <c r="D2714" s="19" t="s">
        <v>2264</v>
      </c>
      <c r="E2714" s="20" t="s">
        <v>443</v>
      </c>
      <c r="F2714" s="17" t="s">
        <v>797</v>
      </c>
      <c r="G2714" s="17" t="s">
        <v>123</v>
      </c>
      <c r="H2714" s="17" t="s">
        <v>4648</v>
      </c>
      <c r="I2714" s="17" t="s">
        <v>125</v>
      </c>
      <c r="J2714" s="22" t="s">
        <v>144</v>
      </c>
      <c r="K2714" s="23" t="s">
        <v>108</v>
      </c>
      <c r="L2714" s="24" t="s">
        <v>91</v>
      </c>
      <c r="M2714" s="2">
        <v>69.0</v>
      </c>
      <c r="N2714" s="25">
        <v>31.0</v>
      </c>
      <c r="O2714" s="25"/>
      <c r="P2714" s="25"/>
    </row>
    <row r="2715">
      <c r="A2715" s="16">
        <v>2713.0</v>
      </c>
      <c r="B2715" s="17" t="s">
        <v>276</v>
      </c>
      <c r="C2715" s="18">
        <v>35.0</v>
      </c>
      <c r="D2715" s="19" t="s">
        <v>2264</v>
      </c>
      <c r="E2715" s="20" t="s">
        <v>443</v>
      </c>
      <c r="F2715" s="17" t="s">
        <v>93</v>
      </c>
      <c r="G2715" s="17" t="s">
        <v>4749</v>
      </c>
      <c r="H2715" s="17" t="s">
        <v>4750</v>
      </c>
      <c r="I2715" s="17" t="s">
        <v>125</v>
      </c>
      <c r="J2715" s="22" t="s">
        <v>144</v>
      </c>
      <c r="K2715" s="23" t="s">
        <v>108</v>
      </c>
      <c r="L2715" s="24" t="s">
        <v>91</v>
      </c>
      <c r="M2715" s="2">
        <v>69.0</v>
      </c>
      <c r="N2715" s="25">
        <v>31.0</v>
      </c>
      <c r="O2715" s="25"/>
      <c r="P2715" s="25"/>
    </row>
    <row r="2716">
      <c r="A2716" s="16">
        <v>2714.0</v>
      </c>
      <c r="B2716" s="17" t="s">
        <v>276</v>
      </c>
      <c r="C2716" s="18">
        <v>36.0</v>
      </c>
      <c r="D2716" s="19" t="s">
        <v>2264</v>
      </c>
      <c r="E2716" s="20" t="s">
        <v>443</v>
      </c>
      <c r="F2716" s="17" t="s">
        <v>117</v>
      </c>
      <c r="G2716" s="17" t="s">
        <v>123</v>
      </c>
      <c r="H2716" s="17" t="s">
        <v>4728</v>
      </c>
      <c r="I2716" s="17" t="s">
        <v>125</v>
      </c>
      <c r="J2716" s="22" t="s">
        <v>144</v>
      </c>
      <c r="K2716" s="23" t="s">
        <v>108</v>
      </c>
      <c r="L2716" s="24" t="s">
        <v>91</v>
      </c>
      <c r="M2716" s="2">
        <v>69.0</v>
      </c>
      <c r="N2716" s="25">
        <v>31.0</v>
      </c>
      <c r="O2716" s="25"/>
      <c r="P2716" s="25"/>
    </row>
    <row r="2717">
      <c r="A2717" s="16">
        <v>2715.0</v>
      </c>
      <c r="B2717" s="17" t="s">
        <v>276</v>
      </c>
      <c r="C2717" s="18">
        <v>37.0</v>
      </c>
      <c r="D2717" s="19" t="s">
        <v>2264</v>
      </c>
      <c r="E2717" s="20" t="s">
        <v>443</v>
      </c>
      <c r="F2717" s="17" t="s">
        <v>113</v>
      </c>
      <c r="G2717" s="17" t="s">
        <v>4588</v>
      </c>
      <c r="H2717" s="17" t="s">
        <v>4589</v>
      </c>
      <c r="I2717" s="17" t="s">
        <v>125</v>
      </c>
      <c r="J2717" s="22" t="s">
        <v>144</v>
      </c>
      <c r="K2717" s="23" t="s">
        <v>108</v>
      </c>
      <c r="L2717" s="24" t="s">
        <v>91</v>
      </c>
      <c r="M2717" s="2">
        <v>69.0</v>
      </c>
      <c r="N2717" s="25">
        <v>31.0</v>
      </c>
      <c r="O2717" s="25"/>
      <c r="P2717" s="25"/>
    </row>
    <row r="2718">
      <c r="A2718" s="16">
        <v>2716.0</v>
      </c>
      <c r="B2718" s="17" t="s">
        <v>276</v>
      </c>
      <c r="C2718" s="18">
        <v>38.0</v>
      </c>
      <c r="D2718" s="19" t="s">
        <v>2264</v>
      </c>
      <c r="E2718" s="20" t="s">
        <v>443</v>
      </c>
      <c r="F2718" s="17" t="s">
        <v>119</v>
      </c>
      <c r="G2718" s="17" t="s">
        <v>4711</v>
      </c>
      <c r="H2718" s="17" t="s">
        <v>4712</v>
      </c>
      <c r="I2718" s="17" t="s">
        <v>125</v>
      </c>
      <c r="J2718" s="22" t="s">
        <v>144</v>
      </c>
      <c r="K2718" s="23" t="s">
        <v>108</v>
      </c>
      <c r="L2718" s="24" t="s">
        <v>91</v>
      </c>
      <c r="M2718" s="2">
        <v>69.0</v>
      </c>
      <c r="N2718" s="25">
        <v>31.0</v>
      </c>
      <c r="O2718" s="25"/>
      <c r="P2718" s="25"/>
    </row>
    <row r="2719">
      <c r="A2719" s="16">
        <v>2717.0</v>
      </c>
      <c r="B2719" s="17" t="s">
        <v>276</v>
      </c>
      <c r="C2719" s="18">
        <v>39.0</v>
      </c>
      <c r="D2719" s="19" t="s">
        <v>2264</v>
      </c>
      <c r="E2719" s="20" t="s">
        <v>443</v>
      </c>
      <c r="F2719" s="17" t="s">
        <v>360</v>
      </c>
      <c r="G2719" s="17" t="s">
        <v>123</v>
      </c>
      <c r="H2719" s="17" t="s">
        <v>4733</v>
      </c>
      <c r="I2719" s="17" t="s">
        <v>125</v>
      </c>
      <c r="J2719" s="22" t="s">
        <v>144</v>
      </c>
      <c r="K2719" s="23" t="s">
        <v>108</v>
      </c>
      <c r="L2719" s="24" t="s">
        <v>91</v>
      </c>
      <c r="M2719" s="2">
        <v>69.0</v>
      </c>
      <c r="N2719" s="25">
        <v>31.0</v>
      </c>
      <c r="O2719" s="25"/>
      <c r="P2719" s="25"/>
    </row>
    <row r="2720">
      <c r="A2720" s="16">
        <v>2718.0</v>
      </c>
      <c r="B2720" s="17" t="s">
        <v>276</v>
      </c>
      <c r="C2720" s="18">
        <v>40.0</v>
      </c>
      <c r="D2720" s="19" t="s">
        <v>2264</v>
      </c>
      <c r="E2720" s="20" t="s">
        <v>443</v>
      </c>
      <c r="F2720" s="17" t="s">
        <v>582</v>
      </c>
      <c r="G2720" s="17" t="s">
        <v>4717</v>
      </c>
      <c r="H2720" s="17" t="s">
        <v>4718</v>
      </c>
      <c r="I2720" s="17" t="s">
        <v>125</v>
      </c>
      <c r="J2720" s="22" t="s">
        <v>144</v>
      </c>
      <c r="K2720" s="23" t="s">
        <v>108</v>
      </c>
      <c r="L2720" s="24" t="s">
        <v>91</v>
      </c>
      <c r="M2720" s="2">
        <v>69.0</v>
      </c>
      <c r="N2720" s="25">
        <v>31.0</v>
      </c>
      <c r="O2720" s="25"/>
      <c r="P2720" s="25"/>
    </row>
    <row r="2721">
      <c r="A2721" s="16">
        <v>2719.0</v>
      </c>
      <c r="B2721" s="17" t="s">
        <v>276</v>
      </c>
      <c r="C2721" s="18">
        <v>41.0</v>
      </c>
      <c r="D2721" s="19" t="s">
        <v>2264</v>
      </c>
      <c r="E2721" s="20" t="s">
        <v>443</v>
      </c>
      <c r="F2721" s="17" t="s">
        <v>596</v>
      </c>
      <c r="G2721" s="17" t="s">
        <v>4721</v>
      </c>
      <c r="H2721" s="17" t="s">
        <v>4722</v>
      </c>
      <c r="I2721" s="17" t="s">
        <v>125</v>
      </c>
      <c r="J2721" s="22" t="s">
        <v>144</v>
      </c>
      <c r="K2721" s="23" t="s">
        <v>108</v>
      </c>
      <c r="L2721" s="24" t="s">
        <v>91</v>
      </c>
      <c r="M2721" s="2">
        <v>69.0</v>
      </c>
      <c r="N2721" s="25">
        <v>31.0</v>
      </c>
      <c r="O2721" s="25"/>
      <c r="P2721" s="25"/>
    </row>
    <row r="2722">
      <c r="A2722" s="16">
        <v>2720.0</v>
      </c>
      <c r="B2722" s="17" t="s">
        <v>276</v>
      </c>
      <c r="C2722" s="18">
        <v>42.0</v>
      </c>
      <c r="D2722" s="19" t="s">
        <v>2264</v>
      </c>
      <c r="E2722" s="20" t="s">
        <v>443</v>
      </c>
      <c r="F2722" s="17" t="s">
        <v>116</v>
      </c>
      <c r="G2722" s="17" t="s">
        <v>5632</v>
      </c>
      <c r="H2722" s="17" t="s">
        <v>5633</v>
      </c>
      <c r="I2722" s="17" t="s">
        <v>125</v>
      </c>
      <c r="J2722" s="22" t="s">
        <v>144</v>
      </c>
      <c r="K2722" s="23" t="s">
        <v>108</v>
      </c>
      <c r="L2722" s="24" t="s">
        <v>91</v>
      </c>
      <c r="M2722" s="2">
        <v>69.0</v>
      </c>
      <c r="N2722" s="25">
        <v>31.0</v>
      </c>
      <c r="O2722" s="25"/>
      <c r="P2722" s="25"/>
    </row>
    <row r="2723">
      <c r="A2723" s="16">
        <v>2721.0</v>
      </c>
      <c r="B2723" s="17" t="s">
        <v>276</v>
      </c>
      <c r="C2723" s="18">
        <v>43.0</v>
      </c>
      <c r="D2723" s="19" t="s">
        <v>2264</v>
      </c>
      <c r="E2723" s="20" t="s">
        <v>443</v>
      </c>
      <c r="F2723" s="17" t="s">
        <v>229</v>
      </c>
      <c r="G2723" s="17" t="s">
        <v>5634</v>
      </c>
      <c r="H2723" s="17" t="s">
        <v>5635</v>
      </c>
      <c r="I2723" s="17" t="s">
        <v>125</v>
      </c>
      <c r="J2723" s="22" t="s">
        <v>144</v>
      </c>
      <c r="K2723" s="23" t="s">
        <v>108</v>
      </c>
      <c r="L2723" s="24" t="s">
        <v>91</v>
      </c>
      <c r="M2723" s="2">
        <v>69.0</v>
      </c>
      <c r="N2723" s="25">
        <v>31.0</v>
      </c>
      <c r="O2723" s="25"/>
      <c r="P2723" s="25"/>
    </row>
    <row r="2724">
      <c r="A2724" s="16">
        <v>2722.0</v>
      </c>
      <c r="B2724" s="17" t="s">
        <v>276</v>
      </c>
      <c r="C2724" s="18">
        <v>44.0</v>
      </c>
      <c r="D2724" s="19" t="s">
        <v>2264</v>
      </c>
      <c r="E2724" s="20" t="s">
        <v>443</v>
      </c>
      <c r="F2724" s="17" t="s">
        <v>411</v>
      </c>
      <c r="G2724" s="17" t="s">
        <v>123</v>
      </c>
      <c r="H2724" s="17" t="s">
        <v>4738</v>
      </c>
      <c r="I2724" s="17" t="s">
        <v>125</v>
      </c>
      <c r="J2724" s="22" t="s">
        <v>144</v>
      </c>
      <c r="K2724" s="23" t="s">
        <v>108</v>
      </c>
      <c r="L2724" s="24" t="s">
        <v>91</v>
      </c>
      <c r="M2724" s="2">
        <v>69.0</v>
      </c>
      <c r="N2724" s="25">
        <v>31.0</v>
      </c>
      <c r="O2724" s="25"/>
      <c r="P2724" s="25"/>
    </row>
    <row r="2725">
      <c r="A2725" s="16">
        <v>2723.0</v>
      </c>
      <c r="B2725" s="17" t="s">
        <v>276</v>
      </c>
      <c r="C2725" s="18">
        <v>45.0</v>
      </c>
      <c r="D2725" s="19" t="s">
        <v>2264</v>
      </c>
      <c r="E2725" s="20" t="s">
        <v>443</v>
      </c>
      <c r="F2725" s="17" t="s">
        <v>380</v>
      </c>
      <c r="G2725" s="17" t="s">
        <v>5636</v>
      </c>
      <c r="H2725" s="17" t="s">
        <v>5637</v>
      </c>
      <c r="I2725" s="17" t="s">
        <v>125</v>
      </c>
      <c r="J2725" s="22" t="s">
        <v>144</v>
      </c>
      <c r="K2725" s="23" t="s">
        <v>108</v>
      </c>
      <c r="L2725" s="24" t="s">
        <v>91</v>
      </c>
      <c r="M2725" s="2">
        <v>69.0</v>
      </c>
      <c r="N2725" s="25">
        <v>31.0</v>
      </c>
      <c r="O2725" s="25"/>
      <c r="P2725" s="25"/>
    </row>
    <row r="2726">
      <c r="A2726" s="16">
        <v>2724.0</v>
      </c>
      <c r="B2726" s="17" t="s">
        <v>276</v>
      </c>
      <c r="C2726" s="18">
        <v>46.0</v>
      </c>
      <c r="D2726" s="19" t="s">
        <v>2264</v>
      </c>
      <c r="E2726" s="20" t="s">
        <v>443</v>
      </c>
      <c r="F2726" s="17" t="s">
        <v>192</v>
      </c>
      <c r="G2726" s="17" t="s">
        <v>4615</v>
      </c>
      <c r="H2726" s="17" t="s">
        <v>4757</v>
      </c>
      <c r="I2726" s="17" t="s">
        <v>125</v>
      </c>
      <c r="J2726" s="22" t="s">
        <v>144</v>
      </c>
      <c r="K2726" s="23" t="s">
        <v>108</v>
      </c>
      <c r="L2726" s="24" t="s">
        <v>91</v>
      </c>
      <c r="M2726" s="2">
        <v>69.0</v>
      </c>
      <c r="N2726" s="25">
        <v>31.0</v>
      </c>
      <c r="O2726" s="25"/>
      <c r="P2726" s="25"/>
    </row>
    <row r="2727">
      <c r="A2727" s="16">
        <v>2725.0</v>
      </c>
      <c r="B2727" s="17" t="s">
        <v>276</v>
      </c>
      <c r="C2727" s="18">
        <v>47.0</v>
      </c>
      <c r="D2727" s="19" t="s">
        <v>2264</v>
      </c>
      <c r="E2727" s="20" t="s">
        <v>443</v>
      </c>
      <c r="F2727" s="17" t="s">
        <v>787</v>
      </c>
      <c r="G2727" s="17" t="s">
        <v>4641</v>
      </c>
      <c r="H2727" s="17" t="s">
        <v>4642</v>
      </c>
      <c r="I2727" s="17" t="s">
        <v>125</v>
      </c>
      <c r="J2727" s="22" t="s">
        <v>144</v>
      </c>
      <c r="K2727" s="23" t="s">
        <v>108</v>
      </c>
      <c r="L2727" s="24" t="s">
        <v>91</v>
      </c>
      <c r="M2727" s="2">
        <v>69.0</v>
      </c>
      <c r="N2727" s="25">
        <v>31.0</v>
      </c>
      <c r="O2727" s="25"/>
      <c r="P2727" s="25"/>
    </row>
    <row r="2728">
      <c r="A2728" s="16">
        <v>2726.0</v>
      </c>
      <c r="B2728" s="17" t="s">
        <v>276</v>
      </c>
      <c r="C2728" s="18">
        <v>48.0</v>
      </c>
      <c r="D2728" s="19" t="s">
        <v>2264</v>
      </c>
      <c r="E2728" s="20" t="s">
        <v>443</v>
      </c>
      <c r="F2728" s="17" t="s">
        <v>691</v>
      </c>
      <c r="G2728" s="17" t="s">
        <v>2358</v>
      </c>
      <c r="H2728" s="17" t="s">
        <v>5638</v>
      </c>
      <c r="I2728" s="17" t="s">
        <v>125</v>
      </c>
      <c r="J2728" s="22" t="s">
        <v>144</v>
      </c>
      <c r="K2728" s="23" t="s">
        <v>108</v>
      </c>
      <c r="L2728" s="24" t="s">
        <v>91</v>
      </c>
      <c r="M2728" s="2">
        <v>69.0</v>
      </c>
      <c r="N2728" s="25">
        <v>31.0</v>
      </c>
      <c r="O2728" s="25"/>
      <c r="P2728" s="25"/>
    </row>
    <row r="2729">
      <c r="A2729" s="16">
        <v>2727.0</v>
      </c>
      <c r="B2729" s="17" t="s">
        <v>276</v>
      </c>
      <c r="C2729" s="18">
        <v>49.0</v>
      </c>
      <c r="D2729" s="19" t="s">
        <v>2264</v>
      </c>
      <c r="E2729" s="20" t="s">
        <v>443</v>
      </c>
      <c r="F2729" s="17" t="s">
        <v>909</v>
      </c>
      <c r="G2729" s="17" t="s">
        <v>4793</v>
      </c>
      <c r="H2729" s="17" t="s">
        <v>4794</v>
      </c>
      <c r="I2729" s="17" t="s">
        <v>125</v>
      </c>
      <c r="J2729" s="22" t="s">
        <v>144</v>
      </c>
      <c r="K2729" s="23" t="s">
        <v>108</v>
      </c>
      <c r="L2729" s="24" t="s">
        <v>91</v>
      </c>
      <c r="M2729" s="2">
        <v>69.0</v>
      </c>
      <c r="N2729" s="25">
        <v>31.0</v>
      </c>
      <c r="O2729" s="25"/>
      <c r="P2729" s="25"/>
    </row>
    <row r="2730">
      <c r="A2730" s="16">
        <v>2728.0</v>
      </c>
      <c r="B2730" s="17" t="s">
        <v>276</v>
      </c>
      <c r="C2730" s="18">
        <v>50.0</v>
      </c>
      <c r="D2730" s="19" t="s">
        <v>2264</v>
      </c>
      <c r="E2730" s="20" t="s">
        <v>443</v>
      </c>
      <c r="F2730" s="17" t="s">
        <v>878</v>
      </c>
      <c r="G2730" s="17" t="s">
        <v>123</v>
      </c>
      <c r="H2730" s="17" t="s">
        <v>5299</v>
      </c>
      <c r="I2730" s="17" t="s">
        <v>125</v>
      </c>
      <c r="J2730" s="22" t="s">
        <v>144</v>
      </c>
      <c r="K2730" s="23" t="s">
        <v>108</v>
      </c>
      <c r="L2730" s="24" t="s">
        <v>91</v>
      </c>
      <c r="M2730" s="2">
        <v>69.0</v>
      </c>
      <c r="N2730" s="25">
        <v>31.0</v>
      </c>
      <c r="O2730" s="25"/>
      <c r="P2730" s="25"/>
    </row>
    <row r="2731">
      <c r="A2731" s="16">
        <v>2729.0</v>
      </c>
      <c r="B2731" s="17" t="s">
        <v>276</v>
      </c>
      <c r="C2731" s="18">
        <v>51.0</v>
      </c>
      <c r="D2731" s="19" t="s">
        <v>2264</v>
      </c>
      <c r="E2731" s="20" t="s">
        <v>443</v>
      </c>
      <c r="F2731" s="17" t="s">
        <v>383</v>
      </c>
      <c r="G2731" s="17" t="s">
        <v>4693</v>
      </c>
      <c r="H2731" s="17" t="s">
        <v>4694</v>
      </c>
      <c r="I2731" s="17" t="s">
        <v>125</v>
      </c>
      <c r="J2731" s="22" t="s">
        <v>144</v>
      </c>
      <c r="K2731" s="23" t="s">
        <v>108</v>
      </c>
      <c r="L2731" s="24" t="s">
        <v>91</v>
      </c>
      <c r="M2731" s="2">
        <v>69.0</v>
      </c>
      <c r="N2731" s="25">
        <v>31.0</v>
      </c>
      <c r="O2731" s="25"/>
      <c r="P2731" s="25"/>
    </row>
    <row r="2732">
      <c r="A2732" s="16">
        <v>2730.0</v>
      </c>
      <c r="B2732" s="17" t="s">
        <v>276</v>
      </c>
      <c r="C2732" s="18">
        <v>52.0</v>
      </c>
      <c r="D2732" s="19" t="s">
        <v>2264</v>
      </c>
      <c r="E2732" s="20" t="s">
        <v>443</v>
      </c>
      <c r="F2732" s="17" t="s">
        <v>243</v>
      </c>
      <c r="G2732" s="17" t="s">
        <v>5257</v>
      </c>
      <c r="H2732" s="17" t="s">
        <v>5258</v>
      </c>
      <c r="I2732" s="17" t="s">
        <v>125</v>
      </c>
      <c r="J2732" s="22" t="s">
        <v>144</v>
      </c>
      <c r="K2732" s="23" t="s">
        <v>108</v>
      </c>
      <c r="L2732" s="24" t="s">
        <v>91</v>
      </c>
      <c r="M2732" s="2">
        <v>69.0</v>
      </c>
      <c r="N2732" s="25">
        <v>31.0</v>
      </c>
      <c r="O2732" s="25"/>
      <c r="P2732" s="25"/>
    </row>
    <row r="2733">
      <c r="A2733" s="16">
        <v>2731.0</v>
      </c>
      <c r="B2733" s="17" t="s">
        <v>276</v>
      </c>
      <c r="C2733" s="18">
        <v>53.0</v>
      </c>
      <c r="D2733" s="19" t="s">
        <v>2264</v>
      </c>
      <c r="E2733" s="20" t="s">
        <v>443</v>
      </c>
      <c r="F2733" s="17" t="s">
        <v>744</v>
      </c>
      <c r="G2733" s="17" t="s">
        <v>4574</v>
      </c>
      <c r="H2733" s="17" t="s">
        <v>4575</v>
      </c>
      <c r="I2733" s="17" t="s">
        <v>125</v>
      </c>
      <c r="J2733" s="22" t="s">
        <v>144</v>
      </c>
      <c r="K2733" s="23" t="s">
        <v>108</v>
      </c>
      <c r="L2733" s="24" t="s">
        <v>91</v>
      </c>
      <c r="M2733" s="2">
        <v>69.0</v>
      </c>
      <c r="N2733" s="25">
        <v>31.0</v>
      </c>
      <c r="O2733" s="25"/>
      <c r="P2733" s="25"/>
    </row>
    <row r="2734">
      <c r="A2734" s="16">
        <v>2732.0</v>
      </c>
      <c r="B2734" s="17" t="s">
        <v>276</v>
      </c>
      <c r="C2734" s="18">
        <v>54.0</v>
      </c>
      <c r="D2734" s="19" t="s">
        <v>2264</v>
      </c>
      <c r="E2734" s="20" t="s">
        <v>443</v>
      </c>
      <c r="F2734" s="17" t="s">
        <v>753</v>
      </c>
      <c r="G2734" s="17" t="s">
        <v>4600</v>
      </c>
      <c r="H2734" s="17" t="s">
        <v>4601</v>
      </c>
      <c r="I2734" s="17" t="s">
        <v>125</v>
      </c>
      <c r="J2734" s="22" t="s">
        <v>144</v>
      </c>
      <c r="K2734" s="23" t="s">
        <v>108</v>
      </c>
      <c r="L2734" s="24" t="s">
        <v>91</v>
      </c>
      <c r="M2734" s="2">
        <v>69.0</v>
      </c>
      <c r="N2734" s="25">
        <v>31.0</v>
      </c>
      <c r="O2734" s="25"/>
      <c r="P2734" s="25"/>
    </row>
    <row r="2735">
      <c r="A2735" s="16">
        <v>2733.0</v>
      </c>
      <c r="B2735" s="17" t="s">
        <v>276</v>
      </c>
      <c r="C2735" s="18">
        <v>55.0</v>
      </c>
      <c r="D2735" s="19" t="s">
        <v>2264</v>
      </c>
      <c r="E2735" s="20" t="s">
        <v>443</v>
      </c>
      <c r="F2735" s="17" t="s">
        <v>579</v>
      </c>
      <c r="G2735" s="17" t="s">
        <v>5259</v>
      </c>
      <c r="H2735" s="17" t="s">
        <v>5260</v>
      </c>
      <c r="I2735" s="17" t="s">
        <v>125</v>
      </c>
      <c r="J2735" s="22" t="s">
        <v>144</v>
      </c>
      <c r="K2735" s="23" t="s">
        <v>108</v>
      </c>
      <c r="L2735" s="24" t="s">
        <v>91</v>
      </c>
      <c r="M2735" s="2">
        <v>69.0</v>
      </c>
      <c r="N2735" s="25">
        <v>31.0</v>
      </c>
      <c r="O2735" s="25"/>
      <c r="P2735" s="25"/>
    </row>
    <row r="2736">
      <c r="A2736" s="16">
        <v>2734.0</v>
      </c>
      <c r="B2736" s="17" t="s">
        <v>276</v>
      </c>
      <c r="C2736" s="18">
        <v>56.0</v>
      </c>
      <c r="D2736" s="19" t="s">
        <v>2264</v>
      </c>
      <c r="E2736" s="20" t="s">
        <v>443</v>
      </c>
      <c r="F2736" s="17" t="s">
        <v>873</v>
      </c>
      <c r="G2736" s="17" t="s">
        <v>123</v>
      </c>
      <c r="H2736" s="17" t="s">
        <v>2718</v>
      </c>
      <c r="I2736" s="17" t="s">
        <v>125</v>
      </c>
      <c r="J2736" s="22" t="s">
        <v>144</v>
      </c>
      <c r="K2736" s="23" t="s">
        <v>108</v>
      </c>
      <c r="L2736" s="24" t="s">
        <v>91</v>
      </c>
      <c r="M2736" s="2">
        <v>69.0</v>
      </c>
      <c r="N2736" s="25">
        <v>31.0</v>
      </c>
      <c r="O2736" s="25"/>
      <c r="P2736" s="25"/>
    </row>
    <row r="2737">
      <c r="A2737" s="16">
        <v>2735.0</v>
      </c>
      <c r="B2737" s="17" t="s">
        <v>276</v>
      </c>
      <c r="C2737" s="18">
        <v>57.0</v>
      </c>
      <c r="D2737" s="19" t="s">
        <v>2264</v>
      </c>
      <c r="E2737" s="20" t="s">
        <v>443</v>
      </c>
      <c r="F2737" s="17" t="s">
        <v>168</v>
      </c>
      <c r="G2737" s="17" t="s">
        <v>5639</v>
      </c>
      <c r="H2737" s="17" t="s">
        <v>5640</v>
      </c>
      <c r="I2737" s="17" t="s">
        <v>125</v>
      </c>
      <c r="J2737" s="22" t="s">
        <v>144</v>
      </c>
      <c r="K2737" s="23" t="s">
        <v>108</v>
      </c>
      <c r="L2737" s="24" t="s">
        <v>91</v>
      </c>
      <c r="M2737" s="2">
        <v>69.0</v>
      </c>
      <c r="N2737" s="25">
        <v>31.0</v>
      </c>
      <c r="O2737" s="25"/>
      <c r="P2737" s="25"/>
    </row>
    <row r="2738">
      <c r="A2738" s="16">
        <v>2736.0</v>
      </c>
      <c r="B2738" s="27" t="s">
        <v>276</v>
      </c>
      <c r="C2738" s="18">
        <v>58.0</v>
      </c>
      <c r="D2738" s="19" t="s">
        <v>2264</v>
      </c>
      <c r="E2738" s="20" t="s">
        <v>443</v>
      </c>
      <c r="F2738" s="27" t="s">
        <v>1143</v>
      </c>
      <c r="G2738" s="17" t="s">
        <v>4811</v>
      </c>
      <c r="H2738" s="17" t="s">
        <v>4812</v>
      </c>
      <c r="I2738" s="17" t="s">
        <v>125</v>
      </c>
      <c r="J2738" s="22" t="s">
        <v>144</v>
      </c>
      <c r="K2738" s="23" t="s">
        <v>108</v>
      </c>
      <c r="L2738" s="24"/>
      <c r="M2738" s="2">
        <v>69.0</v>
      </c>
      <c r="N2738" s="25">
        <v>31.0</v>
      </c>
      <c r="O2738" s="25"/>
      <c r="P2738" s="25"/>
    </row>
    <row r="2739">
      <c r="A2739" s="16">
        <v>2737.0</v>
      </c>
      <c r="B2739" s="27" t="s">
        <v>276</v>
      </c>
      <c r="C2739" s="18">
        <v>59.0</v>
      </c>
      <c r="D2739" s="19" t="s">
        <v>2264</v>
      </c>
      <c r="E2739" s="20" t="s">
        <v>443</v>
      </c>
      <c r="F2739" s="27" t="s">
        <v>1373</v>
      </c>
      <c r="G2739" s="17" t="s">
        <v>3567</v>
      </c>
      <c r="H2739" s="17" t="s">
        <v>5266</v>
      </c>
      <c r="I2739" s="17" t="s">
        <v>125</v>
      </c>
      <c r="J2739" s="22" t="s">
        <v>144</v>
      </c>
      <c r="K2739" s="23" t="s">
        <v>108</v>
      </c>
      <c r="L2739" s="24"/>
      <c r="M2739" s="2">
        <v>69.0</v>
      </c>
      <c r="N2739" s="25">
        <v>31.0</v>
      </c>
      <c r="O2739" s="25"/>
      <c r="P2739" s="25"/>
    </row>
    <row r="2740">
      <c r="A2740" s="16">
        <v>2738.0</v>
      </c>
      <c r="B2740" s="27" t="s">
        <v>276</v>
      </c>
      <c r="C2740" s="18">
        <v>60.0</v>
      </c>
      <c r="D2740" s="19" t="s">
        <v>2264</v>
      </c>
      <c r="E2740" s="20" t="s">
        <v>443</v>
      </c>
      <c r="F2740" s="27" t="s">
        <v>1069</v>
      </c>
      <c r="G2740" s="17" t="s">
        <v>4688</v>
      </c>
      <c r="H2740" s="17" t="s">
        <v>4998</v>
      </c>
      <c r="I2740" s="17" t="s">
        <v>125</v>
      </c>
      <c r="J2740" s="22" t="s">
        <v>144</v>
      </c>
      <c r="K2740" s="23" t="s">
        <v>108</v>
      </c>
      <c r="L2740" s="24"/>
      <c r="M2740" s="2">
        <v>69.0</v>
      </c>
      <c r="N2740" s="25">
        <v>31.0</v>
      </c>
      <c r="O2740" s="25"/>
      <c r="P2740" s="25"/>
    </row>
    <row r="2741">
      <c r="A2741" s="16">
        <v>2739.0</v>
      </c>
      <c r="B2741" s="27" t="s">
        <v>276</v>
      </c>
      <c r="C2741" s="18">
        <v>61.0</v>
      </c>
      <c r="D2741" s="19" t="s">
        <v>2264</v>
      </c>
      <c r="E2741" s="20" t="s">
        <v>443</v>
      </c>
      <c r="F2741" s="27" t="s">
        <v>1147</v>
      </c>
      <c r="G2741" s="17" t="s">
        <v>5267</v>
      </c>
      <c r="H2741" s="17" t="s">
        <v>5268</v>
      </c>
      <c r="I2741" s="17" t="s">
        <v>125</v>
      </c>
      <c r="J2741" s="22" t="s">
        <v>144</v>
      </c>
      <c r="K2741" s="23" t="s">
        <v>108</v>
      </c>
      <c r="L2741" s="24"/>
      <c r="M2741" s="2">
        <v>69.0</v>
      </c>
      <c r="N2741" s="25">
        <v>31.0</v>
      </c>
      <c r="O2741" s="25"/>
      <c r="P2741" s="25"/>
    </row>
    <row r="2742">
      <c r="A2742" s="16">
        <v>2740.0</v>
      </c>
      <c r="B2742" s="27" t="s">
        <v>276</v>
      </c>
      <c r="C2742" s="18">
        <v>62.0</v>
      </c>
      <c r="D2742" s="19" t="s">
        <v>2264</v>
      </c>
      <c r="E2742" s="20" t="s">
        <v>443</v>
      </c>
      <c r="F2742" s="27" t="s">
        <v>1042</v>
      </c>
      <c r="G2742" s="17" t="s">
        <v>4787</v>
      </c>
      <c r="H2742" s="17" t="s">
        <v>4788</v>
      </c>
      <c r="I2742" s="17" t="s">
        <v>125</v>
      </c>
      <c r="J2742" s="22" t="s">
        <v>144</v>
      </c>
      <c r="K2742" s="23" t="s">
        <v>108</v>
      </c>
      <c r="L2742" s="24"/>
      <c r="M2742" s="2">
        <v>69.0</v>
      </c>
      <c r="N2742" s="25">
        <v>31.0</v>
      </c>
      <c r="O2742" s="25"/>
      <c r="P2742" s="25"/>
    </row>
    <row r="2743">
      <c r="A2743" s="16">
        <v>2741.0</v>
      </c>
      <c r="B2743" s="27" t="s">
        <v>276</v>
      </c>
      <c r="C2743" s="18">
        <v>63.0</v>
      </c>
      <c r="D2743" s="19" t="s">
        <v>2264</v>
      </c>
      <c r="E2743" s="20" t="s">
        <v>443</v>
      </c>
      <c r="F2743" s="27" t="s">
        <v>821</v>
      </c>
      <c r="G2743" s="17" t="s">
        <v>4709</v>
      </c>
      <c r="H2743" s="17" t="s">
        <v>5641</v>
      </c>
      <c r="I2743" s="17" t="s">
        <v>125</v>
      </c>
      <c r="J2743" s="22" t="s">
        <v>144</v>
      </c>
      <c r="K2743" s="23" t="s">
        <v>108</v>
      </c>
      <c r="L2743" s="24"/>
      <c r="M2743" s="2">
        <v>69.0</v>
      </c>
      <c r="N2743" s="25">
        <v>31.0</v>
      </c>
      <c r="O2743" s="25"/>
      <c r="P2743" s="25"/>
    </row>
    <row r="2744">
      <c r="A2744" s="16">
        <v>2742.0</v>
      </c>
      <c r="B2744" s="27" t="s">
        <v>276</v>
      </c>
      <c r="C2744" s="18">
        <v>64.0</v>
      </c>
      <c r="D2744" s="19" t="s">
        <v>2264</v>
      </c>
      <c r="E2744" s="20" t="s">
        <v>443</v>
      </c>
      <c r="F2744" s="27" t="s">
        <v>1094</v>
      </c>
      <c r="G2744" s="17" t="s">
        <v>5271</v>
      </c>
      <c r="H2744" s="17" t="s">
        <v>5272</v>
      </c>
      <c r="I2744" s="17" t="s">
        <v>125</v>
      </c>
      <c r="J2744" s="22" t="s">
        <v>144</v>
      </c>
      <c r="K2744" s="23" t="s">
        <v>108</v>
      </c>
      <c r="L2744" s="24"/>
      <c r="M2744" s="2">
        <v>69.0</v>
      </c>
      <c r="N2744" s="25">
        <v>31.0</v>
      </c>
      <c r="O2744" s="25"/>
      <c r="P2744" s="25"/>
    </row>
    <row r="2745">
      <c r="A2745" s="16">
        <v>2743.0</v>
      </c>
      <c r="B2745" s="27" t="s">
        <v>276</v>
      </c>
      <c r="C2745" s="18">
        <v>65.0</v>
      </c>
      <c r="D2745" s="19" t="s">
        <v>2264</v>
      </c>
      <c r="E2745" s="20" t="s">
        <v>443</v>
      </c>
      <c r="F2745" s="27" t="s">
        <v>1220</v>
      </c>
      <c r="G2745" s="17" t="s">
        <v>5273</v>
      </c>
      <c r="H2745" s="17" t="s">
        <v>5274</v>
      </c>
      <c r="I2745" s="17" t="s">
        <v>125</v>
      </c>
      <c r="J2745" s="22" t="s">
        <v>144</v>
      </c>
      <c r="K2745" s="23" t="s">
        <v>108</v>
      </c>
      <c r="L2745" s="24"/>
      <c r="M2745" s="2">
        <v>69.0</v>
      </c>
      <c r="N2745" s="25">
        <v>31.0</v>
      </c>
      <c r="O2745" s="25"/>
      <c r="P2745" s="25"/>
    </row>
    <row r="2746">
      <c r="A2746" s="16">
        <v>2744.0</v>
      </c>
      <c r="B2746" s="27" t="s">
        <v>276</v>
      </c>
      <c r="C2746" s="18">
        <v>66.0</v>
      </c>
      <c r="D2746" s="19" t="s">
        <v>2264</v>
      </c>
      <c r="E2746" s="20" t="s">
        <v>443</v>
      </c>
      <c r="F2746" s="27" t="s">
        <v>1440</v>
      </c>
      <c r="G2746" s="17" t="s">
        <v>4825</v>
      </c>
      <c r="H2746" s="17" t="s">
        <v>4826</v>
      </c>
      <c r="I2746" s="17" t="s">
        <v>125</v>
      </c>
      <c r="J2746" s="22" t="s">
        <v>144</v>
      </c>
      <c r="K2746" s="23" t="s">
        <v>108</v>
      </c>
      <c r="L2746" s="24"/>
      <c r="M2746" s="2">
        <v>69.0</v>
      </c>
      <c r="N2746" s="25">
        <v>31.0</v>
      </c>
      <c r="O2746" s="25"/>
      <c r="P2746" s="25"/>
    </row>
    <row r="2747">
      <c r="A2747" s="16">
        <v>2745.0</v>
      </c>
      <c r="B2747" s="27" t="s">
        <v>276</v>
      </c>
      <c r="C2747" s="18">
        <v>67.0</v>
      </c>
      <c r="D2747" s="19" t="s">
        <v>2264</v>
      </c>
      <c r="E2747" s="20" t="s">
        <v>443</v>
      </c>
      <c r="F2747" s="27" t="s">
        <v>1151</v>
      </c>
      <c r="G2747" s="17" t="s">
        <v>4808</v>
      </c>
      <c r="H2747" s="17" t="s">
        <v>4809</v>
      </c>
      <c r="I2747" s="17" t="s">
        <v>125</v>
      </c>
      <c r="J2747" s="22" t="s">
        <v>144</v>
      </c>
      <c r="K2747" s="23" t="s">
        <v>108</v>
      </c>
      <c r="L2747" s="24"/>
      <c r="M2747" s="2">
        <v>69.0</v>
      </c>
      <c r="N2747" s="25">
        <v>31.0</v>
      </c>
      <c r="O2747" s="25"/>
      <c r="P2747" s="25"/>
    </row>
    <row r="2748">
      <c r="A2748" s="16">
        <v>2746.0</v>
      </c>
      <c r="B2748" s="27" t="s">
        <v>276</v>
      </c>
      <c r="C2748" s="18">
        <v>68.0</v>
      </c>
      <c r="D2748" s="19" t="s">
        <v>2264</v>
      </c>
      <c r="E2748" s="20" t="s">
        <v>443</v>
      </c>
      <c r="F2748" s="27" t="s">
        <v>4831</v>
      </c>
      <c r="G2748" s="17" t="s">
        <v>4832</v>
      </c>
      <c r="H2748" s="17" t="s">
        <v>4833</v>
      </c>
      <c r="I2748" s="17" t="s">
        <v>125</v>
      </c>
      <c r="J2748" s="22" t="s">
        <v>144</v>
      </c>
      <c r="K2748" s="23" t="s">
        <v>108</v>
      </c>
      <c r="L2748" s="24"/>
      <c r="M2748" s="2">
        <v>69.0</v>
      </c>
      <c r="N2748" s="25">
        <v>31.0</v>
      </c>
      <c r="O2748" s="25"/>
      <c r="P2748" s="25"/>
    </row>
    <row r="2749">
      <c r="A2749" s="16">
        <v>2747.0</v>
      </c>
      <c r="B2749" s="27" t="s">
        <v>276</v>
      </c>
      <c r="C2749" s="18">
        <v>69.0</v>
      </c>
      <c r="D2749" s="19" t="s">
        <v>2264</v>
      </c>
      <c r="E2749" s="20" t="s">
        <v>443</v>
      </c>
      <c r="F2749" s="27" t="s">
        <v>1225</v>
      </c>
      <c r="G2749" s="17" t="s">
        <v>4834</v>
      </c>
      <c r="H2749" s="17" t="s">
        <v>4835</v>
      </c>
      <c r="I2749" s="17" t="s">
        <v>125</v>
      </c>
      <c r="J2749" s="22" t="s">
        <v>144</v>
      </c>
      <c r="K2749" s="23" t="s">
        <v>108</v>
      </c>
      <c r="L2749" s="24"/>
      <c r="M2749" s="2">
        <v>69.0</v>
      </c>
      <c r="N2749" s="25">
        <v>31.0</v>
      </c>
      <c r="O2749" s="25"/>
      <c r="P2749" s="25"/>
    </row>
    <row r="2750">
      <c r="A2750" s="16">
        <v>2748.0</v>
      </c>
      <c r="B2750" s="27" t="s">
        <v>276</v>
      </c>
      <c r="C2750" s="18">
        <v>70.0</v>
      </c>
      <c r="D2750" s="19" t="s">
        <v>2264</v>
      </c>
      <c r="E2750" s="20" t="s">
        <v>443</v>
      </c>
      <c r="F2750" s="27" t="s">
        <v>4818</v>
      </c>
      <c r="G2750" s="17" t="s">
        <v>5642</v>
      </c>
      <c r="H2750" s="17" t="s">
        <v>5643</v>
      </c>
      <c r="I2750" s="17" t="s">
        <v>125</v>
      </c>
      <c r="J2750" s="22" t="s">
        <v>144</v>
      </c>
      <c r="K2750" s="23" t="s">
        <v>108</v>
      </c>
      <c r="L2750" s="24"/>
      <c r="M2750" s="2">
        <v>69.0</v>
      </c>
      <c r="N2750" s="25">
        <v>31.0</v>
      </c>
      <c r="O2750" s="25"/>
      <c r="P2750" s="25"/>
    </row>
    <row r="2751">
      <c r="A2751" s="16">
        <v>2749.0</v>
      </c>
      <c r="B2751" s="27" t="s">
        <v>276</v>
      </c>
      <c r="C2751" s="18">
        <v>71.0</v>
      </c>
      <c r="D2751" s="19" t="s">
        <v>2264</v>
      </c>
      <c r="E2751" s="20" t="s">
        <v>443</v>
      </c>
      <c r="F2751" s="27" t="s">
        <v>1119</v>
      </c>
      <c r="G2751" s="17" t="s">
        <v>5064</v>
      </c>
      <c r="H2751" s="17" t="s">
        <v>5065</v>
      </c>
      <c r="I2751" s="17" t="s">
        <v>125</v>
      </c>
      <c r="J2751" s="22" t="s">
        <v>144</v>
      </c>
      <c r="K2751" s="23" t="s">
        <v>108</v>
      </c>
      <c r="L2751" s="24"/>
      <c r="M2751" s="2">
        <v>69.0</v>
      </c>
      <c r="N2751" s="25">
        <v>31.0</v>
      </c>
      <c r="O2751" s="25"/>
      <c r="P2751" s="25"/>
    </row>
    <row r="2752">
      <c r="A2752" s="16">
        <v>2750.0</v>
      </c>
      <c r="B2752" s="27" t="s">
        <v>276</v>
      </c>
      <c r="C2752" s="18">
        <v>72.0</v>
      </c>
      <c r="D2752" s="19" t="s">
        <v>2264</v>
      </c>
      <c r="E2752" s="20" t="s">
        <v>443</v>
      </c>
      <c r="F2752" s="27" t="s">
        <v>1315</v>
      </c>
      <c r="G2752" s="17" t="s">
        <v>5644</v>
      </c>
      <c r="H2752" s="17" t="s">
        <v>5645</v>
      </c>
      <c r="I2752" s="17" t="s">
        <v>125</v>
      </c>
      <c r="J2752" s="22" t="s">
        <v>144</v>
      </c>
      <c r="K2752" s="23" t="s">
        <v>108</v>
      </c>
      <c r="L2752" s="24"/>
      <c r="M2752" s="2">
        <v>69.0</v>
      </c>
      <c r="N2752" s="25">
        <v>31.0</v>
      </c>
      <c r="O2752" s="25"/>
      <c r="P2752" s="25"/>
    </row>
    <row r="2753">
      <c r="A2753" s="16">
        <v>2751.0</v>
      </c>
      <c r="B2753" s="27" t="s">
        <v>276</v>
      </c>
      <c r="C2753" s="18">
        <v>73.0</v>
      </c>
      <c r="D2753" s="19" t="s">
        <v>2264</v>
      </c>
      <c r="E2753" s="20" t="s">
        <v>443</v>
      </c>
      <c r="F2753" s="27" t="s">
        <v>1013</v>
      </c>
      <c r="G2753" s="17" t="s">
        <v>123</v>
      </c>
      <c r="H2753" s="17" t="s">
        <v>5646</v>
      </c>
      <c r="I2753" s="17" t="s">
        <v>125</v>
      </c>
      <c r="J2753" s="22" t="s">
        <v>144</v>
      </c>
      <c r="K2753" s="23" t="s">
        <v>108</v>
      </c>
      <c r="L2753" s="24"/>
      <c r="M2753" s="2">
        <v>69.0</v>
      </c>
      <c r="N2753" s="25">
        <v>31.0</v>
      </c>
      <c r="O2753" s="25"/>
      <c r="P2753" s="25"/>
    </row>
    <row r="2754">
      <c r="A2754" s="16">
        <v>2752.0</v>
      </c>
      <c r="B2754" s="27" t="s">
        <v>276</v>
      </c>
      <c r="C2754" s="18">
        <v>74.0</v>
      </c>
      <c r="D2754" s="19" t="s">
        <v>2264</v>
      </c>
      <c r="E2754" s="20" t="s">
        <v>443</v>
      </c>
      <c r="F2754" s="27" t="s">
        <v>1439</v>
      </c>
      <c r="G2754" s="17" t="s">
        <v>5647</v>
      </c>
      <c r="H2754" s="17" t="s">
        <v>5648</v>
      </c>
      <c r="I2754" s="17" t="s">
        <v>125</v>
      </c>
      <c r="J2754" s="22" t="s">
        <v>144</v>
      </c>
      <c r="K2754" s="23" t="s">
        <v>108</v>
      </c>
      <c r="L2754" s="24"/>
      <c r="M2754" s="2">
        <v>69.0</v>
      </c>
      <c r="N2754" s="25">
        <v>31.0</v>
      </c>
      <c r="O2754" s="25"/>
      <c r="P2754" s="25"/>
    </row>
    <row r="2755">
      <c r="A2755" s="16">
        <v>2753.0</v>
      </c>
      <c r="B2755" s="27" t="s">
        <v>276</v>
      </c>
      <c r="C2755" s="18">
        <v>75.0</v>
      </c>
      <c r="D2755" s="19" t="s">
        <v>2264</v>
      </c>
      <c r="E2755" s="20" t="s">
        <v>443</v>
      </c>
      <c r="F2755" s="27" t="s">
        <v>1231</v>
      </c>
      <c r="G2755" s="17" t="s">
        <v>4827</v>
      </c>
      <c r="H2755" s="17" t="s">
        <v>5649</v>
      </c>
      <c r="I2755" s="17" t="s">
        <v>125</v>
      </c>
      <c r="J2755" s="22" t="s">
        <v>144</v>
      </c>
      <c r="K2755" s="23" t="s">
        <v>108</v>
      </c>
      <c r="L2755" s="24"/>
      <c r="M2755" s="2">
        <v>69.0</v>
      </c>
      <c r="N2755" s="25">
        <v>31.0</v>
      </c>
      <c r="O2755" s="25"/>
      <c r="P2755" s="25"/>
    </row>
    <row r="2756">
      <c r="A2756" s="16">
        <v>2754.0</v>
      </c>
      <c r="B2756" s="17" t="s">
        <v>276</v>
      </c>
      <c r="C2756" s="18">
        <v>76.0</v>
      </c>
      <c r="D2756" s="19" t="s">
        <v>2269</v>
      </c>
      <c r="E2756" s="20" t="s">
        <v>443</v>
      </c>
      <c r="F2756" s="17" t="s">
        <v>16</v>
      </c>
      <c r="G2756" s="17" t="s">
        <v>4860</v>
      </c>
      <c r="H2756" s="17" t="s">
        <v>4837</v>
      </c>
      <c r="I2756" s="17" t="s">
        <v>125</v>
      </c>
      <c r="J2756" s="22" t="s">
        <v>144</v>
      </c>
      <c r="K2756" s="23" t="s">
        <v>108</v>
      </c>
      <c r="L2756" s="24" t="s">
        <v>91</v>
      </c>
      <c r="M2756" s="2">
        <v>69.0</v>
      </c>
      <c r="N2756" s="25">
        <v>31.0</v>
      </c>
      <c r="O2756" s="25"/>
      <c r="P2756" s="25"/>
    </row>
    <row r="2757">
      <c r="A2757" s="16">
        <v>2755.0</v>
      </c>
      <c r="B2757" s="17" t="s">
        <v>276</v>
      </c>
      <c r="C2757" s="18">
        <v>77.0</v>
      </c>
      <c r="D2757" s="19" t="s">
        <v>2269</v>
      </c>
      <c r="E2757" s="20" t="s">
        <v>443</v>
      </c>
      <c r="F2757" s="17" t="s">
        <v>203</v>
      </c>
      <c r="G2757" s="17" t="s">
        <v>4855</v>
      </c>
      <c r="H2757" s="17" t="s">
        <v>4856</v>
      </c>
      <c r="I2757" s="17" t="s">
        <v>125</v>
      </c>
      <c r="J2757" s="22" t="s">
        <v>144</v>
      </c>
      <c r="K2757" s="23" t="s">
        <v>108</v>
      </c>
      <c r="L2757" s="24" t="s">
        <v>91</v>
      </c>
      <c r="M2757" s="2">
        <v>69.0</v>
      </c>
      <c r="N2757" s="25">
        <v>31.0</v>
      </c>
      <c r="O2757" s="25"/>
      <c r="P2757" s="25"/>
    </row>
    <row r="2758">
      <c r="A2758" s="16">
        <v>2756.0</v>
      </c>
      <c r="B2758" s="17" t="s">
        <v>276</v>
      </c>
      <c r="C2758" s="18">
        <v>78.0</v>
      </c>
      <c r="D2758" s="19" t="s">
        <v>2269</v>
      </c>
      <c r="E2758" s="20" t="s">
        <v>443</v>
      </c>
      <c r="F2758" s="17" t="s">
        <v>571</v>
      </c>
      <c r="G2758" s="17" t="s">
        <v>123</v>
      </c>
      <c r="H2758" s="17" t="s">
        <v>4838</v>
      </c>
      <c r="I2758" s="17" t="s">
        <v>125</v>
      </c>
      <c r="J2758" s="22" t="s">
        <v>144</v>
      </c>
      <c r="K2758" s="23" t="s">
        <v>108</v>
      </c>
      <c r="L2758" s="24" t="s">
        <v>91</v>
      </c>
      <c r="M2758" s="2">
        <v>69.0</v>
      </c>
      <c r="N2758" s="25">
        <v>31.0</v>
      </c>
      <c r="O2758" s="25"/>
      <c r="P2758" s="25"/>
    </row>
    <row r="2759">
      <c r="A2759" s="16">
        <v>2757.0</v>
      </c>
      <c r="B2759" s="17" t="s">
        <v>276</v>
      </c>
      <c r="C2759" s="18">
        <v>79.0</v>
      </c>
      <c r="D2759" s="19" t="s">
        <v>2269</v>
      </c>
      <c r="E2759" s="20" t="s">
        <v>443</v>
      </c>
      <c r="F2759" s="17" t="s">
        <v>206</v>
      </c>
      <c r="G2759" s="17" t="s">
        <v>4851</v>
      </c>
      <c r="H2759" s="17" t="s">
        <v>4852</v>
      </c>
      <c r="I2759" s="17" t="s">
        <v>125</v>
      </c>
      <c r="J2759" s="22" t="s">
        <v>144</v>
      </c>
      <c r="K2759" s="23" t="s">
        <v>108</v>
      </c>
      <c r="L2759" s="24" t="s">
        <v>91</v>
      </c>
      <c r="M2759" s="2">
        <v>69.0</v>
      </c>
      <c r="N2759" s="25">
        <v>31.0</v>
      </c>
      <c r="O2759" s="25"/>
      <c r="P2759" s="25"/>
    </row>
    <row r="2760">
      <c r="A2760" s="16">
        <v>2758.0</v>
      </c>
      <c r="B2760" s="17" t="s">
        <v>276</v>
      </c>
      <c r="C2760" s="18">
        <v>80.0</v>
      </c>
      <c r="D2760" s="19" t="s">
        <v>2269</v>
      </c>
      <c r="E2760" s="20" t="s">
        <v>443</v>
      </c>
      <c r="F2760" s="17" t="s">
        <v>913</v>
      </c>
      <c r="G2760" s="17" t="s">
        <v>123</v>
      </c>
      <c r="H2760" s="17" t="s">
        <v>4846</v>
      </c>
      <c r="I2760" s="17" t="s">
        <v>125</v>
      </c>
      <c r="J2760" s="22" t="s">
        <v>144</v>
      </c>
      <c r="K2760" s="23" t="s">
        <v>108</v>
      </c>
      <c r="L2760" s="24" t="s">
        <v>91</v>
      </c>
      <c r="M2760" s="2">
        <v>69.0</v>
      </c>
      <c r="N2760" s="25">
        <v>31.0</v>
      </c>
      <c r="O2760" s="25"/>
      <c r="P2760" s="25"/>
    </row>
    <row r="2761">
      <c r="A2761" s="16">
        <v>2759.0</v>
      </c>
      <c r="B2761" s="17" t="s">
        <v>276</v>
      </c>
      <c r="C2761" s="18">
        <v>81.0</v>
      </c>
      <c r="D2761" s="19" t="s">
        <v>2269</v>
      </c>
      <c r="E2761" s="20" t="s">
        <v>443</v>
      </c>
      <c r="F2761" s="17" t="s">
        <v>807</v>
      </c>
      <c r="G2761" s="17" t="s">
        <v>4844</v>
      </c>
      <c r="H2761" s="17" t="s">
        <v>4845</v>
      </c>
      <c r="I2761" s="17" t="s">
        <v>125</v>
      </c>
      <c r="J2761" s="22" t="s">
        <v>144</v>
      </c>
      <c r="K2761" s="23" t="s">
        <v>108</v>
      </c>
      <c r="L2761" s="24" t="s">
        <v>91</v>
      </c>
      <c r="M2761" s="2">
        <v>69.0</v>
      </c>
      <c r="N2761" s="25">
        <v>31.0</v>
      </c>
      <c r="O2761" s="25"/>
      <c r="P2761" s="25"/>
    </row>
    <row r="2762">
      <c r="A2762" s="16">
        <v>2760.0</v>
      </c>
      <c r="B2762" s="17" t="s">
        <v>276</v>
      </c>
      <c r="C2762" s="18">
        <v>82.0</v>
      </c>
      <c r="D2762" s="19" t="s">
        <v>2269</v>
      </c>
      <c r="E2762" s="20" t="s">
        <v>443</v>
      </c>
      <c r="F2762" s="17" t="s">
        <v>155</v>
      </c>
      <c r="G2762" s="17" t="s">
        <v>5553</v>
      </c>
      <c r="H2762" s="17" t="s">
        <v>5650</v>
      </c>
      <c r="I2762" s="17" t="s">
        <v>125</v>
      </c>
      <c r="J2762" s="22" t="s">
        <v>144</v>
      </c>
      <c r="K2762" s="23" t="s">
        <v>108</v>
      </c>
      <c r="L2762" s="24" t="s">
        <v>91</v>
      </c>
      <c r="M2762" s="2">
        <v>69.0</v>
      </c>
      <c r="N2762" s="25">
        <v>31.0</v>
      </c>
      <c r="O2762" s="25"/>
      <c r="P2762" s="25"/>
    </row>
    <row r="2763">
      <c r="A2763" s="16">
        <v>2761.0</v>
      </c>
      <c r="B2763" s="17" t="s">
        <v>276</v>
      </c>
      <c r="C2763" s="18">
        <v>83.0</v>
      </c>
      <c r="D2763" s="19" t="s">
        <v>2269</v>
      </c>
      <c r="E2763" s="20" t="s">
        <v>443</v>
      </c>
      <c r="F2763" s="17" t="s">
        <v>83</v>
      </c>
      <c r="G2763" s="17" t="s">
        <v>5651</v>
      </c>
      <c r="H2763" s="17" t="s">
        <v>5652</v>
      </c>
      <c r="I2763" s="17" t="s">
        <v>125</v>
      </c>
      <c r="J2763" s="22" t="s">
        <v>144</v>
      </c>
      <c r="K2763" s="23" t="s">
        <v>108</v>
      </c>
      <c r="L2763" s="24" t="s">
        <v>91</v>
      </c>
      <c r="M2763" s="2">
        <v>69.0</v>
      </c>
      <c r="N2763" s="25">
        <v>31.0</v>
      </c>
      <c r="O2763" s="25"/>
      <c r="P2763" s="25"/>
    </row>
    <row r="2764">
      <c r="A2764" s="16">
        <v>2762.0</v>
      </c>
      <c r="B2764" s="17" t="s">
        <v>276</v>
      </c>
      <c r="C2764" s="18">
        <v>84.0</v>
      </c>
      <c r="D2764" s="19" t="s">
        <v>2269</v>
      </c>
      <c r="E2764" s="20" t="s">
        <v>443</v>
      </c>
      <c r="F2764" s="17" t="s">
        <v>357</v>
      </c>
      <c r="G2764" s="17" t="s">
        <v>4567</v>
      </c>
      <c r="H2764" s="17" t="s">
        <v>4568</v>
      </c>
      <c r="I2764" s="17" t="s">
        <v>125</v>
      </c>
      <c r="J2764" s="22" t="s">
        <v>144</v>
      </c>
      <c r="K2764" s="23" t="s">
        <v>108</v>
      </c>
      <c r="L2764" s="24" t="s">
        <v>91</v>
      </c>
      <c r="M2764" s="2">
        <v>69.0</v>
      </c>
      <c r="N2764" s="25">
        <v>31.0</v>
      </c>
      <c r="O2764" s="25"/>
      <c r="P2764" s="25"/>
    </row>
    <row r="2765">
      <c r="A2765" s="16">
        <v>2763.0</v>
      </c>
      <c r="B2765" s="17" t="s">
        <v>276</v>
      </c>
      <c r="C2765" s="18">
        <v>85.0</v>
      </c>
      <c r="D2765" s="19" t="s">
        <v>2269</v>
      </c>
      <c r="E2765" s="20" t="s">
        <v>443</v>
      </c>
      <c r="F2765" s="17" t="s">
        <v>1154</v>
      </c>
      <c r="G2765" s="17" t="s">
        <v>5653</v>
      </c>
      <c r="H2765" s="17" t="s">
        <v>5654</v>
      </c>
      <c r="I2765" s="17" t="s">
        <v>125</v>
      </c>
      <c r="J2765" s="22" t="s">
        <v>144</v>
      </c>
      <c r="K2765" s="23" t="s">
        <v>108</v>
      </c>
      <c r="L2765" s="24" t="s">
        <v>91</v>
      </c>
      <c r="M2765" s="2">
        <v>69.0</v>
      </c>
      <c r="N2765" s="25">
        <v>31.0</v>
      </c>
      <c r="O2765" s="25"/>
      <c r="P2765" s="25"/>
    </row>
    <row r="2766">
      <c r="A2766" s="16">
        <v>2764.0</v>
      </c>
      <c r="B2766" s="17" t="s">
        <v>276</v>
      </c>
      <c r="C2766" s="18">
        <v>86.0</v>
      </c>
      <c r="D2766" s="19" t="s">
        <v>2269</v>
      </c>
      <c r="E2766" s="20" t="s">
        <v>443</v>
      </c>
      <c r="F2766" s="17" t="s">
        <v>1014</v>
      </c>
      <c r="G2766" s="17" t="s">
        <v>4565</v>
      </c>
      <c r="H2766" s="17" t="s">
        <v>4566</v>
      </c>
      <c r="I2766" s="17" t="s">
        <v>125</v>
      </c>
      <c r="J2766" s="22" t="s">
        <v>144</v>
      </c>
      <c r="K2766" s="23" t="s">
        <v>108</v>
      </c>
      <c r="L2766" s="24" t="s">
        <v>91</v>
      </c>
      <c r="M2766" s="2">
        <v>69.0</v>
      </c>
      <c r="N2766" s="25">
        <v>31.0</v>
      </c>
      <c r="O2766" s="25"/>
      <c r="P2766" s="25"/>
    </row>
    <row r="2767">
      <c r="A2767" s="16">
        <v>2765.0</v>
      </c>
      <c r="B2767" s="27" t="s">
        <v>276</v>
      </c>
      <c r="C2767" s="18">
        <v>87.0</v>
      </c>
      <c r="D2767" s="19" t="s">
        <v>2280</v>
      </c>
      <c r="E2767" s="20" t="s">
        <v>443</v>
      </c>
      <c r="F2767" s="27" t="s">
        <v>1027</v>
      </c>
      <c r="G2767" s="17" t="s">
        <v>4972</v>
      </c>
      <c r="H2767" s="17" t="s">
        <v>5655</v>
      </c>
      <c r="I2767" s="17" t="s">
        <v>125</v>
      </c>
      <c r="J2767" s="22" t="s">
        <v>144</v>
      </c>
      <c r="K2767" s="23" t="s">
        <v>108</v>
      </c>
      <c r="L2767" s="24"/>
      <c r="M2767" s="2">
        <v>69.0</v>
      </c>
      <c r="N2767" s="25">
        <v>31.0</v>
      </c>
      <c r="O2767" s="25"/>
      <c r="P2767" s="25"/>
    </row>
    <row r="2768">
      <c r="A2768" s="16">
        <v>2766.0</v>
      </c>
      <c r="B2768" s="27" t="s">
        <v>276</v>
      </c>
      <c r="C2768" s="18">
        <v>88.0</v>
      </c>
      <c r="D2768" s="19" t="s">
        <v>2280</v>
      </c>
      <c r="E2768" s="20" t="s">
        <v>443</v>
      </c>
      <c r="F2768" s="27" t="s">
        <v>1123</v>
      </c>
      <c r="G2768" s="17" t="s">
        <v>5090</v>
      </c>
      <c r="H2768" s="17" t="s">
        <v>5656</v>
      </c>
      <c r="I2768" s="17" t="s">
        <v>125</v>
      </c>
      <c r="J2768" s="22" t="s">
        <v>144</v>
      </c>
      <c r="K2768" s="23" t="s">
        <v>108</v>
      </c>
      <c r="L2768" s="24"/>
      <c r="M2768" s="2">
        <v>69.0</v>
      </c>
      <c r="N2768" s="25">
        <v>31.0</v>
      </c>
      <c r="O2768" s="25"/>
      <c r="P2768" s="25"/>
    </row>
    <row r="2769">
      <c r="A2769" s="16">
        <v>2767.0</v>
      </c>
      <c r="B2769" s="17" t="s">
        <v>276</v>
      </c>
      <c r="C2769" s="18">
        <v>89.0</v>
      </c>
      <c r="D2769" s="19" t="s">
        <v>2277</v>
      </c>
      <c r="E2769" s="20" t="s">
        <v>443</v>
      </c>
      <c r="F2769" s="17" t="s">
        <v>151</v>
      </c>
      <c r="G2769" s="17" t="s">
        <v>123</v>
      </c>
      <c r="H2769" s="17" t="s">
        <v>5441</v>
      </c>
      <c r="I2769" s="17" t="s">
        <v>125</v>
      </c>
      <c r="J2769" s="22" t="s">
        <v>144</v>
      </c>
      <c r="K2769" s="23" t="s">
        <v>108</v>
      </c>
      <c r="L2769" s="24" t="s">
        <v>91</v>
      </c>
      <c r="M2769" s="2">
        <v>69.0</v>
      </c>
      <c r="N2769" s="25">
        <v>31.0</v>
      </c>
      <c r="O2769" s="25"/>
      <c r="P2769" s="25"/>
    </row>
    <row r="2770">
      <c r="A2770" s="16">
        <v>2768.0</v>
      </c>
      <c r="B2770" s="17" t="s">
        <v>276</v>
      </c>
      <c r="C2770" s="18">
        <v>90.0</v>
      </c>
      <c r="D2770" s="19" t="s">
        <v>2277</v>
      </c>
      <c r="E2770" s="20" t="s">
        <v>443</v>
      </c>
      <c r="F2770" s="17" t="s">
        <v>129</v>
      </c>
      <c r="G2770" s="17" t="s">
        <v>5657</v>
      </c>
      <c r="H2770" s="17" t="s">
        <v>5658</v>
      </c>
      <c r="I2770" s="17" t="s">
        <v>125</v>
      </c>
      <c r="J2770" s="22" t="s">
        <v>144</v>
      </c>
      <c r="K2770" s="23" t="s">
        <v>108</v>
      </c>
      <c r="L2770" s="24" t="s">
        <v>91</v>
      </c>
      <c r="M2770" s="2">
        <v>69.0</v>
      </c>
      <c r="N2770" s="25">
        <v>31.0</v>
      </c>
      <c r="O2770" s="25"/>
      <c r="P2770" s="25"/>
    </row>
    <row r="2771">
      <c r="A2771" s="16">
        <v>2769.0</v>
      </c>
      <c r="B2771" s="17" t="s">
        <v>276</v>
      </c>
      <c r="C2771" s="18">
        <v>91.0</v>
      </c>
      <c r="D2771" s="19" t="s">
        <v>2277</v>
      </c>
      <c r="E2771" s="20" t="s">
        <v>443</v>
      </c>
      <c r="F2771" s="17" t="s">
        <v>593</v>
      </c>
      <c r="G2771" s="17" t="s">
        <v>5659</v>
      </c>
      <c r="H2771" s="17" t="s">
        <v>5660</v>
      </c>
      <c r="I2771" s="17" t="s">
        <v>125</v>
      </c>
      <c r="J2771" s="22" t="s">
        <v>144</v>
      </c>
      <c r="K2771" s="23" t="s">
        <v>108</v>
      </c>
      <c r="L2771" s="24" t="s">
        <v>91</v>
      </c>
      <c r="M2771" s="2">
        <v>69.0</v>
      </c>
      <c r="N2771" s="25">
        <v>31.0</v>
      </c>
      <c r="O2771" s="25"/>
      <c r="P2771" s="25"/>
    </row>
    <row r="2772">
      <c r="A2772" s="16">
        <v>2770.0</v>
      </c>
      <c r="B2772" s="17" t="s">
        <v>276</v>
      </c>
      <c r="C2772" s="18">
        <v>92.0</v>
      </c>
      <c r="D2772" s="19" t="s">
        <v>2277</v>
      </c>
      <c r="E2772" s="20" t="s">
        <v>443</v>
      </c>
      <c r="F2772" s="17" t="s">
        <v>804</v>
      </c>
      <c r="G2772" s="17" t="s">
        <v>5304</v>
      </c>
      <c r="H2772" s="17" t="s">
        <v>5305</v>
      </c>
      <c r="I2772" s="17" t="s">
        <v>125</v>
      </c>
      <c r="J2772" s="22" t="s">
        <v>144</v>
      </c>
      <c r="K2772" s="23" t="s">
        <v>108</v>
      </c>
      <c r="L2772" s="24" t="s">
        <v>91</v>
      </c>
      <c r="M2772" s="2">
        <v>69.0</v>
      </c>
      <c r="N2772" s="25">
        <v>31.0</v>
      </c>
      <c r="O2772" s="25"/>
      <c r="P2772" s="25"/>
    </row>
    <row r="2773">
      <c r="A2773" s="16">
        <v>2771.0</v>
      </c>
      <c r="B2773" s="17" t="s">
        <v>276</v>
      </c>
      <c r="C2773" s="18">
        <v>93.0</v>
      </c>
      <c r="D2773" s="19" t="s">
        <v>2277</v>
      </c>
      <c r="E2773" s="20" t="s">
        <v>443</v>
      </c>
      <c r="F2773" s="17" t="s">
        <v>240</v>
      </c>
      <c r="G2773" s="17" t="s">
        <v>4539</v>
      </c>
      <c r="H2773" s="17" t="s">
        <v>5278</v>
      </c>
      <c r="I2773" s="17" t="s">
        <v>125</v>
      </c>
      <c r="J2773" s="22" t="s">
        <v>144</v>
      </c>
      <c r="K2773" s="23" t="s">
        <v>108</v>
      </c>
      <c r="L2773" s="24" t="s">
        <v>91</v>
      </c>
      <c r="M2773" s="2">
        <v>69.0</v>
      </c>
      <c r="N2773" s="25">
        <v>31.0</v>
      </c>
      <c r="O2773" s="25"/>
      <c r="P2773" s="25"/>
    </row>
    <row r="2774">
      <c r="A2774" s="16">
        <v>2772.0</v>
      </c>
      <c r="B2774" s="17" t="s">
        <v>276</v>
      </c>
      <c r="C2774" s="18">
        <v>94.0</v>
      </c>
      <c r="D2774" s="19" t="s">
        <v>2277</v>
      </c>
      <c r="E2774" s="20" t="s">
        <v>443</v>
      </c>
      <c r="F2774" s="17" t="s">
        <v>308</v>
      </c>
      <c r="G2774" s="17" t="s">
        <v>2860</v>
      </c>
      <c r="H2774" s="17" t="s">
        <v>5661</v>
      </c>
      <c r="I2774" s="17" t="s">
        <v>125</v>
      </c>
      <c r="J2774" s="22" t="s">
        <v>144</v>
      </c>
      <c r="K2774" s="23" t="s">
        <v>108</v>
      </c>
      <c r="L2774" s="24" t="s">
        <v>91</v>
      </c>
      <c r="M2774" s="2">
        <v>69.0</v>
      </c>
      <c r="N2774" s="25">
        <v>31.0</v>
      </c>
      <c r="O2774" s="25"/>
      <c r="P2774" s="25"/>
    </row>
    <row r="2775">
      <c r="A2775" s="16">
        <v>2773.0</v>
      </c>
      <c r="B2775" s="17" t="s">
        <v>276</v>
      </c>
      <c r="C2775" s="18">
        <v>95.0</v>
      </c>
      <c r="D2775" s="19" t="s">
        <v>2277</v>
      </c>
      <c r="E2775" s="20" t="s">
        <v>443</v>
      </c>
      <c r="F2775" s="17" t="s">
        <v>999</v>
      </c>
      <c r="G2775" s="17" t="s">
        <v>123</v>
      </c>
      <c r="H2775" s="17" t="s">
        <v>5466</v>
      </c>
      <c r="I2775" s="17" t="s">
        <v>125</v>
      </c>
      <c r="J2775" s="22" t="s">
        <v>144</v>
      </c>
      <c r="K2775" s="23" t="s">
        <v>108</v>
      </c>
      <c r="L2775" s="24" t="s">
        <v>91</v>
      </c>
      <c r="M2775" s="2">
        <v>69.0</v>
      </c>
      <c r="N2775" s="25">
        <v>31.0</v>
      </c>
      <c r="O2775" s="25"/>
      <c r="P2775" s="25"/>
    </row>
    <row r="2776">
      <c r="A2776" s="16">
        <v>2774.0</v>
      </c>
      <c r="B2776" s="17" t="s">
        <v>276</v>
      </c>
      <c r="C2776" s="18">
        <v>96.0</v>
      </c>
      <c r="D2776" s="19" t="s">
        <v>2277</v>
      </c>
      <c r="E2776" s="20" t="s">
        <v>443</v>
      </c>
      <c r="F2776" s="17" t="s">
        <v>907</v>
      </c>
      <c r="G2776" s="17" t="s">
        <v>5662</v>
      </c>
      <c r="H2776" s="17" t="s">
        <v>5663</v>
      </c>
      <c r="I2776" s="17" t="s">
        <v>125</v>
      </c>
      <c r="J2776" s="22" t="s">
        <v>144</v>
      </c>
      <c r="K2776" s="23" t="s">
        <v>108</v>
      </c>
      <c r="L2776" s="24" t="s">
        <v>91</v>
      </c>
      <c r="M2776" s="2">
        <v>69.0</v>
      </c>
      <c r="N2776" s="25">
        <v>31.0</v>
      </c>
      <c r="O2776" s="25"/>
      <c r="P2776" s="25"/>
    </row>
    <row r="2777">
      <c r="A2777" s="16">
        <v>2775.0</v>
      </c>
      <c r="B2777" s="17" t="s">
        <v>276</v>
      </c>
      <c r="C2777" s="18">
        <v>97.0</v>
      </c>
      <c r="D2777" s="19" t="s">
        <v>2277</v>
      </c>
      <c r="E2777" s="20" t="s">
        <v>443</v>
      </c>
      <c r="F2777" s="17" t="s">
        <v>906</v>
      </c>
      <c r="G2777" s="17" t="s">
        <v>5664</v>
      </c>
      <c r="H2777" s="17" t="s">
        <v>5665</v>
      </c>
      <c r="I2777" s="17" t="s">
        <v>125</v>
      </c>
      <c r="J2777" s="22" t="s">
        <v>144</v>
      </c>
      <c r="K2777" s="23" t="s">
        <v>108</v>
      </c>
      <c r="L2777" s="24" t="s">
        <v>91</v>
      </c>
      <c r="M2777" s="2">
        <v>69.0</v>
      </c>
      <c r="N2777" s="25">
        <v>31.0</v>
      </c>
      <c r="O2777" s="25"/>
      <c r="P2777" s="25"/>
    </row>
    <row r="2778">
      <c r="A2778" s="16">
        <v>2776.0</v>
      </c>
      <c r="B2778" s="27" t="s">
        <v>276</v>
      </c>
      <c r="C2778" s="18">
        <v>98.0</v>
      </c>
      <c r="D2778" s="19" t="s">
        <v>2277</v>
      </c>
      <c r="E2778" s="20" t="s">
        <v>443</v>
      </c>
      <c r="F2778" s="27" t="s">
        <v>1308</v>
      </c>
      <c r="G2778" s="17" t="s">
        <v>1870</v>
      </c>
      <c r="H2778" s="17" t="s">
        <v>5666</v>
      </c>
      <c r="I2778" s="17" t="s">
        <v>125</v>
      </c>
      <c r="J2778" s="22" t="s">
        <v>144</v>
      </c>
      <c r="K2778" s="23" t="s">
        <v>108</v>
      </c>
      <c r="L2778" s="24"/>
      <c r="M2778" s="2">
        <v>69.0</v>
      </c>
      <c r="N2778" s="25">
        <v>31.0</v>
      </c>
      <c r="O2778" s="25"/>
      <c r="P2778" s="25"/>
    </row>
    <row r="2779">
      <c r="A2779" s="16">
        <v>2777.0</v>
      </c>
      <c r="B2779" s="27" t="s">
        <v>276</v>
      </c>
      <c r="C2779" s="18">
        <v>99.0</v>
      </c>
      <c r="D2779" s="19" t="s">
        <v>2277</v>
      </c>
      <c r="E2779" s="20" t="s">
        <v>443</v>
      </c>
      <c r="F2779" s="27" t="s">
        <v>837</v>
      </c>
      <c r="G2779" s="17" t="s">
        <v>3525</v>
      </c>
      <c r="H2779" s="17" t="s">
        <v>5667</v>
      </c>
      <c r="I2779" s="17" t="s">
        <v>125</v>
      </c>
      <c r="J2779" s="22" t="s">
        <v>144</v>
      </c>
      <c r="K2779" s="23" t="s">
        <v>108</v>
      </c>
      <c r="L2779" s="24"/>
      <c r="M2779" s="2">
        <v>69.0</v>
      </c>
      <c r="N2779" s="25">
        <v>31.0</v>
      </c>
      <c r="O2779" s="25"/>
      <c r="P2779" s="25"/>
    </row>
    <row r="2780">
      <c r="A2780" s="16">
        <v>2778.0</v>
      </c>
      <c r="B2780" s="27" t="s">
        <v>276</v>
      </c>
      <c r="C2780" s="18">
        <v>100.0</v>
      </c>
      <c r="D2780" s="19" t="s">
        <v>2277</v>
      </c>
      <c r="E2780" s="20" t="s">
        <v>443</v>
      </c>
      <c r="F2780" s="27" t="s">
        <v>1155</v>
      </c>
      <c r="G2780" s="17" t="s">
        <v>123</v>
      </c>
      <c r="H2780" s="17" t="s">
        <v>5668</v>
      </c>
      <c r="I2780" s="17" t="s">
        <v>125</v>
      </c>
      <c r="J2780" s="22" t="s">
        <v>144</v>
      </c>
      <c r="K2780" s="23" t="s">
        <v>108</v>
      </c>
      <c r="L2780" s="24"/>
      <c r="M2780" s="2">
        <v>69.0</v>
      </c>
      <c r="N2780" s="25">
        <v>31.0</v>
      </c>
      <c r="O2780" s="25"/>
      <c r="P2780" s="25"/>
    </row>
    <row r="2781">
      <c r="A2781" s="16">
        <v>2779.0</v>
      </c>
      <c r="B2781" s="17" t="s">
        <v>918</v>
      </c>
      <c r="C2781" s="18">
        <v>1.0</v>
      </c>
      <c r="D2781" s="19" t="s">
        <v>2291</v>
      </c>
      <c r="E2781" s="20" t="s">
        <v>443</v>
      </c>
      <c r="F2781" s="17" t="s">
        <v>1021</v>
      </c>
      <c r="G2781" s="17" t="s">
        <v>123</v>
      </c>
      <c r="H2781" s="17" t="s">
        <v>5473</v>
      </c>
      <c r="I2781" s="17" t="s">
        <v>98</v>
      </c>
      <c r="J2781" s="22" t="s">
        <v>100</v>
      </c>
      <c r="K2781" s="23" t="s">
        <v>108</v>
      </c>
      <c r="L2781" s="24" t="s">
        <v>91</v>
      </c>
      <c r="M2781" s="2">
        <v>70.0</v>
      </c>
      <c r="N2781" s="25">
        <v>10.0</v>
      </c>
      <c r="O2781" s="25"/>
      <c r="P2781" s="25"/>
    </row>
    <row r="2782">
      <c r="A2782" s="16">
        <v>2780.0</v>
      </c>
      <c r="B2782" s="17" t="s">
        <v>918</v>
      </c>
      <c r="C2782" s="18">
        <v>2.0</v>
      </c>
      <c r="D2782" s="19" t="s">
        <v>2291</v>
      </c>
      <c r="E2782" s="20" t="s">
        <v>443</v>
      </c>
      <c r="F2782" s="17" t="s">
        <v>101</v>
      </c>
      <c r="G2782" s="17" t="s">
        <v>5669</v>
      </c>
      <c r="H2782" s="17" t="s">
        <v>5670</v>
      </c>
      <c r="I2782" s="17" t="s">
        <v>98</v>
      </c>
      <c r="J2782" s="22" t="s">
        <v>135</v>
      </c>
      <c r="K2782" s="23" t="s">
        <v>108</v>
      </c>
      <c r="L2782" s="24" t="s">
        <v>91</v>
      </c>
      <c r="M2782" s="2">
        <v>70.0</v>
      </c>
      <c r="N2782" s="25">
        <v>20.0</v>
      </c>
      <c r="O2782" s="25"/>
      <c r="P2782" s="25"/>
    </row>
    <row r="2783">
      <c r="A2783" s="16">
        <v>2781.0</v>
      </c>
      <c r="B2783" s="17" t="s">
        <v>918</v>
      </c>
      <c r="C2783" s="18">
        <v>3.0</v>
      </c>
      <c r="D2783" s="19" t="s">
        <v>2291</v>
      </c>
      <c r="E2783" s="20" t="s">
        <v>443</v>
      </c>
      <c r="F2783" s="17" t="s">
        <v>1013</v>
      </c>
      <c r="G2783" s="17" t="s">
        <v>123</v>
      </c>
      <c r="H2783" s="17" t="s">
        <v>5671</v>
      </c>
      <c r="I2783" s="17" t="s">
        <v>98</v>
      </c>
      <c r="J2783" s="22" t="s">
        <v>135</v>
      </c>
      <c r="K2783" s="23" t="s">
        <v>108</v>
      </c>
      <c r="L2783" s="24" t="s">
        <v>91</v>
      </c>
      <c r="M2783" s="2">
        <v>70.0</v>
      </c>
      <c r="N2783" s="25">
        <v>20.0</v>
      </c>
      <c r="O2783" s="25"/>
      <c r="P2783" s="25"/>
    </row>
    <row r="2784">
      <c r="A2784" s="16">
        <v>2782.0</v>
      </c>
      <c r="B2784" s="17" t="s">
        <v>918</v>
      </c>
      <c r="C2784" s="18">
        <v>4.0</v>
      </c>
      <c r="D2784" s="19" t="s">
        <v>2291</v>
      </c>
      <c r="E2784" s="20" t="s">
        <v>443</v>
      </c>
      <c r="F2784" s="17" t="s">
        <v>531</v>
      </c>
      <c r="G2784" s="17" t="s">
        <v>5672</v>
      </c>
      <c r="H2784" s="17" t="s">
        <v>5673</v>
      </c>
      <c r="I2784" s="17" t="s">
        <v>98</v>
      </c>
      <c r="J2784" s="22" t="s">
        <v>135</v>
      </c>
      <c r="K2784" s="23" t="s">
        <v>108</v>
      </c>
      <c r="L2784" s="24" t="s">
        <v>91</v>
      </c>
      <c r="M2784" s="2">
        <v>70.0</v>
      </c>
      <c r="N2784" s="25">
        <v>20.0</v>
      </c>
      <c r="O2784" s="25"/>
      <c r="P2784" s="25"/>
    </row>
    <row r="2785">
      <c r="A2785" s="16">
        <v>2783.0</v>
      </c>
      <c r="B2785" s="17" t="s">
        <v>918</v>
      </c>
      <c r="C2785" s="18">
        <v>5.0</v>
      </c>
      <c r="D2785" s="19" t="s">
        <v>2291</v>
      </c>
      <c r="E2785" s="20" t="s">
        <v>443</v>
      </c>
      <c r="F2785" s="17" t="s">
        <v>879</v>
      </c>
      <c r="G2785" s="17" t="s">
        <v>5282</v>
      </c>
      <c r="H2785" s="17" t="s">
        <v>5674</v>
      </c>
      <c r="I2785" s="17" t="s">
        <v>98</v>
      </c>
      <c r="J2785" s="22" t="s">
        <v>135</v>
      </c>
      <c r="K2785" s="23" t="s">
        <v>108</v>
      </c>
      <c r="L2785" s="24" t="s">
        <v>91</v>
      </c>
      <c r="M2785" s="2">
        <v>70.0</v>
      </c>
      <c r="N2785" s="25">
        <v>20.0</v>
      </c>
      <c r="O2785" s="25"/>
      <c r="P2785" s="25"/>
    </row>
    <row r="2786">
      <c r="A2786" s="16">
        <v>2784.0</v>
      </c>
      <c r="B2786" s="17" t="s">
        <v>918</v>
      </c>
      <c r="C2786" s="18">
        <v>6.0</v>
      </c>
      <c r="D2786" s="19" t="s">
        <v>2291</v>
      </c>
      <c r="E2786" s="20" t="s">
        <v>443</v>
      </c>
      <c r="F2786" s="17" t="s">
        <v>695</v>
      </c>
      <c r="G2786" s="17" t="s">
        <v>5313</v>
      </c>
      <c r="H2786" s="17" t="s">
        <v>5675</v>
      </c>
      <c r="I2786" s="17" t="s">
        <v>98</v>
      </c>
      <c r="J2786" s="22" t="s">
        <v>135</v>
      </c>
      <c r="K2786" s="23" t="s">
        <v>108</v>
      </c>
      <c r="L2786" s="24" t="s">
        <v>91</v>
      </c>
      <c r="M2786" s="2">
        <v>70.0</v>
      </c>
      <c r="N2786" s="25">
        <v>20.0</v>
      </c>
      <c r="O2786" s="25"/>
      <c r="P2786" s="25"/>
    </row>
    <row r="2787">
      <c r="A2787" s="16">
        <v>2785.0</v>
      </c>
      <c r="B2787" s="17" t="s">
        <v>918</v>
      </c>
      <c r="C2787" s="18">
        <v>7.0</v>
      </c>
      <c r="D2787" s="19" t="s">
        <v>2291</v>
      </c>
      <c r="E2787" s="20" t="s">
        <v>443</v>
      </c>
      <c r="F2787" s="17" t="s">
        <v>813</v>
      </c>
      <c r="G2787" s="17" t="s">
        <v>5493</v>
      </c>
      <c r="H2787" s="17" t="s">
        <v>5494</v>
      </c>
      <c r="I2787" s="17" t="s">
        <v>98</v>
      </c>
      <c r="J2787" s="22" t="s">
        <v>135</v>
      </c>
      <c r="K2787" s="23" t="s">
        <v>108</v>
      </c>
      <c r="L2787" s="24" t="s">
        <v>91</v>
      </c>
      <c r="M2787" s="2">
        <v>70.0</v>
      </c>
      <c r="N2787" s="25">
        <v>20.0</v>
      </c>
      <c r="O2787" s="25"/>
      <c r="P2787" s="25"/>
    </row>
    <row r="2788">
      <c r="A2788" s="16">
        <v>2786.0</v>
      </c>
      <c r="B2788" s="17" t="s">
        <v>918</v>
      </c>
      <c r="C2788" s="18">
        <v>8.0</v>
      </c>
      <c r="D2788" s="19" t="s">
        <v>2291</v>
      </c>
      <c r="E2788" s="20" t="s">
        <v>443</v>
      </c>
      <c r="F2788" s="17" t="s">
        <v>712</v>
      </c>
      <c r="G2788" s="17" t="s">
        <v>5676</v>
      </c>
      <c r="H2788" s="17" t="s">
        <v>5677</v>
      </c>
      <c r="I2788" s="17" t="s">
        <v>98</v>
      </c>
      <c r="J2788" s="22" t="s">
        <v>135</v>
      </c>
      <c r="K2788" s="23" t="s">
        <v>108</v>
      </c>
      <c r="L2788" s="24" t="s">
        <v>91</v>
      </c>
      <c r="M2788" s="2">
        <v>70.0</v>
      </c>
      <c r="N2788" s="25">
        <v>20.0</v>
      </c>
      <c r="O2788" s="25"/>
      <c r="P2788" s="25"/>
    </row>
    <row r="2789">
      <c r="A2789" s="16">
        <v>2787.0</v>
      </c>
      <c r="B2789" s="17" t="s">
        <v>918</v>
      </c>
      <c r="C2789" s="18">
        <v>9.0</v>
      </c>
      <c r="D2789" s="19" t="s">
        <v>2291</v>
      </c>
      <c r="E2789" s="20" t="s">
        <v>443</v>
      </c>
      <c r="F2789" s="17" t="s">
        <v>702</v>
      </c>
      <c r="G2789" s="17" t="s">
        <v>2637</v>
      </c>
      <c r="H2789" s="17" t="s">
        <v>5678</v>
      </c>
      <c r="I2789" s="17" t="s">
        <v>98</v>
      </c>
      <c r="J2789" s="22" t="s">
        <v>135</v>
      </c>
      <c r="K2789" s="23" t="s">
        <v>108</v>
      </c>
      <c r="L2789" s="24" t="s">
        <v>91</v>
      </c>
      <c r="M2789" s="2">
        <v>70.0</v>
      </c>
      <c r="N2789" s="25">
        <v>20.0</v>
      </c>
      <c r="O2789" s="25"/>
      <c r="P2789" s="25"/>
    </row>
    <row r="2790">
      <c r="A2790" s="16">
        <v>2788.0</v>
      </c>
      <c r="B2790" s="17" t="s">
        <v>918</v>
      </c>
      <c r="C2790" s="18">
        <v>10.0</v>
      </c>
      <c r="D2790" s="19" t="s">
        <v>2291</v>
      </c>
      <c r="E2790" s="20" t="s">
        <v>443</v>
      </c>
      <c r="F2790" s="17" t="s">
        <v>1155</v>
      </c>
      <c r="G2790" s="17" t="s">
        <v>123</v>
      </c>
      <c r="H2790" s="17" t="s">
        <v>5679</v>
      </c>
      <c r="I2790" s="17" t="s">
        <v>98</v>
      </c>
      <c r="J2790" s="22" t="s">
        <v>135</v>
      </c>
      <c r="K2790" s="23" t="s">
        <v>108</v>
      </c>
      <c r="L2790" s="24" t="s">
        <v>91</v>
      </c>
      <c r="M2790" s="2">
        <v>70.0</v>
      </c>
      <c r="N2790" s="25">
        <v>20.0</v>
      </c>
      <c r="O2790" s="25"/>
      <c r="P2790" s="25"/>
    </row>
    <row r="2791">
      <c r="A2791" s="16">
        <v>2789.0</v>
      </c>
      <c r="B2791" s="17" t="s">
        <v>918</v>
      </c>
      <c r="C2791" s="18">
        <v>11.0</v>
      </c>
      <c r="D2791" s="19" t="s">
        <v>2291</v>
      </c>
      <c r="E2791" s="20" t="s">
        <v>443</v>
      </c>
      <c r="F2791" s="17" t="s">
        <v>988</v>
      </c>
      <c r="G2791" s="17" t="s">
        <v>2158</v>
      </c>
      <c r="H2791" s="17" t="s">
        <v>5680</v>
      </c>
      <c r="I2791" s="17" t="s">
        <v>98</v>
      </c>
      <c r="J2791" s="22" t="s">
        <v>135</v>
      </c>
      <c r="K2791" s="23" t="s">
        <v>108</v>
      </c>
      <c r="L2791" s="24" t="s">
        <v>91</v>
      </c>
      <c r="M2791" s="2">
        <v>70.0</v>
      </c>
      <c r="N2791" s="25">
        <v>20.0</v>
      </c>
      <c r="O2791" s="25"/>
      <c r="P2791" s="25"/>
    </row>
    <row r="2792">
      <c r="A2792" s="16">
        <v>2790.0</v>
      </c>
      <c r="B2792" s="17" t="s">
        <v>918</v>
      </c>
      <c r="C2792" s="18">
        <v>12.0</v>
      </c>
      <c r="D2792" s="19" t="s">
        <v>2291</v>
      </c>
      <c r="E2792" s="20" t="s">
        <v>443</v>
      </c>
      <c r="F2792" s="17" t="s">
        <v>153</v>
      </c>
      <c r="G2792" s="17" t="s">
        <v>4909</v>
      </c>
      <c r="H2792" s="17" t="s">
        <v>5681</v>
      </c>
      <c r="I2792" s="17" t="s">
        <v>98</v>
      </c>
      <c r="J2792" s="22" t="s">
        <v>135</v>
      </c>
      <c r="K2792" s="23" t="s">
        <v>108</v>
      </c>
      <c r="L2792" s="24" t="s">
        <v>91</v>
      </c>
      <c r="M2792" s="2">
        <v>70.0</v>
      </c>
      <c r="N2792" s="25">
        <v>20.0</v>
      </c>
      <c r="O2792" s="25"/>
      <c r="P2792" s="25"/>
    </row>
    <row r="2793">
      <c r="A2793" s="16">
        <v>2791.0</v>
      </c>
      <c r="B2793" s="27" t="s">
        <v>918</v>
      </c>
      <c r="C2793" s="18">
        <v>13.0</v>
      </c>
      <c r="D2793" s="19" t="s">
        <v>2291</v>
      </c>
      <c r="E2793" s="20" t="s">
        <v>443</v>
      </c>
      <c r="F2793" s="27" t="s">
        <v>1090</v>
      </c>
      <c r="G2793" s="17" t="s">
        <v>5682</v>
      </c>
      <c r="H2793" s="17" t="s">
        <v>5683</v>
      </c>
      <c r="I2793" s="17" t="s">
        <v>98</v>
      </c>
      <c r="J2793" s="22" t="s">
        <v>135</v>
      </c>
      <c r="K2793" s="23" t="s">
        <v>108</v>
      </c>
      <c r="L2793" s="24"/>
      <c r="M2793" s="2">
        <v>70.0</v>
      </c>
      <c r="N2793" s="25">
        <v>20.0</v>
      </c>
      <c r="O2793" s="25"/>
      <c r="P2793" s="25"/>
    </row>
    <row r="2794">
      <c r="A2794" s="16">
        <v>2792.0</v>
      </c>
      <c r="B2794" s="27" t="s">
        <v>918</v>
      </c>
      <c r="C2794" s="18">
        <v>14.0</v>
      </c>
      <c r="D2794" s="19" t="s">
        <v>2291</v>
      </c>
      <c r="E2794" s="20" t="s">
        <v>443</v>
      </c>
      <c r="F2794" s="27" t="s">
        <v>1018</v>
      </c>
      <c r="G2794" s="17" t="s">
        <v>5684</v>
      </c>
      <c r="H2794" s="17" t="s">
        <v>5685</v>
      </c>
      <c r="I2794" s="17" t="s">
        <v>98</v>
      </c>
      <c r="J2794" s="22" t="s">
        <v>135</v>
      </c>
      <c r="K2794" s="23" t="s">
        <v>108</v>
      </c>
      <c r="L2794" s="24"/>
      <c r="M2794" s="2">
        <v>70.0</v>
      </c>
      <c r="N2794" s="25">
        <v>20.0</v>
      </c>
      <c r="O2794" s="25"/>
      <c r="P2794" s="25"/>
    </row>
    <row r="2795">
      <c r="A2795" s="16">
        <v>2793.0</v>
      </c>
      <c r="B2795" s="27" t="s">
        <v>918</v>
      </c>
      <c r="C2795" s="18">
        <v>15.0</v>
      </c>
      <c r="D2795" s="19" t="s">
        <v>2291</v>
      </c>
      <c r="E2795" s="20" t="s">
        <v>443</v>
      </c>
      <c r="F2795" s="27" t="s">
        <v>963</v>
      </c>
      <c r="G2795" s="17" t="s">
        <v>2101</v>
      </c>
      <c r="H2795" s="17" t="s">
        <v>5686</v>
      </c>
      <c r="I2795" s="17" t="s">
        <v>98</v>
      </c>
      <c r="J2795" s="22" t="s">
        <v>135</v>
      </c>
      <c r="K2795" s="23" t="s">
        <v>108</v>
      </c>
      <c r="L2795" s="24"/>
      <c r="M2795" s="2">
        <v>70.0</v>
      </c>
      <c r="N2795" s="25">
        <v>20.0</v>
      </c>
      <c r="O2795" s="25"/>
      <c r="P2795" s="25"/>
    </row>
    <row r="2796">
      <c r="A2796" s="16">
        <v>2794.0</v>
      </c>
      <c r="B2796" s="27" t="s">
        <v>918</v>
      </c>
      <c r="C2796" s="18">
        <v>16.0</v>
      </c>
      <c r="D2796" s="19" t="s">
        <v>2291</v>
      </c>
      <c r="E2796" s="20" t="s">
        <v>443</v>
      </c>
      <c r="F2796" s="27" t="s">
        <v>1078</v>
      </c>
      <c r="G2796" s="17" t="s">
        <v>5070</v>
      </c>
      <c r="H2796" s="17" t="s">
        <v>5687</v>
      </c>
      <c r="I2796" s="17" t="s">
        <v>98</v>
      </c>
      <c r="J2796" s="22" t="s">
        <v>135</v>
      </c>
      <c r="K2796" s="23" t="s">
        <v>108</v>
      </c>
      <c r="L2796" s="24"/>
      <c r="M2796" s="2">
        <v>70.0</v>
      </c>
      <c r="N2796" s="25">
        <v>20.0</v>
      </c>
      <c r="O2796" s="25"/>
      <c r="P2796" s="25"/>
    </row>
    <row r="2797">
      <c r="A2797" s="16">
        <v>2795.0</v>
      </c>
      <c r="B2797" s="27" t="s">
        <v>918</v>
      </c>
      <c r="C2797" s="18">
        <v>17.0</v>
      </c>
      <c r="D2797" s="19" t="s">
        <v>2291</v>
      </c>
      <c r="E2797" s="20" t="s">
        <v>443</v>
      </c>
      <c r="F2797" s="27" t="s">
        <v>1220</v>
      </c>
      <c r="G2797" s="17" t="s">
        <v>5688</v>
      </c>
      <c r="H2797" s="17" t="s">
        <v>5689</v>
      </c>
      <c r="I2797" s="17" t="s">
        <v>98</v>
      </c>
      <c r="J2797" s="22" t="s">
        <v>135</v>
      </c>
      <c r="K2797" s="23" t="s">
        <v>108</v>
      </c>
      <c r="L2797" s="24"/>
      <c r="M2797" s="2">
        <v>70.0</v>
      </c>
      <c r="N2797" s="25">
        <v>20.0</v>
      </c>
      <c r="O2797" s="25"/>
      <c r="P2797" s="25"/>
    </row>
    <row r="2798">
      <c r="A2798" s="16">
        <v>2796.0</v>
      </c>
      <c r="B2798" s="27" t="s">
        <v>918</v>
      </c>
      <c r="C2798" s="18">
        <v>18.0</v>
      </c>
      <c r="D2798" s="19" t="s">
        <v>2291</v>
      </c>
      <c r="E2798" s="20" t="s">
        <v>443</v>
      </c>
      <c r="F2798" s="27" t="s">
        <v>1135</v>
      </c>
      <c r="G2798" s="17" t="s">
        <v>5690</v>
      </c>
      <c r="H2798" s="17" t="s">
        <v>5691</v>
      </c>
      <c r="I2798" s="17" t="s">
        <v>98</v>
      </c>
      <c r="J2798" s="22" t="s">
        <v>135</v>
      </c>
      <c r="K2798" s="23" t="s">
        <v>108</v>
      </c>
      <c r="L2798" s="24"/>
      <c r="M2798" s="2">
        <v>70.0</v>
      </c>
      <c r="N2798" s="25">
        <v>20.0</v>
      </c>
      <c r="O2798" s="25"/>
      <c r="P2798" s="25"/>
    </row>
    <row r="2799">
      <c r="A2799" s="16">
        <v>2797.0</v>
      </c>
      <c r="B2799" s="17" t="s">
        <v>918</v>
      </c>
      <c r="C2799" s="18">
        <v>19.0</v>
      </c>
      <c r="D2799" s="19" t="s">
        <v>2291</v>
      </c>
      <c r="E2799" s="20" t="s">
        <v>443</v>
      </c>
      <c r="F2799" s="17" t="s">
        <v>116</v>
      </c>
      <c r="G2799" s="17" t="s">
        <v>123</v>
      </c>
      <c r="H2799" s="17" t="s">
        <v>5692</v>
      </c>
      <c r="I2799" s="17" t="s">
        <v>98</v>
      </c>
      <c r="J2799" s="22" t="s">
        <v>144</v>
      </c>
      <c r="K2799" s="23" t="s">
        <v>108</v>
      </c>
      <c r="L2799" s="24" t="s">
        <v>91</v>
      </c>
      <c r="M2799" s="2">
        <v>70.0</v>
      </c>
      <c r="N2799" s="25">
        <v>30.0</v>
      </c>
      <c r="O2799" s="25"/>
      <c r="P2799" s="25"/>
    </row>
    <row r="2800">
      <c r="A2800" s="16">
        <v>2798.0</v>
      </c>
      <c r="B2800" s="17" t="s">
        <v>918</v>
      </c>
      <c r="C2800" s="18">
        <v>20.0</v>
      </c>
      <c r="D2800" s="19" t="s">
        <v>2291</v>
      </c>
      <c r="E2800" s="20" t="s">
        <v>443</v>
      </c>
      <c r="F2800" s="17" t="s">
        <v>593</v>
      </c>
      <c r="G2800" s="17" t="s">
        <v>5659</v>
      </c>
      <c r="H2800" s="17" t="s">
        <v>5693</v>
      </c>
      <c r="I2800" s="17" t="s">
        <v>98</v>
      </c>
      <c r="J2800" s="22" t="s">
        <v>144</v>
      </c>
      <c r="K2800" s="23" t="s">
        <v>108</v>
      </c>
      <c r="L2800" s="24" t="s">
        <v>91</v>
      </c>
      <c r="M2800" s="2">
        <v>70.0</v>
      </c>
      <c r="N2800" s="25">
        <v>30.0</v>
      </c>
      <c r="O2800" s="25"/>
      <c r="P2800" s="25"/>
    </row>
    <row r="2801">
      <c r="A2801" s="16">
        <v>2799.0</v>
      </c>
      <c r="B2801" s="17" t="s">
        <v>918</v>
      </c>
      <c r="C2801" s="18">
        <v>21.0</v>
      </c>
      <c r="D2801" s="19" t="s">
        <v>2291</v>
      </c>
      <c r="E2801" s="20" t="s">
        <v>443</v>
      </c>
      <c r="F2801" s="17" t="s">
        <v>13</v>
      </c>
      <c r="G2801" s="17" t="s">
        <v>5694</v>
      </c>
      <c r="H2801" s="17" t="s">
        <v>5695</v>
      </c>
      <c r="I2801" s="17" t="s">
        <v>98</v>
      </c>
      <c r="J2801" s="22" t="s">
        <v>144</v>
      </c>
      <c r="K2801" s="23" t="s">
        <v>108</v>
      </c>
      <c r="L2801" s="24" t="s">
        <v>91</v>
      </c>
      <c r="M2801" s="2">
        <v>70.0</v>
      </c>
      <c r="N2801" s="25">
        <v>30.0</v>
      </c>
      <c r="O2801" s="25"/>
      <c r="P2801" s="25"/>
    </row>
    <row r="2802">
      <c r="A2802" s="16">
        <v>2800.0</v>
      </c>
      <c r="B2802" s="17" t="s">
        <v>918</v>
      </c>
      <c r="C2802" s="18">
        <v>22.0</v>
      </c>
      <c r="D2802" s="19" t="s">
        <v>2291</v>
      </c>
      <c r="E2802" s="20" t="s">
        <v>443</v>
      </c>
      <c r="F2802" s="17" t="s">
        <v>109</v>
      </c>
      <c r="G2802" s="17" t="s">
        <v>123</v>
      </c>
      <c r="H2802" s="17" t="s">
        <v>5696</v>
      </c>
      <c r="I2802" s="17" t="s">
        <v>98</v>
      </c>
      <c r="J2802" s="22" t="s">
        <v>144</v>
      </c>
      <c r="K2802" s="23" t="s">
        <v>108</v>
      </c>
      <c r="L2802" s="24" t="s">
        <v>91</v>
      </c>
      <c r="M2802" s="2">
        <v>70.0</v>
      </c>
      <c r="N2802" s="25">
        <v>30.0</v>
      </c>
      <c r="O2802" s="25"/>
      <c r="P2802" s="25"/>
    </row>
    <row r="2803">
      <c r="A2803" s="16">
        <v>2801.0</v>
      </c>
      <c r="B2803" s="17" t="s">
        <v>918</v>
      </c>
      <c r="C2803" s="18">
        <v>23.0</v>
      </c>
      <c r="D2803" s="19" t="s">
        <v>2291</v>
      </c>
      <c r="E2803" s="20" t="s">
        <v>443</v>
      </c>
      <c r="F2803" s="17" t="s">
        <v>259</v>
      </c>
      <c r="G2803" s="17" t="s">
        <v>5569</v>
      </c>
      <c r="H2803" s="17" t="s">
        <v>5697</v>
      </c>
      <c r="I2803" s="17" t="s">
        <v>98</v>
      </c>
      <c r="J2803" s="22" t="s">
        <v>144</v>
      </c>
      <c r="K2803" s="23" t="s">
        <v>108</v>
      </c>
      <c r="L2803" s="24" t="s">
        <v>91</v>
      </c>
      <c r="M2803" s="2">
        <v>70.0</v>
      </c>
      <c r="N2803" s="25">
        <v>30.0</v>
      </c>
      <c r="O2803" s="25"/>
      <c r="P2803" s="25"/>
    </row>
    <row r="2804">
      <c r="A2804" s="16">
        <v>2802.0</v>
      </c>
      <c r="B2804" s="17" t="s">
        <v>918</v>
      </c>
      <c r="C2804" s="18">
        <v>24.0</v>
      </c>
      <c r="D2804" s="19" t="s">
        <v>2291</v>
      </c>
      <c r="E2804" s="20" t="s">
        <v>443</v>
      </c>
      <c r="F2804" s="17" t="s">
        <v>16</v>
      </c>
      <c r="G2804" s="17" t="s">
        <v>5579</v>
      </c>
      <c r="H2804" s="17" t="s">
        <v>5698</v>
      </c>
      <c r="I2804" s="17" t="s">
        <v>98</v>
      </c>
      <c r="J2804" s="22" t="s">
        <v>144</v>
      </c>
      <c r="K2804" s="23" t="s">
        <v>108</v>
      </c>
      <c r="L2804" s="24" t="s">
        <v>91</v>
      </c>
      <c r="M2804" s="2">
        <v>70.0</v>
      </c>
      <c r="N2804" s="25">
        <v>30.0</v>
      </c>
      <c r="O2804" s="25"/>
      <c r="P2804" s="25"/>
    </row>
    <row r="2805">
      <c r="A2805" s="16">
        <v>2803.0</v>
      </c>
      <c r="B2805" s="17" t="s">
        <v>918</v>
      </c>
      <c r="C2805" s="18">
        <v>25.0</v>
      </c>
      <c r="D2805" s="19" t="s">
        <v>2291</v>
      </c>
      <c r="E2805" s="20" t="s">
        <v>443</v>
      </c>
      <c r="F2805" s="17" t="s">
        <v>117</v>
      </c>
      <c r="G2805" s="17" t="s">
        <v>123</v>
      </c>
      <c r="H2805" s="17" t="s">
        <v>5699</v>
      </c>
      <c r="I2805" s="17" t="s">
        <v>98</v>
      </c>
      <c r="J2805" s="22" t="s">
        <v>144</v>
      </c>
      <c r="K2805" s="23" t="s">
        <v>108</v>
      </c>
      <c r="L2805" s="24" t="s">
        <v>91</v>
      </c>
      <c r="M2805" s="2">
        <v>70.0</v>
      </c>
      <c r="N2805" s="25">
        <v>30.0</v>
      </c>
      <c r="O2805" s="25"/>
      <c r="P2805" s="25"/>
    </row>
    <row r="2806">
      <c r="A2806" s="16">
        <v>2804.0</v>
      </c>
      <c r="B2806" s="17" t="s">
        <v>918</v>
      </c>
      <c r="C2806" s="18">
        <v>26.0</v>
      </c>
      <c r="D2806" s="19" t="s">
        <v>2291</v>
      </c>
      <c r="E2806" s="20" t="s">
        <v>443</v>
      </c>
      <c r="F2806" s="17" t="s">
        <v>787</v>
      </c>
      <c r="G2806" s="17" t="s">
        <v>4641</v>
      </c>
      <c r="H2806" s="17" t="s">
        <v>5700</v>
      </c>
      <c r="I2806" s="17" t="s">
        <v>98</v>
      </c>
      <c r="J2806" s="22" t="s">
        <v>144</v>
      </c>
      <c r="K2806" s="23" t="s">
        <v>108</v>
      </c>
      <c r="L2806" s="24" t="s">
        <v>91</v>
      </c>
      <c r="M2806" s="2">
        <v>70.0</v>
      </c>
      <c r="N2806" s="25">
        <v>30.0</v>
      </c>
      <c r="O2806" s="25"/>
      <c r="P2806" s="25"/>
    </row>
    <row r="2807">
      <c r="A2807" s="16">
        <v>2805.0</v>
      </c>
      <c r="B2807" s="17" t="s">
        <v>918</v>
      </c>
      <c r="C2807" s="18">
        <v>27.0</v>
      </c>
      <c r="D2807" s="19" t="s">
        <v>2291</v>
      </c>
      <c r="E2807" s="20" t="s">
        <v>443</v>
      </c>
      <c r="F2807" s="17" t="s">
        <v>155</v>
      </c>
      <c r="G2807" s="17" t="s">
        <v>5553</v>
      </c>
      <c r="H2807" s="17" t="s">
        <v>5701</v>
      </c>
      <c r="I2807" s="17" t="s">
        <v>98</v>
      </c>
      <c r="J2807" s="22" t="s">
        <v>144</v>
      </c>
      <c r="K2807" s="23" t="s">
        <v>108</v>
      </c>
      <c r="L2807" s="24" t="s">
        <v>91</v>
      </c>
      <c r="M2807" s="2">
        <v>70.0</v>
      </c>
      <c r="N2807" s="25">
        <v>30.0</v>
      </c>
      <c r="O2807" s="25"/>
      <c r="P2807" s="25"/>
    </row>
    <row r="2808">
      <c r="A2808" s="16">
        <v>2806.0</v>
      </c>
      <c r="B2808" s="17" t="s">
        <v>918</v>
      </c>
      <c r="C2808" s="18">
        <v>28.0</v>
      </c>
      <c r="D2808" s="19" t="s">
        <v>2291</v>
      </c>
      <c r="E2808" s="20" t="s">
        <v>443</v>
      </c>
      <c r="F2808" s="17" t="s">
        <v>741</v>
      </c>
      <c r="G2808" s="17" t="s">
        <v>5702</v>
      </c>
      <c r="H2808" s="17" t="s">
        <v>5703</v>
      </c>
      <c r="I2808" s="17" t="s">
        <v>98</v>
      </c>
      <c r="J2808" s="22" t="s">
        <v>144</v>
      </c>
      <c r="K2808" s="23" t="s">
        <v>108</v>
      </c>
      <c r="L2808" s="24" t="s">
        <v>91</v>
      </c>
      <c r="M2808" s="2">
        <v>70.0</v>
      </c>
      <c r="N2808" s="25">
        <v>30.0</v>
      </c>
      <c r="O2808" s="25"/>
      <c r="P2808" s="25"/>
    </row>
    <row r="2809">
      <c r="A2809" s="16">
        <v>2807.0</v>
      </c>
      <c r="B2809" s="17" t="s">
        <v>918</v>
      </c>
      <c r="C2809" s="18">
        <v>29.0</v>
      </c>
      <c r="D2809" s="19" t="s">
        <v>2295</v>
      </c>
      <c r="E2809" s="20" t="s">
        <v>443</v>
      </c>
      <c r="F2809" s="17" t="s">
        <v>554</v>
      </c>
      <c r="G2809" s="17" t="s">
        <v>4605</v>
      </c>
      <c r="H2809" s="17" t="s">
        <v>5704</v>
      </c>
      <c r="I2809" s="17" t="s">
        <v>125</v>
      </c>
      <c r="J2809" s="22" t="s">
        <v>144</v>
      </c>
      <c r="K2809" s="23" t="s">
        <v>108</v>
      </c>
      <c r="L2809" s="24" t="s">
        <v>91</v>
      </c>
      <c r="M2809" s="2">
        <v>70.0</v>
      </c>
      <c r="N2809" s="25">
        <v>31.0</v>
      </c>
      <c r="O2809" s="25"/>
      <c r="P2809" s="25"/>
    </row>
    <row r="2810">
      <c r="A2810" s="16">
        <v>2808.0</v>
      </c>
      <c r="B2810" s="17" t="s">
        <v>918</v>
      </c>
      <c r="C2810" s="18">
        <v>30.0</v>
      </c>
      <c r="D2810" s="19" t="s">
        <v>2295</v>
      </c>
      <c r="E2810" s="20" t="s">
        <v>443</v>
      </c>
      <c r="F2810" s="17" t="s">
        <v>209</v>
      </c>
      <c r="G2810" s="17" t="s">
        <v>5705</v>
      </c>
      <c r="H2810" s="17" t="s">
        <v>5706</v>
      </c>
      <c r="I2810" s="17" t="s">
        <v>125</v>
      </c>
      <c r="J2810" s="22" t="s">
        <v>144</v>
      </c>
      <c r="K2810" s="23" t="s">
        <v>108</v>
      </c>
      <c r="L2810" s="24" t="s">
        <v>91</v>
      </c>
      <c r="M2810" s="2">
        <v>70.0</v>
      </c>
      <c r="N2810" s="25">
        <v>31.0</v>
      </c>
      <c r="O2810" s="25"/>
      <c r="P2810" s="25"/>
    </row>
    <row r="2811">
      <c r="A2811" s="16">
        <v>2809.0</v>
      </c>
      <c r="B2811" s="17" t="s">
        <v>918</v>
      </c>
      <c r="C2811" s="18">
        <v>31.0</v>
      </c>
      <c r="D2811" s="19" t="s">
        <v>2295</v>
      </c>
      <c r="E2811" s="20" t="s">
        <v>443</v>
      </c>
      <c r="F2811" s="17" t="s">
        <v>306</v>
      </c>
      <c r="G2811" s="17" t="s">
        <v>5707</v>
      </c>
      <c r="H2811" s="17" t="s">
        <v>5708</v>
      </c>
      <c r="I2811" s="17" t="s">
        <v>125</v>
      </c>
      <c r="J2811" s="22" t="s">
        <v>144</v>
      </c>
      <c r="K2811" s="23" t="s">
        <v>108</v>
      </c>
      <c r="L2811" s="24" t="s">
        <v>91</v>
      </c>
      <c r="M2811" s="2">
        <v>70.0</v>
      </c>
      <c r="N2811" s="25">
        <v>31.0</v>
      </c>
      <c r="O2811" s="25"/>
      <c r="P2811" s="25"/>
    </row>
    <row r="2812">
      <c r="A2812" s="16">
        <v>2810.0</v>
      </c>
      <c r="B2812" s="17" t="s">
        <v>918</v>
      </c>
      <c r="C2812" s="18">
        <v>32.0</v>
      </c>
      <c r="D2812" s="19" t="s">
        <v>2295</v>
      </c>
      <c r="E2812" s="20" t="s">
        <v>443</v>
      </c>
      <c r="F2812" s="17" t="s">
        <v>83</v>
      </c>
      <c r="G2812" s="17" t="s">
        <v>5709</v>
      </c>
      <c r="H2812" s="17" t="s">
        <v>5710</v>
      </c>
      <c r="I2812" s="17" t="s">
        <v>125</v>
      </c>
      <c r="J2812" s="22" t="s">
        <v>144</v>
      </c>
      <c r="K2812" s="23" t="s">
        <v>108</v>
      </c>
      <c r="L2812" s="24" t="s">
        <v>91</v>
      </c>
      <c r="M2812" s="2">
        <v>70.0</v>
      </c>
      <c r="N2812" s="25">
        <v>31.0</v>
      </c>
      <c r="O2812" s="25"/>
      <c r="P2812" s="25"/>
    </row>
    <row r="2813">
      <c r="A2813" s="16">
        <v>2811.0</v>
      </c>
      <c r="B2813" s="17" t="s">
        <v>918</v>
      </c>
      <c r="C2813" s="18">
        <v>33.0</v>
      </c>
      <c r="D2813" s="19" t="s">
        <v>2295</v>
      </c>
      <c r="E2813" s="20" t="s">
        <v>443</v>
      </c>
      <c r="F2813" s="17" t="s">
        <v>303</v>
      </c>
      <c r="G2813" s="17" t="s">
        <v>5711</v>
      </c>
      <c r="H2813" s="17" t="s">
        <v>5708</v>
      </c>
      <c r="I2813" s="17" t="s">
        <v>125</v>
      </c>
      <c r="J2813" s="22" t="s">
        <v>144</v>
      </c>
      <c r="K2813" s="23" t="s">
        <v>108</v>
      </c>
      <c r="L2813" s="24" t="s">
        <v>91</v>
      </c>
      <c r="M2813" s="2">
        <v>70.0</v>
      </c>
      <c r="N2813" s="25">
        <v>31.0</v>
      </c>
      <c r="O2813" s="25"/>
      <c r="P2813" s="25"/>
    </row>
    <row r="2814">
      <c r="A2814" s="16">
        <v>2812.0</v>
      </c>
      <c r="B2814" s="17" t="s">
        <v>918</v>
      </c>
      <c r="C2814" s="18">
        <v>34.0</v>
      </c>
      <c r="D2814" s="19" t="s">
        <v>2295</v>
      </c>
      <c r="E2814" s="20" t="s">
        <v>443</v>
      </c>
      <c r="F2814" s="17" t="s">
        <v>582</v>
      </c>
      <c r="G2814" s="17" t="s">
        <v>5712</v>
      </c>
      <c r="H2814" s="17" t="s">
        <v>5713</v>
      </c>
      <c r="I2814" s="17" t="s">
        <v>125</v>
      </c>
      <c r="J2814" s="22" t="s">
        <v>144</v>
      </c>
      <c r="K2814" s="23" t="s">
        <v>108</v>
      </c>
      <c r="L2814" s="24" t="s">
        <v>91</v>
      </c>
      <c r="M2814" s="2">
        <v>70.0</v>
      </c>
      <c r="N2814" s="25">
        <v>31.0</v>
      </c>
      <c r="O2814" s="25"/>
      <c r="P2814" s="25"/>
    </row>
    <row r="2815">
      <c r="A2815" s="16">
        <v>2813.0</v>
      </c>
      <c r="B2815" s="27" t="s">
        <v>918</v>
      </c>
      <c r="C2815" s="18">
        <v>35.0</v>
      </c>
      <c r="D2815" s="19" t="s">
        <v>2295</v>
      </c>
      <c r="E2815" s="20" t="s">
        <v>443</v>
      </c>
      <c r="F2815" s="27" t="s">
        <v>1308</v>
      </c>
      <c r="G2815" s="17" t="s">
        <v>3648</v>
      </c>
      <c r="H2815" s="17" t="s">
        <v>5714</v>
      </c>
      <c r="I2815" s="17" t="s">
        <v>125</v>
      </c>
      <c r="J2815" s="22" t="s">
        <v>144</v>
      </c>
      <c r="K2815" s="23" t="s">
        <v>108</v>
      </c>
      <c r="L2815" s="24"/>
      <c r="M2815" s="2">
        <v>70.0</v>
      </c>
      <c r="N2815" s="25">
        <v>31.0</v>
      </c>
      <c r="O2815" s="25"/>
      <c r="P2815" s="25"/>
    </row>
    <row r="2816">
      <c r="A2816" s="16">
        <v>2814.0</v>
      </c>
      <c r="B2816" s="27" t="s">
        <v>918</v>
      </c>
      <c r="C2816" s="18">
        <v>36.0</v>
      </c>
      <c r="D2816" s="19" t="s">
        <v>2295</v>
      </c>
      <c r="E2816" s="20" t="s">
        <v>443</v>
      </c>
      <c r="F2816" s="27" t="s">
        <v>5715</v>
      </c>
      <c r="G2816" s="17" t="s">
        <v>5716</v>
      </c>
      <c r="H2816" s="17" t="s">
        <v>5717</v>
      </c>
      <c r="I2816" s="17" t="s">
        <v>125</v>
      </c>
      <c r="J2816" s="22" t="s">
        <v>144</v>
      </c>
      <c r="K2816" s="23" t="s">
        <v>108</v>
      </c>
      <c r="L2816" s="24"/>
      <c r="M2816" s="2">
        <v>70.0</v>
      </c>
      <c r="N2816" s="25">
        <v>31.0</v>
      </c>
      <c r="O2816" s="25"/>
      <c r="P2816" s="25"/>
    </row>
    <row r="2817">
      <c r="A2817" s="16">
        <v>2815.0</v>
      </c>
      <c r="B2817" s="27" t="s">
        <v>918</v>
      </c>
      <c r="C2817" s="18">
        <v>37.0</v>
      </c>
      <c r="D2817" s="19" t="s">
        <v>2295</v>
      </c>
      <c r="E2817" s="20" t="s">
        <v>443</v>
      </c>
      <c r="F2817" s="27" t="s">
        <v>1207</v>
      </c>
      <c r="G2817" s="17" t="s">
        <v>2498</v>
      </c>
      <c r="H2817" s="17" t="s">
        <v>5718</v>
      </c>
      <c r="I2817" s="17" t="s">
        <v>125</v>
      </c>
      <c r="J2817" s="22" t="s">
        <v>144</v>
      </c>
      <c r="K2817" s="23" t="s">
        <v>108</v>
      </c>
      <c r="L2817" s="24"/>
      <c r="M2817" s="2">
        <v>70.0</v>
      </c>
      <c r="N2817" s="25">
        <v>31.0</v>
      </c>
      <c r="O2817" s="25"/>
      <c r="P2817" s="25"/>
    </row>
    <row r="2818">
      <c r="A2818" s="16">
        <v>2816.0</v>
      </c>
      <c r="B2818" s="27" t="s">
        <v>918</v>
      </c>
      <c r="C2818" s="18">
        <v>38.0</v>
      </c>
      <c r="D2818" s="19" t="s">
        <v>2295</v>
      </c>
      <c r="E2818" s="20" t="s">
        <v>443</v>
      </c>
      <c r="F2818" s="27" t="s">
        <v>950</v>
      </c>
      <c r="G2818" s="17" t="s">
        <v>1817</v>
      </c>
      <c r="H2818" s="17" t="s">
        <v>5719</v>
      </c>
      <c r="I2818" s="17" t="s">
        <v>125</v>
      </c>
      <c r="J2818" s="22" t="s">
        <v>144</v>
      </c>
      <c r="K2818" s="23" t="s">
        <v>108</v>
      </c>
      <c r="L2818" s="24"/>
      <c r="M2818" s="2">
        <v>70.0</v>
      </c>
      <c r="N2818" s="25">
        <v>31.0</v>
      </c>
      <c r="O2818" s="25"/>
      <c r="P2818" s="25"/>
    </row>
    <row r="2819">
      <c r="A2819" s="16">
        <v>2817.0</v>
      </c>
      <c r="B2819" s="27" t="s">
        <v>918</v>
      </c>
      <c r="C2819" s="18">
        <v>39.0</v>
      </c>
      <c r="D2819" s="19" t="s">
        <v>2295</v>
      </c>
      <c r="E2819" s="20" t="s">
        <v>443</v>
      </c>
      <c r="F2819" s="27" t="s">
        <v>1277</v>
      </c>
      <c r="G2819" s="17" t="s">
        <v>5720</v>
      </c>
      <c r="H2819" s="17" t="s">
        <v>5721</v>
      </c>
      <c r="I2819" s="17" t="s">
        <v>125</v>
      </c>
      <c r="J2819" s="22" t="s">
        <v>144</v>
      </c>
      <c r="K2819" s="23" t="s">
        <v>108</v>
      </c>
      <c r="L2819" s="24"/>
      <c r="M2819" s="2">
        <v>70.0</v>
      </c>
      <c r="N2819" s="25">
        <v>31.0</v>
      </c>
      <c r="O2819" s="25"/>
      <c r="P2819" s="25"/>
    </row>
    <row r="2820">
      <c r="A2820" s="16">
        <v>2818.0</v>
      </c>
      <c r="B2820" s="27" t="s">
        <v>918</v>
      </c>
      <c r="C2820" s="18">
        <v>40.0</v>
      </c>
      <c r="D2820" s="19" t="s">
        <v>2295</v>
      </c>
      <c r="E2820" s="20" t="s">
        <v>443</v>
      </c>
      <c r="F2820" s="27" t="s">
        <v>1269</v>
      </c>
      <c r="G2820" s="17" t="s">
        <v>5360</v>
      </c>
      <c r="H2820" s="17" t="s">
        <v>5722</v>
      </c>
      <c r="I2820" s="17" t="s">
        <v>125</v>
      </c>
      <c r="J2820" s="22" t="s">
        <v>144</v>
      </c>
      <c r="K2820" s="23" t="s">
        <v>108</v>
      </c>
      <c r="L2820" s="24"/>
      <c r="M2820" s="2">
        <v>70.0</v>
      </c>
      <c r="N2820" s="25">
        <v>31.0</v>
      </c>
      <c r="O2820" s="25"/>
      <c r="P2820" s="25"/>
    </row>
    <row r="2821">
      <c r="A2821" s="16">
        <v>2819.0</v>
      </c>
      <c r="B2821" s="27" t="s">
        <v>918</v>
      </c>
      <c r="C2821" s="18">
        <v>41.0</v>
      </c>
      <c r="D2821" s="19" t="s">
        <v>2295</v>
      </c>
      <c r="E2821" s="20" t="s">
        <v>443</v>
      </c>
      <c r="F2821" s="27" t="s">
        <v>1170</v>
      </c>
      <c r="G2821" s="17" t="s">
        <v>5723</v>
      </c>
      <c r="H2821" s="17" t="s">
        <v>5719</v>
      </c>
      <c r="I2821" s="17" t="s">
        <v>125</v>
      </c>
      <c r="J2821" s="22" t="s">
        <v>144</v>
      </c>
      <c r="K2821" s="23" t="s">
        <v>108</v>
      </c>
      <c r="L2821" s="24"/>
      <c r="M2821" s="2">
        <v>70.0</v>
      </c>
      <c r="N2821" s="25">
        <v>31.0</v>
      </c>
      <c r="O2821" s="25"/>
      <c r="P2821" s="25"/>
    </row>
    <row r="2822">
      <c r="A2822" s="16">
        <v>2820.0</v>
      </c>
      <c r="B2822" s="27" t="s">
        <v>918</v>
      </c>
      <c r="C2822" s="18">
        <v>42.0</v>
      </c>
      <c r="D2822" s="19" t="s">
        <v>2295</v>
      </c>
      <c r="E2822" s="20" t="s">
        <v>443</v>
      </c>
      <c r="F2822" s="27" t="s">
        <v>1286</v>
      </c>
      <c r="G2822" s="17" t="s">
        <v>5724</v>
      </c>
      <c r="H2822" s="17" t="s">
        <v>5725</v>
      </c>
      <c r="I2822" s="17" t="s">
        <v>125</v>
      </c>
      <c r="J2822" s="22" t="s">
        <v>144</v>
      </c>
      <c r="K2822" s="23" t="s">
        <v>108</v>
      </c>
      <c r="L2822" s="24"/>
      <c r="M2822" s="2">
        <v>70.0</v>
      </c>
      <c r="N2822" s="25">
        <v>31.0</v>
      </c>
      <c r="O2822" s="25"/>
      <c r="P2822" s="25"/>
    </row>
    <row r="2823">
      <c r="A2823" s="16">
        <v>2821.0</v>
      </c>
      <c r="B2823" s="27" t="s">
        <v>918</v>
      </c>
      <c r="C2823" s="18">
        <v>43.0</v>
      </c>
      <c r="D2823" s="19" t="s">
        <v>2295</v>
      </c>
      <c r="E2823" s="20" t="s">
        <v>443</v>
      </c>
      <c r="F2823" s="27" t="s">
        <v>1044</v>
      </c>
      <c r="G2823" s="17" t="s">
        <v>1848</v>
      </c>
      <c r="H2823" s="17" t="s">
        <v>5726</v>
      </c>
      <c r="I2823" s="17" t="s">
        <v>125</v>
      </c>
      <c r="J2823" s="22" t="s">
        <v>144</v>
      </c>
      <c r="K2823" s="23" t="s">
        <v>108</v>
      </c>
      <c r="L2823" s="24"/>
      <c r="M2823" s="2">
        <v>70.0</v>
      </c>
      <c r="N2823" s="25">
        <v>31.0</v>
      </c>
      <c r="O2823" s="25"/>
      <c r="P2823" s="25"/>
    </row>
    <row r="2824">
      <c r="A2824" s="16">
        <v>2822.0</v>
      </c>
      <c r="B2824" s="27" t="s">
        <v>918</v>
      </c>
      <c r="C2824" s="18">
        <v>44.0</v>
      </c>
      <c r="D2824" s="19" t="s">
        <v>2295</v>
      </c>
      <c r="E2824" s="20" t="s">
        <v>443</v>
      </c>
      <c r="F2824" s="27" t="s">
        <v>1289</v>
      </c>
      <c r="G2824" s="17" t="s">
        <v>5727</v>
      </c>
      <c r="H2824" s="17" t="s">
        <v>5728</v>
      </c>
      <c r="I2824" s="17" t="s">
        <v>125</v>
      </c>
      <c r="J2824" s="22" t="s">
        <v>144</v>
      </c>
      <c r="K2824" s="23" t="s">
        <v>108</v>
      </c>
      <c r="L2824" s="24"/>
      <c r="M2824" s="2">
        <v>70.0</v>
      </c>
      <c r="N2824" s="25">
        <v>31.0</v>
      </c>
      <c r="O2824" s="25"/>
      <c r="P2824" s="25"/>
    </row>
    <row r="2825">
      <c r="A2825" s="16">
        <v>2823.0</v>
      </c>
      <c r="B2825" s="17" t="s">
        <v>918</v>
      </c>
      <c r="C2825" s="18">
        <v>45.0</v>
      </c>
      <c r="D2825" s="19" t="s">
        <v>2289</v>
      </c>
      <c r="E2825" s="20" t="s">
        <v>443</v>
      </c>
      <c r="F2825" s="17" t="s">
        <v>106</v>
      </c>
      <c r="G2825" s="17" t="s">
        <v>5729</v>
      </c>
      <c r="H2825" s="17" t="s">
        <v>5730</v>
      </c>
      <c r="I2825" s="17" t="s">
        <v>125</v>
      </c>
      <c r="J2825" s="22" t="s">
        <v>144</v>
      </c>
      <c r="K2825" s="23" t="s">
        <v>108</v>
      </c>
      <c r="L2825" s="24" t="s">
        <v>91</v>
      </c>
      <c r="M2825" s="2">
        <v>70.0</v>
      </c>
      <c r="N2825" s="25">
        <v>31.0</v>
      </c>
      <c r="O2825" s="25"/>
      <c r="P2825" s="25"/>
    </row>
    <row r="2826">
      <c r="A2826" s="16">
        <v>2824.0</v>
      </c>
      <c r="B2826" s="17" t="s">
        <v>918</v>
      </c>
      <c r="C2826" s="18">
        <v>46.0</v>
      </c>
      <c r="D2826" s="19" t="s">
        <v>2289</v>
      </c>
      <c r="E2826" s="20" t="s">
        <v>443</v>
      </c>
      <c r="F2826" s="17" t="s">
        <v>621</v>
      </c>
      <c r="G2826" s="17" t="s">
        <v>5731</v>
      </c>
      <c r="H2826" s="17" t="s">
        <v>5732</v>
      </c>
      <c r="I2826" s="17" t="s">
        <v>125</v>
      </c>
      <c r="J2826" s="22" t="s">
        <v>144</v>
      </c>
      <c r="K2826" s="23" t="s">
        <v>108</v>
      </c>
      <c r="L2826" s="24" t="s">
        <v>91</v>
      </c>
      <c r="M2826" s="2">
        <v>70.0</v>
      </c>
      <c r="N2826" s="25">
        <v>31.0</v>
      </c>
      <c r="O2826" s="25"/>
      <c r="P2826" s="25"/>
    </row>
    <row r="2827">
      <c r="A2827" s="16">
        <v>2825.0</v>
      </c>
      <c r="B2827" s="27" t="s">
        <v>918</v>
      </c>
      <c r="C2827" s="18">
        <v>47.0</v>
      </c>
      <c r="D2827" s="19" t="s">
        <v>2289</v>
      </c>
      <c r="E2827" s="20" t="s">
        <v>443</v>
      </c>
      <c r="F2827" s="27" t="s">
        <v>1227</v>
      </c>
      <c r="G2827" s="17" t="s">
        <v>5733</v>
      </c>
      <c r="H2827" s="17" t="s">
        <v>5734</v>
      </c>
      <c r="I2827" s="17" t="s">
        <v>125</v>
      </c>
      <c r="J2827" s="22" t="s">
        <v>144</v>
      </c>
      <c r="K2827" s="23" t="s">
        <v>108</v>
      </c>
      <c r="L2827" s="24"/>
      <c r="M2827" s="2">
        <v>70.0</v>
      </c>
      <c r="N2827" s="25">
        <v>31.0</v>
      </c>
      <c r="O2827" s="25"/>
      <c r="P2827" s="25"/>
    </row>
    <row r="2828">
      <c r="A2828" s="16">
        <v>2826.0</v>
      </c>
      <c r="B2828" s="27" t="s">
        <v>918</v>
      </c>
      <c r="C2828" s="18">
        <v>48.0</v>
      </c>
      <c r="D2828" s="19" t="s">
        <v>2289</v>
      </c>
      <c r="E2828" s="20" t="s">
        <v>443</v>
      </c>
      <c r="F2828" s="27" t="s">
        <v>969</v>
      </c>
      <c r="G2828" s="17" t="s">
        <v>5509</v>
      </c>
      <c r="H2828" s="17" t="s">
        <v>5704</v>
      </c>
      <c r="I2828" s="17" t="s">
        <v>125</v>
      </c>
      <c r="J2828" s="22" t="s">
        <v>144</v>
      </c>
      <c r="K2828" s="23" t="s">
        <v>108</v>
      </c>
      <c r="L2828" s="24"/>
      <c r="M2828" s="2">
        <v>70.0</v>
      </c>
      <c r="N2828" s="25">
        <v>31.0</v>
      </c>
      <c r="O2828" s="25"/>
      <c r="P2828" s="25"/>
    </row>
    <row r="2829">
      <c r="A2829" s="16">
        <v>2827.0</v>
      </c>
      <c r="B2829" s="27" t="s">
        <v>918</v>
      </c>
      <c r="C2829" s="18">
        <v>49.0</v>
      </c>
      <c r="D2829" s="19" t="s">
        <v>2289</v>
      </c>
      <c r="E2829" s="20" t="s">
        <v>443</v>
      </c>
      <c r="F2829" s="27" t="s">
        <v>1043</v>
      </c>
      <c r="G2829" s="17" t="s">
        <v>1846</v>
      </c>
      <c r="H2829" s="17" t="s">
        <v>5735</v>
      </c>
      <c r="I2829" s="17" t="s">
        <v>125</v>
      </c>
      <c r="J2829" s="22" t="s">
        <v>144</v>
      </c>
      <c r="K2829" s="23" t="s">
        <v>108</v>
      </c>
      <c r="L2829" s="24"/>
      <c r="M2829" s="2">
        <v>70.0</v>
      </c>
      <c r="N2829" s="25">
        <v>31.0</v>
      </c>
      <c r="O2829" s="25"/>
      <c r="P2829" s="25"/>
    </row>
    <row r="2830">
      <c r="A2830" s="16">
        <v>2828.0</v>
      </c>
      <c r="B2830" s="27" t="s">
        <v>918</v>
      </c>
      <c r="C2830" s="18">
        <v>50.0</v>
      </c>
      <c r="D2830" s="19" t="s">
        <v>2289</v>
      </c>
      <c r="E2830" s="20" t="s">
        <v>443</v>
      </c>
      <c r="F2830" s="27" t="s">
        <v>1125</v>
      </c>
      <c r="G2830" s="17" t="s">
        <v>4355</v>
      </c>
      <c r="H2830" s="17" t="s">
        <v>5736</v>
      </c>
      <c r="I2830" s="17" t="s">
        <v>125</v>
      </c>
      <c r="J2830" s="22" t="s">
        <v>144</v>
      </c>
      <c r="K2830" s="23" t="s">
        <v>108</v>
      </c>
      <c r="L2830" s="24"/>
      <c r="M2830" s="2">
        <v>70.0</v>
      </c>
      <c r="N2830" s="25">
        <v>31.0</v>
      </c>
      <c r="O2830" s="25"/>
      <c r="P2830" s="25"/>
    </row>
    <row r="2831">
      <c r="A2831" s="16">
        <v>2829.0</v>
      </c>
      <c r="B2831" s="17" t="s">
        <v>306</v>
      </c>
      <c r="C2831" s="18">
        <v>1.0</v>
      </c>
      <c r="D2831" s="19" t="s">
        <v>3111</v>
      </c>
      <c r="E2831" s="20" t="s">
        <v>91</v>
      </c>
      <c r="F2831" s="17" t="s">
        <v>5</v>
      </c>
      <c r="G2831" s="17" t="s">
        <v>2884</v>
      </c>
      <c r="H2831" s="17" t="s">
        <v>5737</v>
      </c>
      <c r="I2831" s="17" t="s">
        <v>98</v>
      </c>
      <c r="J2831" s="22" t="s">
        <v>100</v>
      </c>
      <c r="K2831" s="23" t="s">
        <v>108</v>
      </c>
      <c r="L2831" s="24" t="s">
        <v>91</v>
      </c>
      <c r="M2831" s="2">
        <v>71.0</v>
      </c>
      <c r="N2831" s="25">
        <v>10.0</v>
      </c>
      <c r="O2831" s="25"/>
      <c r="P2831" s="25"/>
    </row>
    <row r="2832">
      <c r="A2832" s="16">
        <v>2830.0</v>
      </c>
      <c r="B2832" s="17" t="s">
        <v>306</v>
      </c>
      <c r="C2832" s="18">
        <v>2.0</v>
      </c>
      <c r="D2832" s="19" t="s">
        <v>4109</v>
      </c>
      <c r="E2832" s="20" t="s">
        <v>91</v>
      </c>
      <c r="F2832" s="17" t="s">
        <v>158</v>
      </c>
      <c r="G2832" s="17" t="s">
        <v>2887</v>
      </c>
      <c r="H2832" s="17" t="s">
        <v>5738</v>
      </c>
      <c r="I2832" s="17" t="s">
        <v>98</v>
      </c>
      <c r="J2832" s="22" t="s">
        <v>100</v>
      </c>
      <c r="K2832" s="23" t="s">
        <v>108</v>
      </c>
      <c r="L2832" s="24" t="s">
        <v>91</v>
      </c>
      <c r="M2832" s="2">
        <v>71.0</v>
      </c>
      <c r="N2832" s="25">
        <v>10.0</v>
      </c>
      <c r="O2832" s="25"/>
      <c r="P2832" s="25"/>
    </row>
    <row r="2833">
      <c r="A2833" s="16">
        <v>2831.0</v>
      </c>
      <c r="B2833" s="17" t="s">
        <v>306</v>
      </c>
      <c r="C2833" s="18">
        <v>3.0</v>
      </c>
      <c r="D2833" s="19" t="s">
        <v>4109</v>
      </c>
      <c r="E2833" s="20" t="s">
        <v>91</v>
      </c>
      <c r="F2833" s="17" t="s">
        <v>303</v>
      </c>
      <c r="G2833" s="17" t="s">
        <v>2831</v>
      </c>
      <c r="H2833" s="17" t="s">
        <v>2832</v>
      </c>
      <c r="I2833" s="17" t="s">
        <v>125</v>
      </c>
      <c r="J2833" s="22" t="s">
        <v>135</v>
      </c>
      <c r="K2833" s="23" t="s">
        <v>108</v>
      </c>
      <c r="L2833" s="24" t="s">
        <v>91</v>
      </c>
      <c r="M2833" s="2">
        <v>71.0</v>
      </c>
      <c r="N2833" s="25">
        <v>21.0</v>
      </c>
      <c r="O2833" s="25"/>
      <c r="P2833" s="25"/>
    </row>
    <row r="2834">
      <c r="A2834" s="16">
        <v>2832.0</v>
      </c>
      <c r="B2834" s="17" t="s">
        <v>306</v>
      </c>
      <c r="C2834" s="18">
        <v>4.0</v>
      </c>
      <c r="D2834" s="19" t="s">
        <v>3111</v>
      </c>
      <c r="E2834" s="20" t="s">
        <v>91</v>
      </c>
      <c r="F2834" s="17" t="s">
        <v>717</v>
      </c>
      <c r="G2834" s="17" t="s">
        <v>5739</v>
      </c>
      <c r="H2834" s="17" t="s">
        <v>5740</v>
      </c>
      <c r="I2834" s="17" t="s">
        <v>98</v>
      </c>
      <c r="J2834" s="22" t="s">
        <v>144</v>
      </c>
      <c r="K2834" s="23" t="s">
        <v>108</v>
      </c>
      <c r="L2834" s="24" t="s">
        <v>91</v>
      </c>
      <c r="M2834" s="2">
        <v>71.0</v>
      </c>
      <c r="N2834" s="25">
        <v>30.0</v>
      </c>
      <c r="O2834" s="25"/>
      <c r="P2834" s="25"/>
    </row>
    <row r="2835">
      <c r="A2835" s="16">
        <v>2833.0</v>
      </c>
      <c r="B2835" s="17" t="s">
        <v>306</v>
      </c>
      <c r="C2835" s="18">
        <v>5.0</v>
      </c>
      <c r="D2835" s="19" t="s">
        <v>3111</v>
      </c>
      <c r="E2835" s="20" t="s">
        <v>91</v>
      </c>
      <c r="F2835" s="17" t="s">
        <v>722</v>
      </c>
      <c r="G2835" s="17" t="s">
        <v>5741</v>
      </c>
      <c r="H2835" s="17" t="s">
        <v>5740</v>
      </c>
      <c r="I2835" s="17" t="s">
        <v>98</v>
      </c>
      <c r="J2835" s="22" t="s">
        <v>144</v>
      </c>
      <c r="K2835" s="23" t="s">
        <v>108</v>
      </c>
      <c r="L2835" s="24" t="s">
        <v>91</v>
      </c>
      <c r="M2835" s="2">
        <v>71.0</v>
      </c>
      <c r="N2835" s="25">
        <v>30.0</v>
      </c>
      <c r="O2835" s="25"/>
      <c r="P2835" s="25"/>
    </row>
    <row r="2836">
      <c r="A2836" s="16">
        <v>2834.0</v>
      </c>
      <c r="B2836" s="17" t="s">
        <v>306</v>
      </c>
      <c r="C2836" s="18">
        <v>6.0</v>
      </c>
      <c r="D2836" s="19" t="s">
        <v>4109</v>
      </c>
      <c r="E2836" s="20" t="s">
        <v>91</v>
      </c>
      <c r="F2836" s="17" t="s">
        <v>283</v>
      </c>
      <c r="G2836" s="17" t="s">
        <v>123</v>
      </c>
      <c r="H2836" s="17" t="s">
        <v>5742</v>
      </c>
      <c r="I2836" s="17" t="s">
        <v>98</v>
      </c>
      <c r="J2836" s="22" t="s">
        <v>144</v>
      </c>
      <c r="K2836" s="23" t="s">
        <v>108</v>
      </c>
      <c r="L2836" s="24" t="s">
        <v>91</v>
      </c>
      <c r="M2836" s="2">
        <v>71.0</v>
      </c>
      <c r="N2836" s="25">
        <v>30.0</v>
      </c>
      <c r="O2836" s="25"/>
      <c r="P2836" s="25"/>
    </row>
    <row r="2837">
      <c r="A2837" s="16">
        <v>2835.0</v>
      </c>
      <c r="B2837" s="17" t="s">
        <v>306</v>
      </c>
      <c r="C2837" s="18">
        <v>7.0</v>
      </c>
      <c r="D2837" s="19" t="s">
        <v>3111</v>
      </c>
      <c r="E2837" s="20" t="s">
        <v>91</v>
      </c>
      <c r="F2837" s="17" t="s">
        <v>1227</v>
      </c>
      <c r="G2837" s="17" t="s">
        <v>2871</v>
      </c>
      <c r="H2837" s="17" t="s">
        <v>2872</v>
      </c>
      <c r="I2837" s="17" t="s">
        <v>125</v>
      </c>
      <c r="J2837" s="22" t="s">
        <v>144</v>
      </c>
      <c r="K2837" s="23" t="s">
        <v>108</v>
      </c>
      <c r="L2837" s="24" t="s">
        <v>91</v>
      </c>
      <c r="M2837" s="2">
        <v>71.0</v>
      </c>
      <c r="N2837" s="25">
        <v>31.0</v>
      </c>
      <c r="O2837" s="25"/>
      <c r="P2837" s="25"/>
    </row>
    <row r="2838">
      <c r="A2838" s="16">
        <v>2836.0</v>
      </c>
      <c r="B2838" s="17" t="s">
        <v>306</v>
      </c>
      <c r="C2838" s="18">
        <v>8.0</v>
      </c>
      <c r="D2838" s="19" t="s">
        <v>3111</v>
      </c>
      <c r="E2838" s="20" t="s">
        <v>91</v>
      </c>
      <c r="F2838" s="17" t="s">
        <v>728</v>
      </c>
      <c r="G2838" s="17" t="s">
        <v>5743</v>
      </c>
      <c r="H2838" s="17" t="s">
        <v>5744</v>
      </c>
      <c r="I2838" s="17" t="s">
        <v>125</v>
      </c>
      <c r="J2838" s="22" t="s">
        <v>144</v>
      </c>
      <c r="K2838" s="23" t="s">
        <v>108</v>
      </c>
      <c r="L2838" s="24" t="s">
        <v>91</v>
      </c>
      <c r="M2838" s="2">
        <v>71.0</v>
      </c>
      <c r="N2838" s="25">
        <v>31.0</v>
      </c>
      <c r="O2838" s="25"/>
      <c r="P2838" s="25"/>
    </row>
    <row r="2839">
      <c r="A2839" s="16">
        <v>2837.0</v>
      </c>
      <c r="B2839" s="17" t="s">
        <v>306</v>
      </c>
      <c r="C2839" s="18">
        <v>9.0</v>
      </c>
      <c r="D2839" s="19" t="s">
        <v>3111</v>
      </c>
      <c r="E2839" s="20" t="s">
        <v>91</v>
      </c>
      <c r="F2839" s="17" t="s">
        <v>712</v>
      </c>
      <c r="G2839" s="17" t="s">
        <v>5676</v>
      </c>
      <c r="H2839" s="17" t="s">
        <v>5745</v>
      </c>
      <c r="I2839" s="17" t="s">
        <v>125</v>
      </c>
      <c r="J2839" s="22" t="s">
        <v>144</v>
      </c>
      <c r="K2839" s="23" t="s">
        <v>108</v>
      </c>
      <c r="L2839" s="24" t="s">
        <v>91</v>
      </c>
      <c r="M2839" s="2">
        <v>71.0</v>
      </c>
      <c r="N2839" s="25">
        <v>31.0</v>
      </c>
      <c r="O2839" s="25"/>
      <c r="P2839" s="25"/>
    </row>
    <row r="2840">
      <c r="A2840" s="16">
        <v>2838.0</v>
      </c>
      <c r="B2840" s="17" t="s">
        <v>306</v>
      </c>
      <c r="C2840" s="18">
        <v>10.0</v>
      </c>
      <c r="D2840" s="19" t="s">
        <v>3111</v>
      </c>
      <c r="E2840" s="20" t="s">
        <v>91</v>
      </c>
      <c r="F2840" s="17" t="s">
        <v>524</v>
      </c>
      <c r="G2840" s="17" t="s">
        <v>123</v>
      </c>
      <c r="H2840" s="17" t="s">
        <v>3470</v>
      </c>
      <c r="I2840" s="17" t="s">
        <v>125</v>
      </c>
      <c r="J2840" s="22" t="s">
        <v>144</v>
      </c>
      <c r="K2840" s="23" t="s">
        <v>108</v>
      </c>
      <c r="L2840" s="24" t="s">
        <v>91</v>
      </c>
      <c r="M2840" s="2">
        <v>71.0</v>
      </c>
      <c r="N2840" s="25">
        <v>31.0</v>
      </c>
      <c r="O2840" s="25"/>
      <c r="P2840" s="25"/>
    </row>
    <row r="2841">
      <c r="A2841" s="16">
        <v>2839.0</v>
      </c>
      <c r="B2841" s="17" t="s">
        <v>306</v>
      </c>
      <c r="C2841" s="18">
        <v>11.0</v>
      </c>
      <c r="D2841" s="19" t="s">
        <v>3111</v>
      </c>
      <c r="E2841" s="20" t="s">
        <v>91</v>
      </c>
      <c r="F2841" s="17" t="s">
        <v>880</v>
      </c>
      <c r="G2841" s="17" t="s">
        <v>2945</v>
      </c>
      <c r="H2841" s="17" t="s">
        <v>2946</v>
      </c>
      <c r="I2841" s="17" t="s">
        <v>125</v>
      </c>
      <c r="J2841" s="22" t="s">
        <v>144</v>
      </c>
      <c r="K2841" s="23" t="s">
        <v>108</v>
      </c>
      <c r="L2841" s="24" t="s">
        <v>91</v>
      </c>
      <c r="M2841" s="2">
        <v>71.0</v>
      </c>
      <c r="N2841" s="25">
        <v>31.0</v>
      </c>
      <c r="O2841" s="25"/>
      <c r="P2841" s="25"/>
    </row>
    <row r="2842">
      <c r="A2842" s="16">
        <v>2840.0</v>
      </c>
      <c r="B2842" s="17" t="s">
        <v>306</v>
      </c>
      <c r="C2842" s="18">
        <v>12.0</v>
      </c>
      <c r="D2842" s="19" t="s">
        <v>3111</v>
      </c>
      <c r="E2842" s="20" t="s">
        <v>91</v>
      </c>
      <c r="F2842" s="17" t="s">
        <v>488</v>
      </c>
      <c r="G2842" s="17" t="s">
        <v>5746</v>
      </c>
      <c r="H2842" s="17" t="s">
        <v>5747</v>
      </c>
      <c r="I2842" s="17" t="s">
        <v>125</v>
      </c>
      <c r="J2842" s="22" t="s">
        <v>144</v>
      </c>
      <c r="K2842" s="23" t="s">
        <v>108</v>
      </c>
      <c r="L2842" s="24" t="s">
        <v>91</v>
      </c>
      <c r="M2842" s="2">
        <v>71.0</v>
      </c>
      <c r="N2842" s="25">
        <v>31.0</v>
      </c>
      <c r="O2842" s="25"/>
      <c r="P2842" s="25"/>
    </row>
    <row r="2843">
      <c r="A2843" s="16">
        <v>2841.0</v>
      </c>
      <c r="B2843" s="17" t="s">
        <v>306</v>
      </c>
      <c r="C2843" s="18">
        <v>13.0</v>
      </c>
      <c r="D2843" s="19" t="s">
        <v>3111</v>
      </c>
      <c r="E2843" s="20" t="s">
        <v>91</v>
      </c>
      <c r="F2843" s="17" t="s">
        <v>1442</v>
      </c>
      <c r="G2843" s="17" t="s">
        <v>5748</v>
      </c>
      <c r="H2843" s="17" t="s">
        <v>5749</v>
      </c>
      <c r="I2843" s="17" t="s">
        <v>125</v>
      </c>
      <c r="J2843" s="22" t="s">
        <v>144</v>
      </c>
      <c r="K2843" s="23" t="s">
        <v>108</v>
      </c>
      <c r="L2843" s="24" t="s">
        <v>91</v>
      </c>
      <c r="M2843" s="2">
        <v>71.0</v>
      </c>
      <c r="N2843" s="25">
        <v>31.0</v>
      </c>
      <c r="O2843" s="25"/>
      <c r="P2843" s="25"/>
    </row>
    <row r="2844">
      <c r="A2844" s="16">
        <v>2842.0</v>
      </c>
      <c r="B2844" s="27" t="s">
        <v>306</v>
      </c>
      <c r="C2844" s="18">
        <v>14.0</v>
      </c>
      <c r="D2844" s="19" t="s">
        <v>3111</v>
      </c>
      <c r="E2844" s="20" t="s">
        <v>91</v>
      </c>
      <c r="F2844" s="27" t="s">
        <v>1327</v>
      </c>
      <c r="G2844" s="17" t="s">
        <v>2632</v>
      </c>
      <c r="H2844" s="17" t="s">
        <v>5750</v>
      </c>
      <c r="I2844" s="17" t="s">
        <v>125</v>
      </c>
      <c r="J2844" s="22" t="s">
        <v>144</v>
      </c>
      <c r="K2844" s="23" t="s">
        <v>108</v>
      </c>
      <c r="L2844" s="24"/>
      <c r="M2844" s="2">
        <v>71.0</v>
      </c>
      <c r="N2844" s="25">
        <v>31.0</v>
      </c>
      <c r="O2844" s="25"/>
      <c r="P2844" s="25"/>
    </row>
    <row r="2845">
      <c r="A2845" s="16">
        <v>2843.0</v>
      </c>
      <c r="B2845" s="17" t="s">
        <v>306</v>
      </c>
      <c r="C2845" s="18">
        <v>15.0</v>
      </c>
      <c r="D2845" s="19" t="s">
        <v>4109</v>
      </c>
      <c r="E2845" s="20" t="s">
        <v>91</v>
      </c>
      <c r="F2845" s="17" t="s">
        <v>869</v>
      </c>
      <c r="G2845" s="17" t="s">
        <v>2394</v>
      </c>
      <c r="H2845" s="17" t="s">
        <v>2395</v>
      </c>
      <c r="I2845" s="17" t="s">
        <v>125</v>
      </c>
      <c r="J2845" s="22" t="s">
        <v>144</v>
      </c>
      <c r="K2845" s="23" t="s">
        <v>108</v>
      </c>
      <c r="L2845" s="24" t="s">
        <v>91</v>
      </c>
      <c r="M2845" s="2">
        <v>71.0</v>
      </c>
      <c r="N2845" s="25">
        <v>31.0</v>
      </c>
      <c r="O2845" s="25"/>
      <c r="P2845" s="25"/>
    </row>
    <row r="2846">
      <c r="A2846" s="16">
        <v>2844.0</v>
      </c>
      <c r="B2846" s="17" t="s">
        <v>306</v>
      </c>
      <c r="C2846" s="18">
        <v>16.0</v>
      </c>
      <c r="D2846" s="19" t="s">
        <v>4109</v>
      </c>
      <c r="E2846" s="20" t="s">
        <v>91</v>
      </c>
      <c r="F2846" s="17" t="s">
        <v>392</v>
      </c>
      <c r="G2846" s="17" t="s">
        <v>2478</v>
      </c>
      <c r="H2846" s="17" t="s">
        <v>2479</v>
      </c>
      <c r="I2846" s="17" t="s">
        <v>125</v>
      </c>
      <c r="J2846" s="22" t="s">
        <v>144</v>
      </c>
      <c r="K2846" s="23" t="s">
        <v>108</v>
      </c>
      <c r="L2846" s="24" t="s">
        <v>91</v>
      </c>
      <c r="M2846" s="2">
        <v>71.0</v>
      </c>
      <c r="N2846" s="25">
        <v>31.0</v>
      </c>
      <c r="O2846" s="25"/>
      <c r="P2846" s="25"/>
    </row>
    <row r="2847">
      <c r="A2847" s="16">
        <v>2845.0</v>
      </c>
      <c r="B2847" s="17" t="s">
        <v>306</v>
      </c>
      <c r="C2847" s="18">
        <v>17.0</v>
      </c>
      <c r="D2847" s="19" t="s">
        <v>4109</v>
      </c>
      <c r="E2847" s="20" t="s">
        <v>91</v>
      </c>
      <c r="F2847" s="17" t="s">
        <v>1091</v>
      </c>
      <c r="G2847" s="17" t="s">
        <v>5751</v>
      </c>
      <c r="H2847" s="17" t="s">
        <v>5752</v>
      </c>
      <c r="I2847" s="17" t="s">
        <v>125</v>
      </c>
      <c r="J2847" s="22" t="s">
        <v>144</v>
      </c>
      <c r="K2847" s="23" t="s">
        <v>108</v>
      </c>
      <c r="L2847" s="24" t="s">
        <v>91</v>
      </c>
      <c r="M2847" s="2">
        <v>71.0</v>
      </c>
      <c r="N2847" s="25">
        <v>31.0</v>
      </c>
      <c r="O2847" s="25"/>
      <c r="P2847" s="25"/>
    </row>
    <row r="2848">
      <c r="A2848" s="16">
        <v>2846.0</v>
      </c>
      <c r="B2848" s="17" t="s">
        <v>117</v>
      </c>
      <c r="C2848" s="18">
        <v>1.0</v>
      </c>
      <c r="D2848" s="19" t="s">
        <v>3153</v>
      </c>
      <c r="E2848" s="20" t="s">
        <v>91</v>
      </c>
      <c r="F2848" s="17" t="s">
        <v>259</v>
      </c>
      <c r="G2848" s="17" t="s">
        <v>1676</v>
      </c>
      <c r="H2848" s="17" t="s">
        <v>5753</v>
      </c>
      <c r="I2848" s="17" t="s">
        <v>125</v>
      </c>
      <c r="J2848" s="22" t="s">
        <v>100</v>
      </c>
      <c r="K2848" s="23" t="s">
        <v>108</v>
      </c>
      <c r="L2848" s="24" t="s">
        <v>91</v>
      </c>
      <c r="M2848" s="2">
        <v>72.0</v>
      </c>
      <c r="N2848" s="25">
        <v>11.0</v>
      </c>
      <c r="O2848" s="25"/>
      <c r="P2848" s="25"/>
    </row>
    <row r="2849">
      <c r="A2849" s="16">
        <v>2847.0</v>
      </c>
      <c r="B2849" s="17" t="s">
        <v>117</v>
      </c>
      <c r="C2849" s="18">
        <v>2.0</v>
      </c>
      <c r="D2849" s="19" t="s">
        <v>3153</v>
      </c>
      <c r="E2849" s="20" t="s">
        <v>91</v>
      </c>
      <c r="F2849" s="17" t="s">
        <v>26</v>
      </c>
      <c r="G2849" s="17" t="s">
        <v>5754</v>
      </c>
      <c r="H2849" s="17" t="s">
        <v>5755</v>
      </c>
      <c r="I2849" s="17" t="s">
        <v>125</v>
      </c>
      <c r="J2849" s="22" t="s">
        <v>100</v>
      </c>
      <c r="K2849" s="23" t="s">
        <v>108</v>
      </c>
      <c r="L2849" s="24" t="s">
        <v>91</v>
      </c>
      <c r="M2849" s="2">
        <v>72.0</v>
      </c>
      <c r="N2849" s="25">
        <v>11.0</v>
      </c>
      <c r="O2849" s="25"/>
      <c r="P2849" s="25"/>
    </row>
    <row r="2850">
      <c r="A2850" s="16">
        <v>2848.0</v>
      </c>
      <c r="B2850" s="17" t="s">
        <v>117</v>
      </c>
      <c r="C2850" s="18">
        <v>3.0</v>
      </c>
      <c r="D2850" s="19" t="s">
        <v>3153</v>
      </c>
      <c r="E2850" s="20" t="s">
        <v>91</v>
      </c>
      <c r="F2850" s="17" t="s">
        <v>1112</v>
      </c>
      <c r="G2850" s="17" t="s">
        <v>3079</v>
      </c>
      <c r="H2850" s="17" t="s">
        <v>5756</v>
      </c>
      <c r="I2850" s="17" t="s">
        <v>125</v>
      </c>
      <c r="J2850" s="22" t="s">
        <v>144</v>
      </c>
      <c r="K2850" s="23" t="s">
        <v>108</v>
      </c>
      <c r="L2850" s="24" t="s">
        <v>91</v>
      </c>
      <c r="M2850" s="2">
        <v>72.0</v>
      </c>
      <c r="N2850" s="25">
        <v>31.0</v>
      </c>
      <c r="O2850" s="25"/>
      <c r="P2850" s="25"/>
    </row>
    <row r="2851">
      <c r="A2851" s="16">
        <v>2849.0</v>
      </c>
      <c r="B2851" s="17" t="s">
        <v>117</v>
      </c>
      <c r="C2851" s="18">
        <v>4.0</v>
      </c>
      <c r="D2851" s="19" t="s">
        <v>3153</v>
      </c>
      <c r="E2851" s="20" t="s">
        <v>91</v>
      </c>
      <c r="F2851" s="17" t="s">
        <v>1274</v>
      </c>
      <c r="G2851" s="17" t="s">
        <v>123</v>
      </c>
      <c r="H2851" s="17" t="s">
        <v>5757</v>
      </c>
      <c r="I2851" s="17" t="s">
        <v>125</v>
      </c>
      <c r="J2851" s="22" t="s">
        <v>144</v>
      </c>
      <c r="K2851" s="23" t="s">
        <v>108</v>
      </c>
      <c r="L2851" s="24" t="s">
        <v>91</v>
      </c>
      <c r="M2851" s="2">
        <v>72.0</v>
      </c>
      <c r="N2851" s="25">
        <v>31.0</v>
      </c>
      <c r="O2851" s="25"/>
      <c r="P2851" s="25"/>
    </row>
    <row r="2852">
      <c r="A2852" s="16">
        <v>2850.0</v>
      </c>
      <c r="B2852" s="17" t="s">
        <v>117</v>
      </c>
      <c r="C2852" s="18">
        <v>5.0</v>
      </c>
      <c r="D2852" s="19" t="s">
        <v>3153</v>
      </c>
      <c r="E2852" s="20" t="s">
        <v>91</v>
      </c>
      <c r="F2852" s="17" t="s">
        <v>861</v>
      </c>
      <c r="G2852" s="17" t="s">
        <v>5758</v>
      </c>
      <c r="H2852" s="17" t="s">
        <v>5759</v>
      </c>
      <c r="I2852" s="17" t="s">
        <v>125</v>
      </c>
      <c r="J2852" s="22" t="s">
        <v>144</v>
      </c>
      <c r="K2852" s="23" t="s">
        <v>108</v>
      </c>
      <c r="L2852" s="24" t="s">
        <v>91</v>
      </c>
      <c r="M2852" s="2">
        <v>72.0</v>
      </c>
      <c r="N2852" s="25">
        <v>31.0</v>
      </c>
      <c r="O2852" s="25"/>
      <c r="P2852" s="25"/>
    </row>
    <row r="2853">
      <c r="A2853" s="16">
        <v>2851.0</v>
      </c>
      <c r="B2853" s="17" t="s">
        <v>117</v>
      </c>
      <c r="C2853" s="18">
        <v>6.0</v>
      </c>
      <c r="D2853" s="19" t="s">
        <v>3153</v>
      </c>
      <c r="E2853" s="20" t="s">
        <v>91</v>
      </c>
      <c r="F2853" s="17" t="s">
        <v>873</v>
      </c>
      <c r="G2853" s="17" t="s">
        <v>5760</v>
      </c>
      <c r="H2853" s="17" t="s">
        <v>5761</v>
      </c>
      <c r="I2853" s="17" t="s">
        <v>125</v>
      </c>
      <c r="J2853" s="22" t="s">
        <v>144</v>
      </c>
      <c r="K2853" s="23" t="s">
        <v>108</v>
      </c>
      <c r="L2853" s="24" t="s">
        <v>91</v>
      </c>
      <c r="M2853" s="2">
        <v>72.0</v>
      </c>
      <c r="N2853" s="25">
        <v>31.0</v>
      </c>
      <c r="O2853" s="25"/>
      <c r="P2853" s="25"/>
    </row>
    <row r="2854">
      <c r="A2854" s="16">
        <v>2852.0</v>
      </c>
      <c r="B2854" s="17" t="s">
        <v>117</v>
      </c>
      <c r="C2854" s="18">
        <v>7.0</v>
      </c>
      <c r="D2854" s="19" t="s">
        <v>3153</v>
      </c>
      <c r="E2854" s="20" t="s">
        <v>91</v>
      </c>
      <c r="F2854" s="17" t="s">
        <v>963</v>
      </c>
      <c r="G2854" s="17" t="s">
        <v>2101</v>
      </c>
      <c r="H2854" s="17" t="s">
        <v>5762</v>
      </c>
      <c r="I2854" s="17" t="s">
        <v>125</v>
      </c>
      <c r="J2854" s="22" t="s">
        <v>144</v>
      </c>
      <c r="K2854" s="23" t="s">
        <v>108</v>
      </c>
      <c r="L2854" s="24" t="s">
        <v>91</v>
      </c>
      <c r="M2854" s="2">
        <v>72.0</v>
      </c>
      <c r="N2854" s="25">
        <v>31.0</v>
      </c>
      <c r="O2854" s="25"/>
      <c r="P2854" s="25"/>
    </row>
    <row r="2855">
      <c r="A2855" s="16">
        <v>2853.0</v>
      </c>
      <c r="B2855" s="17" t="s">
        <v>117</v>
      </c>
      <c r="C2855" s="18">
        <v>8.0</v>
      </c>
      <c r="D2855" s="19" t="s">
        <v>3153</v>
      </c>
      <c r="E2855" s="20" t="s">
        <v>91</v>
      </c>
      <c r="F2855" s="17" t="s">
        <v>907</v>
      </c>
      <c r="G2855" s="17" t="s">
        <v>5763</v>
      </c>
      <c r="H2855" s="17" t="s">
        <v>5764</v>
      </c>
      <c r="I2855" s="17" t="s">
        <v>125</v>
      </c>
      <c r="J2855" s="22" t="s">
        <v>144</v>
      </c>
      <c r="K2855" s="23" t="s">
        <v>108</v>
      </c>
      <c r="L2855" s="24" t="s">
        <v>91</v>
      </c>
      <c r="M2855" s="2">
        <v>72.0</v>
      </c>
      <c r="N2855" s="25">
        <v>31.0</v>
      </c>
      <c r="O2855" s="25"/>
      <c r="P2855" s="25"/>
    </row>
    <row r="2856">
      <c r="A2856" s="16">
        <v>2854.0</v>
      </c>
      <c r="B2856" s="17" t="s">
        <v>117</v>
      </c>
      <c r="C2856" s="18">
        <v>9.0</v>
      </c>
      <c r="D2856" s="19" t="s">
        <v>3153</v>
      </c>
      <c r="E2856" s="20" t="s">
        <v>91</v>
      </c>
      <c r="F2856" s="17" t="s">
        <v>945</v>
      </c>
      <c r="G2856" s="17" t="s">
        <v>1772</v>
      </c>
      <c r="H2856" s="17" t="s">
        <v>5765</v>
      </c>
      <c r="I2856" s="17" t="s">
        <v>125</v>
      </c>
      <c r="J2856" s="22" t="s">
        <v>144</v>
      </c>
      <c r="K2856" s="23" t="s">
        <v>108</v>
      </c>
      <c r="L2856" s="24" t="s">
        <v>91</v>
      </c>
      <c r="M2856" s="2">
        <v>72.0</v>
      </c>
      <c r="N2856" s="25">
        <v>31.0</v>
      </c>
      <c r="O2856" s="25"/>
      <c r="P2856" s="25"/>
    </row>
    <row r="2857">
      <c r="A2857" s="16">
        <v>2855.0</v>
      </c>
      <c r="B2857" s="17" t="s">
        <v>117</v>
      </c>
      <c r="C2857" s="18">
        <v>10.0</v>
      </c>
      <c r="D2857" s="19" t="s">
        <v>3153</v>
      </c>
      <c r="E2857" s="20" t="s">
        <v>91</v>
      </c>
      <c r="F2857" s="17" t="s">
        <v>843</v>
      </c>
      <c r="G2857" s="17" t="s">
        <v>4058</v>
      </c>
      <c r="H2857" s="17" t="s">
        <v>5766</v>
      </c>
      <c r="I2857" s="17" t="s">
        <v>125</v>
      </c>
      <c r="J2857" s="22" t="s">
        <v>144</v>
      </c>
      <c r="K2857" s="23" t="s">
        <v>108</v>
      </c>
      <c r="L2857" s="24" t="s">
        <v>91</v>
      </c>
      <c r="M2857" s="2">
        <v>72.0</v>
      </c>
      <c r="N2857" s="25">
        <v>31.0</v>
      </c>
      <c r="O2857" s="25"/>
      <c r="P2857" s="25"/>
    </row>
    <row r="2858">
      <c r="A2858" s="16">
        <v>2856.0</v>
      </c>
      <c r="B2858" s="17" t="s">
        <v>117</v>
      </c>
      <c r="C2858" s="18">
        <v>11.0</v>
      </c>
      <c r="D2858" s="19" t="s">
        <v>3153</v>
      </c>
      <c r="E2858" s="20" t="s">
        <v>91</v>
      </c>
      <c r="F2858" s="17" t="s">
        <v>531</v>
      </c>
      <c r="G2858" s="17" t="s">
        <v>5672</v>
      </c>
      <c r="H2858" s="17" t="s">
        <v>5767</v>
      </c>
      <c r="I2858" s="17" t="s">
        <v>125</v>
      </c>
      <c r="J2858" s="22" t="s">
        <v>144</v>
      </c>
      <c r="K2858" s="23" t="s">
        <v>108</v>
      </c>
      <c r="L2858" s="24" t="s">
        <v>91</v>
      </c>
      <c r="M2858" s="2">
        <v>72.0</v>
      </c>
      <c r="N2858" s="25">
        <v>31.0</v>
      </c>
      <c r="O2858" s="25"/>
      <c r="P2858" s="25"/>
    </row>
    <row r="2859">
      <c r="A2859" s="16">
        <v>2857.0</v>
      </c>
      <c r="B2859" s="17" t="s">
        <v>117</v>
      </c>
      <c r="C2859" s="18">
        <v>12.0</v>
      </c>
      <c r="D2859" s="19" t="s">
        <v>3153</v>
      </c>
      <c r="E2859" s="20" t="s">
        <v>91</v>
      </c>
      <c r="F2859" s="17" t="s">
        <v>878</v>
      </c>
      <c r="G2859" s="17" t="s">
        <v>123</v>
      </c>
      <c r="H2859" s="17" t="s">
        <v>5299</v>
      </c>
      <c r="I2859" s="17" t="s">
        <v>125</v>
      </c>
      <c r="J2859" s="22" t="s">
        <v>144</v>
      </c>
      <c r="K2859" s="23" t="s">
        <v>108</v>
      </c>
      <c r="L2859" s="24" t="s">
        <v>91</v>
      </c>
      <c r="M2859" s="2">
        <v>72.0</v>
      </c>
      <c r="N2859" s="25">
        <v>31.0</v>
      </c>
      <c r="O2859" s="25"/>
      <c r="P2859" s="25"/>
    </row>
    <row r="2860">
      <c r="A2860" s="16">
        <v>2858.0</v>
      </c>
      <c r="B2860" s="27" t="s">
        <v>117</v>
      </c>
      <c r="C2860" s="18">
        <v>13.0</v>
      </c>
      <c r="D2860" s="19" t="s">
        <v>3153</v>
      </c>
      <c r="E2860" s="20" t="s">
        <v>91</v>
      </c>
      <c r="F2860" s="27" t="s">
        <v>4288</v>
      </c>
      <c r="G2860" s="17" t="s">
        <v>5768</v>
      </c>
      <c r="H2860" s="17" t="s">
        <v>5769</v>
      </c>
      <c r="I2860" s="17" t="s">
        <v>125</v>
      </c>
      <c r="J2860" s="22" t="s">
        <v>144</v>
      </c>
      <c r="K2860" s="23" t="s">
        <v>108</v>
      </c>
      <c r="L2860" s="24"/>
      <c r="M2860" s="2">
        <v>72.0</v>
      </c>
      <c r="N2860" s="25">
        <v>31.0</v>
      </c>
      <c r="O2860" s="25"/>
      <c r="P2860" s="25"/>
    </row>
    <row r="2861">
      <c r="A2861" s="16">
        <v>2859.0</v>
      </c>
      <c r="B2861" s="27" t="s">
        <v>117</v>
      </c>
      <c r="C2861" s="18">
        <v>14.0</v>
      </c>
      <c r="D2861" s="19" t="s">
        <v>3153</v>
      </c>
      <c r="E2861" s="20" t="s">
        <v>91</v>
      </c>
      <c r="F2861" s="27" t="s">
        <v>1104</v>
      </c>
      <c r="G2861" s="17" t="s">
        <v>5770</v>
      </c>
      <c r="H2861" s="17" t="s">
        <v>5771</v>
      </c>
      <c r="I2861" s="17" t="s">
        <v>125</v>
      </c>
      <c r="J2861" s="22" t="s">
        <v>144</v>
      </c>
      <c r="K2861" s="23" t="s">
        <v>108</v>
      </c>
      <c r="L2861" s="24"/>
      <c r="M2861" s="2">
        <v>72.0</v>
      </c>
      <c r="N2861" s="25">
        <v>31.0</v>
      </c>
      <c r="O2861" s="25"/>
      <c r="P2861" s="25"/>
    </row>
    <row r="2862">
      <c r="A2862" s="16">
        <v>2860.0</v>
      </c>
      <c r="B2862" s="27" t="s">
        <v>117</v>
      </c>
      <c r="C2862" s="18">
        <v>15.0</v>
      </c>
      <c r="D2862" s="19" t="s">
        <v>3153</v>
      </c>
      <c r="E2862" s="20" t="s">
        <v>91</v>
      </c>
      <c r="F2862" s="27" t="s">
        <v>1070</v>
      </c>
      <c r="G2862" s="17" t="s">
        <v>2275</v>
      </c>
      <c r="H2862" s="17" t="s">
        <v>5772</v>
      </c>
      <c r="I2862" s="17" t="s">
        <v>125</v>
      </c>
      <c r="J2862" s="22" t="s">
        <v>144</v>
      </c>
      <c r="K2862" s="23" t="s">
        <v>108</v>
      </c>
      <c r="L2862" s="24"/>
      <c r="M2862" s="2">
        <v>72.0</v>
      </c>
      <c r="N2862" s="25">
        <v>31.0</v>
      </c>
      <c r="O2862" s="25"/>
      <c r="P2862" s="25"/>
    </row>
    <row r="2863">
      <c r="A2863" s="16">
        <v>2861.0</v>
      </c>
      <c r="B2863" s="27" t="s">
        <v>117</v>
      </c>
      <c r="C2863" s="18">
        <v>16.0</v>
      </c>
      <c r="D2863" s="19" t="s">
        <v>3153</v>
      </c>
      <c r="E2863" s="20" t="s">
        <v>91</v>
      </c>
      <c r="F2863" s="27" t="s">
        <v>1202</v>
      </c>
      <c r="G2863" s="17" t="s">
        <v>5773</v>
      </c>
      <c r="H2863" s="17" t="s">
        <v>5774</v>
      </c>
      <c r="I2863" s="17" t="s">
        <v>125</v>
      </c>
      <c r="J2863" s="22" t="s">
        <v>144</v>
      </c>
      <c r="K2863" s="23" t="s">
        <v>108</v>
      </c>
      <c r="L2863" s="24"/>
      <c r="M2863" s="2">
        <v>72.0</v>
      </c>
      <c r="N2863" s="25">
        <v>31.0</v>
      </c>
      <c r="O2863" s="25"/>
      <c r="P2863" s="25"/>
    </row>
    <row r="2864">
      <c r="A2864" s="16">
        <v>2862.0</v>
      </c>
      <c r="B2864" s="27" t="s">
        <v>117</v>
      </c>
      <c r="C2864" s="18">
        <v>17.0</v>
      </c>
      <c r="D2864" s="19" t="s">
        <v>3153</v>
      </c>
      <c r="E2864" s="20" t="s">
        <v>91</v>
      </c>
      <c r="F2864" s="27" t="s">
        <v>1137</v>
      </c>
      <c r="G2864" s="17" t="s">
        <v>5775</v>
      </c>
      <c r="H2864" s="17" t="s">
        <v>5776</v>
      </c>
      <c r="I2864" s="17" t="s">
        <v>125</v>
      </c>
      <c r="J2864" s="22" t="s">
        <v>144</v>
      </c>
      <c r="K2864" s="23" t="s">
        <v>108</v>
      </c>
      <c r="L2864" s="24"/>
      <c r="M2864" s="2">
        <v>72.0</v>
      </c>
      <c r="N2864" s="25">
        <v>31.0</v>
      </c>
      <c r="O2864" s="25"/>
      <c r="P2864" s="25"/>
    </row>
    <row r="2865">
      <c r="A2865" s="16">
        <v>2863.0</v>
      </c>
      <c r="B2865" s="27" t="s">
        <v>117</v>
      </c>
      <c r="C2865" s="18">
        <v>18.0</v>
      </c>
      <c r="D2865" s="19" t="s">
        <v>3153</v>
      </c>
      <c r="E2865" s="20" t="s">
        <v>91</v>
      </c>
      <c r="F2865" s="27" t="s">
        <v>1065</v>
      </c>
      <c r="G2865" s="17" t="s">
        <v>5777</v>
      </c>
      <c r="H2865" s="17" t="s">
        <v>5778</v>
      </c>
      <c r="I2865" s="17" t="s">
        <v>125</v>
      </c>
      <c r="J2865" s="22" t="s">
        <v>144</v>
      </c>
      <c r="K2865" s="23" t="s">
        <v>108</v>
      </c>
      <c r="L2865" s="24"/>
      <c r="M2865" s="2">
        <v>72.0</v>
      </c>
      <c r="N2865" s="25">
        <v>31.0</v>
      </c>
      <c r="O2865" s="25"/>
      <c r="P2865" s="25"/>
    </row>
    <row r="2866">
      <c r="A2866" s="16">
        <v>2864.0</v>
      </c>
      <c r="B2866" s="27" t="s">
        <v>117</v>
      </c>
      <c r="C2866" s="18">
        <v>19.0</v>
      </c>
      <c r="D2866" s="19" t="s">
        <v>3153</v>
      </c>
      <c r="E2866" s="20" t="s">
        <v>91</v>
      </c>
      <c r="F2866" s="27" t="s">
        <v>1001</v>
      </c>
      <c r="G2866" s="17" t="s">
        <v>5779</v>
      </c>
      <c r="H2866" s="17" t="s">
        <v>5780</v>
      </c>
      <c r="I2866" s="17" t="s">
        <v>125</v>
      </c>
      <c r="J2866" s="22" t="s">
        <v>144</v>
      </c>
      <c r="K2866" s="23" t="s">
        <v>108</v>
      </c>
      <c r="L2866" s="24"/>
      <c r="M2866" s="2">
        <v>72.0</v>
      </c>
      <c r="N2866" s="25">
        <v>31.0</v>
      </c>
      <c r="O2866" s="25"/>
      <c r="P2866" s="25"/>
    </row>
    <row r="2867">
      <c r="A2867" s="16">
        <v>2865.0</v>
      </c>
      <c r="B2867" s="27" t="s">
        <v>117</v>
      </c>
      <c r="C2867" s="18">
        <v>20.0</v>
      </c>
      <c r="D2867" s="19" t="s">
        <v>3153</v>
      </c>
      <c r="E2867" s="20" t="s">
        <v>91</v>
      </c>
      <c r="F2867" s="27" t="s">
        <v>5781</v>
      </c>
      <c r="G2867" s="17" t="s">
        <v>123</v>
      </c>
      <c r="H2867" s="17" t="s">
        <v>5782</v>
      </c>
      <c r="I2867" s="17" t="s">
        <v>125</v>
      </c>
      <c r="J2867" s="22" t="s">
        <v>144</v>
      </c>
      <c r="K2867" s="23" t="s">
        <v>108</v>
      </c>
      <c r="L2867" s="24"/>
      <c r="M2867" s="2">
        <v>72.0</v>
      </c>
      <c r="N2867" s="25">
        <v>31.0</v>
      </c>
      <c r="O2867" s="25"/>
      <c r="P2867" s="25"/>
    </row>
    <row r="2868">
      <c r="A2868" s="16">
        <v>2866.0</v>
      </c>
      <c r="B2868" s="27" t="s">
        <v>117</v>
      </c>
      <c r="C2868" s="18">
        <v>21.0</v>
      </c>
      <c r="D2868" s="19" t="s">
        <v>3153</v>
      </c>
      <c r="E2868" s="20" t="s">
        <v>91</v>
      </c>
      <c r="F2868" s="27" t="s">
        <v>969</v>
      </c>
      <c r="G2868" s="17" t="s">
        <v>5509</v>
      </c>
      <c r="H2868" s="17" t="s">
        <v>5510</v>
      </c>
      <c r="I2868" s="17" t="s">
        <v>125</v>
      </c>
      <c r="J2868" s="22" t="s">
        <v>144</v>
      </c>
      <c r="K2868" s="23" t="s">
        <v>108</v>
      </c>
      <c r="L2868" s="24"/>
      <c r="M2868" s="2">
        <v>72.0</v>
      </c>
      <c r="N2868" s="25">
        <v>31.0</v>
      </c>
      <c r="O2868" s="25"/>
      <c r="P2868" s="25"/>
    </row>
    <row r="2869">
      <c r="A2869" s="16">
        <v>2867.0</v>
      </c>
      <c r="B2869" s="27" t="s">
        <v>117</v>
      </c>
      <c r="C2869" s="18">
        <v>22.0</v>
      </c>
      <c r="D2869" s="19" t="s">
        <v>3153</v>
      </c>
      <c r="E2869" s="20" t="s">
        <v>91</v>
      </c>
      <c r="F2869" s="27" t="s">
        <v>1268</v>
      </c>
      <c r="G2869" s="17" t="s">
        <v>5783</v>
      </c>
      <c r="H2869" s="17" t="s">
        <v>5784</v>
      </c>
      <c r="I2869" s="17" t="s">
        <v>125</v>
      </c>
      <c r="J2869" s="22" t="s">
        <v>144</v>
      </c>
      <c r="K2869" s="23" t="s">
        <v>108</v>
      </c>
      <c r="L2869" s="24"/>
      <c r="M2869" s="2">
        <v>72.0</v>
      </c>
      <c r="N2869" s="25">
        <v>31.0</v>
      </c>
      <c r="O2869" s="25"/>
      <c r="P2869" s="25"/>
    </row>
    <row r="2870">
      <c r="A2870" s="16">
        <v>2868.0</v>
      </c>
      <c r="B2870" s="27" t="s">
        <v>117</v>
      </c>
      <c r="C2870" s="18">
        <v>23.0</v>
      </c>
      <c r="D2870" s="19" t="s">
        <v>3153</v>
      </c>
      <c r="E2870" s="20" t="s">
        <v>91</v>
      </c>
      <c r="F2870" s="27" t="s">
        <v>1230</v>
      </c>
      <c r="G2870" s="17" t="s">
        <v>4630</v>
      </c>
      <c r="H2870" s="17" t="s">
        <v>5785</v>
      </c>
      <c r="I2870" s="17" t="s">
        <v>125</v>
      </c>
      <c r="J2870" s="22" t="s">
        <v>144</v>
      </c>
      <c r="K2870" s="23" t="s">
        <v>108</v>
      </c>
      <c r="L2870" s="24"/>
      <c r="M2870" s="2">
        <v>72.0</v>
      </c>
      <c r="N2870" s="25">
        <v>31.0</v>
      </c>
      <c r="O2870" s="25"/>
      <c r="P2870" s="25"/>
    </row>
    <row r="2871">
      <c r="A2871" s="16">
        <v>2869.0</v>
      </c>
      <c r="B2871" s="27" t="s">
        <v>117</v>
      </c>
      <c r="C2871" s="18">
        <v>24.0</v>
      </c>
      <c r="D2871" s="19" t="s">
        <v>3153</v>
      </c>
      <c r="E2871" s="20" t="s">
        <v>91</v>
      </c>
      <c r="F2871" s="27" t="s">
        <v>1863</v>
      </c>
      <c r="G2871" s="17" t="s">
        <v>5786</v>
      </c>
      <c r="H2871" s="17" t="s">
        <v>5776</v>
      </c>
      <c r="I2871" s="17" t="s">
        <v>125</v>
      </c>
      <c r="J2871" s="22" t="s">
        <v>144</v>
      </c>
      <c r="K2871" s="23" t="s">
        <v>108</v>
      </c>
      <c r="L2871" s="24"/>
      <c r="M2871" s="2">
        <v>72.0</v>
      </c>
      <c r="N2871" s="25">
        <v>31.0</v>
      </c>
      <c r="O2871" s="25"/>
      <c r="P2871" s="25"/>
    </row>
    <row r="2872">
      <c r="A2872" s="16">
        <v>2870.0</v>
      </c>
      <c r="B2872" s="27" t="s">
        <v>117</v>
      </c>
      <c r="C2872" s="18">
        <v>25.0</v>
      </c>
      <c r="D2872" s="19" t="s">
        <v>3153</v>
      </c>
      <c r="E2872" s="20" t="s">
        <v>91</v>
      </c>
      <c r="F2872" s="27" t="s">
        <v>1439</v>
      </c>
      <c r="G2872" s="17" t="s">
        <v>5647</v>
      </c>
      <c r="H2872" s="17" t="s">
        <v>5787</v>
      </c>
      <c r="I2872" s="17" t="s">
        <v>125</v>
      </c>
      <c r="J2872" s="22" t="s">
        <v>144</v>
      </c>
      <c r="K2872" s="23" t="s">
        <v>108</v>
      </c>
      <c r="L2872" s="24"/>
      <c r="M2872" s="2">
        <v>72.0</v>
      </c>
      <c r="N2872" s="25">
        <v>31.0</v>
      </c>
      <c r="O2872" s="25"/>
      <c r="P2872" s="25"/>
    </row>
    <row r="2873">
      <c r="A2873" s="16">
        <v>2871.0</v>
      </c>
      <c r="B2873" s="27" t="s">
        <v>117</v>
      </c>
      <c r="C2873" s="18">
        <v>26.0</v>
      </c>
      <c r="D2873" s="19" t="s">
        <v>3153</v>
      </c>
      <c r="E2873" s="20" t="s">
        <v>91</v>
      </c>
      <c r="F2873" s="27" t="s">
        <v>1240</v>
      </c>
      <c r="G2873" s="17" t="s">
        <v>4932</v>
      </c>
      <c r="H2873" s="17" t="s">
        <v>5788</v>
      </c>
      <c r="I2873" s="17" t="s">
        <v>125</v>
      </c>
      <c r="J2873" s="22" t="s">
        <v>144</v>
      </c>
      <c r="K2873" s="23" t="s">
        <v>108</v>
      </c>
      <c r="L2873" s="24"/>
      <c r="M2873" s="2">
        <v>72.0</v>
      </c>
      <c r="N2873" s="25">
        <v>31.0</v>
      </c>
      <c r="O2873" s="25"/>
      <c r="P2873" s="25"/>
    </row>
    <row r="2874">
      <c r="A2874" s="16">
        <v>2872.0</v>
      </c>
      <c r="B2874" s="27" t="s">
        <v>117</v>
      </c>
      <c r="C2874" s="18">
        <v>27.0</v>
      </c>
      <c r="D2874" s="19" t="s">
        <v>3153</v>
      </c>
      <c r="E2874" s="20" t="s">
        <v>91</v>
      </c>
      <c r="F2874" s="27" t="s">
        <v>1138</v>
      </c>
      <c r="G2874" s="17" t="s">
        <v>5789</v>
      </c>
      <c r="H2874" s="17" t="s">
        <v>5790</v>
      </c>
      <c r="I2874" s="17" t="s">
        <v>125</v>
      </c>
      <c r="J2874" s="22" t="s">
        <v>144</v>
      </c>
      <c r="K2874" s="23" t="s">
        <v>108</v>
      </c>
      <c r="L2874" s="24"/>
      <c r="M2874" s="2">
        <v>72.0</v>
      </c>
      <c r="N2874" s="25">
        <v>31.0</v>
      </c>
      <c r="O2874" s="25"/>
      <c r="P2874" s="25"/>
    </row>
    <row r="2875">
      <c r="A2875" s="16">
        <v>2873.0</v>
      </c>
      <c r="B2875" s="27" t="s">
        <v>117</v>
      </c>
      <c r="C2875" s="18">
        <v>28.0</v>
      </c>
      <c r="D2875" s="19" t="s">
        <v>3153</v>
      </c>
      <c r="E2875" s="20" t="s">
        <v>91</v>
      </c>
      <c r="F2875" s="27" t="s">
        <v>943</v>
      </c>
      <c r="G2875" s="17" t="s">
        <v>5791</v>
      </c>
      <c r="H2875" s="17" t="s">
        <v>5792</v>
      </c>
      <c r="I2875" s="17" t="s">
        <v>125</v>
      </c>
      <c r="J2875" s="22" t="s">
        <v>144</v>
      </c>
      <c r="K2875" s="23" t="s">
        <v>108</v>
      </c>
      <c r="L2875" s="24"/>
      <c r="M2875" s="2">
        <v>72.0</v>
      </c>
      <c r="N2875" s="25">
        <v>31.0</v>
      </c>
      <c r="O2875" s="25"/>
      <c r="P2875" s="25"/>
    </row>
    <row r="2876">
      <c r="A2876" s="16">
        <v>2874.0</v>
      </c>
      <c r="B2876" s="27" t="s">
        <v>117</v>
      </c>
      <c r="C2876" s="18">
        <v>29.0</v>
      </c>
      <c r="D2876" s="19" t="s">
        <v>3153</v>
      </c>
      <c r="E2876" s="20" t="s">
        <v>91</v>
      </c>
      <c r="F2876" s="27" t="s">
        <v>1120</v>
      </c>
      <c r="G2876" s="17" t="s">
        <v>5529</v>
      </c>
      <c r="H2876" s="17" t="s">
        <v>5793</v>
      </c>
      <c r="I2876" s="17" t="s">
        <v>125</v>
      </c>
      <c r="J2876" s="22" t="s">
        <v>144</v>
      </c>
      <c r="K2876" s="23" t="s">
        <v>108</v>
      </c>
      <c r="L2876" s="24"/>
      <c r="M2876" s="2">
        <v>72.0</v>
      </c>
      <c r="N2876" s="25">
        <v>31.0</v>
      </c>
      <c r="O2876" s="25"/>
      <c r="P2876" s="25"/>
    </row>
    <row r="2877">
      <c r="A2877" s="16">
        <v>2875.0</v>
      </c>
      <c r="B2877" s="27" t="s">
        <v>117</v>
      </c>
      <c r="C2877" s="18">
        <v>30.0</v>
      </c>
      <c r="D2877" s="19" t="s">
        <v>3153</v>
      </c>
      <c r="E2877" s="20" t="s">
        <v>91</v>
      </c>
      <c r="F2877" s="27" t="s">
        <v>1021</v>
      </c>
      <c r="G2877" s="17" t="s">
        <v>5794</v>
      </c>
      <c r="H2877" s="17" t="s">
        <v>5795</v>
      </c>
      <c r="I2877" s="17" t="s">
        <v>125</v>
      </c>
      <c r="J2877" s="22" t="s">
        <v>144</v>
      </c>
      <c r="K2877" s="23" t="s">
        <v>108</v>
      </c>
      <c r="L2877" s="24"/>
      <c r="M2877" s="2">
        <v>72.0</v>
      </c>
      <c r="N2877" s="25">
        <v>31.0</v>
      </c>
      <c r="O2877" s="25"/>
      <c r="P2877" s="25"/>
    </row>
    <row r="2878">
      <c r="A2878" s="16">
        <v>2876.0</v>
      </c>
      <c r="B2878" s="17" t="s">
        <v>722</v>
      </c>
      <c r="C2878" s="18">
        <v>1.0</v>
      </c>
      <c r="D2878" s="19" t="s">
        <v>4133</v>
      </c>
      <c r="E2878" s="20" t="s">
        <v>91</v>
      </c>
      <c r="F2878" s="17" t="s">
        <v>300</v>
      </c>
      <c r="G2878" s="17" t="s">
        <v>123</v>
      </c>
      <c r="H2878" s="17" t="s">
        <v>5796</v>
      </c>
      <c r="I2878" s="17" t="s">
        <v>98</v>
      </c>
      <c r="J2878" s="22" t="s">
        <v>100</v>
      </c>
      <c r="K2878" s="23" t="s">
        <v>108</v>
      </c>
      <c r="L2878" s="24" t="s">
        <v>91</v>
      </c>
      <c r="M2878" s="2">
        <v>73.0</v>
      </c>
      <c r="N2878" s="25">
        <v>10.0</v>
      </c>
      <c r="O2878" s="25"/>
      <c r="P2878" s="25"/>
    </row>
    <row r="2879">
      <c r="A2879" s="16">
        <v>2877.0</v>
      </c>
      <c r="B2879" s="17" t="s">
        <v>722</v>
      </c>
      <c r="C2879" s="18">
        <v>2.0</v>
      </c>
      <c r="D2879" s="19" t="s">
        <v>4133</v>
      </c>
      <c r="E2879" s="20" t="s">
        <v>91</v>
      </c>
      <c r="F2879" s="17" t="s">
        <v>47</v>
      </c>
      <c r="G2879" s="17" t="s">
        <v>5797</v>
      </c>
      <c r="H2879" s="17" t="s">
        <v>5798</v>
      </c>
      <c r="I2879" s="17" t="s">
        <v>98</v>
      </c>
      <c r="J2879" s="22" t="s">
        <v>135</v>
      </c>
      <c r="K2879" s="23" t="s">
        <v>108</v>
      </c>
      <c r="L2879" s="24" t="s">
        <v>91</v>
      </c>
      <c r="M2879" s="2">
        <v>73.0</v>
      </c>
      <c r="N2879" s="25">
        <v>20.0</v>
      </c>
      <c r="O2879" s="25"/>
      <c r="P2879" s="25"/>
    </row>
    <row r="2880">
      <c r="A2880" s="16">
        <v>2878.0</v>
      </c>
      <c r="B2880" s="17" t="s">
        <v>722</v>
      </c>
      <c r="C2880" s="18">
        <v>3.0</v>
      </c>
      <c r="D2880" s="19" t="s">
        <v>4133</v>
      </c>
      <c r="E2880" s="20" t="s">
        <v>91</v>
      </c>
      <c r="F2880" s="17" t="s">
        <v>311</v>
      </c>
      <c r="G2880" s="17" t="s">
        <v>2866</v>
      </c>
      <c r="H2880" s="17" t="s">
        <v>3501</v>
      </c>
      <c r="I2880" s="17" t="s">
        <v>98</v>
      </c>
      <c r="J2880" s="22" t="s">
        <v>135</v>
      </c>
      <c r="K2880" s="23" t="s">
        <v>108</v>
      </c>
      <c r="L2880" s="24" t="s">
        <v>91</v>
      </c>
      <c r="M2880" s="2">
        <v>73.0</v>
      </c>
      <c r="N2880" s="25">
        <v>20.0</v>
      </c>
      <c r="O2880" s="25"/>
      <c r="P2880" s="25"/>
    </row>
    <row r="2881">
      <c r="A2881" s="16">
        <v>2879.0</v>
      </c>
      <c r="B2881" s="17" t="s">
        <v>722</v>
      </c>
      <c r="C2881" s="18">
        <v>4.0</v>
      </c>
      <c r="D2881" s="19" t="s">
        <v>4133</v>
      </c>
      <c r="E2881" s="20" t="s">
        <v>91</v>
      </c>
      <c r="F2881" s="17" t="s">
        <v>877</v>
      </c>
      <c r="G2881" s="17" t="s">
        <v>123</v>
      </c>
      <c r="H2881" s="17" t="s">
        <v>5799</v>
      </c>
      <c r="I2881" s="17" t="s">
        <v>98</v>
      </c>
      <c r="J2881" s="22" t="s">
        <v>135</v>
      </c>
      <c r="K2881" s="23" t="s">
        <v>108</v>
      </c>
      <c r="L2881" s="24" t="s">
        <v>91</v>
      </c>
      <c r="M2881" s="2">
        <v>73.0</v>
      </c>
      <c r="N2881" s="25">
        <v>20.0</v>
      </c>
      <c r="O2881" s="25"/>
      <c r="P2881" s="25"/>
    </row>
    <row r="2882">
      <c r="A2882" s="16">
        <v>2880.0</v>
      </c>
      <c r="B2882" s="17" t="s">
        <v>722</v>
      </c>
      <c r="C2882" s="18">
        <v>5.0</v>
      </c>
      <c r="D2882" s="19" t="s">
        <v>4133</v>
      </c>
      <c r="E2882" s="20" t="s">
        <v>91</v>
      </c>
      <c r="F2882" s="17" t="s">
        <v>717</v>
      </c>
      <c r="G2882" s="17" t="s">
        <v>123</v>
      </c>
      <c r="H2882" s="17" t="s">
        <v>5521</v>
      </c>
      <c r="I2882" s="17" t="s">
        <v>98</v>
      </c>
      <c r="J2882" s="22" t="s">
        <v>135</v>
      </c>
      <c r="K2882" s="23" t="s">
        <v>108</v>
      </c>
      <c r="L2882" s="24" t="s">
        <v>91</v>
      </c>
      <c r="M2882" s="2">
        <v>73.0</v>
      </c>
      <c r="N2882" s="25">
        <v>20.0</v>
      </c>
      <c r="O2882" s="25"/>
      <c r="P2882" s="25"/>
    </row>
    <row r="2883">
      <c r="A2883" s="16">
        <v>2881.0</v>
      </c>
      <c r="B2883" s="17" t="s">
        <v>722</v>
      </c>
      <c r="C2883" s="18">
        <v>6.0</v>
      </c>
      <c r="D2883" s="19" t="s">
        <v>4133</v>
      </c>
      <c r="E2883" s="20" t="s">
        <v>91</v>
      </c>
      <c r="F2883" s="17" t="s">
        <v>861</v>
      </c>
      <c r="G2883" s="17" t="s">
        <v>5800</v>
      </c>
      <c r="H2883" s="17" t="s">
        <v>5801</v>
      </c>
      <c r="I2883" s="17" t="s">
        <v>98</v>
      </c>
      <c r="J2883" s="22" t="s">
        <v>135</v>
      </c>
      <c r="K2883" s="23" t="s">
        <v>108</v>
      </c>
      <c r="L2883" s="24" t="s">
        <v>91</v>
      </c>
      <c r="M2883" s="2">
        <v>73.0</v>
      </c>
      <c r="N2883" s="25">
        <v>20.0</v>
      </c>
      <c r="O2883" s="25"/>
      <c r="P2883" s="25"/>
    </row>
    <row r="2884">
      <c r="A2884" s="16">
        <v>2882.0</v>
      </c>
      <c r="B2884" s="17" t="s">
        <v>722</v>
      </c>
      <c r="C2884" s="18">
        <v>7.0</v>
      </c>
      <c r="D2884" s="19" t="s">
        <v>4133</v>
      </c>
      <c r="E2884" s="20" t="s">
        <v>91</v>
      </c>
      <c r="F2884" s="17" t="s">
        <v>1141</v>
      </c>
      <c r="G2884" s="17" t="s">
        <v>5802</v>
      </c>
      <c r="H2884" s="17" t="s">
        <v>5803</v>
      </c>
      <c r="I2884" s="17" t="s">
        <v>98</v>
      </c>
      <c r="J2884" s="22" t="s">
        <v>135</v>
      </c>
      <c r="K2884" s="23" t="s">
        <v>108</v>
      </c>
      <c r="L2884" s="24" t="s">
        <v>91</v>
      </c>
      <c r="M2884" s="2">
        <v>73.0</v>
      </c>
      <c r="N2884" s="25">
        <v>20.0</v>
      </c>
      <c r="O2884" s="25"/>
      <c r="P2884" s="25"/>
    </row>
    <row r="2885">
      <c r="A2885" s="16">
        <v>2883.0</v>
      </c>
      <c r="B2885" s="17" t="s">
        <v>722</v>
      </c>
      <c r="C2885" s="18">
        <v>8.0</v>
      </c>
      <c r="D2885" s="19" t="s">
        <v>4133</v>
      </c>
      <c r="E2885" s="20" t="s">
        <v>91</v>
      </c>
      <c r="F2885" s="17" t="s">
        <v>1445</v>
      </c>
      <c r="G2885" s="17" t="s">
        <v>5804</v>
      </c>
      <c r="H2885" s="17" t="s">
        <v>5805</v>
      </c>
      <c r="I2885" s="17" t="s">
        <v>98</v>
      </c>
      <c r="J2885" s="22" t="s">
        <v>135</v>
      </c>
      <c r="K2885" s="23" t="s">
        <v>108</v>
      </c>
      <c r="L2885" s="24" t="s">
        <v>91</v>
      </c>
      <c r="M2885" s="2">
        <v>73.0</v>
      </c>
      <c r="N2885" s="25">
        <v>20.0</v>
      </c>
      <c r="O2885" s="25"/>
      <c r="P2885" s="25"/>
    </row>
    <row r="2886">
      <c r="A2886" s="16">
        <v>2884.0</v>
      </c>
      <c r="B2886" s="17" t="s">
        <v>722</v>
      </c>
      <c r="C2886" s="18">
        <v>9.0</v>
      </c>
      <c r="D2886" s="19" t="s">
        <v>4133</v>
      </c>
      <c r="E2886" s="20" t="s">
        <v>91</v>
      </c>
      <c r="F2886" s="17" t="s">
        <v>166</v>
      </c>
      <c r="G2886" s="17" t="s">
        <v>123</v>
      </c>
      <c r="H2886" s="17" t="s">
        <v>5806</v>
      </c>
      <c r="I2886" s="17" t="s">
        <v>98</v>
      </c>
      <c r="J2886" s="22" t="s">
        <v>135</v>
      </c>
      <c r="K2886" s="23" t="s">
        <v>108</v>
      </c>
      <c r="L2886" s="24" t="s">
        <v>91</v>
      </c>
      <c r="M2886" s="2">
        <v>73.0</v>
      </c>
      <c r="N2886" s="25">
        <v>20.0</v>
      </c>
      <c r="O2886" s="25"/>
      <c r="P2886" s="25"/>
    </row>
    <row r="2887">
      <c r="A2887" s="16">
        <v>2885.0</v>
      </c>
      <c r="B2887" s="17" t="s">
        <v>722</v>
      </c>
      <c r="C2887" s="18">
        <v>10.0</v>
      </c>
      <c r="D2887" s="19" t="s">
        <v>4133</v>
      </c>
      <c r="E2887" s="20" t="s">
        <v>91</v>
      </c>
      <c r="F2887" s="17" t="s">
        <v>360</v>
      </c>
      <c r="G2887" s="17" t="s">
        <v>5807</v>
      </c>
      <c r="H2887" s="17" t="s">
        <v>5808</v>
      </c>
      <c r="I2887" s="17" t="s">
        <v>98</v>
      </c>
      <c r="J2887" s="22" t="s">
        <v>135</v>
      </c>
      <c r="K2887" s="23" t="s">
        <v>108</v>
      </c>
      <c r="L2887" s="24" t="s">
        <v>91</v>
      </c>
      <c r="M2887" s="2">
        <v>73.0</v>
      </c>
      <c r="N2887" s="25">
        <v>20.0</v>
      </c>
      <c r="O2887" s="25"/>
      <c r="P2887" s="25"/>
    </row>
    <row r="2888">
      <c r="A2888" s="16">
        <v>2886.0</v>
      </c>
      <c r="B2888" s="17" t="s">
        <v>722</v>
      </c>
      <c r="C2888" s="18">
        <v>11.0</v>
      </c>
      <c r="D2888" s="19" t="s">
        <v>4133</v>
      </c>
      <c r="E2888" s="20" t="s">
        <v>91</v>
      </c>
      <c r="F2888" s="17" t="s">
        <v>26</v>
      </c>
      <c r="G2888" s="17" t="s">
        <v>5754</v>
      </c>
      <c r="H2888" s="17" t="s">
        <v>5809</v>
      </c>
      <c r="I2888" s="17" t="s">
        <v>98</v>
      </c>
      <c r="J2888" s="22" t="s">
        <v>135</v>
      </c>
      <c r="K2888" s="23" t="s">
        <v>108</v>
      </c>
      <c r="L2888" s="24" t="s">
        <v>91</v>
      </c>
      <c r="M2888" s="2">
        <v>73.0</v>
      </c>
      <c r="N2888" s="25">
        <v>20.0</v>
      </c>
      <c r="O2888" s="25"/>
      <c r="P2888" s="25"/>
    </row>
    <row r="2889">
      <c r="A2889" s="16">
        <v>2887.0</v>
      </c>
      <c r="B2889" s="17" t="s">
        <v>722</v>
      </c>
      <c r="C2889" s="18">
        <v>12.0</v>
      </c>
      <c r="D2889" s="19" t="s">
        <v>4133</v>
      </c>
      <c r="E2889" s="20" t="s">
        <v>91</v>
      </c>
      <c r="F2889" s="17" t="s">
        <v>145</v>
      </c>
      <c r="G2889" s="17" t="s">
        <v>5810</v>
      </c>
      <c r="H2889" s="17" t="s">
        <v>5811</v>
      </c>
      <c r="I2889" s="17" t="s">
        <v>98</v>
      </c>
      <c r="J2889" s="22" t="s">
        <v>135</v>
      </c>
      <c r="K2889" s="23" t="s">
        <v>108</v>
      </c>
      <c r="L2889" s="24" t="s">
        <v>91</v>
      </c>
      <c r="M2889" s="2">
        <v>73.0</v>
      </c>
      <c r="N2889" s="25">
        <v>20.0</v>
      </c>
      <c r="O2889" s="25"/>
      <c r="P2889" s="25"/>
    </row>
    <row r="2890">
      <c r="A2890" s="16">
        <v>2888.0</v>
      </c>
      <c r="B2890" s="17" t="s">
        <v>722</v>
      </c>
      <c r="C2890" s="18">
        <v>13.0</v>
      </c>
      <c r="D2890" s="19" t="s">
        <v>4133</v>
      </c>
      <c r="E2890" s="20" t="s">
        <v>91</v>
      </c>
      <c r="F2890" s="17" t="s">
        <v>977</v>
      </c>
      <c r="G2890" s="17" t="s">
        <v>5812</v>
      </c>
      <c r="H2890" s="17" t="s">
        <v>5813</v>
      </c>
      <c r="I2890" s="17" t="s">
        <v>98</v>
      </c>
      <c r="J2890" s="22" t="s">
        <v>135</v>
      </c>
      <c r="K2890" s="23" t="s">
        <v>108</v>
      </c>
      <c r="L2890" s="24" t="s">
        <v>91</v>
      </c>
      <c r="M2890" s="2">
        <v>73.0</v>
      </c>
      <c r="N2890" s="25">
        <v>20.0</v>
      </c>
      <c r="O2890" s="25"/>
      <c r="P2890" s="25"/>
    </row>
    <row r="2891">
      <c r="A2891" s="16">
        <v>2889.0</v>
      </c>
      <c r="B2891" s="17" t="s">
        <v>722</v>
      </c>
      <c r="C2891" s="18">
        <v>14.0</v>
      </c>
      <c r="D2891" s="19" t="s">
        <v>4133</v>
      </c>
      <c r="E2891" s="20" t="s">
        <v>91</v>
      </c>
      <c r="F2891" s="17" t="s">
        <v>918</v>
      </c>
      <c r="G2891" s="17" t="s">
        <v>5814</v>
      </c>
      <c r="H2891" s="17" t="s">
        <v>5811</v>
      </c>
      <c r="I2891" s="17" t="s">
        <v>98</v>
      </c>
      <c r="J2891" s="22" t="s">
        <v>135</v>
      </c>
      <c r="K2891" s="23" t="s">
        <v>108</v>
      </c>
      <c r="L2891" s="24" t="s">
        <v>91</v>
      </c>
      <c r="M2891" s="2">
        <v>73.0</v>
      </c>
      <c r="N2891" s="25">
        <v>20.0</v>
      </c>
      <c r="O2891" s="25"/>
      <c r="P2891" s="25"/>
    </row>
    <row r="2892">
      <c r="A2892" s="16">
        <v>2890.0</v>
      </c>
      <c r="B2892" s="17" t="s">
        <v>722</v>
      </c>
      <c r="C2892" s="18">
        <v>15.0</v>
      </c>
      <c r="D2892" s="19" t="s">
        <v>4133</v>
      </c>
      <c r="E2892" s="20" t="s">
        <v>91</v>
      </c>
      <c r="F2892" s="17" t="s">
        <v>243</v>
      </c>
      <c r="G2892" s="17" t="s">
        <v>123</v>
      </c>
      <c r="H2892" s="17" t="s">
        <v>5815</v>
      </c>
      <c r="I2892" s="17" t="s">
        <v>98</v>
      </c>
      <c r="J2892" s="22" t="s">
        <v>135</v>
      </c>
      <c r="K2892" s="23" t="s">
        <v>108</v>
      </c>
      <c r="L2892" s="24" t="s">
        <v>91</v>
      </c>
      <c r="M2892" s="2">
        <v>73.0</v>
      </c>
      <c r="N2892" s="25">
        <v>20.0</v>
      </c>
      <c r="O2892" s="25"/>
      <c r="P2892" s="25"/>
    </row>
    <row r="2893">
      <c r="A2893" s="16">
        <v>2891.0</v>
      </c>
      <c r="B2893" s="17" t="s">
        <v>722</v>
      </c>
      <c r="C2893" s="18">
        <v>16.0</v>
      </c>
      <c r="D2893" s="19" t="s">
        <v>4133</v>
      </c>
      <c r="E2893" s="20" t="s">
        <v>91</v>
      </c>
      <c r="F2893" s="17" t="s">
        <v>92</v>
      </c>
      <c r="G2893" s="17" t="s">
        <v>5170</v>
      </c>
      <c r="H2893" s="17" t="s">
        <v>5816</v>
      </c>
      <c r="I2893" s="17" t="s">
        <v>98</v>
      </c>
      <c r="J2893" s="22" t="s">
        <v>135</v>
      </c>
      <c r="K2893" s="23" t="s">
        <v>108</v>
      </c>
      <c r="L2893" s="24" t="s">
        <v>91</v>
      </c>
      <c r="M2893" s="2">
        <v>73.0</v>
      </c>
      <c r="N2893" s="25">
        <v>20.0</v>
      </c>
      <c r="O2893" s="25"/>
      <c r="P2893" s="25"/>
    </row>
    <row r="2894">
      <c r="A2894" s="16">
        <v>2892.0</v>
      </c>
      <c r="B2894" s="17" t="s">
        <v>722</v>
      </c>
      <c r="C2894" s="18">
        <v>17.0</v>
      </c>
      <c r="D2894" s="19" t="s">
        <v>4133</v>
      </c>
      <c r="E2894" s="20" t="s">
        <v>91</v>
      </c>
      <c r="F2894" s="17" t="s">
        <v>315</v>
      </c>
      <c r="G2894" s="17" t="s">
        <v>5817</v>
      </c>
      <c r="H2894" s="17" t="s">
        <v>5818</v>
      </c>
      <c r="I2894" s="17" t="s">
        <v>98</v>
      </c>
      <c r="J2894" s="22" t="s">
        <v>144</v>
      </c>
      <c r="K2894" s="23" t="s">
        <v>108</v>
      </c>
      <c r="L2894" s="24" t="s">
        <v>91</v>
      </c>
      <c r="M2894" s="2">
        <v>73.0</v>
      </c>
      <c r="N2894" s="25">
        <v>30.0</v>
      </c>
      <c r="O2894" s="25"/>
      <c r="P2894" s="25"/>
    </row>
    <row r="2895">
      <c r="A2895" s="16">
        <v>2893.0</v>
      </c>
      <c r="B2895" s="17" t="s">
        <v>722</v>
      </c>
      <c r="C2895" s="18">
        <v>18.0</v>
      </c>
      <c r="D2895" s="19" t="s">
        <v>4133</v>
      </c>
      <c r="E2895" s="20" t="s">
        <v>91</v>
      </c>
      <c r="F2895" s="17" t="s">
        <v>306</v>
      </c>
      <c r="G2895" s="17" t="s">
        <v>123</v>
      </c>
      <c r="H2895" s="17" t="s">
        <v>5819</v>
      </c>
      <c r="I2895" s="17" t="s">
        <v>98</v>
      </c>
      <c r="J2895" s="22" t="s">
        <v>144</v>
      </c>
      <c r="K2895" s="23" t="s">
        <v>108</v>
      </c>
      <c r="L2895" s="24" t="s">
        <v>91</v>
      </c>
      <c r="M2895" s="2">
        <v>73.0</v>
      </c>
      <c r="N2895" s="25">
        <v>30.0</v>
      </c>
      <c r="O2895" s="25"/>
      <c r="P2895" s="25"/>
    </row>
    <row r="2896">
      <c r="A2896" s="16">
        <v>2894.0</v>
      </c>
      <c r="B2896" s="17" t="s">
        <v>722</v>
      </c>
      <c r="C2896" s="18">
        <v>19.0</v>
      </c>
      <c r="D2896" s="19" t="s">
        <v>4133</v>
      </c>
      <c r="E2896" s="20" t="s">
        <v>91</v>
      </c>
      <c r="F2896" s="17" t="s">
        <v>10</v>
      </c>
      <c r="G2896" s="17" t="s">
        <v>5820</v>
      </c>
      <c r="H2896" s="17" t="s">
        <v>5821</v>
      </c>
      <c r="I2896" s="17" t="s">
        <v>98</v>
      </c>
      <c r="J2896" s="22" t="s">
        <v>144</v>
      </c>
      <c r="K2896" s="23" t="s">
        <v>108</v>
      </c>
      <c r="L2896" s="24" t="s">
        <v>91</v>
      </c>
      <c r="M2896" s="2">
        <v>73.0</v>
      </c>
      <c r="N2896" s="25">
        <v>30.0</v>
      </c>
      <c r="O2896" s="25"/>
      <c r="P2896" s="25"/>
    </row>
    <row r="2897">
      <c r="A2897" s="16">
        <v>2895.0</v>
      </c>
      <c r="B2897" s="17" t="s">
        <v>722</v>
      </c>
      <c r="C2897" s="18">
        <v>20.0</v>
      </c>
      <c r="D2897" s="19" t="s">
        <v>4133</v>
      </c>
      <c r="E2897" s="20" t="s">
        <v>91</v>
      </c>
      <c r="F2897" s="17" t="s">
        <v>287</v>
      </c>
      <c r="G2897" s="17" t="s">
        <v>123</v>
      </c>
      <c r="H2897" s="17" t="s">
        <v>5822</v>
      </c>
      <c r="I2897" s="17" t="s">
        <v>98</v>
      </c>
      <c r="J2897" s="22" t="s">
        <v>144</v>
      </c>
      <c r="K2897" s="23" t="s">
        <v>108</v>
      </c>
      <c r="L2897" s="24" t="s">
        <v>91</v>
      </c>
      <c r="M2897" s="2">
        <v>73.0</v>
      </c>
      <c r="N2897" s="25">
        <v>30.0</v>
      </c>
      <c r="O2897" s="25"/>
      <c r="P2897" s="25"/>
    </row>
    <row r="2898">
      <c r="A2898" s="16">
        <v>2896.0</v>
      </c>
      <c r="B2898" s="17" t="s">
        <v>722</v>
      </c>
      <c r="C2898" s="18">
        <v>21.0</v>
      </c>
      <c r="D2898" s="19" t="s">
        <v>4133</v>
      </c>
      <c r="E2898" s="20" t="s">
        <v>91</v>
      </c>
      <c r="F2898" s="17" t="s">
        <v>524</v>
      </c>
      <c r="G2898" s="17" t="s">
        <v>123</v>
      </c>
      <c r="H2898" s="17" t="s">
        <v>5823</v>
      </c>
      <c r="I2898" s="17" t="s">
        <v>98</v>
      </c>
      <c r="J2898" s="22" t="s">
        <v>144</v>
      </c>
      <c r="K2898" s="23" t="s">
        <v>108</v>
      </c>
      <c r="L2898" s="24" t="s">
        <v>91</v>
      </c>
      <c r="M2898" s="2">
        <v>73.0</v>
      </c>
      <c r="N2898" s="25">
        <v>30.0</v>
      </c>
      <c r="O2898" s="25"/>
      <c r="P2898" s="25"/>
    </row>
    <row r="2899">
      <c r="A2899" s="16">
        <v>2897.0</v>
      </c>
      <c r="B2899" s="17" t="s">
        <v>722</v>
      </c>
      <c r="C2899" s="18">
        <v>22.0</v>
      </c>
      <c r="D2899" s="19" t="s">
        <v>4133</v>
      </c>
      <c r="E2899" s="20" t="s">
        <v>91</v>
      </c>
      <c r="F2899" s="17" t="s">
        <v>1120</v>
      </c>
      <c r="G2899" s="17" t="s">
        <v>123</v>
      </c>
      <c r="H2899" s="17" t="s">
        <v>5824</v>
      </c>
      <c r="I2899" s="17" t="s">
        <v>98</v>
      </c>
      <c r="J2899" s="22" t="s">
        <v>144</v>
      </c>
      <c r="K2899" s="23" t="s">
        <v>108</v>
      </c>
      <c r="L2899" s="24" t="s">
        <v>91</v>
      </c>
      <c r="M2899" s="2">
        <v>73.0</v>
      </c>
      <c r="N2899" s="25">
        <v>30.0</v>
      </c>
      <c r="O2899" s="25"/>
      <c r="P2899" s="25"/>
    </row>
    <row r="2900">
      <c r="A2900" s="16">
        <v>2898.0</v>
      </c>
      <c r="B2900" s="17" t="s">
        <v>722</v>
      </c>
      <c r="C2900" s="18">
        <v>23.0</v>
      </c>
      <c r="D2900" s="19" t="s">
        <v>4133</v>
      </c>
      <c r="E2900" s="20" t="s">
        <v>91</v>
      </c>
      <c r="F2900" s="17" t="s">
        <v>5</v>
      </c>
      <c r="G2900" s="17" t="s">
        <v>123</v>
      </c>
      <c r="H2900" s="17" t="s">
        <v>5825</v>
      </c>
      <c r="I2900" s="17" t="s">
        <v>98</v>
      </c>
      <c r="J2900" s="22" t="s">
        <v>144</v>
      </c>
      <c r="K2900" s="23" t="s">
        <v>108</v>
      </c>
      <c r="L2900" s="24" t="s">
        <v>91</v>
      </c>
      <c r="M2900" s="2">
        <v>73.0</v>
      </c>
      <c r="N2900" s="25">
        <v>30.0</v>
      </c>
      <c r="O2900" s="25"/>
      <c r="P2900" s="25"/>
    </row>
    <row r="2901">
      <c r="A2901" s="16">
        <v>2899.0</v>
      </c>
      <c r="B2901" s="17" t="s">
        <v>722</v>
      </c>
      <c r="C2901" s="18">
        <v>24.0</v>
      </c>
      <c r="D2901" s="19" t="s">
        <v>4133</v>
      </c>
      <c r="E2901" s="20" t="s">
        <v>91</v>
      </c>
      <c r="F2901" s="17" t="s">
        <v>308</v>
      </c>
      <c r="G2901" s="17" t="s">
        <v>123</v>
      </c>
      <c r="H2901" s="17" t="s">
        <v>5826</v>
      </c>
      <c r="I2901" s="17" t="s">
        <v>98</v>
      </c>
      <c r="J2901" s="22" t="s">
        <v>144</v>
      </c>
      <c r="K2901" s="23" t="s">
        <v>108</v>
      </c>
      <c r="L2901" s="24" t="s">
        <v>91</v>
      </c>
      <c r="M2901" s="2">
        <v>73.0</v>
      </c>
      <c r="N2901" s="25">
        <v>30.0</v>
      </c>
      <c r="O2901" s="25"/>
      <c r="P2901" s="25"/>
    </row>
    <row r="2902">
      <c r="A2902" s="16">
        <v>2900.0</v>
      </c>
      <c r="B2902" s="17" t="s">
        <v>722</v>
      </c>
      <c r="C2902" s="18">
        <v>25.0</v>
      </c>
      <c r="D2902" s="19" t="s">
        <v>4133</v>
      </c>
      <c r="E2902" s="20" t="s">
        <v>91</v>
      </c>
      <c r="F2902" s="17" t="s">
        <v>158</v>
      </c>
      <c r="G2902" s="17" t="s">
        <v>123</v>
      </c>
      <c r="H2902" s="17" t="s">
        <v>5827</v>
      </c>
      <c r="I2902" s="17" t="s">
        <v>98</v>
      </c>
      <c r="J2902" s="22" t="s">
        <v>144</v>
      </c>
      <c r="K2902" s="23" t="s">
        <v>108</v>
      </c>
      <c r="L2902" s="24" t="s">
        <v>91</v>
      </c>
      <c r="M2902" s="2">
        <v>73.0</v>
      </c>
      <c r="N2902" s="25">
        <v>30.0</v>
      </c>
      <c r="O2902" s="25"/>
      <c r="P2902" s="25"/>
    </row>
    <row r="2903">
      <c r="A2903" s="16">
        <v>2901.0</v>
      </c>
      <c r="B2903" s="17" t="s">
        <v>722</v>
      </c>
      <c r="C2903" s="18">
        <v>26.0</v>
      </c>
      <c r="D2903" s="19" t="s">
        <v>4133</v>
      </c>
      <c r="E2903" s="20" t="s">
        <v>91</v>
      </c>
      <c r="F2903" s="17" t="s">
        <v>364</v>
      </c>
      <c r="G2903" s="17" t="s">
        <v>5533</v>
      </c>
      <c r="H2903" s="17" t="s">
        <v>5828</v>
      </c>
      <c r="I2903" s="17" t="s">
        <v>98</v>
      </c>
      <c r="J2903" s="22" t="s">
        <v>144</v>
      </c>
      <c r="K2903" s="23" t="s">
        <v>108</v>
      </c>
      <c r="L2903" s="24" t="s">
        <v>91</v>
      </c>
      <c r="M2903" s="2">
        <v>73.0</v>
      </c>
      <c r="N2903" s="25">
        <v>30.0</v>
      </c>
      <c r="O2903" s="25"/>
      <c r="P2903" s="25"/>
    </row>
    <row r="2904">
      <c r="A2904" s="16">
        <v>2902.0</v>
      </c>
      <c r="B2904" s="17" t="s">
        <v>722</v>
      </c>
      <c r="C2904" s="18">
        <v>27.0</v>
      </c>
      <c r="D2904" s="19" t="s">
        <v>4133</v>
      </c>
      <c r="E2904" s="20" t="s">
        <v>91</v>
      </c>
      <c r="F2904" s="17" t="s">
        <v>283</v>
      </c>
      <c r="G2904" s="17" t="s">
        <v>123</v>
      </c>
      <c r="H2904" s="17" t="s">
        <v>5829</v>
      </c>
      <c r="I2904" s="17" t="s">
        <v>98</v>
      </c>
      <c r="J2904" s="22" t="s">
        <v>144</v>
      </c>
      <c r="K2904" s="23" t="s">
        <v>108</v>
      </c>
      <c r="L2904" s="24" t="s">
        <v>91</v>
      </c>
      <c r="M2904" s="2">
        <v>73.0</v>
      </c>
      <c r="N2904" s="25">
        <v>30.0</v>
      </c>
      <c r="O2904" s="25"/>
      <c r="P2904" s="25"/>
    </row>
    <row r="2905">
      <c r="A2905" s="16">
        <v>2903.0</v>
      </c>
      <c r="B2905" s="17" t="s">
        <v>722</v>
      </c>
      <c r="C2905" s="18">
        <v>28.0</v>
      </c>
      <c r="D2905" s="19" t="s">
        <v>4133</v>
      </c>
      <c r="E2905" s="20" t="s">
        <v>91</v>
      </c>
      <c r="F2905" s="17" t="s">
        <v>155</v>
      </c>
      <c r="G2905" s="17" t="s">
        <v>5830</v>
      </c>
      <c r="H2905" s="17" t="s">
        <v>5811</v>
      </c>
      <c r="I2905" s="17" t="s">
        <v>98</v>
      </c>
      <c r="J2905" s="22" t="s">
        <v>144</v>
      </c>
      <c r="K2905" s="23" t="s">
        <v>108</v>
      </c>
      <c r="L2905" s="24" t="s">
        <v>91</v>
      </c>
      <c r="M2905" s="2">
        <v>73.0</v>
      </c>
      <c r="N2905" s="25">
        <v>30.0</v>
      </c>
      <c r="O2905" s="25"/>
      <c r="P2905" s="25"/>
    </row>
    <row r="2906">
      <c r="A2906" s="16">
        <v>2904.0</v>
      </c>
      <c r="B2906" s="17" t="s">
        <v>722</v>
      </c>
      <c r="C2906" s="18">
        <v>29.0</v>
      </c>
      <c r="D2906" s="19" t="s">
        <v>4133</v>
      </c>
      <c r="E2906" s="20" t="s">
        <v>91</v>
      </c>
      <c r="F2906" s="17" t="s">
        <v>642</v>
      </c>
      <c r="G2906" s="17" t="s">
        <v>5831</v>
      </c>
      <c r="H2906" s="17" t="s">
        <v>5832</v>
      </c>
      <c r="I2906" s="17" t="s">
        <v>98</v>
      </c>
      <c r="J2906" s="22" t="s">
        <v>144</v>
      </c>
      <c r="K2906" s="23" t="s">
        <v>108</v>
      </c>
      <c r="L2906" s="24" t="s">
        <v>91</v>
      </c>
      <c r="M2906" s="2">
        <v>73.0</v>
      </c>
      <c r="N2906" s="25">
        <v>30.0</v>
      </c>
      <c r="O2906" s="25"/>
      <c r="P2906" s="25"/>
    </row>
    <row r="2907">
      <c r="A2907" s="16">
        <v>2905.0</v>
      </c>
      <c r="B2907" s="17" t="s">
        <v>722</v>
      </c>
      <c r="C2907" s="18">
        <v>30.0</v>
      </c>
      <c r="D2907" s="19" t="s">
        <v>3191</v>
      </c>
      <c r="E2907" s="20" t="s">
        <v>91</v>
      </c>
      <c r="F2907" s="17" t="s">
        <v>549</v>
      </c>
      <c r="G2907" s="17" t="s">
        <v>3544</v>
      </c>
      <c r="H2907" s="17" t="s">
        <v>5833</v>
      </c>
      <c r="I2907" s="17" t="s">
        <v>125</v>
      </c>
      <c r="J2907" s="22" t="s">
        <v>144</v>
      </c>
      <c r="K2907" s="23" t="s">
        <v>108</v>
      </c>
      <c r="L2907" s="24" t="s">
        <v>91</v>
      </c>
      <c r="M2907" s="2">
        <v>73.0</v>
      </c>
      <c r="N2907" s="25">
        <v>31.0</v>
      </c>
      <c r="O2907" s="25"/>
      <c r="P2907" s="25"/>
    </row>
    <row r="2908">
      <c r="A2908" s="16">
        <v>2906.0</v>
      </c>
      <c r="B2908" s="17" t="s">
        <v>878</v>
      </c>
      <c r="C2908" s="18">
        <v>1.0</v>
      </c>
      <c r="D2908" s="19" t="s">
        <v>3232</v>
      </c>
      <c r="E2908" s="20" t="s">
        <v>91</v>
      </c>
      <c r="F2908" s="17" t="s">
        <v>549</v>
      </c>
      <c r="G2908" s="17" t="s">
        <v>3544</v>
      </c>
      <c r="H2908" s="17" t="s">
        <v>3545</v>
      </c>
      <c r="I2908" s="17" t="s">
        <v>125</v>
      </c>
      <c r="J2908" s="22" t="s">
        <v>100</v>
      </c>
      <c r="K2908" s="23" t="s">
        <v>108</v>
      </c>
      <c r="L2908" s="24" t="s">
        <v>91</v>
      </c>
      <c r="M2908" s="2">
        <v>74.0</v>
      </c>
      <c r="N2908" s="25">
        <v>11.0</v>
      </c>
      <c r="O2908" s="25"/>
      <c r="P2908" s="25"/>
    </row>
    <row r="2909">
      <c r="A2909" s="16">
        <v>2907.0</v>
      </c>
      <c r="B2909" s="17" t="s">
        <v>878</v>
      </c>
      <c r="C2909" s="18">
        <v>2.0</v>
      </c>
      <c r="D2909" s="19" t="s">
        <v>3232</v>
      </c>
      <c r="E2909" s="20" t="s">
        <v>91</v>
      </c>
      <c r="F2909" s="17" t="s">
        <v>364</v>
      </c>
      <c r="G2909" s="17" t="s">
        <v>5834</v>
      </c>
      <c r="H2909" s="17" t="s">
        <v>5835</v>
      </c>
      <c r="I2909" s="17" t="s">
        <v>125</v>
      </c>
      <c r="J2909" s="22" t="s">
        <v>100</v>
      </c>
      <c r="K2909" s="23" t="s">
        <v>108</v>
      </c>
      <c r="L2909" s="24" t="s">
        <v>91</v>
      </c>
      <c r="M2909" s="2">
        <v>74.0</v>
      </c>
      <c r="N2909" s="25">
        <v>11.0</v>
      </c>
      <c r="O2909" s="25"/>
      <c r="P2909" s="25"/>
    </row>
    <row r="2910">
      <c r="A2910" s="16">
        <v>2908.0</v>
      </c>
      <c r="B2910" s="17" t="s">
        <v>878</v>
      </c>
      <c r="C2910" s="18">
        <v>3.0</v>
      </c>
      <c r="D2910" s="19" t="s">
        <v>3232</v>
      </c>
      <c r="E2910" s="20" t="s">
        <v>91</v>
      </c>
      <c r="F2910" s="17" t="s">
        <v>877</v>
      </c>
      <c r="G2910" s="17" t="s">
        <v>2855</v>
      </c>
      <c r="H2910" s="17" t="s">
        <v>5836</v>
      </c>
      <c r="I2910" s="17" t="s">
        <v>125</v>
      </c>
      <c r="J2910" s="22" t="s">
        <v>135</v>
      </c>
      <c r="K2910" s="23" t="s">
        <v>108</v>
      </c>
      <c r="L2910" s="24" t="s">
        <v>91</v>
      </c>
      <c r="M2910" s="2">
        <v>74.0</v>
      </c>
      <c r="N2910" s="25">
        <v>21.0</v>
      </c>
      <c r="O2910" s="25"/>
      <c r="P2910" s="25"/>
    </row>
    <row r="2911">
      <c r="A2911" s="16">
        <v>2909.0</v>
      </c>
      <c r="B2911" s="17" t="s">
        <v>878</v>
      </c>
      <c r="C2911" s="18">
        <v>4.0</v>
      </c>
      <c r="D2911" s="19" t="s">
        <v>3232</v>
      </c>
      <c r="E2911" s="20" t="s">
        <v>91</v>
      </c>
      <c r="F2911" s="17" t="s">
        <v>145</v>
      </c>
      <c r="G2911" s="17" t="s">
        <v>5837</v>
      </c>
      <c r="H2911" s="17" t="s">
        <v>5838</v>
      </c>
      <c r="I2911" s="17" t="s">
        <v>125</v>
      </c>
      <c r="J2911" s="22" t="s">
        <v>135</v>
      </c>
      <c r="K2911" s="23" t="s">
        <v>108</v>
      </c>
      <c r="L2911" s="24" t="s">
        <v>91</v>
      </c>
      <c r="M2911" s="2">
        <v>74.0</v>
      </c>
      <c r="N2911" s="25">
        <v>21.0</v>
      </c>
      <c r="O2911" s="25"/>
      <c r="P2911" s="25"/>
    </row>
    <row r="2912">
      <c r="A2912" s="16">
        <v>2910.0</v>
      </c>
      <c r="B2912" s="17" t="s">
        <v>878</v>
      </c>
      <c r="C2912" s="18">
        <v>5.0</v>
      </c>
      <c r="D2912" s="19" t="s">
        <v>3232</v>
      </c>
      <c r="E2912" s="20" t="s">
        <v>91</v>
      </c>
      <c r="F2912" s="17" t="s">
        <v>380</v>
      </c>
      <c r="G2912" s="17" t="s">
        <v>123</v>
      </c>
      <c r="H2912" s="17" t="s">
        <v>5839</v>
      </c>
      <c r="I2912" s="17" t="s">
        <v>125</v>
      </c>
      <c r="J2912" s="22" t="s">
        <v>144</v>
      </c>
      <c r="K2912" s="23" t="s">
        <v>108</v>
      </c>
      <c r="L2912" s="24" t="s">
        <v>91</v>
      </c>
      <c r="M2912" s="2">
        <v>74.0</v>
      </c>
      <c r="N2912" s="25">
        <v>31.0</v>
      </c>
      <c r="O2912" s="25"/>
      <c r="P2912" s="25"/>
    </row>
    <row r="2913">
      <c r="A2913" s="16">
        <v>2911.0</v>
      </c>
      <c r="B2913" s="17" t="s">
        <v>878</v>
      </c>
      <c r="C2913" s="18">
        <v>6.0</v>
      </c>
      <c r="D2913" s="19" t="s">
        <v>3232</v>
      </c>
      <c r="E2913" s="20" t="s">
        <v>91</v>
      </c>
      <c r="F2913" s="17" t="s">
        <v>791</v>
      </c>
      <c r="G2913" s="17" t="s">
        <v>5020</v>
      </c>
      <c r="H2913" s="17" t="s">
        <v>5370</v>
      </c>
      <c r="I2913" s="17" t="s">
        <v>125</v>
      </c>
      <c r="J2913" s="22" t="s">
        <v>144</v>
      </c>
      <c r="K2913" s="23" t="s">
        <v>108</v>
      </c>
      <c r="L2913" s="24" t="s">
        <v>91</v>
      </c>
      <c r="M2913" s="2">
        <v>74.0</v>
      </c>
      <c r="N2913" s="25">
        <v>31.0</v>
      </c>
      <c r="O2913" s="25"/>
      <c r="P2913" s="25"/>
    </row>
    <row r="2914">
      <c r="A2914" s="16">
        <v>2912.0</v>
      </c>
      <c r="B2914" s="17" t="s">
        <v>878</v>
      </c>
      <c r="C2914" s="18">
        <v>7.0</v>
      </c>
      <c r="D2914" s="19" t="s">
        <v>3232</v>
      </c>
      <c r="E2914" s="20" t="s">
        <v>91</v>
      </c>
      <c r="F2914" s="17" t="s">
        <v>83</v>
      </c>
      <c r="G2914" s="17" t="s">
        <v>5709</v>
      </c>
      <c r="H2914" s="17" t="s">
        <v>5710</v>
      </c>
      <c r="I2914" s="17" t="s">
        <v>125</v>
      </c>
      <c r="J2914" s="22" t="s">
        <v>144</v>
      </c>
      <c r="K2914" s="23" t="s">
        <v>108</v>
      </c>
      <c r="L2914" s="24" t="s">
        <v>91</v>
      </c>
      <c r="M2914" s="2">
        <v>74.0</v>
      </c>
      <c r="N2914" s="25">
        <v>31.0</v>
      </c>
      <c r="O2914" s="25"/>
      <c r="P2914" s="25"/>
    </row>
    <row r="2915">
      <c r="A2915" s="16">
        <v>2913.0</v>
      </c>
      <c r="B2915" s="17" t="s">
        <v>1435</v>
      </c>
      <c r="C2915" s="18">
        <v>1.0</v>
      </c>
      <c r="D2915" s="19" t="s">
        <v>4165</v>
      </c>
      <c r="E2915" s="20" t="s">
        <v>91</v>
      </c>
      <c r="F2915" s="17" t="s">
        <v>1271</v>
      </c>
      <c r="G2915" s="17" t="s">
        <v>123</v>
      </c>
      <c r="H2915" s="17" t="s">
        <v>5840</v>
      </c>
      <c r="I2915" s="17" t="s">
        <v>125</v>
      </c>
      <c r="J2915" s="22" t="s">
        <v>100</v>
      </c>
      <c r="K2915" s="23" t="s">
        <v>108</v>
      </c>
      <c r="L2915" s="24" t="s">
        <v>91</v>
      </c>
      <c r="M2915" s="2">
        <v>75.0</v>
      </c>
      <c r="N2915" s="25">
        <v>11.0</v>
      </c>
      <c r="O2915" s="25"/>
      <c r="P2915" s="25"/>
    </row>
    <row r="2916">
      <c r="A2916" s="16">
        <v>2914.0</v>
      </c>
      <c r="B2916" s="17" t="s">
        <v>1435</v>
      </c>
      <c r="C2916" s="18">
        <v>2.0</v>
      </c>
      <c r="D2916" s="19" t="s">
        <v>4165</v>
      </c>
      <c r="E2916" s="20" t="s">
        <v>91</v>
      </c>
      <c r="F2916" s="17" t="s">
        <v>1274</v>
      </c>
      <c r="G2916" s="17" t="s">
        <v>5841</v>
      </c>
      <c r="H2916" s="17" t="s">
        <v>5842</v>
      </c>
      <c r="I2916" s="17" t="s">
        <v>125</v>
      </c>
      <c r="J2916" s="22" t="s">
        <v>100</v>
      </c>
      <c r="K2916" s="23" t="s">
        <v>108</v>
      </c>
      <c r="L2916" s="24" t="s">
        <v>91</v>
      </c>
      <c r="M2916" s="2">
        <v>75.0</v>
      </c>
      <c r="N2916" s="25">
        <v>11.0</v>
      </c>
      <c r="O2916" s="25"/>
      <c r="P2916" s="25"/>
    </row>
    <row r="2917">
      <c r="A2917" s="16">
        <v>2915.0</v>
      </c>
      <c r="B2917" s="17" t="s">
        <v>1435</v>
      </c>
      <c r="C2917" s="18">
        <v>3.0</v>
      </c>
      <c r="D2917" s="19" t="s">
        <v>4165</v>
      </c>
      <c r="E2917" s="20" t="s">
        <v>91</v>
      </c>
      <c r="F2917" s="17" t="s">
        <v>1161</v>
      </c>
      <c r="G2917" s="17" t="s">
        <v>123</v>
      </c>
      <c r="H2917" s="17" t="s">
        <v>5843</v>
      </c>
      <c r="I2917" s="17" t="s">
        <v>125</v>
      </c>
      <c r="J2917" s="22" t="s">
        <v>100</v>
      </c>
      <c r="K2917" s="23" t="s">
        <v>108</v>
      </c>
      <c r="L2917" s="24" t="s">
        <v>91</v>
      </c>
      <c r="M2917" s="2">
        <v>75.0</v>
      </c>
      <c r="N2917" s="25">
        <v>11.0</v>
      </c>
      <c r="O2917" s="25"/>
      <c r="P2917" s="25"/>
    </row>
    <row r="2918">
      <c r="A2918" s="16">
        <v>2916.0</v>
      </c>
      <c r="B2918" s="17" t="s">
        <v>1435</v>
      </c>
      <c r="C2918" s="18">
        <v>4.0</v>
      </c>
      <c r="D2918" s="19" t="s">
        <v>4169</v>
      </c>
      <c r="E2918" s="20" t="s">
        <v>91</v>
      </c>
      <c r="F2918" s="17" t="s">
        <v>1446</v>
      </c>
      <c r="G2918" s="17" t="s">
        <v>5844</v>
      </c>
      <c r="H2918" s="17" t="s">
        <v>5845</v>
      </c>
      <c r="I2918" s="17" t="s">
        <v>125</v>
      </c>
      <c r="J2918" s="22" t="s">
        <v>100</v>
      </c>
      <c r="K2918" s="23" t="s">
        <v>108</v>
      </c>
      <c r="L2918" s="24" t="s">
        <v>91</v>
      </c>
      <c r="M2918" s="2">
        <v>75.0</v>
      </c>
      <c r="N2918" s="25">
        <v>11.0</v>
      </c>
      <c r="O2918" s="25"/>
      <c r="P2918" s="25"/>
    </row>
    <row r="2919">
      <c r="A2919" s="16">
        <v>2917.0</v>
      </c>
      <c r="B2919" s="17" t="s">
        <v>1435</v>
      </c>
      <c r="C2919" s="18">
        <v>5.0</v>
      </c>
      <c r="D2919" s="19" t="s">
        <v>4165</v>
      </c>
      <c r="E2919" s="20" t="s">
        <v>91</v>
      </c>
      <c r="F2919" s="17" t="s">
        <v>561</v>
      </c>
      <c r="G2919" s="17" t="s">
        <v>3664</v>
      </c>
      <c r="H2919" s="17" t="s">
        <v>5846</v>
      </c>
      <c r="I2919" s="17" t="s">
        <v>125</v>
      </c>
      <c r="J2919" s="22" t="s">
        <v>144</v>
      </c>
      <c r="K2919" s="23" t="s">
        <v>108</v>
      </c>
      <c r="L2919" s="24" t="s">
        <v>91</v>
      </c>
      <c r="M2919" s="2">
        <v>75.0</v>
      </c>
      <c r="N2919" s="25">
        <v>31.0</v>
      </c>
      <c r="O2919" s="25"/>
      <c r="P2919" s="25"/>
    </row>
    <row r="2920">
      <c r="A2920" s="16">
        <v>2918.0</v>
      </c>
      <c r="B2920" s="17" t="s">
        <v>1435</v>
      </c>
      <c r="C2920" s="18">
        <v>6.0</v>
      </c>
      <c r="D2920" s="19" t="s">
        <v>4165</v>
      </c>
      <c r="E2920" s="20" t="s">
        <v>91</v>
      </c>
      <c r="F2920" s="17" t="s">
        <v>1447</v>
      </c>
      <c r="G2920" s="17" t="s">
        <v>123</v>
      </c>
      <c r="H2920" s="17" t="s">
        <v>5847</v>
      </c>
      <c r="I2920" s="17" t="s">
        <v>125</v>
      </c>
      <c r="J2920" s="22" t="s">
        <v>144</v>
      </c>
      <c r="K2920" s="23" t="s">
        <v>108</v>
      </c>
      <c r="L2920" s="24" t="s">
        <v>91</v>
      </c>
      <c r="M2920" s="2">
        <v>75.0</v>
      </c>
      <c r="N2920" s="25">
        <v>31.0</v>
      </c>
      <c r="O2920" s="25"/>
      <c r="P2920" s="25"/>
    </row>
    <row r="2921">
      <c r="A2921" s="16">
        <v>2919.0</v>
      </c>
      <c r="B2921" s="17" t="s">
        <v>1435</v>
      </c>
      <c r="C2921" s="18">
        <v>7.0</v>
      </c>
      <c r="D2921" s="19" t="s">
        <v>4165</v>
      </c>
      <c r="E2921" s="20" t="s">
        <v>91</v>
      </c>
      <c r="F2921" s="17" t="s">
        <v>1017</v>
      </c>
      <c r="G2921" s="17" t="s">
        <v>5848</v>
      </c>
      <c r="H2921" s="17" t="s">
        <v>5849</v>
      </c>
      <c r="I2921" s="17" t="s">
        <v>125</v>
      </c>
      <c r="J2921" s="22" t="s">
        <v>144</v>
      </c>
      <c r="K2921" s="23" t="s">
        <v>108</v>
      </c>
      <c r="L2921" s="24" t="s">
        <v>91</v>
      </c>
      <c r="M2921" s="2">
        <v>75.0</v>
      </c>
      <c r="N2921" s="25">
        <v>31.0</v>
      </c>
      <c r="O2921" s="25"/>
      <c r="P2921" s="25"/>
    </row>
    <row r="2922">
      <c r="A2922" s="16">
        <v>2920.0</v>
      </c>
      <c r="B2922" s="17" t="s">
        <v>1435</v>
      </c>
      <c r="C2922" s="18">
        <v>8.0</v>
      </c>
      <c r="D2922" s="19" t="s">
        <v>4165</v>
      </c>
      <c r="E2922" s="20" t="s">
        <v>91</v>
      </c>
      <c r="F2922" s="17" t="s">
        <v>1448</v>
      </c>
      <c r="G2922" s="17" t="s">
        <v>5850</v>
      </c>
      <c r="H2922" s="17" t="s">
        <v>5851</v>
      </c>
      <c r="I2922" s="17" t="s">
        <v>125</v>
      </c>
      <c r="J2922" s="22" t="s">
        <v>144</v>
      </c>
      <c r="K2922" s="23" t="s">
        <v>108</v>
      </c>
      <c r="L2922" s="24" t="s">
        <v>91</v>
      </c>
      <c r="M2922" s="2">
        <v>75.0</v>
      </c>
      <c r="N2922" s="25">
        <v>31.0</v>
      </c>
      <c r="O2922" s="25"/>
      <c r="P2922" s="25"/>
    </row>
    <row r="2923">
      <c r="A2923" s="16">
        <v>2921.0</v>
      </c>
      <c r="B2923" s="17" t="s">
        <v>1435</v>
      </c>
      <c r="C2923" s="18">
        <v>9.0</v>
      </c>
      <c r="D2923" s="19" t="s">
        <v>4165</v>
      </c>
      <c r="E2923" s="20" t="s">
        <v>91</v>
      </c>
      <c r="F2923" s="17" t="s">
        <v>414</v>
      </c>
      <c r="G2923" s="17" t="s">
        <v>5852</v>
      </c>
      <c r="H2923" s="17" t="s">
        <v>5853</v>
      </c>
      <c r="I2923" s="17" t="s">
        <v>125</v>
      </c>
      <c r="J2923" s="22" t="s">
        <v>144</v>
      </c>
      <c r="K2923" s="23" t="s">
        <v>108</v>
      </c>
      <c r="L2923" s="24" t="s">
        <v>91</v>
      </c>
      <c r="M2923" s="2">
        <v>75.0</v>
      </c>
      <c r="N2923" s="25">
        <v>31.0</v>
      </c>
      <c r="O2923" s="25"/>
      <c r="P2923" s="25"/>
    </row>
    <row r="2924">
      <c r="A2924" s="16">
        <v>2922.0</v>
      </c>
      <c r="B2924" s="17" t="s">
        <v>1435</v>
      </c>
      <c r="C2924" s="18">
        <v>10.0</v>
      </c>
      <c r="D2924" s="19" t="s">
        <v>4165</v>
      </c>
      <c r="E2924" s="20" t="s">
        <v>91</v>
      </c>
      <c r="F2924" s="17" t="s">
        <v>975</v>
      </c>
      <c r="G2924" s="17" t="s">
        <v>5854</v>
      </c>
      <c r="H2924" s="17" t="s">
        <v>5855</v>
      </c>
      <c r="I2924" s="17" t="s">
        <v>125</v>
      </c>
      <c r="J2924" s="22" t="s">
        <v>144</v>
      </c>
      <c r="K2924" s="23" t="s">
        <v>108</v>
      </c>
      <c r="L2924" s="24" t="s">
        <v>91</v>
      </c>
      <c r="M2924" s="2">
        <v>75.0</v>
      </c>
      <c r="N2924" s="25">
        <v>31.0</v>
      </c>
      <c r="O2924" s="25"/>
      <c r="P2924" s="25"/>
    </row>
    <row r="2925">
      <c r="A2925" s="16">
        <v>2923.0</v>
      </c>
      <c r="B2925" s="17" t="s">
        <v>1435</v>
      </c>
      <c r="C2925" s="18">
        <v>11.0</v>
      </c>
      <c r="D2925" s="19" t="s">
        <v>4165</v>
      </c>
      <c r="E2925" s="20" t="s">
        <v>91</v>
      </c>
      <c r="F2925" s="17" t="s">
        <v>138</v>
      </c>
      <c r="G2925" s="17" t="s">
        <v>1890</v>
      </c>
      <c r="H2925" s="17" t="s">
        <v>5856</v>
      </c>
      <c r="I2925" s="17" t="s">
        <v>125</v>
      </c>
      <c r="J2925" s="22" t="s">
        <v>144</v>
      </c>
      <c r="K2925" s="23" t="s">
        <v>108</v>
      </c>
      <c r="L2925" s="24" t="s">
        <v>91</v>
      </c>
      <c r="M2925" s="2">
        <v>75.0</v>
      </c>
      <c r="N2925" s="25">
        <v>31.0</v>
      </c>
      <c r="O2925" s="25"/>
      <c r="P2925" s="25"/>
    </row>
    <row r="2926">
      <c r="A2926" s="16">
        <v>2924.0</v>
      </c>
      <c r="B2926" s="17" t="s">
        <v>1435</v>
      </c>
      <c r="C2926" s="18">
        <v>12.0</v>
      </c>
      <c r="D2926" s="19" t="s">
        <v>4165</v>
      </c>
      <c r="E2926" s="20" t="s">
        <v>91</v>
      </c>
      <c r="F2926" s="17" t="s">
        <v>870</v>
      </c>
      <c r="G2926" s="17" t="s">
        <v>3632</v>
      </c>
      <c r="H2926" s="17" t="s">
        <v>5857</v>
      </c>
      <c r="I2926" s="17" t="s">
        <v>125</v>
      </c>
      <c r="J2926" s="22" t="s">
        <v>144</v>
      </c>
      <c r="K2926" s="23" t="s">
        <v>108</v>
      </c>
      <c r="L2926" s="24" t="s">
        <v>91</v>
      </c>
      <c r="M2926" s="2">
        <v>75.0</v>
      </c>
      <c r="N2926" s="25">
        <v>31.0</v>
      </c>
      <c r="O2926" s="25"/>
      <c r="P2926" s="25"/>
    </row>
    <row r="2927">
      <c r="A2927" s="16">
        <v>2925.0</v>
      </c>
      <c r="B2927" s="17" t="s">
        <v>1435</v>
      </c>
      <c r="C2927" s="18">
        <v>13.0</v>
      </c>
      <c r="D2927" s="19" t="s">
        <v>4165</v>
      </c>
      <c r="E2927" s="20" t="s">
        <v>91</v>
      </c>
      <c r="F2927" s="17" t="s">
        <v>1449</v>
      </c>
      <c r="G2927" s="17" t="s">
        <v>5858</v>
      </c>
      <c r="H2927" s="17" t="s">
        <v>5859</v>
      </c>
      <c r="I2927" s="17" t="s">
        <v>125</v>
      </c>
      <c r="J2927" s="22" t="s">
        <v>144</v>
      </c>
      <c r="K2927" s="23" t="s">
        <v>108</v>
      </c>
      <c r="L2927" s="24" t="s">
        <v>91</v>
      </c>
      <c r="M2927" s="2">
        <v>75.0</v>
      </c>
      <c r="N2927" s="25">
        <v>31.0</v>
      </c>
      <c r="O2927" s="25"/>
      <c r="P2927" s="25"/>
    </row>
    <row r="2928">
      <c r="A2928" s="16">
        <v>2926.0</v>
      </c>
      <c r="B2928" s="17" t="s">
        <v>1435</v>
      </c>
      <c r="C2928" s="18">
        <v>14.0</v>
      </c>
      <c r="D2928" s="19" t="s">
        <v>4165</v>
      </c>
      <c r="E2928" s="20" t="s">
        <v>91</v>
      </c>
      <c r="F2928" s="17" t="s">
        <v>672</v>
      </c>
      <c r="G2928" s="17" t="s">
        <v>2378</v>
      </c>
      <c r="H2928" s="17" t="s">
        <v>5860</v>
      </c>
      <c r="I2928" s="17" t="s">
        <v>125</v>
      </c>
      <c r="J2928" s="22" t="s">
        <v>144</v>
      </c>
      <c r="K2928" s="23" t="s">
        <v>108</v>
      </c>
      <c r="L2928" s="24" t="s">
        <v>91</v>
      </c>
      <c r="M2928" s="2">
        <v>75.0</v>
      </c>
      <c r="N2928" s="25">
        <v>31.0</v>
      </c>
      <c r="O2928" s="25"/>
      <c r="P2928" s="25"/>
    </row>
    <row r="2929">
      <c r="A2929" s="16">
        <v>2927.0</v>
      </c>
      <c r="B2929" s="27" t="s">
        <v>1435</v>
      </c>
      <c r="C2929" s="18">
        <v>15.0</v>
      </c>
      <c r="D2929" s="19" t="s">
        <v>4165</v>
      </c>
      <c r="E2929" s="20" t="s">
        <v>91</v>
      </c>
      <c r="F2929" s="27" t="s">
        <v>5328</v>
      </c>
      <c r="G2929" s="17" t="s">
        <v>5861</v>
      </c>
      <c r="H2929" s="17" t="s">
        <v>5862</v>
      </c>
      <c r="I2929" s="17" t="s">
        <v>125</v>
      </c>
      <c r="J2929" s="22" t="s">
        <v>144</v>
      </c>
      <c r="K2929" s="23" t="s">
        <v>108</v>
      </c>
      <c r="L2929" s="24"/>
      <c r="M2929" s="2">
        <v>75.0</v>
      </c>
      <c r="N2929" s="25">
        <v>31.0</v>
      </c>
      <c r="O2929" s="25"/>
      <c r="P2929" s="25"/>
    </row>
    <row r="2930">
      <c r="A2930" s="16">
        <v>2928.0</v>
      </c>
      <c r="B2930" s="27" t="s">
        <v>1435</v>
      </c>
      <c r="C2930" s="18">
        <v>16.0</v>
      </c>
      <c r="D2930" s="19" t="s">
        <v>4165</v>
      </c>
      <c r="E2930" s="20" t="s">
        <v>91</v>
      </c>
      <c r="F2930" s="27" t="s">
        <v>1170</v>
      </c>
      <c r="G2930" s="17" t="s">
        <v>5863</v>
      </c>
      <c r="H2930" s="17" t="s">
        <v>5864</v>
      </c>
      <c r="I2930" s="17" t="s">
        <v>125</v>
      </c>
      <c r="J2930" s="22" t="s">
        <v>144</v>
      </c>
      <c r="K2930" s="23" t="s">
        <v>108</v>
      </c>
      <c r="L2930" s="24"/>
      <c r="M2930" s="2">
        <v>75.0</v>
      </c>
      <c r="N2930" s="25">
        <v>31.0</v>
      </c>
      <c r="O2930" s="25"/>
      <c r="P2930" s="25"/>
    </row>
    <row r="2931">
      <c r="A2931" s="16">
        <v>2929.0</v>
      </c>
      <c r="B2931" s="17" t="s">
        <v>1435</v>
      </c>
      <c r="C2931" s="18">
        <v>17.0</v>
      </c>
      <c r="D2931" s="19" t="s">
        <v>4169</v>
      </c>
      <c r="E2931" s="20" t="s">
        <v>91</v>
      </c>
      <c r="F2931" s="17" t="s">
        <v>1450</v>
      </c>
      <c r="G2931" s="17" t="s">
        <v>5865</v>
      </c>
      <c r="H2931" s="17" t="s">
        <v>5866</v>
      </c>
      <c r="I2931" s="17" t="s">
        <v>125</v>
      </c>
      <c r="J2931" s="22" t="s">
        <v>144</v>
      </c>
      <c r="K2931" s="23" t="s">
        <v>108</v>
      </c>
      <c r="L2931" s="24" t="s">
        <v>91</v>
      </c>
      <c r="M2931" s="2">
        <v>75.0</v>
      </c>
      <c r="N2931" s="25">
        <v>31.0</v>
      </c>
      <c r="O2931" s="25"/>
      <c r="P2931" s="25"/>
    </row>
    <row r="2932">
      <c r="A2932" s="16">
        <v>2930.0</v>
      </c>
      <c r="B2932" s="17" t="s">
        <v>1435</v>
      </c>
      <c r="C2932" s="18">
        <v>18.0</v>
      </c>
      <c r="D2932" s="19" t="s">
        <v>4169</v>
      </c>
      <c r="E2932" s="20" t="s">
        <v>91</v>
      </c>
      <c r="F2932" s="17" t="s">
        <v>1452</v>
      </c>
      <c r="G2932" s="17" t="s">
        <v>5867</v>
      </c>
      <c r="H2932" s="17" t="s">
        <v>5868</v>
      </c>
      <c r="I2932" s="17" t="s">
        <v>125</v>
      </c>
      <c r="J2932" s="22" t="s">
        <v>144</v>
      </c>
      <c r="K2932" s="23" t="s">
        <v>108</v>
      </c>
      <c r="L2932" s="24" t="s">
        <v>91</v>
      </c>
      <c r="M2932" s="2">
        <v>75.0</v>
      </c>
      <c r="N2932" s="25">
        <v>31.0</v>
      </c>
      <c r="O2932" s="25"/>
      <c r="P2932" s="25"/>
    </row>
    <row r="2933">
      <c r="A2933" s="16">
        <v>2931.0</v>
      </c>
      <c r="B2933" s="17" t="s">
        <v>1435</v>
      </c>
      <c r="C2933" s="18">
        <v>19.0</v>
      </c>
      <c r="D2933" s="19" t="s">
        <v>4169</v>
      </c>
      <c r="E2933" s="20" t="s">
        <v>91</v>
      </c>
      <c r="F2933" s="17" t="s">
        <v>950</v>
      </c>
      <c r="G2933" s="17" t="s">
        <v>5869</v>
      </c>
      <c r="H2933" s="17" t="s">
        <v>5868</v>
      </c>
      <c r="I2933" s="17" t="s">
        <v>125</v>
      </c>
      <c r="J2933" s="22" t="s">
        <v>144</v>
      </c>
      <c r="K2933" s="23" t="s">
        <v>108</v>
      </c>
      <c r="L2933" s="24" t="s">
        <v>91</v>
      </c>
      <c r="M2933" s="2">
        <v>75.0</v>
      </c>
      <c r="N2933" s="25">
        <v>31.0</v>
      </c>
      <c r="O2933" s="25"/>
      <c r="P2933" s="25"/>
    </row>
    <row r="2934">
      <c r="A2934" s="16">
        <v>2932.0</v>
      </c>
      <c r="B2934" s="17" t="s">
        <v>1435</v>
      </c>
      <c r="C2934" s="18">
        <v>20.0</v>
      </c>
      <c r="D2934" s="19" t="s">
        <v>4169</v>
      </c>
      <c r="E2934" s="20" t="s">
        <v>91</v>
      </c>
      <c r="F2934" s="17" t="s">
        <v>1454</v>
      </c>
      <c r="G2934" s="17" t="s">
        <v>3202</v>
      </c>
      <c r="H2934" s="17" t="s">
        <v>5870</v>
      </c>
      <c r="I2934" s="17" t="s">
        <v>125</v>
      </c>
      <c r="J2934" s="22" t="s">
        <v>144</v>
      </c>
      <c r="K2934" s="23" t="s">
        <v>108</v>
      </c>
      <c r="L2934" s="24" t="s">
        <v>91</v>
      </c>
      <c r="M2934" s="2">
        <v>75.0</v>
      </c>
      <c r="N2934" s="25">
        <v>31.0</v>
      </c>
      <c r="O2934" s="25"/>
      <c r="P2934" s="25"/>
    </row>
    <row r="2935">
      <c r="A2935" s="16">
        <v>2933.0</v>
      </c>
      <c r="B2935" s="17" t="s">
        <v>1435</v>
      </c>
      <c r="C2935" s="18">
        <v>21.0</v>
      </c>
      <c r="D2935" s="19" t="s">
        <v>4169</v>
      </c>
      <c r="E2935" s="20" t="s">
        <v>91</v>
      </c>
      <c r="F2935" s="17" t="s">
        <v>1455</v>
      </c>
      <c r="G2935" s="17" t="s">
        <v>5871</v>
      </c>
      <c r="H2935" s="17" t="s">
        <v>5872</v>
      </c>
      <c r="I2935" s="17" t="s">
        <v>125</v>
      </c>
      <c r="J2935" s="22" t="s">
        <v>144</v>
      </c>
      <c r="K2935" s="23" t="s">
        <v>108</v>
      </c>
      <c r="L2935" s="24" t="s">
        <v>91</v>
      </c>
      <c r="M2935" s="2">
        <v>75.0</v>
      </c>
      <c r="N2935" s="25">
        <v>31.0</v>
      </c>
      <c r="O2935" s="25"/>
      <c r="P2935" s="25"/>
    </row>
    <row r="2936">
      <c r="A2936" s="16">
        <v>2934.0</v>
      </c>
      <c r="B2936" s="17" t="s">
        <v>1435</v>
      </c>
      <c r="C2936" s="18">
        <v>22.0</v>
      </c>
      <c r="D2936" s="19" t="s">
        <v>3255</v>
      </c>
      <c r="E2936" s="20" t="s">
        <v>91</v>
      </c>
      <c r="F2936" s="17" t="s">
        <v>1073</v>
      </c>
      <c r="G2936" s="17" t="s">
        <v>5873</v>
      </c>
      <c r="H2936" s="17" t="s">
        <v>5874</v>
      </c>
      <c r="I2936" s="17" t="s">
        <v>125</v>
      </c>
      <c r="J2936" s="22" t="s">
        <v>144</v>
      </c>
      <c r="K2936" s="23" t="s">
        <v>108</v>
      </c>
      <c r="L2936" s="24" t="s">
        <v>91</v>
      </c>
      <c r="M2936" s="2">
        <v>75.0</v>
      </c>
      <c r="N2936" s="25">
        <v>31.0</v>
      </c>
      <c r="O2936" s="25"/>
      <c r="P2936" s="25"/>
    </row>
    <row r="2937">
      <c r="A2937" s="16">
        <v>2935.0</v>
      </c>
      <c r="B2937" s="17" t="s">
        <v>1435</v>
      </c>
      <c r="C2937" s="18">
        <v>23.0</v>
      </c>
      <c r="D2937" s="19" t="s">
        <v>3255</v>
      </c>
      <c r="E2937" s="20" t="s">
        <v>91</v>
      </c>
      <c r="F2937" s="17" t="s">
        <v>160</v>
      </c>
      <c r="G2937" s="17" t="s">
        <v>5875</v>
      </c>
      <c r="H2937" s="17" t="s">
        <v>5876</v>
      </c>
      <c r="I2937" s="17" t="s">
        <v>125</v>
      </c>
      <c r="J2937" s="22" t="s">
        <v>144</v>
      </c>
      <c r="K2937" s="23" t="s">
        <v>108</v>
      </c>
      <c r="L2937" s="24" t="s">
        <v>91</v>
      </c>
      <c r="M2937" s="2">
        <v>75.0</v>
      </c>
      <c r="N2937" s="25">
        <v>31.0</v>
      </c>
      <c r="O2937" s="25"/>
      <c r="P2937" s="25"/>
    </row>
    <row r="2938">
      <c r="A2938" s="16">
        <v>2936.0</v>
      </c>
      <c r="B2938" s="17" t="s">
        <v>1435</v>
      </c>
      <c r="C2938" s="18">
        <v>24.0</v>
      </c>
      <c r="D2938" s="19" t="s">
        <v>3255</v>
      </c>
      <c r="E2938" s="20" t="s">
        <v>91</v>
      </c>
      <c r="F2938" s="17" t="s">
        <v>810</v>
      </c>
      <c r="G2938" s="17" t="s">
        <v>5877</v>
      </c>
      <c r="H2938" s="17" t="s">
        <v>5878</v>
      </c>
      <c r="I2938" s="17" t="s">
        <v>125</v>
      </c>
      <c r="J2938" s="22" t="s">
        <v>144</v>
      </c>
      <c r="K2938" s="23" t="s">
        <v>108</v>
      </c>
      <c r="L2938" s="24" t="s">
        <v>91</v>
      </c>
      <c r="M2938" s="2">
        <v>75.0</v>
      </c>
      <c r="N2938" s="25">
        <v>31.0</v>
      </c>
      <c r="O2938" s="25"/>
      <c r="P2938" s="25"/>
    </row>
    <row r="2939">
      <c r="A2939" s="16">
        <v>2937.0</v>
      </c>
      <c r="B2939" s="17" t="s">
        <v>1435</v>
      </c>
      <c r="C2939" s="18">
        <v>25.0</v>
      </c>
      <c r="D2939" s="19" t="s">
        <v>3255</v>
      </c>
      <c r="E2939" s="20" t="s">
        <v>91</v>
      </c>
      <c r="F2939" s="17" t="s">
        <v>908</v>
      </c>
      <c r="G2939" s="17" t="s">
        <v>5879</v>
      </c>
      <c r="H2939" s="17" t="s">
        <v>5880</v>
      </c>
      <c r="I2939" s="17" t="s">
        <v>125</v>
      </c>
      <c r="J2939" s="22" t="s">
        <v>144</v>
      </c>
      <c r="K2939" s="23" t="s">
        <v>108</v>
      </c>
      <c r="L2939" s="24" t="s">
        <v>91</v>
      </c>
      <c r="M2939" s="2">
        <v>75.0</v>
      </c>
      <c r="N2939" s="25">
        <v>31.0</v>
      </c>
      <c r="O2939" s="25"/>
      <c r="P2939" s="25"/>
    </row>
    <row r="2940">
      <c r="A2940" s="16">
        <v>2938.0</v>
      </c>
      <c r="B2940" s="17" t="s">
        <v>1435</v>
      </c>
      <c r="C2940" s="18">
        <v>26.0</v>
      </c>
      <c r="D2940" s="19" t="s">
        <v>3255</v>
      </c>
      <c r="E2940" s="20" t="s">
        <v>91</v>
      </c>
      <c r="F2940" s="17" t="s">
        <v>1456</v>
      </c>
      <c r="G2940" s="17" t="s">
        <v>5244</v>
      </c>
      <c r="H2940" s="17" t="s">
        <v>5881</v>
      </c>
      <c r="I2940" s="17" t="s">
        <v>125</v>
      </c>
      <c r="J2940" s="22" t="s">
        <v>144</v>
      </c>
      <c r="K2940" s="23" t="s">
        <v>108</v>
      </c>
      <c r="L2940" s="24" t="s">
        <v>91</v>
      </c>
      <c r="M2940" s="2">
        <v>75.0</v>
      </c>
      <c r="N2940" s="25">
        <v>31.0</v>
      </c>
      <c r="O2940" s="25"/>
      <c r="P2940" s="25"/>
    </row>
    <row r="2941">
      <c r="A2941" s="16">
        <v>2939.0</v>
      </c>
      <c r="B2941" s="17" t="s">
        <v>1435</v>
      </c>
      <c r="C2941" s="18">
        <v>27.0</v>
      </c>
      <c r="D2941" s="19" t="s">
        <v>3255</v>
      </c>
      <c r="E2941" s="20" t="s">
        <v>91</v>
      </c>
      <c r="F2941" s="17" t="s">
        <v>917</v>
      </c>
      <c r="G2941" s="17" t="s">
        <v>5025</v>
      </c>
      <c r="H2941" s="17" t="s">
        <v>5882</v>
      </c>
      <c r="I2941" s="17" t="s">
        <v>125</v>
      </c>
      <c r="J2941" s="22" t="s">
        <v>144</v>
      </c>
      <c r="K2941" s="23" t="s">
        <v>108</v>
      </c>
      <c r="L2941" s="24" t="s">
        <v>91</v>
      </c>
      <c r="M2941" s="2">
        <v>75.0</v>
      </c>
      <c r="N2941" s="25">
        <v>31.0</v>
      </c>
      <c r="O2941" s="25"/>
      <c r="P2941" s="25"/>
    </row>
    <row r="2942">
      <c r="A2942" s="16">
        <v>2940.0</v>
      </c>
      <c r="B2942" s="17" t="s">
        <v>1435</v>
      </c>
      <c r="C2942" s="18">
        <v>28.0</v>
      </c>
      <c r="D2942" s="19" t="s">
        <v>3255</v>
      </c>
      <c r="E2942" s="20" t="s">
        <v>91</v>
      </c>
      <c r="F2942" s="17" t="s">
        <v>891</v>
      </c>
      <c r="G2942" s="17" t="s">
        <v>123</v>
      </c>
      <c r="H2942" s="17" t="s">
        <v>5883</v>
      </c>
      <c r="I2942" s="17" t="s">
        <v>125</v>
      </c>
      <c r="J2942" s="22" t="s">
        <v>144</v>
      </c>
      <c r="K2942" s="23" t="s">
        <v>108</v>
      </c>
      <c r="L2942" s="24" t="s">
        <v>91</v>
      </c>
      <c r="M2942" s="2">
        <v>75.0</v>
      </c>
      <c r="N2942" s="25">
        <v>31.0</v>
      </c>
      <c r="O2942" s="25"/>
      <c r="P2942" s="25"/>
    </row>
    <row r="2943">
      <c r="A2943" s="16">
        <v>2941.0</v>
      </c>
      <c r="B2943" s="17" t="s">
        <v>1435</v>
      </c>
      <c r="C2943" s="18">
        <v>29.0</v>
      </c>
      <c r="D2943" s="19" t="s">
        <v>3255</v>
      </c>
      <c r="E2943" s="20" t="s">
        <v>91</v>
      </c>
      <c r="F2943" s="17" t="s">
        <v>1200</v>
      </c>
      <c r="G2943" s="17" t="s">
        <v>2178</v>
      </c>
      <c r="H2943" s="17" t="s">
        <v>5884</v>
      </c>
      <c r="I2943" s="17" t="s">
        <v>125</v>
      </c>
      <c r="J2943" s="22" t="s">
        <v>144</v>
      </c>
      <c r="K2943" s="23" t="s">
        <v>108</v>
      </c>
      <c r="L2943" s="24" t="s">
        <v>91</v>
      </c>
      <c r="M2943" s="2">
        <v>75.0</v>
      </c>
      <c r="N2943" s="25">
        <v>31.0</v>
      </c>
      <c r="O2943" s="25"/>
      <c r="P2943" s="25"/>
    </row>
    <row r="2944">
      <c r="A2944" s="16">
        <v>2942.0</v>
      </c>
      <c r="B2944" s="17" t="s">
        <v>1435</v>
      </c>
      <c r="C2944" s="18">
        <v>30.0</v>
      </c>
      <c r="D2944" s="19" t="s">
        <v>3255</v>
      </c>
      <c r="E2944" s="20" t="s">
        <v>91</v>
      </c>
      <c r="F2944" s="17" t="s">
        <v>1001</v>
      </c>
      <c r="G2944" s="17" t="s">
        <v>123</v>
      </c>
      <c r="H2944" s="17" t="s">
        <v>5885</v>
      </c>
      <c r="I2944" s="17" t="s">
        <v>125</v>
      </c>
      <c r="J2944" s="22" t="s">
        <v>144</v>
      </c>
      <c r="K2944" s="23" t="s">
        <v>108</v>
      </c>
      <c r="L2944" s="24" t="s">
        <v>91</v>
      </c>
      <c r="M2944" s="2">
        <v>75.0</v>
      </c>
      <c r="N2944" s="25">
        <v>31.0</v>
      </c>
      <c r="O2944" s="25"/>
      <c r="P2944" s="25"/>
    </row>
  </sheetData>
  <autoFilter ref="$A$2:$L$2944"/>
  <mergeCells count="2">
    <mergeCell ref="A1:D1"/>
    <mergeCell ref="E1:L1"/>
  </mergeCells>
  <conditionalFormatting sqref="K3:K2944">
    <cfRule type="cellIs" dxfId="16" priority="1" stopIfTrue="1" operator="equal">
      <formula>"Đã chèn"</formula>
    </cfRule>
  </conditionalFormatting>
  <conditionalFormatting sqref="J3:J2944">
    <cfRule type="cellIs" dxfId="17" priority="2" stopIfTrue="1" operator="equal">
      <formula>"CẦN SOÁT"</formula>
    </cfRule>
  </conditionalFormatting>
  <conditionalFormatting sqref="J3:J2944">
    <cfRule type="cellIs" dxfId="18" priority="3" stopIfTrue="1" operator="equal">
      <formula>"CÓ THỂ ĐI"</formula>
    </cfRule>
  </conditionalFormatting>
  <conditionalFormatting sqref="J3:J2944">
    <cfRule type="cellIs" dxfId="19" priority="4" stopIfTrue="1" operator="equal">
      <formula>"PHÙ HỢP CAO"</formula>
    </cfRule>
  </conditionalFormatting>
  <conditionalFormatting sqref="A3:L2944">
    <cfRule type="expression" dxfId="20" priority="5" stopIfTrue="1">
      <formula>ISEVEN($M3)</formula>
    </cfRule>
  </conditionalFormatting>
  <dataValidations>
    <dataValidation type="list" allowBlank="1" sqref="K3:K2944">
      <formula1>"Chưa làm,Đang làm,Đã chèn,Bỏ qua"</formula1>
    </dataValidation>
  </dataValidations>
  <hyperlinks>
    <hyperlink r:id="rId1" ref="B11"/>
    <hyperlink r:id="rId2" ref="F11"/>
    <hyperlink r:id="rId3" ref="B78"/>
    <hyperlink r:id="rId4" ref="F78"/>
    <hyperlink r:id="rId5" ref="B132"/>
    <hyperlink r:id="rId6" ref="F132"/>
    <hyperlink r:id="rId7" ref="B133"/>
    <hyperlink r:id="rId8" ref="F133"/>
    <hyperlink r:id="rId9" ref="B134"/>
    <hyperlink r:id="rId10" ref="F134"/>
    <hyperlink r:id="rId11" ref="B135"/>
    <hyperlink r:id="rId12" ref="F135"/>
    <hyperlink r:id="rId13" ref="B136"/>
    <hyperlink r:id="rId14" ref="F136"/>
    <hyperlink r:id="rId15" ref="B221"/>
    <hyperlink r:id="rId16" ref="F221"/>
    <hyperlink r:id="rId17" ref="B222"/>
    <hyperlink r:id="rId18" ref="F222"/>
    <hyperlink r:id="rId19" ref="B223"/>
    <hyperlink r:id="rId20" ref="F223"/>
    <hyperlink r:id="rId21" ref="B250"/>
    <hyperlink r:id="rId22" ref="F250"/>
    <hyperlink r:id="rId23" ref="B251"/>
    <hyperlink r:id="rId24" ref="F251"/>
    <hyperlink r:id="rId25" ref="B252"/>
    <hyperlink r:id="rId26" ref="F252"/>
    <hyperlink r:id="rId27" ref="B253"/>
    <hyperlink r:id="rId28" ref="F253"/>
    <hyperlink r:id="rId29" ref="B326"/>
    <hyperlink r:id="rId30" ref="F326"/>
    <hyperlink r:id="rId31" ref="B343"/>
    <hyperlink r:id="rId32" ref="F343"/>
    <hyperlink r:id="rId33" ref="B344"/>
    <hyperlink r:id="rId34" ref="F344"/>
    <hyperlink r:id="rId35" ref="B345"/>
    <hyperlink r:id="rId36" ref="F345"/>
    <hyperlink r:id="rId37" ref="B346"/>
    <hyperlink r:id="rId38" ref="F346"/>
    <hyperlink r:id="rId39" ref="B347"/>
    <hyperlink r:id="rId40" ref="F347"/>
    <hyperlink r:id="rId41" ref="B348"/>
    <hyperlink r:id="rId42" ref="F348"/>
    <hyperlink r:id="rId43" ref="B349"/>
    <hyperlink r:id="rId44" ref="F349"/>
    <hyperlink r:id="rId45" ref="B350"/>
    <hyperlink r:id="rId46" ref="F350"/>
    <hyperlink r:id="rId47" ref="B351"/>
    <hyperlink r:id="rId48" ref="F351"/>
    <hyperlink r:id="rId49" ref="B367"/>
    <hyperlink r:id="rId50" ref="F367"/>
    <hyperlink r:id="rId51" ref="B368"/>
    <hyperlink r:id="rId52" ref="F368"/>
    <hyperlink r:id="rId53" ref="B369"/>
    <hyperlink r:id="rId54" ref="F369"/>
    <hyperlink r:id="rId55" ref="B370"/>
    <hyperlink r:id="rId56" ref="F370"/>
    <hyperlink r:id="rId57" ref="B396"/>
    <hyperlink r:id="rId58" ref="F396"/>
    <hyperlink r:id="rId59" ref="B397"/>
    <hyperlink r:id="rId60" ref="F397"/>
    <hyperlink r:id="rId61" ref="B398"/>
    <hyperlink r:id="rId62" ref="F398"/>
    <hyperlink r:id="rId63" ref="B464"/>
    <hyperlink r:id="rId64" ref="F464"/>
    <hyperlink r:id="rId65" ref="B465"/>
    <hyperlink r:id="rId66" ref="F465"/>
    <hyperlink r:id="rId67" ref="B466"/>
    <hyperlink r:id="rId68" ref="F466"/>
    <hyperlink r:id="rId69" ref="B467"/>
    <hyperlink r:id="rId70" ref="F467"/>
    <hyperlink r:id="rId71" ref="B471"/>
    <hyperlink r:id="rId72" ref="F471"/>
    <hyperlink r:id="rId73" ref="B545"/>
    <hyperlink r:id="rId74" ref="F545"/>
    <hyperlink r:id="rId75" ref="B573"/>
    <hyperlink r:id="rId76" ref="F573"/>
    <hyperlink r:id="rId77" ref="B594"/>
    <hyperlink r:id="rId78" ref="F594"/>
    <hyperlink r:id="rId79" ref="B595"/>
    <hyperlink r:id="rId80" ref="F595"/>
    <hyperlink r:id="rId81" ref="B635"/>
    <hyperlink r:id="rId82" ref="F635"/>
    <hyperlink r:id="rId83" ref="B646"/>
    <hyperlink r:id="rId84" ref="F646"/>
    <hyperlink r:id="rId85" ref="B690"/>
    <hyperlink r:id="rId86" ref="F690"/>
    <hyperlink r:id="rId87" ref="B691"/>
    <hyperlink r:id="rId88" ref="F691"/>
    <hyperlink r:id="rId89" ref="B693"/>
    <hyperlink r:id="rId90" ref="F693"/>
    <hyperlink r:id="rId91" ref="B718"/>
    <hyperlink r:id="rId92" ref="F718"/>
    <hyperlink r:id="rId93" ref="B719"/>
    <hyperlink r:id="rId94" ref="F719"/>
    <hyperlink r:id="rId95" ref="B720"/>
    <hyperlink r:id="rId96" ref="F720"/>
    <hyperlink r:id="rId97" ref="B721"/>
    <hyperlink r:id="rId98" ref="F721"/>
    <hyperlink r:id="rId99" ref="B736"/>
    <hyperlink r:id="rId100" ref="F736"/>
    <hyperlink r:id="rId101" ref="B750"/>
    <hyperlink r:id="rId102" ref="F750"/>
    <hyperlink r:id="rId103" ref="B751"/>
    <hyperlink r:id="rId104" ref="F751"/>
    <hyperlink r:id="rId105" ref="B781"/>
    <hyperlink r:id="rId106" ref="F781"/>
    <hyperlink r:id="rId107" ref="B782"/>
    <hyperlink r:id="rId108" ref="F782"/>
    <hyperlink r:id="rId109" ref="B783"/>
    <hyperlink r:id="rId110" ref="F783"/>
    <hyperlink r:id="rId111" ref="B784"/>
    <hyperlink r:id="rId112" ref="F784"/>
    <hyperlink r:id="rId113" ref="B785"/>
    <hyperlink r:id="rId114" ref="F785"/>
    <hyperlink r:id="rId115" ref="B792"/>
    <hyperlink r:id="rId116" ref="F792"/>
    <hyperlink r:id="rId117" ref="B798"/>
    <hyperlink r:id="rId118" ref="F798"/>
    <hyperlink r:id="rId119" ref="B799"/>
    <hyperlink r:id="rId120" ref="F799"/>
    <hyperlink r:id="rId121" ref="B800"/>
    <hyperlink r:id="rId122" ref="F800"/>
    <hyperlink r:id="rId123" ref="B801"/>
    <hyperlink r:id="rId124" ref="F801"/>
    <hyperlink r:id="rId125" ref="B802"/>
    <hyperlink r:id="rId126" ref="F802"/>
    <hyperlink r:id="rId127" ref="B817"/>
    <hyperlink r:id="rId128" ref="F817"/>
    <hyperlink r:id="rId129" ref="B994"/>
    <hyperlink r:id="rId130" ref="F994"/>
    <hyperlink r:id="rId131" ref="B1030"/>
    <hyperlink r:id="rId132" ref="F1030"/>
    <hyperlink r:id="rId133" ref="B1031"/>
    <hyperlink r:id="rId134" ref="F1031"/>
    <hyperlink r:id="rId135" ref="B1032"/>
    <hyperlink r:id="rId136" ref="F1032"/>
    <hyperlink r:id="rId137" ref="B1033"/>
    <hyperlink r:id="rId138" ref="F1033"/>
    <hyperlink r:id="rId139" ref="B1034"/>
    <hyperlink r:id="rId140" ref="F1034"/>
    <hyperlink r:id="rId141" ref="B1035"/>
    <hyperlink r:id="rId142" ref="F1035"/>
    <hyperlink r:id="rId143" ref="B1036"/>
    <hyperlink r:id="rId144" ref="F1036"/>
    <hyperlink r:id="rId145" ref="B1037"/>
    <hyperlink r:id="rId146" ref="F1037"/>
    <hyperlink r:id="rId147" ref="B1038"/>
    <hyperlink r:id="rId148" ref="F1038"/>
    <hyperlink r:id="rId149" ref="B1108"/>
    <hyperlink r:id="rId150" ref="F1108"/>
    <hyperlink r:id="rId151" ref="B1109"/>
    <hyperlink r:id="rId152" ref="F1109"/>
    <hyperlink r:id="rId153" ref="B1110"/>
    <hyperlink r:id="rId154" ref="F1110"/>
    <hyperlink r:id="rId155" ref="B1119"/>
    <hyperlink r:id="rId156" ref="F1119"/>
    <hyperlink r:id="rId157" ref="B1164"/>
    <hyperlink r:id="rId158" ref="F1164"/>
    <hyperlink r:id="rId159" ref="B1179"/>
    <hyperlink r:id="rId160" ref="F1179"/>
    <hyperlink r:id="rId161" ref="B1180"/>
    <hyperlink r:id="rId162" ref="F1180"/>
    <hyperlink r:id="rId163" ref="B1181"/>
    <hyperlink r:id="rId164" ref="F1181"/>
    <hyperlink r:id="rId165" ref="B1182"/>
    <hyperlink r:id="rId166" ref="F1182"/>
    <hyperlink r:id="rId167" ref="B1183"/>
    <hyperlink r:id="rId168" ref="F1183"/>
    <hyperlink r:id="rId169" ref="B1184"/>
    <hyperlink r:id="rId170" ref="F1184"/>
    <hyperlink r:id="rId171" ref="B1185"/>
    <hyperlink r:id="rId172" ref="F1185"/>
    <hyperlink r:id="rId173" ref="B1186"/>
    <hyperlink r:id="rId174" ref="F1186"/>
    <hyperlink r:id="rId175" ref="B1187"/>
    <hyperlink r:id="rId176" ref="F1187"/>
    <hyperlink r:id="rId177" ref="B1215"/>
    <hyperlink r:id="rId178" ref="F1215"/>
    <hyperlink r:id="rId179" ref="B1216"/>
    <hyperlink r:id="rId180" ref="F1216"/>
    <hyperlink r:id="rId181" ref="B1224"/>
    <hyperlink r:id="rId182" ref="F1224"/>
    <hyperlink r:id="rId183" ref="B1244"/>
    <hyperlink r:id="rId184" ref="F1244"/>
    <hyperlink r:id="rId185" ref="B1245"/>
    <hyperlink r:id="rId186" ref="F1245"/>
    <hyperlink r:id="rId187" ref="B1268"/>
    <hyperlink r:id="rId188" ref="F1268"/>
    <hyperlink r:id="rId189" ref="B1269"/>
    <hyperlink r:id="rId190" ref="F1269"/>
    <hyperlink r:id="rId191" ref="B1275"/>
    <hyperlink r:id="rId192" ref="F1275"/>
    <hyperlink r:id="rId193" ref="B1276"/>
    <hyperlink r:id="rId194" ref="F1276"/>
    <hyperlink r:id="rId195" ref="B1277"/>
    <hyperlink r:id="rId196" ref="F1277"/>
    <hyperlink r:id="rId197" ref="B1278"/>
    <hyperlink r:id="rId198" ref="F1278"/>
    <hyperlink r:id="rId199" ref="B1282"/>
    <hyperlink r:id="rId200" ref="F1282"/>
    <hyperlink r:id="rId201" ref="B1300"/>
    <hyperlink r:id="rId202" ref="F1300"/>
    <hyperlink r:id="rId203" ref="B1301"/>
    <hyperlink r:id="rId204" ref="F1301"/>
    <hyperlink r:id="rId205" ref="B1302"/>
    <hyperlink r:id="rId206" ref="F1302"/>
    <hyperlink r:id="rId207" ref="B1303"/>
    <hyperlink r:id="rId208" ref="F1303"/>
    <hyperlink r:id="rId209" ref="B1311"/>
    <hyperlink r:id="rId210" ref="F1311"/>
    <hyperlink r:id="rId211" ref="B1312"/>
    <hyperlink r:id="rId212" ref="F1312"/>
    <hyperlink r:id="rId213" ref="B1340"/>
    <hyperlink r:id="rId214" ref="F1340"/>
    <hyperlink r:id="rId215" ref="B1341"/>
    <hyperlink r:id="rId216" ref="F1341"/>
    <hyperlink r:id="rId217" ref="B1342"/>
    <hyperlink r:id="rId218" ref="F1342"/>
    <hyperlink r:id="rId219" ref="B1372"/>
    <hyperlink r:id="rId220" ref="F1372"/>
    <hyperlink r:id="rId221" ref="B1493"/>
    <hyperlink r:id="rId222" ref="F1493"/>
    <hyperlink r:id="rId223" ref="B1494"/>
    <hyperlink r:id="rId224" ref="F1494"/>
    <hyperlink r:id="rId225" ref="B1495"/>
    <hyperlink r:id="rId226" ref="F1495"/>
    <hyperlink r:id="rId227" ref="B1496"/>
    <hyperlink r:id="rId228" ref="F1496"/>
    <hyperlink r:id="rId229" ref="B1497"/>
    <hyperlink r:id="rId230" ref="F1497"/>
    <hyperlink r:id="rId231" ref="B1498"/>
    <hyperlink r:id="rId232" ref="F1498"/>
    <hyperlink r:id="rId233" ref="B1499"/>
    <hyperlink r:id="rId234" ref="F1499"/>
    <hyperlink r:id="rId235" ref="B1500"/>
    <hyperlink r:id="rId236" ref="F1500"/>
    <hyperlink r:id="rId237" ref="B1501"/>
    <hyperlink r:id="rId238" ref="F1501"/>
    <hyperlink r:id="rId239" ref="B1502"/>
    <hyperlink r:id="rId240" ref="F1502"/>
    <hyperlink r:id="rId241" ref="B1503"/>
    <hyperlink r:id="rId242" ref="F1503"/>
    <hyperlink r:id="rId243" ref="B1504"/>
    <hyperlink r:id="rId244" ref="F1504"/>
    <hyperlink r:id="rId245" ref="B1521"/>
    <hyperlink r:id="rId246" ref="F1521"/>
    <hyperlink r:id="rId247" ref="B1522"/>
    <hyperlink r:id="rId248" ref="F1522"/>
    <hyperlink r:id="rId249" ref="B1523"/>
    <hyperlink r:id="rId250" ref="F1523"/>
    <hyperlink r:id="rId251" ref="B1524"/>
    <hyperlink r:id="rId252" ref="F1524"/>
    <hyperlink r:id="rId253" ref="B1530"/>
    <hyperlink r:id="rId254" ref="F1530"/>
    <hyperlink r:id="rId255" ref="B1599"/>
    <hyperlink r:id="rId256" ref="F1599"/>
    <hyperlink r:id="rId257" ref="B1600"/>
    <hyperlink r:id="rId258" ref="F1600"/>
    <hyperlink r:id="rId259" ref="B1601"/>
    <hyperlink r:id="rId260" ref="F1601"/>
    <hyperlink r:id="rId261" ref="B1602"/>
    <hyperlink r:id="rId262" ref="F1602"/>
    <hyperlink r:id="rId263" ref="B1641"/>
    <hyperlink r:id="rId264" ref="F1641"/>
    <hyperlink r:id="rId265" ref="B1642"/>
    <hyperlink r:id="rId266" ref="F1642"/>
    <hyperlink r:id="rId267" ref="B1643"/>
    <hyperlink r:id="rId268" ref="F1643"/>
    <hyperlink r:id="rId269" ref="B1644"/>
    <hyperlink r:id="rId270" ref="F1644"/>
    <hyperlink r:id="rId271" ref="B1645"/>
    <hyperlink r:id="rId272" ref="F1645"/>
    <hyperlink r:id="rId273" ref="B1646"/>
    <hyperlink r:id="rId274" ref="F1646"/>
    <hyperlink r:id="rId275" ref="B1647"/>
    <hyperlink r:id="rId276" ref="F1647"/>
    <hyperlink r:id="rId277" ref="B1648"/>
    <hyperlink r:id="rId278" ref="F1648"/>
    <hyperlink r:id="rId279" ref="B1649"/>
    <hyperlink r:id="rId280" ref="F1649"/>
    <hyperlink r:id="rId281" ref="B1650"/>
    <hyperlink r:id="rId282" ref="F1650"/>
    <hyperlink r:id="rId283" ref="B1666"/>
    <hyperlink r:id="rId284" ref="F1666"/>
    <hyperlink r:id="rId285" ref="B1667"/>
    <hyperlink r:id="rId286" ref="F1667"/>
    <hyperlink r:id="rId287" ref="B1668"/>
    <hyperlink r:id="rId288" ref="F1668"/>
    <hyperlink r:id="rId289" ref="B1669"/>
    <hyperlink r:id="rId290" ref="F1669"/>
    <hyperlink r:id="rId291" ref="B1698"/>
    <hyperlink r:id="rId292" ref="F1698"/>
    <hyperlink r:id="rId293" ref="B1699"/>
    <hyperlink r:id="rId294" ref="F1699"/>
    <hyperlink r:id="rId295" ref="B1718"/>
    <hyperlink r:id="rId296" ref="F1718"/>
    <hyperlink r:id="rId297" ref="B1720"/>
    <hyperlink r:id="rId298" ref="F1720"/>
    <hyperlink r:id="rId299" ref="B1762"/>
    <hyperlink r:id="rId300" ref="F1762"/>
    <hyperlink r:id="rId301" ref="B1763"/>
    <hyperlink r:id="rId302" ref="F1763"/>
    <hyperlink r:id="rId303" ref="B1765"/>
    <hyperlink r:id="rId304" ref="F1765"/>
    <hyperlink r:id="rId305" ref="B1794"/>
    <hyperlink r:id="rId306" ref="F1794"/>
    <hyperlink r:id="rId307" ref="B1795"/>
    <hyperlink r:id="rId308" ref="F1795"/>
    <hyperlink r:id="rId309" ref="B1796"/>
    <hyperlink r:id="rId310" ref="F1796"/>
    <hyperlink r:id="rId311" ref="B1797"/>
    <hyperlink r:id="rId312" ref="F1797"/>
    <hyperlink r:id="rId313" ref="B1798"/>
    <hyperlink r:id="rId314" ref="F1798"/>
    <hyperlink r:id="rId315" ref="B1808"/>
    <hyperlink r:id="rId316" ref="F1808"/>
    <hyperlink r:id="rId317" ref="B1809"/>
    <hyperlink r:id="rId318" ref="F1809"/>
    <hyperlink r:id="rId319" ref="B1810"/>
    <hyperlink r:id="rId320" ref="F1810"/>
    <hyperlink r:id="rId321" ref="B1825"/>
    <hyperlink r:id="rId322" ref="F1825"/>
    <hyperlink r:id="rId323" ref="B1963"/>
    <hyperlink r:id="rId324" ref="F1963"/>
    <hyperlink r:id="rId325" ref="B1964"/>
    <hyperlink r:id="rId326" ref="F1964"/>
    <hyperlink r:id="rId327" ref="B1965"/>
    <hyperlink r:id="rId328" ref="F1965"/>
    <hyperlink r:id="rId329" ref="B1966"/>
    <hyperlink r:id="rId330" ref="F1966"/>
    <hyperlink r:id="rId331" ref="B1967"/>
    <hyperlink r:id="rId332" ref="F1967"/>
    <hyperlink r:id="rId333" ref="B1968"/>
    <hyperlink r:id="rId334" ref="F1968"/>
    <hyperlink r:id="rId335" ref="B1969"/>
    <hyperlink r:id="rId336" ref="F1969"/>
    <hyperlink r:id="rId337" ref="B1970"/>
    <hyperlink r:id="rId338" ref="F1970"/>
    <hyperlink r:id="rId339" ref="B1971"/>
    <hyperlink r:id="rId340" ref="F1971"/>
    <hyperlink r:id="rId341" ref="B1972"/>
    <hyperlink r:id="rId342" ref="F1972"/>
    <hyperlink r:id="rId343" ref="B1973"/>
    <hyperlink r:id="rId344" ref="F1973"/>
    <hyperlink r:id="rId345" ref="B1974"/>
    <hyperlink r:id="rId346" ref="F1974"/>
    <hyperlink r:id="rId347" ref="B1975"/>
    <hyperlink r:id="rId348" ref="F1975"/>
    <hyperlink r:id="rId349" ref="B1976"/>
    <hyperlink r:id="rId350" ref="F1976"/>
    <hyperlink r:id="rId351" ref="B2076"/>
    <hyperlink r:id="rId352" ref="F2076"/>
    <hyperlink r:id="rId353" ref="B2130"/>
    <hyperlink r:id="rId354" ref="F2130"/>
    <hyperlink r:id="rId355" ref="B2131"/>
    <hyperlink r:id="rId356" ref="F2131"/>
    <hyperlink r:id="rId357" ref="B2132"/>
    <hyperlink r:id="rId358" ref="F2132"/>
    <hyperlink r:id="rId359" ref="B2133"/>
    <hyperlink r:id="rId360" ref="F2133"/>
    <hyperlink r:id="rId361" ref="B2134"/>
    <hyperlink r:id="rId362" ref="F2134"/>
    <hyperlink r:id="rId363" ref="B2135"/>
    <hyperlink r:id="rId364" ref="F2135"/>
    <hyperlink r:id="rId365" ref="B2136"/>
    <hyperlink r:id="rId366" ref="F2136"/>
    <hyperlink r:id="rId367" ref="B2137"/>
    <hyperlink r:id="rId368" ref="F2137"/>
    <hyperlink r:id="rId369" ref="B2138"/>
    <hyperlink r:id="rId370" ref="F2138"/>
    <hyperlink r:id="rId371" ref="B2139"/>
    <hyperlink r:id="rId372" ref="F2139"/>
    <hyperlink r:id="rId373" ref="B2140"/>
    <hyperlink r:id="rId374" ref="F2140"/>
    <hyperlink r:id="rId375" ref="B2141"/>
    <hyperlink r:id="rId376" ref="F2141"/>
    <hyperlink r:id="rId377" ref="B2142"/>
    <hyperlink r:id="rId378" ref="F2142"/>
    <hyperlink r:id="rId379" ref="B2143"/>
    <hyperlink r:id="rId380" ref="F2143"/>
    <hyperlink r:id="rId381" ref="B2144"/>
    <hyperlink r:id="rId382" ref="F2144"/>
    <hyperlink r:id="rId383" ref="B2145"/>
    <hyperlink r:id="rId384" ref="F2145"/>
    <hyperlink r:id="rId385" ref="B2146"/>
    <hyperlink r:id="rId386" ref="F2146"/>
    <hyperlink r:id="rId387" ref="B2147"/>
    <hyperlink r:id="rId388" ref="F2147"/>
    <hyperlink r:id="rId389" ref="B2148"/>
    <hyperlink r:id="rId390" ref="F2148"/>
    <hyperlink r:id="rId391" ref="B2189"/>
    <hyperlink r:id="rId392" ref="F2189"/>
    <hyperlink r:id="rId393" ref="B2190"/>
    <hyperlink r:id="rId394" ref="F2190"/>
    <hyperlink r:id="rId395" ref="B2191"/>
    <hyperlink r:id="rId396" ref="F2191"/>
    <hyperlink r:id="rId397" ref="B2192"/>
    <hyperlink r:id="rId398" ref="F2192"/>
    <hyperlink r:id="rId399" ref="B2193"/>
    <hyperlink r:id="rId400" ref="F2193"/>
    <hyperlink r:id="rId401" ref="B2194"/>
    <hyperlink r:id="rId402" ref="F2194"/>
    <hyperlink r:id="rId403" ref="B2195"/>
    <hyperlink r:id="rId404" ref="F2195"/>
    <hyperlink r:id="rId405" ref="B2196"/>
    <hyperlink r:id="rId406" ref="F2196"/>
    <hyperlink r:id="rId407" ref="B2197"/>
    <hyperlink r:id="rId408" ref="F2197"/>
    <hyperlink r:id="rId409" ref="B2198"/>
    <hyperlink r:id="rId410" ref="F2198"/>
    <hyperlink r:id="rId411" ref="B2199"/>
    <hyperlink r:id="rId412" ref="F2199"/>
    <hyperlink r:id="rId413" ref="B2208"/>
    <hyperlink r:id="rId414" ref="F2208"/>
    <hyperlink r:id="rId415" ref="B2222"/>
    <hyperlink r:id="rId416" ref="F2222"/>
    <hyperlink r:id="rId417" ref="B2223"/>
    <hyperlink r:id="rId418" ref="F2223"/>
    <hyperlink r:id="rId419" ref="B2224"/>
    <hyperlink r:id="rId420" ref="F2224"/>
    <hyperlink r:id="rId421" ref="B2225"/>
    <hyperlink r:id="rId422" ref="F2225"/>
    <hyperlink r:id="rId423" ref="B2226"/>
    <hyperlink r:id="rId424" ref="F2226"/>
    <hyperlink r:id="rId425" ref="B2235"/>
    <hyperlink r:id="rId426" ref="F2235"/>
    <hyperlink r:id="rId427" ref="B2236"/>
    <hyperlink r:id="rId428" ref="F2236"/>
    <hyperlink r:id="rId429" ref="B2237"/>
    <hyperlink r:id="rId430" ref="F2237"/>
    <hyperlink r:id="rId431" ref="B2238"/>
    <hyperlink r:id="rId432" ref="F2238"/>
    <hyperlink r:id="rId433" ref="B2239"/>
    <hyperlink r:id="rId434" ref="F2239"/>
    <hyperlink r:id="rId435" ref="B2240"/>
    <hyperlink r:id="rId436" ref="F2240"/>
    <hyperlink r:id="rId437" ref="B2241"/>
    <hyperlink r:id="rId438" ref="F2241"/>
    <hyperlink r:id="rId439" ref="B2242"/>
    <hyperlink r:id="rId440" ref="F2242"/>
    <hyperlink r:id="rId441" ref="B2281"/>
    <hyperlink r:id="rId442" ref="F2281"/>
    <hyperlink r:id="rId443" ref="B2282"/>
    <hyperlink r:id="rId444" ref="F2282"/>
    <hyperlink r:id="rId445" ref="B2283"/>
    <hyperlink r:id="rId446" ref="F2283"/>
    <hyperlink r:id="rId447" ref="B2313"/>
    <hyperlink r:id="rId448" ref="F2313"/>
    <hyperlink r:id="rId449" ref="B2314"/>
    <hyperlink r:id="rId450" ref="F2314"/>
    <hyperlink r:id="rId451" ref="B2315"/>
    <hyperlink r:id="rId452" ref="F2315"/>
    <hyperlink r:id="rId453" ref="B2316"/>
    <hyperlink r:id="rId454" ref="F2316"/>
    <hyperlink r:id="rId455" ref="B2373"/>
    <hyperlink r:id="rId456" ref="F2373"/>
    <hyperlink r:id="rId457" ref="B2374"/>
    <hyperlink r:id="rId458" ref="F2374"/>
    <hyperlink r:id="rId459" ref="B2375"/>
    <hyperlink r:id="rId460" ref="F2375"/>
    <hyperlink r:id="rId461" ref="B2376"/>
    <hyperlink r:id="rId462" ref="F2376"/>
    <hyperlink r:id="rId463" ref="B2377"/>
    <hyperlink r:id="rId464" ref="F2377"/>
    <hyperlink r:id="rId465" ref="B2378"/>
    <hyperlink r:id="rId466" ref="F2378"/>
    <hyperlink r:id="rId467" ref="B2379"/>
    <hyperlink r:id="rId468" ref="F2379"/>
    <hyperlink r:id="rId469" ref="B2380"/>
    <hyperlink r:id="rId470" ref="F2380"/>
    <hyperlink r:id="rId471" ref="B2381"/>
    <hyperlink r:id="rId472" ref="F2381"/>
    <hyperlink r:id="rId473" ref="B2424"/>
    <hyperlink r:id="rId474" ref="F2424"/>
    <hyperlink r:id="rId475" ref="B2425"/>
    <hyperlink r:id="rId476" ref="F2425"/>
    <hyperlink r:id="rId477" ref="B2426"/>
    <hyperlink r:id="rId478" ref="F2426"/>
    <hyperlink r:id="rId479" ref="B2518"/>
    <hyperlink r:id="rId480" ref="F2518"/>
    <hyperlink r:id="rId481" ref="B2738"/>
    <hyperlink r:id="rId482" ref="F2738"/>
    <hyperlink r:id="rId483" ref="B2739"/>
    <hyperlink r:id="rId484" ref="F2739"/>
    <hyperlink r:id="rId485" ref="B2740"/>
    <hyperlink r:id="rId486" ref="F2740"/>
    <hyperlink r:id="rId487" ref="B2741"/>
    <hyperlink r:id="rId488" ref="F2741"/>
    <hyperlink r:id="rId489" ref="B2742"/>
    <hyperlink r:id="rId490" ref="F2742"/>
    <hyperlink r:id="rId491" ref="B2743"/>
    <hyperlink r:id="rId492" ref="F2743"/>
    <hyperlink r:id="rId493" ref="B2744"/>
    <hyperlink r:id="rId494" ref="F2744"/>
    <hyperlink r:id="rId495" ref="B2745"/>
    <hyperlink r:id="rId496" ref="F2745"/>
    <hyperlink r:id="rId497" ref="B2746"/>
    <hyperlink r:id="rId498" ref="F2746"/>
    <hyperlink r:id="rId499" ref="B2747"/>
    <hyperlink r:id="rId500" ref="F2747"/>
    <hyperlink r:id="rId501" ref="B2748"/>
    <hyperlink r:id="rId502" ref="F2748"/>
    <hyperlink r:id="rId503" ref="B2749"/>
    <hyperlink r:id="rId504" ref="F2749"/>
    <hyperlink r:id="rId505" ref="B2750"/>
    <hyperlink r:id="rId506" ref="F2750"/>
    <hyperlink r:id="rId507" ref="B2751"/>
    <hyperlink r:id="rId508" ref="F2751"/>
    <hyperlink r:id="rId509" ref="B2752"/>
    <hyperlink r:id="rId510" ref="F2752"/>
    <hyperlink r:id="rId511" ref="B2753"/>
    <hyperlink r:id="rId512" ref="F2753"/>
    <hyperlink r:id="rId513" ref="B2754"/>
    <hyperlink r:id="rId514" ref="F2754"/>
    <hyperlink r:id="rId515" ref="B2755"/>
    <hyperlink r:id="rId516" ref="F2755"/>
    <hyperlink r:id="rId517" ref="B2767"/>
    <hyperlink r:id="rId518" ref="F2767"/>
    <hyperlink r:id="rId519" ref="B2768"/>
    <hyperlink r:id="rId520" ref="F2768"/>
    <hyperlink r:id="rId521" ref="B2778"/>
    <hyperlink r:id="rId522" ref="F2778"/>
    <hyperlink r:id="rId523" ref="B2779"/>
    <hyperlink r:id="rId524" ref="F2779"/>
    <hyperlink r:id="rId525" ref="B2780"/>
    <hyperlink r:id="rId526" ref="F2780"/>
    <hyperlink r:id="rId527" ref="B2793"/>
    <hyperlink r:id="rId528" ref="F2793"/>
    <hyperlink r:id="rId529" ref="B2794"/>
    <hyperlink r:id="rId530" ref="F2794"/>
    <hyperlink r:id="rId531" ref="B2795"/>
    <hyperlink r:id="rId532" ref="F2795"/>
    <hyperlink r:id="rId533" ref="B2796"/>
    <hyperlink r:id="rId534" ref="F2796"/>
    <hyperlink r:id="rId535" ref="B2797"/>
    <hyperlink r:id="rId536" ref="F2797"/>
    <hyperlink r:id="rId537" ref="B2798"/>
    <hyperlink r:id="rId538" ref="F2798"/>
    <hyperlink r:id="rId539" ref="B2815"/>
    <hyperlink r:id="rId540" ref="F2815"/>
    <hyperlink r:id="rId541" ref="B2816"/>
    <hyperlink r:id="rId542" ref="F2816"/>
    <hyperlink r:id="rId543" ref="B2817"/>
    <hyperlink r:id="rId544" ref="F2817"/>
    <hyperlink r:id="rId545" ref="B2818"/>
    <hyperlink r:id="rId546" ref="F2818"/>
    <hyperlink r:id="rId547" ref="B2819"/>
    <hyperlink r:id="rId548" ref="F2819"/>
    <hyperlink r:id="rId549" ref="B2820"/>
    <hyperlink r:id="rId550" ref="F2820"/>
    <hyperlink r:id="rId551" ref="B2821"/>
    <hyperlink r:id="rId552" ref="F2821"/>
    <hyperlink r:id="rId553" ref="B2822"/>
    <hyperlink r:id="rId554" ref="F2822"/>
    <hyperlink r:id="rId555" ref="B2823"/>
    <hyperlink r:id="rId556" ref="F2823"/>
    <hyperlink r:id="rId557" ref="B2824"/>
    <hyperlink r:id="rId558" ref="F2824"/>
    <hyperlink r:id="rId559" ref="B2827"/>
    <hyperlink r:id="rId560" ref="F2827"/>
    <hyperlink r:id="rId561" ref="B2828"/>
    <hyperlink r:id="rId562" ref="F2828"/>
    <hyperlink r:id="rId563" ref="B2829"/>
    <hyperlink r:id="rId564" ref="F2829"/>
    <hyperlink r:id="rId565" ref="B2830"/>
    <hyperlink r:id="rId566" ref="F2830"/>
    <hyperlink r:id="rId567" ref="B2844"/>
    <hyperlink r:id="rId568" ref="F2844"/>
    <hyperlink r:id="rId569" ref="B2860"/>
    <hyperlink r:id="rId570" ref="F2860"/>
    <hyperlink r:id="rId571" ref="B2861"/>
    <hyperlink r:id="rId572" ref="F2861"/>
    <hyperlink r:id="rId573" ref="B2862"/>
    <hyperlink r:id="rId574" ref="F2862"/>
    <hyperlink r:id="rId575" ref="B2863"/>
    <hyperlink r:id="rId576" ref="F2863"/>
    <hyperlink r:id="rId577" ref="B2864"/>
    <hyperlink r:id="rId578" ref="F2864"/>
    <hyperlink r:id="rId579" ref="B2865"/>
    <hyperlink r:id="rId580" ref="F2865"/>
    <hyperlink r:id="rId581" ref="B2866"/>
    <hyperlink r:id="rId582" ref="F2866"/>
    <hyperlink r:id="rId583" ref="B2867"/>
    <hyperlink r:id="rId584" ref="F2867"/>
    <hyperlink r:id="rId585" ref="B2868"/>
    <hyperlink r:id="rId586" ref="F2868"/>
    <hyperlink r:id="rId587" ref="B2869"/>
    <hyperlink r:id="rId588" ref="F2869"/>
    <hyperlink r:id="rId589" ref="B2870"/>
    <hyperlink r:id="rId590" ref="F2870"/>
    <hyperlink r:id="rId591" ref="B2871"/>
    <hyperlink r:id="rId592" ref="F2871"/>
    <hyperlink r:id="rId593" ref="B2872"/>
    <hyperlink r:id="rId594" ref="F2872"/>
    <hyperlink r:id="rId595" ref="B2873"/>
    <hyperlink r:id="rId596" ref="F2873"/>
    <hyperlink r:id="rId597" ref="B2874"/>
    <hyperlink r:id="rId598" ref="F2874"/>
    <hyperlink r:id="rId599" ref="B2875"/>
    <hyperlink r:id="rId600" ref="F2875"/>
    <hyperlink r:id="rId601" ref="B2876"/>
    <hyperlink r:id="rId602" ref="F2876"/>
    <hyperlink r:id="rId603" ref="B2877"/>
    <hyperlink r:id="rId604" ref="F2877"/>
    <hyperlink r:id="rId605" ref="B2929"/>
    <hyperlink r:id="rId606" ref="F2929"/>
    <hyperlink r:id="rId607" ref="B2930"/>
    <hyperlink r:id="rId608" ref="F2930"/>
  </hyperlinks>
  <drawing r:id="rId60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63"/>
  </cols>
  <sheetData>
    <row r="2">
      <c r="A2" s="2" t="s">
        <v>1</v>
      </c>
      <c r="B2" s="2">
        <v>14.0</v>
      </c>
    </row>
    <row r="3">
      <c r="A3" s="2" t="s">
        <v>3</v>
      </c>
      <c r="B3" s="2">
        <v>13.0</v>
      </c>
    </row>
    <row r="4">
      <c r="A4" s="2" t="s">
        <v>5</v>
      </c>
      <c r="B4" s="2">
        <v>13.0</v>
      </c>
    </row>
    <row r="5">
      <c r="A5" s="2" t="s">
        <v>7</v>
      </c>
      <c r="B5" s="2">
        <v>13.0</v>
      </c>
    </row>
    <row r="6">
      <c r="A6" s="2" t="s">
        <v>10</v>
      </c>
      <c r="B6" s="2">
        <v>13.0</v>
      </c>
    </row>
    <row r="7">
      <c r="A7" s="2" t="s">
        <v>13</v>
      </c>
      <c r="B7" s="2">
        <v>12.0</v>
      </c>
    </row>
    <row r="8">
      <c r="A8" s="2" t="s">
        <v>16</v>
      </c>
      <c r="B8" s="2">
        <v>12.0</v>
      </c>
    </row>
    <row r="9">
      <c r="A9" s="2" t="s">
        <v>19</v>
      </c>
      <c r="B9" s="2">
        <v>12.0</v>
      </c>
    </row>
    <row r="10">
      <c r="A10" s="2" t="s">
        <v>23</v>
      </c>
      <c r="B10" s="2">
        <v>12.0</v>
      </c>
    </row>
    <row r="11">
      <c r="A11" s="2" t="s">
        <v>25</v>
      </c>
      <c r="B11" s="2">
        <v>12.0</v>
      </c>
    </row>
    <row r="12">
      <c r="A12" s="2" t="s">
        <v>26</v>
      </c>
      <c r="B12" s="2">
        <v>11.0</v>
      </c>
    </row>
    <row r="13">
      <c r="A13" s="2" t="s">
        <v>27</v>
      </c>
      <c r="B13" s="2">
        <v>11.0</v>
      </c>
    </row>
    <row r="14">
      <c r="A14" s="2" t="s">
        <v>29</v>
      </c>
      <c r="B14" s="2">
        <v>11.0</v>
      </c>
    </row>
    <row r="15">
      <c r="A15" s="2" t="s">
        <v>31</v>
      </c>
      <c r="B15" s="2">
        <v>11.0</v>
      </c>
    </row>
    <row r="16">
      <c r="A16" s="2" t="s">
        <v>35</v>
      </c>
      <c r="B16" s="2">
        <v>11.0</v>
      </c>
    </row>
    <row r="17">
      <c r="A17" s="2" t="s">
        <v>40</v>
      </c>
      <c r="B17" s="2">
        <v>11.0</v>
      </c>
    </row>
    <row r="18">
      <c r="A18" s="2" t="s">
        <v>44</v>
      </c>
      <c r="B18" s="2">
        <v>11.0</v>
      </c>
    </row>
    <row r="19">
      <c r="A19" s="2" t="s">
        <v>47</v>
      </c>
      <c r="B19" s="2">
        <v>11.0</v>
      </c>
    </row>
    <row r="20">
      <c r="A20" s="2" t="s">
        <v>51</v>
      </c>
      <c r="B20" s="2">
        <v>11.0</v>
      </c>
    </row>
    <row r="21">
      <c r="A21" s="2" t="s">
        <v>56</v>
      </c>
      <c r="B21" s="2">
        <v>11.0</v>
      </c>
    </row>
    <row r="22">
      <c r="A22" s="2" t="s">
        <v>61</v>
      </c>
      <c r="B22" s="2">
        <v>11.0</v>
      </c>
    </row>
    <row r="23">
      <c r="A23" s="2" t="s">
        <v>66</v>
      </c>
      <c r="B23" s="2">
        <v>11.0</v>
      </c>
    </row>
    <row r="24">
      <c r="A24" s="2" t="s">
        <v>69</v>
      </c>
      <c r="B24" s="2">
        <v>11.0</v>
      </c>
    </row>
    <row r="25">
      <c r="A25" s="2" t="s">
        <v>71</v>
      </c>
      <c r="B25" s="2">
        <v>10.0</v>
      </c>
    </row>
    <row r="26">
      <c r="A26" s="2" t="s">
        <v>74</v>
      </c>
      <c r="B26" s="2">
        <v>10.0</v>
      </c>
    </row>
    <row r="27">
      <c r="A27" s="2" t="s">
        <v>76</v>
      </c>
      <c r="B27" s="2">
        <v>10.0</v>
      </c>
    </row>
    <row r="28">
      <c r="A28" s="2" t="s">
        <v>78</v>
      </c>
      <c r="B28" s="2">
        <v>10.0</v>
      </c>
    </row>
    <row r="29">
      <c r="A29" s="2" t="s">
        <v>80</v>
      </c>
      <c r="B29" s="2">
        <v>10.0</v>
      </c>
    </row>
    <row r="30">
      <c r="A30" s="2" t="s">
        <v>81</v>
      </c>
      <c r="B30" s="2">
        <v>10.0</v>
      </c>
    </row>
    <row r="31">
      <c r="A31" s="2" t="s">
        <v>82</v>
      </c>
      <c r="B31" s="2">
        <v>10.0</v>
      </c>
    </row>
    <row r="32">
      <c r="A32" s="2" t="s">
        <v>83</v>
      </c>
      <c r="B32" s="2">
        <v>10.0</v>
      </c>
    </row>
    <row r="33">
      <c r="A33" s="2" t="s">
        <v>84</v>
      </c>
      <c r="B33" s="2">
        <v>10.0</v>
      </c>
    </row>
    <row r="34">
      <c r="A34" s="2" t="s">
        <v>85</v>
      </c>
      <c r="B34" s="2">
        <v>10.0</v>
      </c>
    </row>
    <row r="35">
      <c r="A35" s="2" t="s">
        <v>86</v>
      </c>
      <c r="B35" s="2">
        <v>10.0</v>
      </c>
    </row>
    <row r="36">
      <c r="A36" s="2" t="s">
        <v>87</v>
      </c>
      <c r="B36" s="2">
        <v>10.0</v>
      </c>
    </row>
    <row r="37">
      <c r="A37" s="2" t="s">
        <v>89</v>
      </c>
      <c r="B37" s="2">
        <v>10.0</v>
      </c>
    </row>
    <row r="38">
      <c r="A38" s="2" t="s">
        <v>90</v>
      </c>
      <c r="B38" s="2">
        <v>10.0</v>
      </c>
    </row>
    <row r="39">
      <c r="A39" s="2" t="s">
        <v>92</v>
      </c>
      <c r="B39" s="2">
        <v>10.0</v>
      </c>
    </row>
    <row r="40">
      <c r="A40" s="2" t="s">
        <v>95</v>
      </c>
      <c r="B40" s="2">
        <v>10.0</v>
      </c>
    </row>
    <row r="41">
      <c r="A41" s="2" t="s">
        <v>97</v>
      </c>
      <c r="B41" s="2">
        <v>10.0</v>
      </c>
    </row>
    <row r="42">
      <c r="A42" s="2" t="s">
        <v>99</v>
      </c>
      <c r="B42" s="2">
        <v>10.0</v>
      </c>
    </row>
    <row r="43">
      <c r="A43" s="2" t="s">
        <v>101</v>
      </c>
      <c r="B43" s="2">
        <v>10.0</v>
      </c>
    </row>
    <row r="44">
      <c r="A44" s="2" t="s">
        <v>93</v>
      </c>
      <c r="B44" s="2">
        <v>9.0</v>
      </c>
    </row>
    <row r="45">
      <c r="A45" s="2" t="s">
        <v>106</v>
      </c>
      <c r="B45" s="2">
        <v>9.0</v>
      </c>
    </row>
    <row r="46">
      <c r="A46" s="2" t="s">
        <v>109</v>
      </c>
      <c r="B46" s="2">
        <v>9.0</v>
      </c>
    </row>
    <row r="47">
      <c r="A47" s="2" t="s">
        <v>113</v>
      </c>
      <c r="B47" s="2">
        <v>9.0</v>
      </c>
    </row>
    <row r="48">
      <c r="A48" s="2" t="s">
        <v>115</v>
      </c>
      <c r="B48" s="2">
        <v>9.0</v>
      </c>
    </row>
    <row r="49">
      <c r="A49" s="2" t="s">
        <v>116</v>
      </c>
      <c r="B49" s="2">
        <v>9.0</v>
      </c>
    </row>
    <row r="50">
      <c r="A50" s="2" t="s">
        <v>117</v>
      </c>
      <c r="B50" s="2">
        <v>9.0</v>
      </c>
    </row>
    <row r="51">
      <c r="A51" s="2" t="s">
        <v>118</v>
      </c>
      <c r="B51" s="2">
        <v>9.0</v>
      </c>
    </row>
    <row r="52">
      <c r="A52" s="2" t="s">
        <v>119</v>
      </c>
      <c r="B52" s="2">
        <v>9.0</v>
      </c>
    </row>
    <row r="53">
      <c r="A53" s="2" t="s">
        <v>120</v>
      </c>
      <c r="B53" s="2">
        <v>9.0</v>
      </c>
    </row>
    <row r="54">
      <c r="A54" s="2" t="s">
        <v>122</v>
      </c>
      <c r="B54" s="2">
        <v>9.0</v>
      </c>
    </row>
    <row r="55">
      <c r="A55" s="2" t="s">
        <v>126</v>
      </c>
      <c r="B55" s="2">
        <v>9.0</v>
      </c>
    </row>
    <row r="56">
      <c r="A56" s="2" t="s">
        <v>127</v>
      </c>
      <c r="B56" s="2">
        <v>9.0</v>
      </c>
    </row>
    <row r="57">
      <c r="A57" s="2" t="s">
        <v>128</v>
      </c>
      <c r="B57" s="2">
        <v>9.0</v>
      </c>
    </row>
    <row r="58">
      <c r="A58" s="2" t="s">
        <v>129</v>
      </c>
      <c r="B58" s="2">
        <v>9.0</v>
      </c>
    </row>
    <row r="59">
      <c r="A59" s="2" t="s">
        <v>130</v>
      </c>
      <c r="B59" s="2">
        <v>9.0</v>
      </c>
    </row>
    <row r="60">
      <c r="A60" s="2" t="s">
        <v>133</v>
      </c>
      <c r="B60" s="2">
        <v>9.0</v>
      </c>
    </row>
    <row r="61">
      <c r="A61" s="2" t="s">
        <v>136</v>
      </c>
      <c r="B61" s="2">
        <v>9.0</v>
      </c>
    </row>
    <row r="62">
      <c r="A62" s="2" t="s">
        <v>137</v>
      </c>
      <c r="B62" s="2">
        <v>9.0</v>
      </c>
    </row>
    <row r="63">
      <c r="A63" s="2" t="s">
        <v>138</v>
      </c>
      <c r="B63" s="2">
        <v>9.0</v>
      </c>
    </row>
    <row r="64">
      <c r="A64" s="2" t="s">
        <v>139</v>
      </c>
      <c r="B64" s="2">
        <v>9.0</v>
      </c>
    </row>
    <row r="65">
      <c r="A65" s="2" t="s">
        <v>140</v>
      </c>
      <c r="B65" s="2">
        <v>9.0</v>
      </c>
    </row>
    <row r="66">
      <c r="A66" s="2" t="s">
        <v>143</v>
      </c>
      <c r="B66" s="2">
        <v>9.0</v>
      </c>
    </row>
    <row r="67">
      <c r="A67" s="2" t="s">
        <v>145</v>
      </c>
      <c r="B67" s="2">
        <v>9.0</v>
      </c>
    </row>
    <row r="68">
      <c r="A68" s="2" t="s">
        <v>149</v>
      </c>
      <c r="B68" s="2">
        <v>9.0</v>
      </c>
    </row>
    <row r="69">
      <c r="A69" s="2" t="s">
        <v>150</v>
      </c>
      <c r="B69" s="2">
        <v>9.0</v>
      </c>
    </row>
    <row r="70">
      <c r="A70" s="2" t="s">
        <v>151</v>
      </c>
      <c r="B70" s="2">
        <v>9.0</v>
      </c>
    </row>
    <row r="71">
      <c r="A71" s="2" t="s">
        <v>152</v>
      </c>
      <c r="B71" s="2">
        <v>9.0</v>
      </c>
    </row>
    <row r="72">
      <c r="A72" s="2" t="s">
        <v>153</v>
      </c>
      <c r="B72" s="2">
        <v>9.0</v>
      </c>
    </row>
    <row r="73">
      <c r="A73" s="2" t="s">
        <v>154</v>
      </c>
      <c r="B73" s="2">
        <v>9.0</v>
      </c>
    </row>
    <row r="74">
      <c r="A74" s="2" t="s">
        <v>155</v>
      </c>
      <c r="B74" s="2">
        <v>9.0</v>
      </c>
    </row>
    <row r="75">
      <c r="A75" s="2" t="s">
        <v>158</v>
      </c>
      <c r="B75" s="2">
        <v>9.0</v>
      </c>
    </row>
    <row r="76">
      <c r="A76" s="2" t="s">
        <v>160</v>
      </c>
      <c r="B76" s="2">
        <v>9.0</v>
      </c>
    </row>
    <row r="77">
      <c r="A77" s="2" t="s">
        <v>163</v>
      </c>
      <c r="B77" s="2">
        <v>9.0</v>
      </c>
    </row>
    <row r="78">
      <c r="A78" s="2" t="s">
        <v>165</v>
      </c>
      <c r="B78" s="2">
        <v>9.0</v>
      </c>
    </row>
    <row r="79">
      <c r="A79" s="2" t="s">
        <v>166</v>
      </c>
      <c r="B79" s="2">
        <v>9.0</v>
      </c>
    </row>
    <row r="80">
      <c r="A80" s="2" t="s">
        <v>168</v>
      </c>
      <c r="B80" s="2">
        <v>9.0</v>
      </c>
    </row>
    <row r="81">
      <c r="A81" s="2" t="s">
        <v>171</v>
      </c>
      <c r="B81" s="2">
        <v>9.0</v>
      </c>
    </row>
    <row r="82">
      <c r="A82" s="2" t="s">
        <v>173</v>
      </c>
      <c r="B82" s="2">
        <v>9.0</v>
      </c>
    </row>
    <row r="83">
      <c r="A83" s="2" t="s">
        <v>176</v>
      </c>
      <c r="B83" s="2">
        <v>9.0</v>
      </c>
    </row>
    <row r="84">
      <c r="A84" s="2" t="s">
        <v>179</v>
      </c>
      <c r="B84" s="2">
        <v>9.0</v>
      </c>
    </row>
    <row r="85">
      <c r="A85" s="2" t="s">
        <v>182</v>
      </c>
      <c r="B85" s="2">
        <v>9.0</v>
      </c>
    </row>
    <row r="86">
      <c r="A86" s="2" t="s">
        <v>186</v>
      </c>
      <c r="B86" s="2">
        <v>9.0</v>
      </c>
    </row>
    <row r="87">
      <c r="A87" s="2" t="s">
        <v>192</v>
      </c>
      <c r="B87" s="2">
        <v>9.0</v>
      </c>
    </row>
    <row r="88">
      <c r="A88" s="2" t="s">
        <v>131</v>
      </c>
      <c r="B88" s="2">
        <v>8.0</v>
      </c>
    </row>
    <row r="89">
      <c r="A89" s="2" t="s">
        <v>156</v>
      </c>
      <c r="B89" s="2">
        <v>8.0</v>
      </c>
    </row>
    <row r="90">
      <c r="A90" s="2" t="s">
        <v>203</v>
      </c>
      <c r="B90" s="2">
        <v>8.0</v>
      </c>
    </row>
    <row r="91">
      <c r="A91" s="2" t="s">
        <v>206</v>
      </c>
      <c r="B91" s="2">
        <v>8.0</v>
      </c>
    </row>
    <row r="92">
      <c r="A92" s="2" t="s">
        <v>209</v>
      </c>
      <c r="B92" s="2">
        <v>8.0</v>
      </c>
    </row>
    <row r="93">
      <c r="A93" s="2" t="s">
        <v>212</v>
      </c>
      <c r="B93" s="2">
        <v>8.0</v>
      </c>
    </row>
    <row r="94">
      <c r="A94" s="2" t="s">
        <v>216</v>
      </c>
      <c r="B94" s="2">
        <v>8.0</v>
      </c>
    </row>
    <row r="95">
      <c r="A95" s="2" t="s">
        <v>218</v>
      </c>
      <c r="B95" s="2">
        <v>8.0</v>
      </c>
    </row>
    <row r="96">
      <c r="A96" s="2" t="s">
        <v>222</v>
      </c>
      <c r="B96" s="2">
        <v>8.0</v>
      </c>
    </row>
    <row r="97">
      <c r="A97" s="2" t="s">
        <v>225</v>
      </c>
      <c r="B97" s="2">
        <v>8.0</v>
      </c>
    </row>
    <row r="98">
      <c r="A98" s="2" t="s">
        <v>229</v>
      </c>
      <c r="B98" s="2">
        <v>8.0</v>
      </c>
    </row>
    <row r="99">
      <c r="A99" s="2" t="s">
        <v>232</v>
      </c>
      <c r="B99" s="2">
        <v>8.0</v>
      </c>
    </row>
    <row r="100">
      <c r="A100" s="2" t="s">
        <v>236</v>
      </c>
      <c r="B100" s="2">
        <v>8.0</v>
      </c>
    </row>
    <row r="101">
      <c r="A101" s="2" t="s">
        <v>240</v>
      </c>
      <c r="B101" s="2">
        <v>8.0</v>
      </c>
    </row>
    <row r="102">
      <c r="A102" s="2" t="s">
        <v>243</v>
      </c>
      <c r="B102" s="2">
        <v>8.0</v>
      </c>
    </row>
    <row r="103">
      <c r="A103" s="2" t="s">
        <v>247</v>
      </c>
      <c r="B103" s="2">
        <v>8.0</v>
      </c>
    </row>
    <row r="104">
      <c r="A104" s="2" t="s">
        <v>251</v>
      </c>
      <c r="B104" s="2">
        <v>8.0</v>
      </c>
    </row>
    <row r="105">
      <c r="A105" s="2" t="s">
        <v>254</v>
      </c>
      <c r="B105" s="2">
        <v>8.0</v>
      </c>
    </row>
    <row r="106">
      <c r="A106" s="2" t="s">
        <v>259</v>
      </c>
      <c r="B106" s="2">
        <v>8.0</v>
      </c>
    </row>
    <row r="107">
      <c r="A107" s="2" t="s">
        <v>263</v>
      </c>
      <c r="B107" s="2">
        <v>8.0</v>
      </c>
    </row>
    <row r="108">
      <c r="A108" s="2" t="s">
        <v>266</v>
      </c>
      <c r="B108" s="2">
        <v>8.0</v>
      </c>
    </row>
    <row r="109">
      <c r="A109" s="2" t="s">
        <v>270</v>
      </c>
      <c r="B109" s="2">
        <v>8.0</v>
      </c>
    </row>
    <row r="110">
      <c r="A110" s="2" t="s">
        <v>273</v>
      </c>
      <c r="B110" s="2">
        <v>8.0</v>
      </c>
    </row>
    <row r="111">
      <c r="A111" s="2" t="s">
        <v>276</v>
      </c>
      <c r="B111" s="2">
        <v>8.0</v>
      </c>
    </row>
    <row r="112">
      <c r="A112" s="2" t="s">
        <v>280</v>
      </c>
      <c r="B112" s="2">
        <v>8.0</v>
      </c>
    </row>
    <row r="113">
      <c r="A113" s="2" t="s">
        <v>283</v>
      </c>
      <c r="B113" s="2">
        <v>8.0</v>
      </c>
    </row>
    <row r="114">
      <c r="A114" s="2" t="s">
        <v>287</v>
      </c>
      <c r="B114" s="2">
        <v>8.0</v>
      </c>
    </row>
    <row r="115">
      <c r="A115" s="2" t="s">
        <v>292</v>
      </c>
      <c r="B115" s="2">
        <v>8.0</v>
      </c>
    </row>
    <row r="116">
      <c r="A116" s="2" t="s">
        <v>300</v>
      </c>
      <c r="B116" s="2">
        <v>8.0</v>
      </c>
    </row>
    <row r="117">
      <c r="A117" s="2" t="s">
        <v>303</v>
      </c>
      <c r="B117" s="2">
        <v>8.0</v>
      </c>
    </row>
    <row r="118">
      <c r="A118" s="2" t="s">
        <v>306</v>
      </c>
      <c r="B118" s="2">
        <v>8.0</v>
      </c>
    </row>
    <row r="119">
      <c r="A119" s="2" t="s">
        <v>308</v>
      </c>
      <c r="B119" s="2">
        <v>8.0</v>
      </c>
    </row>
    <row r="120">
      <c r="A120" s="2" t="s">
        <v>311</v>
      </c>
      <c r="B120" s="2">
        <v>8.0</v>
      </c>
    </row>
    <row r="121">
      <c r="A121" s="2" t="s">
        <v>315</v>
      </c>
      <c r="B121" s="2">
        <v>8.0</v>
      </c>
    </row>
    <row r="122">
      <c r="A122" s="2" t="s">
        <v>318</v>
      </c>
      <c r="B122" s="2">
        <v>8.0</v>
      </c>
    </row>
    <row r="123">
      <c r="A123" s="2" t="s">
        <v>321</v>
      </c>
      <c r="B123" s="2">
        <v>8.0</v>
      </c>
    </row>
    <row r="124">
      <c r="A124" s="2" t="s">
        <v>325</v>
      </c>
      <c r="B124" s="2">
        <v>8.0</v>
      </c>
    </row>
    <row r="125">
      <c r="A125" s="2" t="s">
        <v>329</v>
      </c>
      <c r="B125" s="2">
        <v>8.0</v>
      </c>
    </row>
    <row r="126">
      <c r="A126" s="2" t="s">
        <v>334</v>
      </c>
      <c r="B126" s="2">
        <v>8.0</v>
      </c>
    </row>
    <row r="127">
      <c r="A127" s="2" t="s">
        <v>337</v>
      </c>
      <c r="B127" s="2">
        <v>8.0</v>
      </c>
    </row>
    <row r="128">
      <c r="A128" s="2" t="s">
        <v>340</v>
      </c>
      <c r="B128" s="2">
        <v>8.0</v>
      </c>
    </row>
    <row r="129">
      <c r="A129" s="2" t="s">
        <v>344</v>
      </c>
      <c r="B129" s="2">
        <v>8.0</v>
      </c>
    </row>
    <row r="130">
      <c r="A130" s="2" t="s">
        <v>347</v>
      </c>
      <c r="B130" s="2">
        <v>8.0</v>
      </c>
    </row>
    <row r="131">
      <c r="A131" s="2" t="s">
        <v>351</v>
      </c>
      <c r="B131" s="2">
        <v>8.0</v>
      </c>
    </row>
    <row r="132">
      <c r="A132" s="2" t="s">
        <v>357</v>
      </c>
      <c r="B132" s="2">
        <v>8.0</v>
      </c>
    </row>
    <row r="133">
      <c r="A133" s="2" t="s">
        <v>360</v>
      </c>
      <c r="B133" s="2">
        <v>8.0</v>
      </c>
    </row>
    <row r="134">
      <c r="A134" s="2" t="s">
        <v>364</v>
      </c>
      <c r="B134" s="2">
        <v>8.0</v>
      </c>
    </row>
    <row r="135">
      <c r="A135" s="2" t="s">
        <v>367</v>
      </c>
      <c r="B135" s="2">
        <v>7.0</v>
      </c>
    </row>
    <row r="136">
      <c r="A136" s="2" t="s">
        <v>371</v>
      </c>
      <c r="B136" s="2">
        <v>7.0</v>
      </c>
    </row>
    <row r="137">
      <c r="A137" s="2" t="s">
        <v>375</v>
      </c>
      <c r="B137" s="2">
        <v>7.0</v>
      </c>
    </row>
    <row r="138">
      <c r="A138" s="2" t="s">
        <v>380</v>
      </c>
      <c r="B138" s="2">
        <v>7.0</v>
      </c>
    </row>
    <row r="139">
      <c r="A139" s="2" t="s">
        <v>383</v>
      </c>
      <c r="B139" s="2">
        <v>7.0</v>
      </c>
    </row>
    <row r="140">
      <c r="A140" s="2" t="s">
        <v>385</v>
      </c>
      <c r="B140" s="2">
        <v>7.0</v>
      </c>
    </row>
    <row r="141">
      <c r="A141" s="2" t="s">
        <v>388</v>
      </c>
      <c r="B141" s="2">
        <v>7.0</v>
      </c>
    </row>
    <row r="142">
      <c r="A142" s="2" t="s">
        <v>392</v>
      </c>
      <c r="B142" s="2">
        <v>7.0</v>
      </c>
    </row>
    <row r="143">
      <c r="A143" s="2" t="s">
        <v>397</v>
      </c>
      <c r="B143" s="2">
        <v>7.0</v>
      </c>
    </row>
    <row r="144">
      <c r="A144" s="2" t="s">
        <v>400</v>
      </c>
      <c r="B144" s="2">
        <v>7.0</v>
      </c>
    </row>
    <row r="145">
      <c r="A145" s="2" t="s">
        <v>401</v>
      </c>
      <c r="B145" s="2">
        <v>7.0</v>
      </c>
    </row>
    <row r="146">
      <c r="A146" s="2" t="s">
        <v>402</v>
      </c>
      <c r="B146" s="2">
        <v>7.0</v>
      </c>
    </row>
    <row r="147">
      <c r="A147" s="2" t="s">
        <v>403</v>
      </c>
      <c r="B147" s="2">
        <v>7.0</v>
      </c>
    </row>
    <row r="148">
      <c r="A148" s="2" t="s">
        <v>404</v>
      </c>
      <c r="B148" s="2">
        <v>7.0</v>
      </c>
    </row>
    <row r="149">
      <c r="A149" s="2" t="s">
        <v>408</v>
      </c>
      <c r="B149" s="2">
        <v>7.0</v>
      </c>
    </row>
    <row r="150">
      <c r="A150" s="2" t="s">
        <v>411</v>
      </c>
      <c r="B150" s="2">
        <v>7.0</v>
      </c>
    </row>
    <row r="151">
      <c r="A151" s="2" t="s">
        <v>414</v>
      </c>
      <c r="B151" s="2">
        <v>7.0</v>
      </c>
    </row>
    <row r="152">
      <c r="A152" s="2" t="s">
        <v>417</v>
      </c>
      <c r="B152" s="2">
        <v>7.0</v>
      </c>
    </row>
    <row r="153">
      <c r="A153" s="2" t="s">
        <v>421</v>
      </c>
      <c r="B153" s="2">
        <v>7.0</v>
      </c>
    </row>
    <row r="154">
      <c r="A154" s="2" t="s">
        <v>425</v>
      </c>
      <c r="B154" s="2">
        <v>7.0</v>
      </c>
    </row>
    <row r="155">
      <c r="A155" s="2" t="s">
        <v>429</v>
      </c>
      <c r="B155" s="2">
        <v>7.0</v>
      </c>
    </row>
    <row r="156">
      <c r="A156" s="2" t="s">
        <v>432</v>
      </c>
      <c r="B156" s="2">
        <v>7.0</v>
      </c>
    </row>
    <row r="157">
      <c r="A157" s="2" t="s">
        <v>436</v>
      </c>
      <c r="B157" s="2">
        <v>7.0</v>
      </c>
    </row>
    <row r="158">
      <c r="A158" s="2" t="s">
        <v>439</v>
      </c>
      <c r="B158" s="2">
        <v>7.0</v>
      </c>
    </row>
    <row r="159">
      <c r="A159" s="2" t="s">
        <v>444</v>
      </c>
      <c r="B159" s="2">
        <v>7.0</v>
      </c>
    </row>
    <row r="160">
      <c r="A160" s="2" t="s">
        <v>447</v>
      </c>
      <c r="B160" s="2">
        <v>7.0</v>
      </c>
    </row>
    <row r="161">
      <c r="A161" s="2" t="s">
        <v>452</v>
      </c>
      <c r="B161" s="2">
        <v>7.0</v>
      </c>
    </row>
    <row r="162">
      <c r="A162" s="2" t="s">
        <v>453</v>
      </c>
      <c r="B162" s="2">
        <v>7.0</v>
      </c>
    </row>
    <row r="163">
      <c r="A163" s="2" t="s">
        <v>455</v>
      </c>
      <c r="B163" s="2">
        <v>7.0</v>
      </c>
    </row>
    <row r="164">
      <c r="A164" s="2" t="s">
        <v>458</v>
      </c>
      <c r="B164" s="2">
        <v>7.0</v>
      </c>
    </row>
    <row r="165">
      <c r="A165" s="2" t="s">
        <v>462</v>
      </c>
      <c r="B165" s="2">
        <v>7.0</v>
      </c>
    </row>
    <row r="166">
      <c r="A166" s="2" t="s">
        <v>72</v>
      </c>
      <c r="B166" s="2">
        <v>7.0</v>
      </c>
    </row>
    <row r="167">
      <c r="A167" s="2" t="s">
        <v>469</v>
      </c>
      <c r="B167" s="2">
        <v>7.0</v>
      </c>
    </row>
    <row r="168">
      <c r="A168" s="2" t="s">
        <v>472</v>
      </c>
      <c r="B168" s="2">
        <v>7.0</v>
      </c>
    </row>
    <row r="169">
      <c r="A169" s="2" t="s">
        <v>475</v>
      </c>
      <c r="B169" s="2">
        <v>7.0</v>
      </c>
    </row>
    <row r="170">
      <c r="A170" s="2" t="s">
        <v>477</v>
      </c>
      <c r="B170" s="2">
        <v>7.0</v>
      </c>
    </row>
    <row r="171">
      <c r="A171" s="2" t="s">
        <v>481</v>
      </c>
      <c r="B171" s="2">
        <v>7.0</v>
      </c>
    </row>
    <row r="172">
      <c r="A172" s="2" t="s">
        <v>485</v>
      </c>
      <c r="B172" s="2">
        <v>7.0</v>
      </c>
    </row>
    <row r="173">
      <c r="A173" s="2" t="s">
        <v>488</v>
      </c>
      <c r="B173" s="2">
        <v>7.0</v>
      </c>
    </row>
    <row r="174">
      <c r="A174" s="2" t="s">
        <v>491</v>
      </c>
      <c r="B174" s="2">
        <v>7.0</v>
      </c>
    </row>
    <row r="175">
      <c r="A175" s="2" t="s">
        <v>494</v>
      </c>
      <c r="B175" s="2">
        <v>7.0</v>
      </c>
    </row>
    <row r="176">
      <c r="A176" s="2" t="s">
        <v>499</v>
      </c>
      <c r="B176" s="2">
        <v>7.0</v>
      </c>
    </row>
    <row r="177">
      <c r="A177" s="2" t="s">
        <v>503</v>
      </c>
      <c r="B177" s="2">
        <v>7.0</v>
      </c>
    </row>
    <row r="178">
      <c r="A178" s="2" t="s">
        <v>506</v>
      </c>
      <c r="B178" s="2">
        <v>7.0</v>
      </c>
    </row>
    <row r="179">
      <c r="A179" s="2" t="s">
        <v>510</v>
      </c>
      <c r="B179" s="2">
        <v>7.0</v>
      </c>
    </row>
    <row r="180">
      <c r="A180" s="2" t="s">
        <v>513</v>
      </c>
      <c r="B180" s="2">
        <v>7.0</v>
      </c>
    </row>
    <row r="181">
      <c r="A181" s="2" t="s">
        <v>520</v>
      </c>
      <c r="B181" s="2">
        <v>7.0</v>
      </c>
    </row>
    <row r="182">
      <c r="A182" s="2" t="s">
        <v>524</v>
      </c>
      <c r="B182" s="2">
        <v>7.0</v>
      </c>
    </row>
    <row r="183">
      <c r="A183" s="2" t="s">
        <v>527</v>
      </c>
      <c r="B183" s="2">
        <v>7.0</v>
      </c>
    </row>
    <row r="184">
      <c r="A184" s="2" t="s">
        <v>531</v>
      </c>
      <c r="B184" s="2">
        <v>7.0</v>
      </c>
    </row>
    <row r="185">
      <c r="A185" s="2" t="s">
        <v>537</v>
      </c>
      <c r="B185" s="2">
        <v>7.0</v>
      </c>
    </row>
    <row r="186">
      <c r="A186" s="2" t="s">
        <v>541</v>
      </c>
      <c r="B186" s="2">
        <v>7.0</v>
      </c>
    </row>
    <row r="187">
      <c r="A187" s="2" t="s">
        <v>544</v>
      </c>
      <c r="B187" s="2">
        <v>7.0</v>
      </c>
    </row>
    <row r="188">
      <c r="A188" s="2" t="s">
        <v>549</v>
      </c>
      <c r="B188" s="2">
        <v>7.0</v>
      </c>
    </row>
    <row r="189">
      <c r="A189" s="2" t="s">
        <v>554</v>
      </c>
      <c r="B189" s="2">
        <v>7.0</v>
      </c>
    </row>
    <row r="190">
      <c r="A190" s="2" t="s">
        <v>558</v>
      </c>
      <c r="B190" s="2">
        <v>7.0</v>
      </c>
    </row>
    <row r="191">
      <c r="A191" s="2" t="s">
        <v>561</v>
      </c>
      <c r="B191" s="2">
        <v>7.0</v>
      </c>
    </row>
    <row r="192">
      <c r="A192" s="2" t="s">
        <v>565</v>
      </c>
      <c r="B192" s="2">
        <v>7.0</v>
      </c>
    </row>
    <row r="193">
      <c r="A193" s="2" t="s">
        <v>571</v>
      </c>
      <c r="B193" s="2">
        <v>7.0</v>
      </c>
    </row>
    <row r="194">
      <c r="A194" s="2" t="s">
        <v>576</v>
      </c>
      <c r="B194" s="2">
        <v>7.0</v>
      </c>
    </row>
    <row r="195">
      <c r="A195" s="2" t="s">
        <v>579</v>
      </c>
      <c r="B195" s="2">
        <v>7.0</v>
      </c>
    </row>
    <row r="196">
      <c r="A196" s="2" t="s">
        <v>582</v>
      </c>
      <c r="B196" s="2">
        <v>7.0</v>
      </c>
    </row>
    <row r="197">
      <c r="A197" s="2" t="s">
        <v>586</v>
      </c>
      <c r="B197" s="2">
        <v>7.0</v>
      </c>
    </row>
    <row r="198">
      <c r="A198" s="2" t="s">
        <v>593</v>
      </c>
      <c r="B198" s="2">
        <v>7.0</v>
      </c>
    </row>
    <row r="199">
      <c r="A199" s="2" t="s">
        <v>596</v>
      </c>
      <c r="B199" s="2">
        <v>7.0</v>
      </c>
    </row>
    <row r="200">
      <c r="A200" s="2" t="s">
        <v>309</v>
      </c>
      <c r="B200" s="2">
        <v>6.0</v>
      </c>
    </row>
    <row r="201">
      <c r="A201" s="2" t="s">
        <v>605</v>
      </c>
      <c r="B201" s="2">
        <v>6.0</v>
      </c>
    </row>
    <row r="202">
      <c r="A202" s="2" t="s">
        <v>610</v>
      </c>
      <c r="B202" s="2">
        <v>6.0</v>
      </c>
    </row>
    <row r="203">
      <c r="A203" s="2" t="s">
        <v>613</v>
      </c>
      <c r="B203" s="2">
        <v>6.0</v>
      </c>
    </row>
    <row r="204">
      <c r="A204" s="2" t="s">
        <v>617</v>
      </c>
      <c r="B204" s="2">
        <v>6.0</v>
      </c>
    </row>
    <row r="205">
      <c r="A205" s="2" t="s">
        <v>621</v>
      </c>
      <c r="B205" s="2">
        <v>6.0</v>
      </c>
    </row>
    <row r="206">
      <c r="A206" s="2" t="s">
        <v>626</v>
      </c>
      <c r="B206" s="2">
        <v>6.0</v>
      </c>
    </row>
    <row r="207">
      <c r="A207" s="2" t="s">
        <v>631</v>
      </c>
      <c r="B207" s="2">
        <v>6.0</v>
      </c>
    </row>
    <row r="208">
      <c r="A208" s="2" t="s">
        <v>634</v>
      </c>
      <c r="B208" s="2">
        <v>6.0</v>
      </c>
    </row>
    <row r="209">
      <c r="A209" s="2" t="s">
        <v>638</v>
      </c>
      <c r="B209" s="2">
        <v>6.0</v>
      </c>
    </row>
    <row r="210">
      <c r="A210" s="2" t="s">
        <v>642</v>
      </c>
      <c r="B210" s="2">
        <v>6.0</v>
      </c>
    </row>
    <row r="211">
      <c r="A211" s="2" t="s">
        <v>648</v>
      </c>
      <c r="B211" s="2">
        <v>6.0</v>
      </c>
    </row>
    <row r="212">
      <c r="A212" s="2" t="s">
        <v>652</v>
      </c>
      <c r="B212" s="2">
        <v>6.0</v>
      </c>
    </row>
    <row r="213">
      <c r="A213" s="2" t="s">
        <v>655</v>
      </c>
      <c r="B213" s="2">
        <v>6.0</v>
      </c>
    </row>
    <row r="214">
      <c r="A214" s="2" t="s">
        <v>660</v>
      </c>
      <c r="B214" s="2">
        <v>6.0</v>
      </c>
    </row>
    <row r="215">
      <c r="A215" s="2" t="s">
        <v>664</v>
      </c>
      <c r="B215" s="2">
        <v>6.0</v>
      </c>
    </row>
    <row r="216">
      <c r="A216" s="2" t="s">
        <v>668</v>
      </c>
      <c r="B216" s="2">
        <v>6.0</v>
      </c>
    </row>
    <row r="217">
      <c r="A217" s="2" t="s">
        <v>672</v>
      </c>
      <c r="B217" s="2">
        <v>6.0</v>
      </c>
    </row>
    <row r="218">
      <c r="A218" s="2" t="s">
        <v>675</v>
      </c>
      <c r="B218" s="2">
        <v>6.0</v>
      </c>
    </row>
    <row r="219">
      <c r="A219" s="2" t="s">
        <v>679</v>
      </c>
      <c r="B219" s="2">
        <v>6.0</v>
      </c>
    </row>
    <row r="220">
      <c r="A220" s="2" t="s">
        <v>682</v>
      </c>
      <c r="B220" s="2">
        <v>6.0</v>
      </c>
    </row>
    <row r="221">
      <c r="A221" s="2" t="s">
        <v>685</v>
      </c>
      <c r="B221" s="2">
        <v>6.0</v>
      </c>
    </row>
    <row r="222">
      <c r="A222" s="2" t="s">
        <v>691</v>
      </c>
      <c r="B222" s="2">
        <v>6.0</v>
      </c>
    </row>
    <row r="223">
      <c r="A223" s="2" t="s">
        <v>695</v>
      </c>
      <c r="B223" s="2">
        <v>6.0</v>
      </c>
    </row>
    <row r="224">
      <c r="A224" s="2" t="s">
        <v>699</v>
      </c>
      <c r="B224" s="2">
        <v>6.0</v>
      </c>
    </row>
    <row r="225">
      <c r="A225" s="2" t="s">
        <v>702</v>
      </c>
      <c r="B225" s="2">
        <v>6.0</v>
      </c>
    </row>
    <row r="226">
      <c r="A226" s="2" t="s">
        <v>705</v>
      </c>
      <c r="B226" s="2">
        <v>6.0</v>
      </c>
    </row>
    <row r="227">
      <c r="A227" s="2" t="s">
        <v>707</v>
      </c>
      <c r="B227" s="2">
        <v>6.0</v>
      </c>
    </row>
    <row r="228">
      <c r="A228" s="2" t="s">
        <v>712</v>
      </c>
      <c r="B228" s="2">
        <v>6.0</v>
      </c>
    </row>
    <row r="229">
      <c r="A229" s="2" t="s">
        <v>717</v>
      </c>
      <c r="B229" s="2">
        <v>6.0</v>
      </c>
    </row>
    <row r="230">
      <c r="A230" s="2" t="s">
        <v>722</v>
      </c>
      <c r="B230" s="2">
        <v>6.0</v>
      </c>
    </row>
    <row r="231">
      <c r="A231" s="2" t="s">
        <v>725</v>
      </c>
      <c r="B231" s="2">
        <v>6.0</v>
      </c>
    </row>
    <row r="232">
      <c r="A232" s="2" t="s">
        <v>728</v>
      </c>
      <c r="B232" s="2">
        <v>6.0</v>
      </c>
    </row>
    <row r="233">
      <c r="A233" s="2" t="s">
        <v>734</v>
      </c>
      <c r="B233" s="2">
        <v>6.0</v>
      </c>
    </row>
    <row r="234">
      <c r="A234" s="2" t="s">
        <v>738</v>
      </c>
      <c r="B234" s="2">
        <v>6.0</v>
      </c>
    </row>
    <row r="235">
      <c r="A235" s="2" t="s">
        <v>741</v>
      </c>
      <c r="B235" s="2">
        <v>6.0</v>
      </c>
    </row>
    <row r="236">
      <c r="A236" s="2" t="s">
        <v>744</v>
      </c>
      <c r="B236" s="2">
        <v>6.0</v>
      </c>
    </row>
    <row r="237">
      <c r="A237" s="2" t="s">
        <v>748</v>
      </c>
      <c r="B237" s="2">
        <v>6.0</v>
      </c>
    </row>
    <row r="238">
      <c r="A238" s="2" t="s">
        <v>753</v>
      </c>
      <c r="B238" s="2">
        <v>6.0</v>
      </c>
    </row>
    <row r="239">
      <c r="A239" s="2" t="s">
        <v>757</v>
      </c>
      <c r="B239" s="2">
        <v>6.0</v>
      </c>
    </row>
    <row r="240">
      <c r="A240" s="2" t="s">
        <v>761</v>
      </c>
      <c r="B240" s="2">
        <v>6.0</v>
      </c>
    </row>
    <row r="241">
      <c r="A241" s="2" t="s">
        <v>764</v>
      </c>
      <c r="B241" s="2">
        <v>6.0</v>
      </c>
    </row>
    <row r="242">
      <c r="A242" s="2" t="s">
        <v>767</v>
      </c>
      <c r="B242" s="2">
        <v>6.0</v>
      </c>
    </row>
    <row r="243">
      <c r="A243" s="2" t="s">
        <v>769</v>
      </c>
      <c r="B243" s="2">
        <v>6.0</v>
      </c>
    </row>
    <row r="244">
      <c r="A244" s="2" t="s">
        <v>773</v>
      </c>
      <c r="B244" s="2">
        <v>6.0</v>
      </c>
    </row>
    <row r="245">
      <c r="A245" s="2" t="s">
        <v>777</v>
      </c>
      <c r="B245" s="2">
        <v>6.0</v>
      </c>
    </row>
    <row r="246">
      <c r="A246" s="2" t="s">
        <v>779</v>
      </c>
      <c r="B246" s="2">
        <v>6.0</v>
      </c>
    </row>
    <row r="247">
      <c r="A247" s="2" t="s">
        <v>783</v>
      </c>
      <c r="B247" s="2">
        <v>6.0</v>
      </c>
    </row>
    <row r="248">
      <c r="A248" s="2" t="s">
        <v>787</v>
      </c>
      <c r="B248" s="2">
        <v>6.0</v>
      </c>
    </row>
    <row r="249">
      <c r="A249" s="2" t="s">
        <v>791</v>
      </c>
      <c r="B249" s="2">
        <v>6.0</v>
      </c>
    </row>
    <row r="250">
      <c r="A250" s="2" t="s">
        <v>794</v>
      </c>
      <c r="B250" s="2">
        <v>6.0</v>
      </c>
    </row>
    <row r="251">
      <c r="A251" s="2" t="s">
        <v>797</v>
      </c>
      <c r="B251" s="2">
        <v>6.0</v>
      </c>
    </row>
    <row r="252">
      <c r="A252" s="2" t="s">
        <v>801</v>
      </c>
      <c r="B252" s="2">
        <v>6.0</v>
      </c>
    </row>
    <row r="253">
      <c r="A253" s="2" t="s">
        <v>804</v>
      </c>
      <c r="B253" s="2">
        <v>6.0</v>
      </c>
    </row>
    <row r="254">
      <c r="A254" s="2" t="s">
        <v>807</v>
      </c>
      <c r="B254" s="2">
        <v>6.0</v>
      </c>
    </row>
    <row r="255">
      <c r="A255" s="2" t="s">
        <v>813</v>
      </c>
      <c r="B255" s="2">
        <v>6.0</v>
      </c>
    </row>
    <row r="256">
      <c r="A256" s="2" t="s">
        <v>169</v>
      </c>
      <c r="B256" s="2">
        <v>5.0</v>
      </c>
    </row>
    <row r="257">
      <c r="A257" s="2" t="s">
        <v>532</v>
      </c>
      <c r="B257" s="2">
        <v>5.0</v>
      </c>
    </row>
    <row r="258">
      <c r="A258" s="2" t="s">
        <v>551</v>
      </c>
      <c r="B258" s="2">
        <v>5.0</v>
      </c>
    </row>
    <row r="259">
      <c r="A259" s="2" t="s">
        <v>623</v>
      </c>
      <c r="B259" s="2">
        <v>5.0</v>
      </c>
    </row>
    <row r="260">
      <c r="A260" s="2" t="s">
        <v>687</v>
      </c>
      <c r="B260" s="2">
        <v>5.0</v>
      </c>
    </row>
    <row r="261">
      <c r="A261" s="2" t="s">
        <v>749</v>
      </c>
      <c r="B261" s="2">
        <v>5.0</v>
      </c>
    </row>
    <row r="262">
      <c r="A262" s="2" t="s">
        <v>824</v>
      </c>
      <c r="B262" s="2">
        <v>5.0</v>
      </c>
    </row>
    <row r="263">
      <c r="A263" s="2" t="s">
        <v>825</v>
      </c>
      <c r="B263" s="2">
        <v>5.0</v>
      </c>
    </row>
    <row r="264">
      <c r="A264" s="2" t="s">
        <v>826</v>
      </c>
      <c r="B264" s="2">
        <v>5.0</v>
      </c>
    </row>
    <row r="265">
      <c r="A265" s="2" t="s">
        <v>827</v>
      </c>
      <c r="B265" s="2">
        <v>5.0</v>
      </c>
    </row>
    <row r="266">
      <c r="A266" s="2" t="s">
        <v>828</v>
      </c>
      <c r="B266" s="2">
        <v>5.0</v>
      </c>
    </row>
    <row r="267">
      <c r="A267" s="2" t="s">
        <v>829</v>
      </c>
      <c r="B267" s="2">
        <v>5.0</v>
      </c>
    </row>
    <row r="268">
      <c r="A268" s="2" t="s">
        <v>198</v>
      </c>
      <c r="B268" s="2">
        <v>5.0</v>
      </c>
    </row>
    <row r="269">
      <c r="A269" s="2" t="s">
        <v>833</v>
      </c>
      <c r="B269" s="2">
        <v>5.0</v>
      </c>
    </row>
    <row r="270">
      <c r="A270" s="2" t="s">
        <v>835</v>
      </c>
      <c r="B270" s="2">
        <v>5.0</v>
      </c>
    </row>
    <row r="271">
      <c r="A271" s="2" t="s">
        <v>836</v>
      </c>
      <c r="B271" s="2">
        <v>5.0</v>
      </c>
    </row>
    <row r="272">
      <c r="A272" s="2" t="s">
        <v>838</v>
      </c>
      <c r="B272" s="2">
        <v>5.0</v>
      </c>
    </row>
    <row r="273">
      <c r="A273" s="2" t="s">
        <v>841</v>
      </c>
      <c r="B273" s="2">
        <v>5.0</v>
      </c>
    </row>
    <row r="274">
      <c r="A274" s="2" t="s">
        <v>842</v>
      </c>
      <c r="B274" s="2">
        <v>5.0</v>
      </c>
    </row>
    <row r="275">
      <c r="A275" s="2" t="s">
        <v>843</v>
      </c>
      <c r="B275" s="2">
        <v>5.0</v>
      </c>
    </row>
    <row r="276">
      <c r="A276" s="2" t="s">
        <v>844</v>
      </c>
      <c r="B276" s="2">
        <v>5.0</v>
      </c>
    </row>
    <row r="277">
      <c r="A277" s="2" t="s">
        <v>845</v>
      </c>
      <c r="B277" s="2">
        <v>5.0</v>
      </c>
    </row>
    <row r="278">
      <c r="A278" s="2" t="s">
        <v>848</v>
      </c>
      <c r="B278" s="2">
        <v>5.0</v>
      </c>
    </row>
    <row r="279">
      <c r="A279" s="2" t="s">
        <v>849</v>
      </c>
      <c r="B279" s="2">
        <v>5.0</v>
      </c>
    </row>
    <row r="280">
      <c r="A280" s="2" t="s">
        <v>850</v>
      </c>
      <c r="B280" s="2">
        <v>5.0</v>
      </c>
    </row>
    <row r="281">
      <c r="A281" s="2" t="s">
        <v>851</v>
      </c>
      <c r="B281" s="2">
        <v>5.0</v>
      </c>
    </row>
    <row r="282">
      <c r="A282" s="2" t="s">
        <v>853</v>
      </c>
      <c r="B282" s="2">
        <v>5.0</v>
      </c>
    </row>
    <row r="283">
      <c r="A283" s="2" t="s">
        <v>855</v>
      </c>
      <c r="B283" s="2">
        <v>5.0</v>
      </c>
    </row>
    <row r="284">
      <c r="A284" s="2" t="s">
        <v>858</v>
      </c>
      <c r="B284" s="2">
        <v>5.0</v>
      </c>
    </row>
    <row r="285">
      <c r="A285" s="2" t="s">
        <v>859</v>
      </c>
      <c r="B285" s="2">
        <v>5.0</v>
      </c>
    </row>
    <row r="286">
      <c r="A286" s="2" t="s">
        <v>860</v>
      </c>
      <c r="B286" s="2">
        <v>5.0</v>
      </c>
    </row>
    <row r="287">
      <c r="A287" s="2" t="s">
        <v>861</v>
      </c>
      <c r="B287" s="2">
        <v>5.0</v>
      </c>
    </row>
    <row r="288">
      <c r="A288" s="2" t="s">
        <v>862</v>
      </c>
      <c r="B288" s="2">
        <v>5.0</v>
      </c>
    </row>
    <row r="289">
      <c r="A289" s="2" t="s">
        <v>863</v>
      </c>
      <c r="B289" s="2">
        <v>5.0</v>
      </c>
    </row>
    <row r="290">
      <c r="A290" s="2" t="s">
        <v>865</v>
      </c>
      <c r="B290" s="2">
        <v>5.0</v>
      </c>
    </row>
    <row r="291">
      <c r="A291" s="2" t="s">
        <v>867</v>
      </c>
      <c r="B291" s="2">
        <v>5.0</v>
      </c>
    </row>
    <row r="292">
      <c r="A292" s="2" t="s">
        <v>868</v>
      </c>
      <c r="B292" s="2">
        <v>5.0</v>
      </c>
    </row>
    <row r="293">
      <c r="A293" s="2" t="s">
        <v>869</v>
      </c>
      <c r="B293" s="2">
        <v>5.0</v>
      </c>
    </row>
    <row r="294">
      <c r="A294" s="2" t="s">
        <v>870</v>
      </c>
      <c r="B294" s="2">
        <v>5.0</v>
      </c>
    </row>
    <row r="295">
      <c r="A295" s="2" t="s">
        <v>873</v>
      </c>
      <c r="B295" s="2">
        <v>5.0</v>
      </c>
    </row>
    <row r="296">
      <c r="A296" s="2" t="s">
        <v>875</v>
      </c>
      <c r="B296" s="2">
        <v>5.0</v>
      </c>
    </row>
    <row r="297">
      <c r="A297" s="2" t="s">
        <v>876</v>
      </c>
      <c r="B297" s="2">
        <v>5.0</v>
      </c>
    </row>
    <row r="298">
      <c r="A298" s="2" t="s">
        <v>877</v>
      </c>
      <c r="B298" s="2">
        <v>5.0</v>
      </c>
    </row>
    <row r="299">
      <c r="A299" s="2" t="s">
        <v>878</v>
      </c>
      <c r="B299" s="2">
        <v>5.0</v>
      </c>
    </row>
    <row r="300">
      <c r="A300" s="2" t="s">
        <v>879</v>
      </c>
      <c r="B300" s="2">
        <v>5.0</v>
      </c>
    </row>
    <row r="301">
      <c r="A301" s="2" t="s">
        <v>880</v>
      </c>
      <c r="B301" s="2">
        <v>5.0</v>
      </c>
    </row>
    <row r="302">
      <c r="A302" s="2" t="s">
        <v>881</v>
      </c>
      <c r="B302" s="2">
        <v>5.0</v>
      </c>
    </row>
    <row r="303">
      <c r="A303" s="2" t="s">
        <v>883</v>
      </c>
      <c r="B303" s="2">
        <v>5.0</v>
      </c>
    </row>
    <row r="304">
      <c r="A304" s="2" t="s">
        <v>884</v>
      </c>
      <c r="B304" s="2">
        <v>5.0</v>
      </c>
    </row>
    <row r="305">
      <c r="A305" s="2" t="s">
        <v>885</v>
      </c>
      <c r="B305" s="2">
        <v>5.0</v>
      </c>
    </row>
    <row r="306">
      <c r="A306" s="2" t="s">
        <v>886</v>
      </c>
      <c r="B306" s="2">
        <v>5.0</v>
      </c>
    </row>
    <row r="307">
      <c r="A307" s="2" t="s">
        <v>887</v>
      </c>
      <c r="B307" s="2">
        <v>5.0</v>
      </c>
    </row>
    <row r="308">
      <c r="A308" s="2" t="s">
        <v>888</v>
      </c>
      <c r="B308" s="2">
        <v>5.0</v>
      </c>
    </row>
    <row r="309">
      <c r="A309" s="2" t="s">
        <v>889</v>
      </c>
      <c r="B309" s="2">
        <v>5.0</v>
      </c>
    </row>
    <row r="310">
      <c r="A310" s="2" t="s">
        <v>891</v>
      </c>
      <c r="B310" s="2">
        <v>5.0</v>
      </c>
    </row>
    <row r="311">
      <c r="A311" s="2" t="s">
        <v>893</v>
      </c>
      <c r="B311" s="2">
        <v>5.0</v>
      </c>
    </row>
    <row r="312">
      <c r="A312" s="2" t="s">
        <v>895</v>
      </c>
      <c r="B312" s="2">
        <v>5.0</v>
      </c>
    </row>
    <row r="313">
      <c r="A313" s="2" t="s">
        <v>896</v>
      </c>
      <c r="B313" s="2">
        <v>5.0</v>
      </c>
    </row>
    <row r="314">
      <c r="A314" s="2" t="s">
        <v>897</v>
      </c>
      <c r="B314" s="2">
        <v>5.0</v>
      </c>
    </row>
    <row r="315">
      <c r="A315" s="2" t="s">
        <v>898</v>
      </c>
      <c r="B315" s="2">
        <v>5.0</v>
      </c>
    </row>
    <row r="316">
      <c r="A316" s="2" t="s">
        <v>899</v>
      </c>
      <c r="B316" s="2">
        <v>5.0</v>
      </c>
    </row>
    <row r="317">
      <c r="A317" s="2" t="s">
        <v>900</v>
      </c>
      <c r="B317" s="2">
        <v>5.0</v>
      </c>
    </row>
    <row r="318">
      <c r="A318" s="2" t="s">
        <v>902</v>
      </c>
      <c r="B318" s="2">
        <v>5.0</v>
      </c>
    </row>
    <row r="319">
      <c r="A319" s="2" t="s">
        <v>904</v>
      </c>
      <c r="B319" s="2">
        <v>5.0</v>
      </c>
    </row>
    <row r="320">
      <c r="A320" s="2" t="s">
        <v>905</v>
      </c>
      <c r="B320" s="2">
        <v>5.0</v>
      </c>
    </row>
    <row r="321">
      <c r="A321" s="2" t="s">
        <v>906</v>
      </c>
      <c r="B321" s="2">
        <v>5.0</v>
      </c>
    </row>
    <row r="322">
      <c r="A322" s="2" t="s">
        <v>907</v>
      </c>
      <c r="B322" s="2">
        <v>5.0</v>
      </c>
    </row>
    <row r="323">
      <c r="A323" s="2" t="s">
        <v>908</v>
      </c>
      <c r="B323" s="2">
        <v>5.0</v>
      </c>
    </row>
    <row r="324">
      <c r="A324" s="2" t="s">
        <v>909</v>
      </c>
      <c r="B324" s="2">
        <v>5.0</v>
      </c>
    </row>
    <row r="325">
      <c r="A325" s="2" t="s">
        <v>913</v>
      </c>
      <c r="B325" s="2">
        <v>5.0</v>
      </c>
    </row>
    <row r="326">
      <c r="A326" s="2" t="s">
        <v>916</v>
      </c>
      <c r="B326" s="2">
        <v>5.0</v>
      </c>
    </row>
    <row r="327">
      <c r="A327" s="2" t="s">
        <v>917</v>
      </c>
      <c r="B327" s="2">
        <v>5.0</v>
      </c>
    </row>
    <row r="328">
      <c r="A328" s="2" t="s">
        <v>918</v>
      </c>
      <c r="B328" s="2">
        <v>5.0</v>
      </c>
    </row>
    <row r="329">
      <c r="A329" s="2" t="s">
        <v>515</v>
      </c>
      <c r="B329" s="2">
        <v>4.0</v>
      </c>
    </row>
    <row r="330">
      <c r="A330" s="2" t="s">
        <v>606</v>
      </c>
      <c r="B330" s="2">
        <v>4.0</v>
      </c>
    </row>
    <row r="331">
      <c r="A331" s="2" t="s">
        <v>644</v>
      </c>
      <c r="B331" s="2">
        <v>4.0</v>
      </c>
    </row>
    <row r="332">
      <c r="A332" s="2" t="s">
        <v>730</v>
      </c>
      <c r="B332" s="2">
        <v>4.0</v>
      </c>
    </row>
    <row r="333">
      <c r="A333" s="2" t="s">
        <v>810</v>
      </c>
      <c r="B333" s="2">
        <v>4.0</v>
      </c>
    </row>
    <row r="334">
      <c r="A334" s="2" t="s">
        <v>821</v>
      </c>
      <c r="B334" s="2">
        <v>4.0</v>
      </c>
    </row>
    <row r="335">
      <c r="A335" s="2" t="s">
        <v>830</v>
      </c>
      <c r="B335" s="2">
        <v>4.0</v>
      </c>
    </row>
    <row r="336">
      <c r="A336" s="2" t="s">
        <v>901</v>
      </c>
      <c r="B336" s="2">
        <v>4.0</v>
      </c>
    </row>
    <row r="337">
      <c r="A337" s="2" t="s">
        <v>910</v>
      </c>
      <c r="B337" s="2">
        <v>4.0</v>
      </c>
    </row>
    <row r="338">
      <c r="A338" s="2" t="s">
        <v>925</v>
      </c>
      <c r="B338" s="2">
        <v>4.0</v>
      </c>
    </row>
    <row r="339">
      <c r="A339" s="2" t="s">
        <v>927</v>
      </c>
      <c r="B339" s="2">
        <v>4.0</v>
      </c>
    </row>
    <row r="340">
      <c r="A340" s="2" t="s">
        <v>929</v>
      </c>
      <c r="B340" s="2">
        <v>4.0</v>
      </c>
    </row>
    <row r="341">
      <c r="A341" s="2" t="s">
        <v>658</v>
      </c>
      <c r="B341" s="2">
        <v>4.0</v>
      </c>
    </row>
    <row r="342">
      <c r="A342" s="2" t="s">
        <v>930</v>
      </c>
      <c r="B342" s="2">
        <v>4.0</v>
      </c>
    </row>
    <row r="343">
      <c r="A343" s="2" t="s">
        <v>933</v>
      </c>
      <c r="B343" s="2">
        <v>4.0</v>
      </c>
    </row>
    <row r="344">
      <c r="A344" s="2" t="s">
        <v>934</v>
      </c>
      <c r="B344" s="2">
        <v>4.0</v>
      </c>
    </row>
    <row r="345">
      <c r="A345" s="2" t="s">
        <v>935</v>
      </c>
      <c r="B345" s="2">
        <v>4.0</v>
      </c>
    </row>
    <row r="346">
      <c r="A346" s="2" t="s">
        <v>938</v>
      </c>
      <c r="B346" s="2">
        <v>4.0</v>
      </c>
    </row>
    <row r="347">
      <c r="A347" s="2" t="s">
        <v>940</v>
      </c>
      <c r="B347" s="2">
        <v>4.0</v>
      </c>
    </row>
    <row r="348">
      <c r="A348" s="2" t="s">
        <v>941</v>
      </c>
      <c r="B348" s="2">
        <v>4.0</v>
      </c>
    </row>
    <row r="349">
      <c r="A349" s="2" t="s">
        <v>942</v>
      </c>
      <c r="B349" s="2">
        <v>4.0</v>
      </c>
    </row>
    <row r="350">
      <c r="A350" s="2" t="s">
        <v>943</v>
      </c>
      <c r="B350" s="2">
        <v>4.0</v>
      </c>
    </row>
    <row r="351">
      <c r="A351" s="2" t="s">
        <v>944</v>
      </c>
      <c r="B351" s="2">
        <v>4.0</v>
      </c>
    </row>
    <row r="352">
      <c r="A352" s="2" t="s">
        <v>945</v>
      </c>
      <c r="B352" s="2">
        <v>4.0</v>
      </c>
    </row>
    <row r="353">
      <c r="A353" s="2" t="s">
        <v>947</v>
      </c>
      <c r="B353" s="2">
        <v>4.0</v>
      </c>
    </row>
    <row r="354">
      <c r="A354" s="2" t="s">
        <v>949</v>
      </c>
      <c r="B354" s="2">
        <v>4.0</v>
      </c>
    </row>
    <row r="355">
      <c r="A355" s="2" t="s">
        <v>950</v>
      </c>
      <c r="B355" s="2">
        <v>4.0</v>
      </c>
    </row>
    <row r="356">
      <c r="A356" s="2" t="s">
        <v>951</v>
      </c>
      <c r="B356" s="2">
        <v>4.0</v>
      </c>
    </row>
    <row r="357">
      <c r="A357" s="2" t="s">
        <v>952</v>
      </c>
      <c r="B357" s="2">
        <v>4.0</v>
      </c>
    </row>
    <row r="358">
      <c r="A358" s="2" t="s">
        <v>954</v>
      </c>
      <c r="B358" s="2">
        <v>4.0</v>
      </c>
    </row>
    <row r="359">
      <c r="A359" s="2" t="s">
        <v>956</v>
      </c>
      <c r="B359" s="2">
        <v>4.0</v>
      </c>
    </row>
    <row r="360">
      <c r="A360" s="2" t="s">
        <v>957</v>
      </c>
      <c r="B360" s="2">
        <v>4.0</v>
      </c>
    </row>
    <row r="361">
      <c r="A361" s="2" t="s">
        <v>959</v>
      </c>
      <c r="B361" s="2">
        <v>4.0</v>
      </c>
    </row>
    <row r="362">
      <c r="A362" s="2" t="s">
        <v>960</v>
      </c>
      <c r="B362" s="2">
        <v>4.0</v>
      </c>
    </row>
    <row r="363">
      <c r="A363" s="2" t="s">
        <v>963</v>
      </c>
      <c r="B363" s="2">
        <v>4.0</v>
      </c>
    </row>
    <row r="364">
      <c r="A364" s="2" t="s">
        <v>965</v>
      </c>
      <c r="B364" s="2">
        <v>4.0</v>
      </c>
    </row>
    <row r="365">
      <c r="A365" s="2" t="s">
        <v>966</v>
      </c>
      <c r="B365" s="2">
        <v>4.0</v>
      </c>
    </row>
    <row r="366">
      <c r="A366" s="2" t="s">
        <v>967</v>
      </c>
      <c r="B366" s="2">
        <v>4.0</v>
      </c>
    </row>
    <row r="367">
      <c r="A367" s="2" t="s">
        <v>968</v>
      </c>
      <c r="B367" s="2">
        <v>4.0</v>
      </c>
    </row>
    <row r="368">
      <c r="A368" s="2" t="s">
        <v>970</v>
      </c>
      <c r="B368" s="2">
        <v>4.0</v>
      </c>
    </row>
    <row r="369">
      <c r="A369" s="2" t="s">
        <v>972</v>
      </c>
      <c r="B369" s="2">
        <v>4.0</v>
      </c>
    </row>
    <row r="370">
      <c r="A370" s="2" t="s">
        <v>973</v>
      </c>
      <c r="B370" s="2">
        <v>4.0</v>
      </c>
    </row>
    <row r="371">
      <c r="A371" s="2" t="s">
        <v>974</v>
      </c>
      <c r="B371" s="2">
        <v>4.0</v>
      </c>
    </row>
    <row r="372">
      <c r="A372" s="2" t="s">
        <v>977</v>
      </c>
      <c r="B372" s="2">
        <v>4.0</v>
      </c>
    </row>
    <row r="373">
      <c r="A373" s="2" t="s">
        <v>979</v>
      </c>
      <c r="B373" s="2">
        <v>4.0</v>
      </c>
    </row>
    <row r="374">
      <c r="A374" s="2" t="s">
        <v>980</v>
      </c>
      <c r="B374" s="2">
        <v>4.0</v>
      </c>
    </row>
    <row r="375">
      <c r="A375" s="2" t="s">
        <v>981</v>
      </c>
      <c r="B375" s="2">
        <v>4.0</v>
      </c>
    </row>
    <row r="376">
      <c r="A376" s="2" t="s">
        <v>982</v>
      </c>
      <c r="B376" s="2">
        <v>4.0</v>
      </c>
    </row>
    <row r="377">
      <c r="A377" s="2" t="s">
        <v>985</v>
      </c>
      <c r="B377" s="2">
        <v>4.0</v>
      </c>
    </row>
    <row r="378">
      <c r="A378" s="2" t="s">
        <v>986</v>
      </c>
      <c r="B378" s="2">
        <v>4.0</v>
      </c>
    </row>
    <row r="379">
      <c r="A379" s="2" t="s">
        <v>987</v>
      </c>
      <c r="B379" s="2">
        <v>4.0</v>
      </c>
    </row>
    <row r="380">
      <c r="A380" s="2" t="s">
        <v>988</v>
      </c>
      <c r="B380" s="2">
        <v>4.0</v>
      </c>
    </row>
    <row r="381">
      <c r="A381" s="2" t="s">
        <v>990</v>
      </c>
      <c r="B381" s="2">
        <v>4.0</v>
      </c>
    </row>
    <row r="382">
      <c r="A382" s="2" t="s">
        <v>991</v>
      </c>
      <c r="B382" s="2">
        <v>4.0</v>
      </c>
    </row>
    <row r="383">
      <c r="A383" s="2" t="s">
        <v>993</v>
      </c>
      <c r="B383" s="2">
        <v>4.0</v>
      </c>
    </row>
    <row r="384">
      <c r="A384" s="2" t="s">
        <v>994</v>
      </c>
      <c r="B384" s="2">
        <v>4.0</v>
      </c>
    </row>
    <row r="385">
      <c r="A385" s="2" t="s">
        <v>996</v>
      </c>
      <c r="B385" s="2">
        <v>4.0</v>
      </c>
    </row>
    <row r="386">
      <c r="A386" s="2" t="s">
        <v>997</v>
      </c>
      <c r="B386" s="2">
        <v>4.0</v>
      </c>
    </row>
    <row r="387">
      <c r="A387" s="2" t="s">
        <v>999</v>
      </c>
      <c r="B387" s="2">
        <v>4.0</v>
      </c>
    </row>
    <row r="388">
      <c r="A388" s="2" t="s">
        <v>1001</v>
      </c>
      <c r="B388" s="2">
        <v>4.0</v>
      </c>
    </row>
    <row r="389">
      <c r="A389" s="2" t="s">
        <v>1002</v>
      </c>
      <c r="B389" s="2">
        <v>4.0</v>
      </c>
    </row>
    <row r="390">
      <c r="A390" s="2" t="s">
        <v>1003</v>
      </c>
      <c r="B390" s="2">
        <v>4.0</v>
      </c>
    </row>
    <row r="391">
      <c r="A391" s="2" t="s">
        <v>1004</v>
      </c>
      <c r="B391" s="2">
        <v>4.0</v>
      </c>
    </row>
    <row r="392">
      <c r="A392" s="2" t="s">
        <v>1005</v>
      </c>
      <c r="B392" s="2">
        <v>4.0</v>
      </c>
    </row>
    <row r="393">
      <c r="A393" s="2" t="s">
        <v>1008</v>
      </c>
      <c r="B393" s="2">
        <v>4.0</v>
      </c>
    </row>
    <row r="394">
      <c r="A394" s="2" t="s">
        <v>1009</v>
      </c>
      <c r="B394" s="2">
        <v>4.0</v>
      </c>
    </row>
    <row r="395">
      <c r="A395" s="2" t="s">
        <v>1011</v>
      </c>
      <c r="B395" s="2">
        <v>4.0</v>
      </c>
    </row>
    <row r="396">
      <c r="A396" s="2" t="s">
        <v>1012</v>
      </c>
      <c r="B396" s="2">
        <v>4.0</v>
      </c>
    </row>
    <row r="397">
      <c r="A397" s="2" t="s">
        <v>1013</v>
      </c>
      <c r="B397" s="2">
        <v>4.0</v>
      </c>
    </row>
    <row r="398">
      <c r="A398" s="2" t="s">
        <v>1014</v>
      </c>
      <c r="B398" s="2">
        <v>4.0</v>
      </c>
    </row>
    <row r="399">
      <c r="A399" s="2" t="s">
        <v>1015</v>
      </c>
      <c r="B399" s="2">
        <v>4.0</v>
      </c>
    </row>
    <row r="400">
      <c r="A400" s="2" t="s">
        <v>1016</v>
      </c>
      <c r="B400" s="2">
        <v>4.0</v>
      </c>
    </row>
    <row r="401">
      <c r="A401" s="2" t="s">
        <v>1017</v>
      </c>
      <c r="B401" s="2">
        <v>4.0</v>
      </c>
    </row>
    <row r="402">
      <c r="A402" s="2" t="s">
        <v>1018</v>
      </c>
      <c r="B402" s="2">
        <v>4.0</v>
      </c>
    </row>
    <row r="403">
      <c r="A403" s="2" t="s">
        <v>1019</v>
      </c>
      <c r="B403" s="2">
        <v>4.0</v>
      </c>
    </row>
    <row r="404">
      <c r="A404" s="2" t="s">
        <v>1020</v>
      </c>
      <c r="B404" s="2">
        <v>4.0</v>
      </c>
    </row>
    <row r="405">
      <c r="A405" s="2" t="s">
        <v>1021</v>
      </c>
      <c r="B405" s="2">
        <v>4.0</v>
      </c>
    </row>
    <row r="406">
      <c r="A406" s="2" t="s">
        <v>350</v>
      </c>
      <c r="B406" s="2">
        <v>3.0</v>
      </c>
    </row>
    <row r="407">
      <c r="A407" s="2" t="s">
        <v>496</v>
      </c>
      <c r="B407" s="2">
        <v>3.0</v>
      </c>
    </row>
    <row r="408">
      <c r="A408" s="2" t="s">
        <v>566</v>
      </c>
      <c r="B408" s="2">
        <v>3.0</v>
      </c>
    </row>
    <row r="409">
      <c r="A409" s="2" t="s">
        <v>588</v>
      </c>
      <c r="B409" s="2">
        <v>3.0</v>
      </c>
    </row>
    <row r="410">
      <c r="A410" s="2" t="s">
        <v>710</v>
      </c>
      <c r="B410" s="2">
        <v>3.0</v>
      </c>
    </row>
    <row r="411">
      <c r="A411" s="2" t="s">
        <v>781</v>
      </c>
      <c r="B411" s="2">
        <v>3.0</v>
      </c>
    </row>
    <row r="412">
      <c r="A412" s="2" t="s">
        <v>837</v>
      </c>
      <c r="B412" s="2">
        <v>3.0</v>
      </c>
    </row>
    <row r="413">
      <c r="A413" s="2" t="s">
        <v>961</v>
      </c>
      <c r="B413" s="2">
        <v>3.0</v>
      </c>
    </row>
    <row r="414">
      <c r="A414" s="2" t="s">
        <v>969</v>
      </c>
      <c r="B414" s="2">
        <v>3.0</v>
      </c>
    </row>
    <row r="415">
      <c r="A415" s="2" t="s">
        <v>1024</v>
      </c>
      <c r="B415" s="2">
        <v>3.0</v>
      </c>
    </row>
    <row r="416">
      <c r="A416" s="2" t="s">
        <v>1025</v>
      </c>
      <c r="B416" s="2">
        <v>3.0</v>
      </c>
    </row>
    <row r="417">
      <c r="A417" s="2" t="s">
        <v>1026</v>
      </c>
      <c r="B417" s="2">
        <v>3.0</v>
      </c>
    </row>
    <row r="418">
      <c r="A418" s="2" t="s">
        <v>1027</v>
      </c>
      <c r="B418" s="2">
        <v>3.0</v>
      </c>
    </row>
    <row r="419">
      <c r="A419" s="2" t="s">
        <v>1028</v>
      </c>
      <c r="B419" s="2">
        <v>3.0</v>
      </c>
    </row>
    <row r="420">
      <c r="A420" s="2" t="s">
        <v>1031</v>
      </c>
      <c r="B420" s="2">
        <v>3.0</v>
      </c>
    </row>
    <row r="421">
      <c r="A421" s="2" t="s">
        <v>1032</v>
      </c>
      <c r="B421" s="2">
        <v>3.0</v>
      </c>
    </row>
    <row r="422">
      <c r="A422" s="2" t="s">
        <v>1033</v>
      </c>
      <c r="B422" s="2">
        <v>3.0</v>
      </c>
    </row>
    <row r="423">
      <c r="A423" s="2" t="s">
        <v>1034</v>
      </c>
      <c r="B423" s="2">
        <v>3.0</v>
      </c>
    </row>
    <row r="424">
      <c r="A424" s="2" t="s">
        <v>1035</v>
      </c>
      <c r="B424" s="2">
        <v>3.0</v>
      </c>
    </row>
    <row r="425">
      <c r="A425" s="2" t="s">
        <v>1037</v>
      </c>
      <c r="B425" s="2">
        <v>3.0</v>
      </c>
    </row>
    <row r="426">
      <c r="A426" s="2" t="s">
        <v>1039</v>
      </c>
      <c r="B426" s="2">
        <v>3.0</v>
      </c>
    </row>
    <row r="427">
      <c r="A427" s="2" t="s">
        <v>1040</v>
      </c>
      <c r="B427" s="2">
        <v>3.0</v>
      </c>
    </row>
    <row r="428">
      <c r="A428" s="2" t="s">
        <v>1041</v>
      </c>
      <c r="B428" s="2">
        <v>3.0</v>
      </c>
    </row>
    <row r="429">
      <c r="A429" s="2" t="s">
        <v>1042</v>
      </c>
      <c r="B429" s="2">
        <v>3.0</v>
      </c>
    </row>
    <row r="430">
      <c r="A430" s="2" t="s">
        <v>1043</v>
      </c>
      <c r="B430" s="2">
        <v>3.0</v>
      </c>
    </row>
    <row r="431">
      <c r="A431" s="2" t="s">
        <v>1044</v>
      </c>
      <c r="B431" s="2">
        <v>3.0</v>
      </c>
    </row>
    <row r="432">
      <c r="A432" s="2" t="s">
        <v>1045</v>
      </c>
      <c r="B432" s="2">
        <v>3.0</v>
      </c>
    </row>
    <row r="433">
      <c r="A433" s="2" t="s">
        <v>1046</v>
      </c>
      <c r="B433" s="2">
        <v>3.0</v>
      </c>
    </row>
    <row r="434">
      <c r="A434" s="2" t="s">
        <v>1047</v>
      </c>
      <c r="B434" s="2">
        <v>3.0</v>
      </c>
    </row>
    <row r="435">
      <c r="A435" s="2" t="s">
        <v>1048</v>
      </c>
      <c r="B435" s="2">
        <v>3.0</v>
      </c>
    </row>
    <row r="436">
      <c r="A436" s="2" t="s">
        <v>1051</v>
      </c>
      <c r="B436" s="2">
        <v>3.0</v>
      </c>
    </row>
    <row r="437">
      <c r="A437" s="2" t="s">
        <v>1052</v>
      </c>
      <c r="B437" s="2">
        <v>3.0</v>
      </c>
    </row>
    <row r="438">
      <c r="A438" s="2" t="s">
        <v>1053</v>
      </c>
      <c r="B438" s="2">
        <v>3.0</v>
      </c>
    </row>
    <row r="439">
      <c r="A439" s="2" t="s">
        <v>1054</v>
      </c>
      <c r="B439" s="2">
        <v>3.0</v>
      </c>
    </row>
    <row r="440">
      <c r="A440" s="2" t="s">
        <v>1055</v>
      </c>
      <c r="B440" s="2">
        <v>3.0</v>
      </c>
    </row>
    <row r="441">
      <c r="A441" s="2" t="s">
        <v>1056</v>
      </c>
      <c r="B441" s="2">
        <v>3.0</v>
      </c>
    </row>
    <row r="442">
      <c r="A442" s="2" t="s">
        <v>1057</v>
      </c>
      <c r="B442" s="2">
        <v>3.0</v>
      </c>
    </row>
    <row r="443">
      <c r="A443" s="2" t="s">
        <v>1059</v>
      </c>
      <c r="B443" s="2">
        <v>3.0</v>
      </c>
    </row>
    <row r="444">
      <c r="A444" s="2" t="s">
        <v>1061</v>
      </c>
      <c r="B444" s="2">
        <v>3.0</v>
      </c>
    </row>
    <row r="445">
      <c r="A445" s="2" t="s">
        <v>1062</v>
      </c>
      <c r="B445" s="2">
        <v>3.0</v>
      </c>
    </row>
    <row r="446">
      <c r="A446" s="2" t="s">
        <v>1063</v>
      </c>
      <c r="B446" s="2">
        <v>3.0</v>
      </c>
    </row>
    <row r="447">
      <c r="A447" s="2" t="s">
        <v>1064</v>
      </c>
      <c r="B447" s="2">
        <v>3.0</v>
      </c>
    </row>
    <row r="448">
      <c r="A448" s="2" t="s">
        <v>1065</v>
      </c>
      <c r="B448" s="2">
        <v>3.0</v>
      </c>
    </row>
    <row r="449">
      <c r="A449" s="2" t="s">
        <v>1067</v>
      </c>
      <c r="B449" s="2">
        <v>3.0</v>
      </c>
    </row>
    <row r="450">
      <c r="A450" s="2" t="s">
        <v>1069</v>
      </c>
      <c r="B450" s="2">
        <v>3.0</v>
      </c>
    </row>
    <row r="451">
      <c r="A451" s="2" t="s">
        <v>1070</v>
      </c>
      <c r="B451" s="2">
        <v>3.0</v>
      </c>
    </row>
    <row r="452">
      <c r="A452" s="2" t="s">
        <v>1071</v>
      </c>
      <c r="B452" s="2">
        <v>3.0</v>
      </c>
    </row>
    <row r="453">
      <c r="A453" s="2" t="s">
        <v>1072</v>
      </c>
      <c r="B453" s="2">
        <v>3.0</v>
      </c>
    </row>
    <row r="454">
      <c r="A454" s="2" t="s">
        <v>1073</v>
      </c>
      <c r="B454" s="2">
        <v>3.0</v>
      </c>
    </row>
    <row r="455">
      <c r="A455" s="2" t="s">
        <v>1074</v>
      </c>
      <c r="B455" s="2">
        <v>3.0</v>
      </c>
    </row>
    <row r="456">
      <c r="A456" s="2" t="s">
        <v>257</v>
      </c>
      <c r="B456" s="2">
        <v>3.0</v>
      </c>
    </row>
    <row r="457">
      <c r="A457" s="2" t="s">
        <v>1077</v>
      </c>
      <c r="B457" s="2">
        <v>3.0</v>
      </c>
    </row>
    <row r="458">
      <c r="A458" s="2" t="s">
        <v>1078</v>
      </c>
      <c r="B458" s="2">
        <v>3.0</v>
      </c>
    </row>
    <row r="459">
      <c r="A459" s="2" t="s">
        <v>1079</v>
      </c>
      <c r="B459" s="2">
        <v>3.0</v>
      </c>
    </row>
    <row r="460">
      <c r="A460" s="2" t="s">
        <v>1080</v>
      </c>
      <c r="B460" s="2">
        <v>3.0</v>
      </c>
    </row>
    <row r="461">
      <c r="A461" s="2" t="s">
        <v>1081</v>
      </c>
      <c r="B461" s="2">
        <v>3.0</v>
      </c>
    </row>
    <row r="462">
      <c r="A462" s="2" t="s">
        <v>1084</v>
      </c>
      <c r="B462" s="2">
        <v>3.0</v>
      </c>
    </row>
    <row r="463">
      <c r="A463" s="2" t="s">
        <v>1085</v>
      </c>
      <c r="B463" s="2">
        <v>3.0</v>
      </c>
    </row>
    <row r="464">
      <c r="A464" s="2" t="s">
        <v>1086</v>
      </c>
      <c r="B464" s="2">
        <v>3.0</v>
      </c>
    </row>
    <row r="465">
      <c r="A465" s="2" t="s">
        <v>1087</v>
      </c>
      <c r="B465" s="2">
        <v>3.0</v>
      </c>
    </row>
    <row r="466">
      <c r="A466" s="2" t="s">
        <v>1088</v>
      </c>
      <c r="B466" s="2">
        <v>3.0</v>
      </c>
    </row>
    <row r="467">
      <c r="A467" s="2" t="s">
        <v>1090</v>
      </c>
      <c r="B467" s="2">
        <v>3.0</v>
      </c>
    </row>
    <row r="468">
      <c r="A468" s="2" t="s">
        <v>1091</v>
      </c>
      <c r="B468" s="2">
        <v>3.0</v>
      </c>
    </row>
    <row r="469">
      <c r="A469" s="2" t="s">
        <v>1092</v>
      </c>
      <c r="B469" s="2">
        <v>3.0</v>
      </c>
    </row>
    <row r="470">
      <c r="A470" s="2" t="s">
        <v>1093</v>
      </c>
      <c r="B470" s="2">
        <v>3.0</v>
      </c>
    </row>
    <row r="471">
      <c r="A471" s="2" t="s">
        <v>1094</v>
      </c>
      <c r="B471" s="2">
        <v>3.0</v>
      </c>
    </row>
    <row r="472">
      <c r="A472" s="2" t="s">
        <v>1097</v>
      </c>
      <c r="B472" s="2">
        <v>3.0</v>
      </c>
    </row>
    <row r="473">
      <c r="A473" s="2" t="s">
        <v>1098</v>
      </c>
      <c r="B473" s="2">
        <v>3.0</v>
      </c>
    </row>
    <row r="474">
      <c r="A474" s="2" t="s">
        <v>1099</v>
      </c>
      <c r="B474" s="2">
        <v>3.0</v>
      </c>
    </row>
    <row r="475">
      <c r="A475" s="2" t="s">
        <v>1100</v>
      </c>
      <c r="B475" s="2">
        <v>3.0</v>
      </c>
    </row>
    <row r="476">
      <c r="A476" s="2" t="s">
        <v>1103</v>
      </c>
      <c r="B476" s="2">
        <v>3.0</v>
      </c>
    </row>
    <row r="477">
      <c r="A477" s="2" t="s">
        <v>1104</v>
      </c>
      <c r="B477" s="2">
        <v>3.0</v>
      </c>
    </row>
    <row r="478">
      <c r="A478" s="2" t="s">
        <v>1105</v>
      </c>
      <c r="B478" s="2">
        <v>3.0</v>
      </c>
    </row>
    <row r="479">
      <c r="A479" s="2" t="s">
        <v>1106</v>
      </c>
      <c r="B479" s="2">
        <v>3.0</v>
      </c>
    </row>
    <row r="480">
      <c r="A480" s="2" t="s">
        <v>1109</v>
      </c>
      <c r="B480" s="2">
        <v>3.0</v>
      </c>
    </row>
    <row r="481">
      <c r="A481" s="2" t="s">
        <v>1110</v>
      </c>
      <c r="B481" s="2">
        <v>3.0</v>
      </c>
    </row>
    <row r="482">
      <c r="A482" s="2" t="s">
        <v>1111</v>
      </c>
      <c r="B482" s="2">
        <v>3.0</v>
      </c>
    </row>
    <row r="483">
      <c r="A483" s="2" t="s">
        <v>1112</v>
      </c>
      <c r="B483" s="2">
        <v>3.0</v>
      </c>
    </row>
    <row r="484">
      <c r="A484" s="2" t="s">
        <v>1113</v>
      </c>
      <c r="B484" s="2">
        <v>3.0</v>
      </c>
    </row>
    <row r="485">
      <c r="A485" s="2" t="s">
        <v>1114</v>
      </c>
      <c r="B485" s="2">
        <v>3.0</v>
      </c>
    </row>
    <row r="486">
      <c r="A486" s="2" t="s">
        <v>1115</v>
      </c>
      <c r="B486" s="2">
        <v>3.0</v>
      </c>
    </row>
    <row r="487">
      <c r="A487" s="2" t="s">
        <v>1116</v>
      </c>
      <c r="B487" s="2">
        <v>3.0</v>
      </c>
    </row>
    <row r="488">
      <c r="A488" s="2" t="s">
        <v>1117</v>
      </c>
      <c r="B488" s="2">
        <v>3.0</v>
      </c>
    </row>
    <row r="489">
      <c r="A489" s="2" t="s">
        <v>1119</v>
      </c>
      <c r="B489" s="2">
        <v>3.0</v>
      </c>
    </row>
    <row r="490">
      <c r="A490" s="2" t="s">
        <v>1120</v>
      </c>
      <c r="B490" s="2">
        <v>3.0</v>
      </c>
    </row>
    <row r="491">
      <c r="A491" s="2" t="s">
        <v>1121</v>
      </c>
      <c r="B491" s="2">
        <v>3.0</v>
      </c>
    </row>
    <row r="492">
      <c r="A492" s="2" t="s">
        <v>1122</v>
      </c>
      <c r="B492" s="2">
        <v>3.0</v>
      </c>
    </row>
    <row r="493">
      <c r="A493" s="2" t="s">
        <v>1123</v>
      </c>
      <c r="B493" s="2">
        <v>3.0</v>
      </c>
    </row>
    <row r="494">
      <c r="A494" s="2" t="s">
        <v>1124</v>
      </c>
      <c r="B494" s="2">
        <v>3.0</v>
      </c>
    </row>
    <row r="495">
      <c r="A495" s="2" t="s">
        <v>1125</v>
      </c>
      <c r="B495" s="2">
        <v>3.0</v>
      </c>
    </row>
    <row r="496">
      <c r="A496" s="2" t="s">
        <v>1126</v>
      </c>
      <c r="B496" s="2">
        <v>3.0</v>
      </c>
    </row>
    <row r="497">
      <c r="A497" s="2" t="s">
        <v>1128</v>
      </c>
      <c r="B497" s="2">
        <v>3.0</v>
      </c>
    </row>
    <row r="498">
      <c r="A498" s="2" t="s">
        <v>1129</v>
      </c>
      <c r="B498" s="2">
        <v>3.0</v>
      </c>
    </row>
    <row r="499">
      <c r="A499" s="2" t="s">
        <v>1130</v>
      </c>
      <c r="B499" s="2">
        <v>3.0</v>
      </c>
    </row>
    <row r="500">
      <c r="A500" s="2" t="s">
        <v>1131</v>
      </c>
      <c r="B500" s="2">
        <v>3.0</v>
      </c>
    </row>
    <row r="501">
      <c r="A501" s="2" t="s">
        <v>1132</v>
      </c>
      <c r="B501" s="2">
        <v>3.0</v>
      </c>
    </row>
    <row r="502">
      <c r="A502" s="2" t="s">
        <v>1133</v>
      </c>
      <c r="B502" s="2">
        <v>3.0</v>
      </c>
    </row>
    <row r="503">
      <c r="A503" s="2" t="s">
        <v>1134</v>
      </c>
      <c r="B503" s="2">
        <v>3.0</v>
      </c>
    </row>
    <row r="504">
      <c r="A504" s="2" t="s">
        <v>1135</v>
      </c>
      <c r="B504" s="2">
        <v>3.0</v>
      </c>
    </row>
    <row r="505">
      <c r="A505" s="2" t="s">
        <v>1136</v>
      </c>
      <c r="B505" s="2">
        <v>3.0</v>
      </c>
    </row>
    <row r="506">
      <c r="A506" s="2" t="s">
        <v>1137</v>
      </c>
      <c r="B506" s="2">
        <v>3.0</v>
      </c>
    </row>
    <row r="507">
      <c r="A507" s="2" t="s">
        <v>1138</v>
      </c>
      <c r="B507" s="2">
        <v>3.0</v>
      </c>
    </row>
    <row r="508">
      <c r="A508" s="2" t="s">
        <v>1139</v>
      </c>
      <c r="B508" s="2">
        <v>3.0</v>
      </c>
    </row>
    <row r="509">
      <c r="A509" s="2" t="s">
        <v>1140</v>
      </c>
      <c r="B509" s="2">
        <v>3.0</v>
      </c>
    </row>
    <row r="510">
      <c r="A510" s="2" t="s">
        <v>1141</v>
      </c>
      <c r="B510" s="2">
        <v>3.0</v>
      </c>
    </row>
    <row r="511">
      <c r="A511" s="2" t="s">
        <v>1142</v>
      </c>
      <c r="B511" s="2">
        <v>3.0</v>
      </c>
    </row>
    <row r="512">
      <c r="A512" s="2" t="s">
        <v>1143</v>
      </c>
      <c r="B512" s="2">
        <v>3.0</v>
      </c>
    </row>
    <row r="513">
      <c r="A513" s="2" t="s">
        <v>1146</v>
      </c>
      <c r="B513" s="2">
        <v>3.0</v>
      </c>
    </row>
    <row r="514">
      <c r="A514" s="2" t="s">
        <v>1147</v>
      </c>
      <c r="B514" s="2">
        <v>3.0</v>
      </c>
    </row>
    <row r="515">
      <c r="A515" s="2" t="s">
        <v>1148</v>
      </c>
      <c r="B515" s="2">
        <v>3.0</v>
      </c>
    </row>
    <row r="516">
      <c r="A516" s="2" t="s">
        <v>1149</v>
      </c>
      <c r="B516" s="2">
        <v>3.0</v>
      </c>
    </row>
    <row r="517">
      <c r="A517" s="2" t="s">
        <v>1151</v>
      </c>
      <c r="B517" s="2">
        <v>3.0</v>
      </c>
    </row>
    <row r="518">
      <c r="A518" s="2" t="s">
        <v>1153</v>
      </c>
      <c r="B518" s="2">
        <v>3.0</v>
      </c>
    </row>
    <row r="519">
      <c r="A519" s="2" t="s">
        <v>1154</v>
      </c>
      <c r="B519" s="2">
        <v>3.0</v>
      </c>
    </row>
    <row r="520">
      <c r="A520" s="2" t="s">
        <v>1155</v>
      </c>
      <c r="B520" s="2">
        <v>3.0</v>
      </c>
    </row>
    <row r="521">
      <c r="A521" s="2" t="s">
        <v>146</v>
      </c>
      <c r="B521" s="2">
        <v>2.0</v>
      </c>
    </row>
    <row r="522">
      <c r="A522" s="2" t="s">
        <v>461</v>
      </c>
      <c r="B522" s="2">
        <v>2.0</v>
      </c>
    </row>
    <row r="523">
      <c r="A523" s="2" t="s">
        <v>890</v>
      </c>
      <c r="B523" s="2">
        <v>2.0</v>
      </c>
    </row>
    <row r="524">
      <c r="A524" s="2" t="s">
        <v>919</v>
      </c>
      <c r="B524" s="2">
        <v>2.0</v>
      </c>
    </row>
    <row r="525">
      <c r="A525" s="2" t="s">
        <v>931</v>
      </c>
      <c r="B525" s="2">
        <v>2.0</v>
      </c>
    </row>
    <row r="526">
      <c r="A526" s="2" t="s">
        <v>975</v>
      </c>
      <c r="B526" s="2">
        <v>2.0</v>
      </c>
    </row>
    <row r="527">
      <c r="A527" s="2" t="s">
        <v>1156</v>
      </c>
      <c r="B527" s="2">
        <v>2.0</v>
      </c>
    </row>
    <row r="528">
      <c r="A528" s="2" t="s">
        <v>1157</v>
      </c>
      <c r="B528" s="2">
        <v>2.0</v>
      </c>
    </row>
    <row r="529">
      <c r="A529" s="2" t="s">
        <v>1159</v>
      </c>
      <c r="B529" s="2">
        <v>2.0</v>
      </c>
    </row>
    <row r="530">
      <c r="A530" s="2" t="s">
        <v>1160</v>
      </c>
      <c r="B530" s="2">
        <v>2.0</v>
      </c>
    </row>
    <row r="531">
      <c r="A531" s="2" t="s">
        <v>1161</v>
      </c>
      <c r="B531" s="2">
        <v>2.0</v>
      </c>
    </row>
    <row r="532">
      <c r="A532" s="2" t="s">
        <v>1162</v>
      </c>
      <c r="B532" s="2">
        <v>2.0</v>
      </c>
    </row>
    <row r="533">
      <c r="A533" s="2" t="s">
        <v>1163</v>
      </c>
      <c r="B533" s="2">
        <v>2.0</v>
      </c>
    </row>
    <row r="534">
      <c r="A534" s="2" t="s">
        <v>1164</v>
      </c>
      <c r="B534" s="2">
        <v>2.0</v>
      </c>
    </row>
    <row r="535">
      <c r="A535" s="2" t="s">
        <v>1165</v>
      </c>
      <c r="B535" s="2">
        <v>2.0</v>
      </c>
    </row>
    <row r="536">
      <c r="A536" s="2" t="s">
        <v>1167</v>
      </c>
      <c r="B536" s="2">
        <v>2.0</v>
      </c>
    </row>
    <row r="537">
      <c r="A537" s="2" t="s">
        <v>1168</v>
      </c>
      <c r="B537" s="2">
        <v>2.0</v>
      </c>
    </row>
    <row r="538">
      <c r="A538" s="2" t="s">
        <v>1169</v>
      </c>
      <c r="B538" s="2">
        <v>2.0</v>
      </c>
    </row>
    <row r="539">
      <c r="A539" s="2" t="s">
        <v>1170</v>
      </c>
      <c r="B539" s="2">
        <v>2.0</v>
      </c>
    </row>
    <row r="540">
      <c r="A540" s="2" t="s">
        <v>1171</v>
      </c>
      <c r="B540" s="2">
        <v>2.0</v>
      </c>
    </row>
    <row r="541">
      <c r="A541" s="2" t="s">
        <v>1173</v>
      </c>
      <c r="B541" s="2">
        <v>2.0</v>
      </c>
    </row>
    <row r="542">
      <c r="A542" s="2" t="s">
        <v>1175</v>
      </c>
      <c r="B542" s="2">
        <v>2.0</v>
      </c>
    </row>
    <row r="543">
      <c r="A543" s="2" t="s">
        <v>1176</v>
      </c>
      <c r="B543" s="2">
        <v>2.0</v>
      </c>
    </row>
    <row r="544">
      <c r="A544" s="2" t="s">
        <v>1177</v>
      </c>
      <c r="B544" s="2">
        <v>2.0</v>
      </c>
    </row>
    <row r="545">
      <c r="A545" s="2" t="s">
        <v>1178</v>
      </c>
      <c r="B545" s="2">
        <v>2.0</v>
      </c>
    </row>
    <row r="546">
      <c r="A546" s="2" t="s">
        <v>1179</v>
      </c>
      <c r="B546" s="2">
        <v>2.0</v>
      </c>
    </row>
    <row r="547">
      <c r="A547" s="2" t="s">
        <v>1180</v>
      </c>
      <c r="B547" s="2">
        <v>2.0</v>
      </c>
    </row>
    <row r="548">
      <c r="A548" s="2" t="s">
        <v>1181</v>
      </c>
      <c r="B548" s="2">
        <v>2.0</v>
      </c>
    </row>
    <row r="549">
      <c r="A549" s="2" t="s">
        <v>1183</v>
      </c>
      <c r="B549" s="2">
        <v>2.0</v>
      </c>
    </row>
    <row r="550">
      <c r="A550" s="2" t="s">
        <v>1184</v>
      </c>
      <c r="B550" s="2">
        <v>2.0</v>
      </c>
    </row>
    <row r="551">
      <c r="A551" s="2" t="s">
        <v>1185</v>
      </c>
      <c r="B551" s="2">
        <v>2.0</v>
      </c>
    </row>
    <row r="552">
      <c r="A552" s="2" t="s">
        <v>1186</v>
      </c>
      <c r="B552" s="2">
        <v>2.0</v>
      </c>
    </row>
    <row r="553">
      <c r="A553" s="2" t="s">
        <v>1187</v>
      </c>
      <c r="B553" s="2">
        <v>2.0</v>
      </c>
    </row>
    <row r="554">
      <c r="A554" s="2" t="s">
        <v>1188</v>
      </c>
      <c r="B554" s="2">
        <v>2.0</v>
      </c>
    </row>
    <row r="555">
      <c r="A555" s="2" t="s">
        <v>1190</v>
      </c>
      <c r="B555" s="2">
        <v>2.0</v>
      </c>
    </row>
    <row r="556">
      <c r="A556" s="2" t="s">
        <v>1192</v>
      </c>
      <c r="B556" s="2">
        <v>2.0</v>
      </c>
    </row>
    <row r="557">
      <c r="A557" s="2" t="s">
        <v>1193</v>
      </c>
      <c r="B557" s="2">
        <v>2.0</v>
      </c>
    </row>
    <row r="558">
      <c r="A558" s="2" t="s">
        <v>1194</v>
      </c>
      <c r="B558" s="2">
        <v>2.0</v>
      </c>
    </row>
    <row r="559">
      <c r="A559" s="2" t="s">
        <v>1195</v>
      </c>
      <c r="B559" s="2">
        <v>2.0</v>
      </c>
    </row>
    <row r="560">
      <c r="A560" s="2" t="s">
        <v>1197</v>
      </c>
      <c r="B560" s="2">
        <v>2.0</v>
      </c>
    </row>
    <row r="561">
      <c r="A561" s="2" t="s">
        <v>1198</v>
      </c>
      <c r="B561" s="2">
        <v>2.0</v>
      </c>
    </row>
    <row r="562">
      <c r="A562" s="2" t="s">
        <v>1199</v>
      </c>
      <c r="B562" s="2">
        <v>2.0</v>
      </c>
    </row>
    <row r="563">
      <c r="A563" s="2" t="s">
        <v>1200</v>
      </c>
      <c r="B563" s="2">
        <v>2.0</v>
      </c>
    </row>
    <row r="564">
      <c r="A564" s="2" t="s">
        <v>1202</v>
      </c>
      <c r="B564" s="2">
        <v>2.0</v>
      </c>
    </row>
    <row r="565">
      <c r="A565" s="2" t="s">
        <v>1203</v>
      </c>
      <c r="B565" s="2">
        <v>2.0</v>
      </c>
    </row>
    <row r="566">
      <c r="A566" s="2" t="s">
        <v>1204</v>
      </c>
      <c r="B566" s="2">
        <v>2.0</v>
      </c>
    </row>
    <row r="567">
      <c r="A567" s="2" t="s">
        <v>1207</v>
      </c>
      <c r="B567" s="2">
        <v>2.0</v>
      </c>
    </row>
    <row r="568">
      <c r="A568" s="2" t="s">
        <v>1208</v>
      </c>
      <c r="B568" s="2">
        <v>2.0</v>
      </c>
    </row>
    <row r="569">
      <c r="A569" s="2" t="s">
        <v>1209</v>
      </c>
      <c r="B569" s="2">
        <v>2.0</v>
      </c>
    </row>
    <row r="570">
      <c r="A570" s="2" t="s">
        <v>1210</v>
      </c>
      <c r="B570" s="2">
        <v>2.0</v>
      </c>
    </row>
    <row r="571">
      <c r="A571" s="2" t="s">
        <v>1127</v>
      </c>
      <c r="B571" s="2">
        <v>2.0</v>
      </c>
    </row>
    <row r="572">
      <c r="A572" s="2" t="s">
        <v>1211</v>
      </c>
      <c r="B572" s="2">
        <v>2.0</v>
      </c>
    </row>
    <row r="573">
      <c r="A573" s="2" t="s">
        <v>1213</v>
      </c>
      <c r="B573" s="2">
        <v>2.0</v>
      </c>
    </row>
    <row r="574">
      <c r="A574" s="2" t="s">
        <v>1214</v>
      </c>
      <c r="B574" s="2">
        <v>2.0</v>
      </c>
    </row>
    <row r="575">
      <c r="A575" s="2" t="s">
        <v>1215</v>
      </c>
      <c r="B575" s="2">
        <v>2.0</v>
      </c>
    </row>
    <row r="576">
      <c r="A576" s="2" t="s">
        <v>1216</v>
      </c>
      <c r="B576" s="2">
        <v>2.0</v>
      </c>
    </row>
    <row r="577">
      <c r="A577" s="2" t="s">
        <v>1217</v>
      </c>
      <c r="B577" s="2">
        <v>2.0</v>
      </c>
    </row>
    <row r="578">
      <c r="A578" s="2" t="s">
        <v>1218</v>
      </c>
      <c r="B578" s="2">
        <v>2.0</v>
      </c>
    </row>
    <row r="579">
      <c r="A579" s="2" t="s">
        <v>1219</v>
      </c>
      <c r="B579" s="2">
        <v>2.0</v>
      </c>
    </row>
    <row r="580">
      <c r="A580" s="2" t="s">
        <v>1220</v>
      </c>
      <c r="B580" s="2">
        <v>2.0</v>
      </c>
    </row>
    <row r="581">
      <c r="A581" s="2" t="s">
        <v>1222</v>
      </c>
      <c r="B581" s="2">
        <v>2.0</v>
      </c>
    </row>
    <row r="582">
      <c r="A582" s="2" t="s">
        <v>1223</v>
      </c>
      <c r="B582" s="2">
        <v>2.0</v>
      </c>
    </row>
    <row r="583">
      <c r="A583" s="2" t="s">
        <v>1224</v>
      </c>
      <c r="B583" s="2">
        <v>2.0</v>
      </c>
    </row>
    <row r="584">
      <c r="A584" s="2" t="s">
        <v>1225</v>
      </c>
      <c r="B584" s="2">
        <v>2.0</v>
      </c>
    </row>
    <row r="585">
      <c r="A585" s="2" t="s">
        <v>1226</v>
      </c>
      <c r="B585" s="2">
        <v>2.0</v>
      </c>
    </row>
    <row r="586">
      <c r="A586" s="2" t="s">
        <v>1227</v>
      </c>
      <c r="B586" s="2">
        <v>2.0</v>
      </c>
    </row>
    <row r="587">
      <c r="A587" s="2" t="s">
        <v>1228</v>
      </c>
      <c r="B587" s="2">
        <v>2.0</v>
      </c>
    </row>
    <row r="588">
      <c r="A588" s="2" t="s">
        <v>1229</v>
      </c>
      <c r="B588" s="2">
        <v>2.0</v>
      </c>
    </row>
    <row r="589">
      <c r="A589" s="2" t="s">
        <v>1230</v>
      </c>
      <c r="B589" s="2">
        <v>2.0</v>
      </c>
    </row>
    <row r="590">
      <c r="A590" s="2" t="s">
        <v>1231</v>
      </c>
      <c r="B590" s="2">
        <v>2.0</v>
      </c>
    </row>
    <row r="591">
      <c r="A591" s="2" t="s">
        <v>1232</v>
      </c>
      <c r="B591" s="2">
        <v>2.0</v>
      </c>
    </row>
    <row r="592">
      <c r="A592" s="2" t="s">
        <v>1233</v>
      </c>
      <c r="B592" s="2">
        <v>2.0</v>
      </c>
    </row>
    <row r="593">
      <c r="A593" s="2" t="s">
        <v>1234</v>
      </c>
      <c r="B593" s="2">
        <v>2.0</v>
      </c>
    </row>
    <row r="594">
      <c r="A594" s="2" t="s">
        <v>1235</v>
      </c>
      <c r="B594" s="2">
        <v>2.0</v>
      </c>
    </row>
    <row r="595">
      <c r="A595" s="2" t="s">
        <v>1237</v>
      </c>
      <c r="B595" s="2">
        <v>2.0</v>
      </c>
    </row>
    <row r="596">
      <c r="A596" s="2" t="s">
        <v>1239</v>
      </c>
      <c r="B596" s="2">
        <v>2.0</v>
      </c>
    </row>
    <row r="597">
      <c r="A597" s="2" t="s">
        <v>1240</v>
      </c>
      <c r="B597" s="2">
        <v>2.0</v>
      </c>
    </row>
    <row r="598">
      <c r="A598" s="2" t="s">
        <v>1242</v>
      </c>
      <c r="B598" s="2">
        <v>2.0</v>
      </c>
    </row>
    <row r="599">
      <c r="A599" s="2" t="s">
        <v>1244</v>
      </c>
      <c r="B599" s="2">
        <v>2.0</v>
      </c>
    </row>
    <row r="600">
      <c r="A600" s="2" t="s">
        <v>1245</v>
      </c>
      <c r="B600" s="2">
        <v>2.0</v>
      </c>
    </row>
    <row r="601">
      <c r="A601" s="2" t="s">
        <v>1246</v>
      </c>
      <c r="B601" s="2">
        <v>2.0</v>
      </c>
    </row>
    <row r="602">
      <c r="A602" s="2" t="s">
        <v>1247</v>
      </c>
      <c r="B602" s="2">
        <v>2.0</v>
      </c>
    </row>
    <row r="603">
      <c r="A603" s="2" t="s">
        <v>1249</v>
      </c>
      <c r="B603" s="2">
        <v>2.0</v>
      </c>
    </row>
    <row r="604">
      <c r="A604" s="2" t="s">
        <v>1250</v>
      </c>
      <c r="B604" s="2">
        <v>2.0</v>
      </c>
    </row>
    <row r="605">
      <c r="A605" s="2" t="s">
        <v>1251</v>
      </c>
      <c r="B605" s="2">
        <v>2.0</v>
      </c>
    </row>
    <row r="606">
      <c r="A606" s="2" t="s">
        <v>1252</v>
      </c>
      <c r="B606" s="2">
        <v>2.0</v>
      </c>
    </row>
    <row r="607">
      <c r="A607" s="2" t="s">
        <v>1253</v>
      </c>
      <c r="B607" s="2">
        <v>2.0</v>
      </c>
    </row>
    <row r="608">
      <c r="A608" s="2" t="s">
        <v>1254</v>
      </c>
      <c r="B608" s="2">
        <v>2.0</v>
      </c>
    </row>
    <row r="609">
      <c r="A609" s="2" t="s">
        <v>1255</v>
      </c>
      <c r="B609" s="2">
        <v>2.0</v>
      </c>
    </row>
    <row r="610">
      <c r="A610" s="2" t="s">
        <v>1257</v>
      </c>
      <c r="B610" s="2">
        <v>2.0</v>
      </c>
    </row>
    <row r="611">
      <c r="A611" s="2" t="s">
        <v>1258</v>
      </c>
      <c r="B611" s="2">
        <v>2.0</v>
      </c>
    </row>
    <row r="612">
      <c r="A612" s="2" t="s">
        <v>1259</v>
      </c>
      <c r="B612" s="2">
        <v>2.0</v>
      </c>
    </row>
    <row r="613">
      <c r="A613" s="2" t="s">
        <v>1260</v>
      </c>
      <c r="B613" s="2">
        <v>2.0</v>
      </c>
    </row>
    <row r="614">
      <c r="A614" s="2" t="s">
        <v>1261</v>
      </c>
      <c r="B614" s="2">
        <v>2.0</v>
      </c>
    </row>
    <row r="615">
      <c r="A615" s="2" t="s">
        <v>1262</v>
      </c>
      <c r="B615" s="2">
        <v>2.0</v>
      </c>
    </row>
    <row r="616">
      <c r="A616" s="2" t="s">
        <v>1264</v>
      </c>
      <c r="B616" s="2">
        <v>2.0</v>
      </c>
    </row>
    <row r="617">
      <c r="A617" s="2" t="s">
        <v>1265</v>
      </c>
      <c r="B617" s="2">
        <v>2.0</v>
      </c>
    </row>
    <row r="618">
      <c r="A618" s="2" t="s">
        <v>1266</v>
      </c>
      <c r="B618" s="2">
        <v>2.0</v>
      </c>
    </row>
    <row r="619">
      <c r="A619" s="2" t="s">
        <v>1267</v>
      </c>
      <c r="B619" s="2">
        <v>2.0</v>
      </c>
    </row>
    <row r="620">
      <c r="A620" s="2" t="s">
        <v>1268</v>
      </c>
      <c r="B620" s="2">
        <v>2.0</v>
      </c>
    </row>
    <row r="621">
      <c r="A621" s="2" t="s">
        <v>1269</v>
      </c>
      <c r="B621" s="2">
        <v>2.0</v>
      </c>
    </row>
    <row r="622">
      <c r="A622" s="2" t="s">
        <v>1270</v>
      </c>
      <c r="B622" s="2">
        <v>2.0</v>
      </c>
    </row>
    <row r="623">
      <c r="A623" s="2" t="s">
        <v>1271</v>
      </c>
      <c r="B623" s="2">
        <v>2.0</v>
      </c>
    </row>
    <row r="624">
      <c r="A624" s="2" t="s">
        <v>1274</v>
      </c>
      <c r="B624" s="2">
        <v>2.0</v>
      </c>
    </row>
    <row r="625">
      <c r="A625" s="2" t="s">
        <v>187</v>
      </c>
      <c r="B625" s="2">
        <v>1.0</v>
      </c>
    </row>
    <row r="626">
      <c r="A626" s="2" t="s">
        <v>852</v>
      </c>
      <c r="B626" s="2">
        <v>1.0</v>
      </c>
    </row>
    <row r="627">
      <c r="A627" s="2" t="s">
        <v>871</v>
      </c>
      <c r="B627" s="2">
        <v>1.0</v>
      </c>
    </row>
    <row r="628">
      <c r="A628" s="2" t="s">
        <v>922</v>
      </c>
      <c r="B628" s="2">
        <v>1.0</v>
      </c>
    </row>
    <row r="629">
      <c r="A629" s="2" t="s">
        <v>946</v>
      </c>
      <c r="B629" s="2">
        <v>1.0</v>
      </c>
    </row>
    <row r="630">
      <c r="A630" s="2" t="s">
        <v>1276</v>
      </c>
      <c r="B630" s="2">
        <v>1.0</v>
      </c>
    </row>
    <row r="631">
      <c r="A631" s="2" t="s">
        <v>1277</v>
      </c>
      <c r="B631" s="2">
        <v>1.0</v>
      </c>
    </row>
    <row r="632">
      <c r="A632" s="2" t="s">
        <v>958</v>
      </c>
      <c r="B632" s="2">
        <v>1.0</v>
      </c>
    </row>
    <row r="633">
      <c r="A633" s="2" t="s">
        <v>1278</v>
      </c>
      <c r="B633" s="2">
        <v>1.0</v>
      </c>
    </row>
    <row r="634">
      <c r="A634" s="2" t="s">
        <v>1279</v>
      </c>
      <c r="B634" s="2">
        <v>1.0</v>
      </c>
    </row>
    <row r="635">
      <c r="A635" s="2" t="s">
        <v>1280</v>
      </c>
      <c r="B635" s="2">
        <v>1.0</v>
      </c>
    </row>
    <row r="636">
      <c r="A636" s="2" t="s">
        <v>1282</v>
      </c>
      <c r="B636" s="2">
        <v>1.0</v>
      </c>
    </row>
    <row r="637">
      <c r="A637" s="2" t="s">
        <v>1284</v>
      </c>
      <c r="B637" s="2">
        <v>1.0</v>
      </c>
    </row>
    <row r="638">
      <c r="A638" s="2" t="s">
        <v>1285</v>
      </c>
      <c r="B638" s="2">
        <v>1.0</v>
      </c>
    </row>
    <row r="639">
      <c r="A639" s="2" t="s">
        <v>1286</v>
      </c>
      <c r="B639" s="2">
        <v>1.0</v>
      </c>
    </row>
    <row r="640">
      <c r="A640" s="2" t="s">
        <v>1287</v>
      </c>
      <c r="B640" s="2">
        <v>1.0</v>
      </c>
    </row>
    <row r="641">
      <c r="A641" s="2" t="s">
        <v>1288</v>
      </c>
      <c r="B641" s="2">
        <v>1.0</v>
      </c>
    </row>
    <row r="642">
      <c r="A642" s="2" t="s">
        <v>1289</v>
      </c>
      <c r="B642" s="2">
        <v>1.0</v>
      </c>
    </row>
    <row r="643">
      <c r="A643" s="2" t="s">
        <v>1292</v>
      </c>
      <c r="B643" s="2">
        <v>1.0</v>
      </c>
    </row>
    <row r="644">
      <c r="A644" s="2" t="s">
        <v>1293</v>
      </c>
      <c r="B644" s="2">
        <v>1.0</v>
      </c>
    </row>
    <row r="645">
      <c r="A645" s="2" t="s">
        <v>1294</v>
      </c>
      <c r="B645" s="2">
        <v>1.0</v>
      </c>
    </row>
    <row r="646">
      <c r="A646" s="2" t="s">
        <v>1295</v>
      </c>
      <c r="B646" s="2">
        <v>1.0</v>
      </c>
    </row>
    <row r="647">
      <c r="A647" s="2" t="s">
        <v>1296</v>
      </c>
      <c r="B647" s="2">
        <v>1.0</v>
      </c>
    </row>
    <row r="648">
      <c r="A648" s="2" t="s">
        <v>1298</v>
      </c>
      <c r="B648" s="2">
        <v>1.0</v>
      </c>
    </row>
    <row r="649">
      <c r="A649" s="2" t="s">
        <v>1300</v>
      </c>
      <c r="B649" s="2">
        <v>1.0</v>
      </c>
    </row>
    <row r="650">
      <c r="A650" s="2" t="s">
        <v>1301</v>
      </c>
      <c r="B650" s="2">
        <v>1.0</v>
      </c>
    </row>
    <row r="651">
      <c r="A651" s="2" t="s">
        <v>1302</v>
      </c>
      <c r="B651" s="2">
        <v>1.0</v>
      </c>
    </row>
    <row r="652">
      <c r="A652" s="2" t="s">
        <v>1303</v>
      </c>
      <c r="B652" s="2">
        <v>1.0</v>
      </c>
    </row>
    <row r="653">
      <c r="A653" s="2" t="s">
        <v>1304</v>
      </c>
      <c r="B653" s="2">
        <v>1.0</v>
      </c>
    </row>
    <row r="654">
      <c r="A654" s="2" t="s">
        <v>1307</v>
      </c>
      <c r="B654" s="2">
        <v>1.0</v>
      </c>
    </row>
    <row r="655">
      <c r="A655" s="2" t="s">
        <v>1308</v>
      </c>
      <c r="B655" s="2">
        <v>1.0</v>
      </c>
    </row>
    <row r="656">
      <c r="A656" s="2" t="s">
        <v>1309</v>
      </c>
      <c r="B656" s="2">
        <v>1.0</v>
      </c>
    </row>
    <row r="657">
      <c r="A657" s="2" t="s">
        <v>1310</v>
      </c>
      <c r="B657" s="2">
        <v>1.0</v>
      </c>
    </row>
    <row r="658">
      <c r="A658" s="2" t="s">
        <v>1311</v>
      </c>
      <c r="B658" s="2">
        <v>1.0</v>
      </c>
    </row>
    <row r="659">
      <c r="A659" s="2" t="s">
        <v>1314</v>
      </c>
      <c r="B659" s="2">
        <v>1.0</v>
      </c>
    </row>
    <row r="660">
      <c r="A660" s="2" t="s">
        <v>1315</v>
      </c>
      <c r="B660" s="2">
        <v>1.0</v>
      </c>
    </row>
    <row r="661">
      <c r="A661" s="2" t="s">
        <v>1316</v>
      </c>
      <c r="B661" s="2">
        <v>1.0</v>
      </c>
    </row>
    <row r="662">
      <c r="A662" s="2" t="s">
        <v>1317</v>
      </c>
      <c r="B662" s="2">
        <v>1.0</v>
      </c>
    </row>
    <row r="663">
      <c r="A663" s="2" t="s">
        <v>1318</v>
      </c>
      <c r="B663" s="2">
        <v>1.0</v>
      </c>
    </row>
    <row r="664">
      <c r="A664" s="2" t="s">
        <v>1320</v>
      </c>
      <c r="B664" s="2">
        <v>1.0</v>
      </c>
    </row>
    <row r="665">
      <c r="A665" s="2" t="s">
        <v>1322</v>
      </c>
      <c r="B665" s="2">
        <v>1.0</v>
      </c>
    </row>
    <row r="666">
      <c r="A666" s="2" t="s">
        <v>1325</v>
      </c>
      <c r="B666" s="2">
        <v>1.0</v>
      </c>
    </row>
    <row r="667">
      <c r="A667" s="2" t="s">
        <v>1326</v>
      </c>
      <c r="B667" s="2">
        <v>1.0</v>
      </c>
    </row>
    <row r="668">
      <c r="A668" s="2" t="s">
        <v>1327</v>
      </c>
      <c r="B668" s="2">
        <v>1.0</v>
      </c>
    </row>
    <row r="669">
      <c r="A669" s="2" t="s">
        <v>1328</v>
      </c>
      <c r="B669" s="2">
        <v>1.0</v>
      </c>
    </row>
    <row r="670">
      <c r="A670" s="2" t="s">
        <v>1331</v>
      </c>
      <c r="B670" s="2">
        <v>1.0</v>
      </c>
    </row>
    <row r="671">
      <c r="A671" s="2" t="s">
        <v>1332</v>
      </c>
      <c r="B671" s="2">
        <v>1.0</v>
      </c>
    </row>
    <row r="672">
      <c r="A672" s="2" t="s">
        <v>1333</v>
      </c>
      <c r="B672" s="2">
        <v>1.0</v>
      </c>
    </row>
    <row r="673">
      <c r="A673" s="2" t="s">
        <v>1334</v>
      </c>
      <c r="B673" s="2">
        <v>1.0</v>
      </c>
    </row>
    <row r="674">
      <c r="A674" s="2" t="s">
        <v>1335</v>
      </c>
      <c r="B674" s="2">
        <v>1.0</v>
      </c>
    </row>
    <row r="675">
      <c r="A675" s="2" t="s">
        <v>1336</v>
      </c>
      <c r="B675" s="2">
        <v>1.0</v>
      </c>
    </row>
    <row r="676">
      <c r="A676" s="2" t="s">
        <v>1337</v>
      </c>
      <c r="B676" s="2">
        <v>1.0</v>
      </c>
    </row>
    <row r="677">
      <c r="A677" s="2" t="s">
        <v>1339</v>
      </c>
      <c r="B677" s="2">
        <v>1.0</v>
      </c>
    </row>
    <row r="678">
      <c r="A678" s="2" t="s">
        <v>1340</v>
      </c>
      <c r="B678" s="2">
        <v>1.0</v>
      </c>
    </row>
    <row r="679">
      <c r="A679" s="2" t="s">
        <v>1341</v>
      </c>
      <c r="B679" s="2">
        <v>1.0</v>
      </c>
    </row>
    <row r="680">
      <c r="A680" s="2" t="s">
        <v>1323</v>
      </c>
      <c r="B680" s="2">
        <v>1.0</v>
      </c>
    </row>
    <row r="681">
      <c r="A681" s="2" t="s">
        <v>1342</v>
      </c>
      <c r="B681" s="2">
        <v>1.0</v>
      </c>
    </row>
    <row r="682">
      <c r="A682" s="2" t="s">
        <v>1345</v>
      </c>
      <c r="B682" s="2">
        <v>1.0</v>
      </c>
    </row>
    <row r="683">
      <c r="A683" s="2" t="s">
        <v>1346</v>
      </c>
      <c r="B683" s="2">
        <v>1.0</v>
      </c>
    </row>
    <row r="684">
      <c r="A684" s="2" t="s">
        <v>1347</v>
      </c>
      <c r="B684" s="2">
        <v>1.0</v>
      </c>
    </row>
    <row r="685">
      <c r="A685" s="2" t="s">
        <v>914</v>
      </c>
      <c r="B685" s="2">
        <v>1.0</v>
      </c>
    </row>
    <row r="686">
      <c r="A686" s="2" t="s">
        <v>1350</v>
      </c>
      <c r="B686" s="2">
        <v>1.0</v>
      </c>
    </row>
    <row r="687">
      <c r="A687" s="2" t="s">
        <v>1351</v>
      </c>
      <c r="B687" s="2">
        <v>1.0</v>
      </c>
    </row>
    <row r="688">
      <c r="A688" s="2" t="s">
        <v>1352</v>
      </c>
      <c r="B688" s="2">
        <v>1.0</v>
      </c>
    </row>
    <row r="689">
      <c r="A689" s="2" t="s">
        <v>1353</v>
      </c>
      <c r="B689" s="2">
        <v>1.0</v>
      </c>
    </row>
    <row r="690">
      <c r="A690" s="2" t="s">
        <v>1355</v>
      </c>
      <c r="B690" s="2">
        <v>1.0</v>
      </c>
    </row>
    <row r="691">
      <c r="A691" s="2" t="s">
        <v>1356</v>
      </c>
      <c r="B691" s="2">
        <v>1.0</v>
      </c>
    </row>
    <row r="692">
      <c r="A692" s="2" t="s">
        <v>1357</v>
      </c>
      <c r="B692" s="2">
        <v>1.0</v>
      </c>
    </row>
    <row r="693">
      <c r="A693" s="2" t="s">
        <v>1358</v>
      </c>
      <c r="B693" s="2">
        <v>1.0</v>
      </c>
    </row>
    <row r="694">
      <c r="A694" s="2" t="s">
        <v>1359</v>
      </c>
      <c r="B694" s="2">
        <v>1.0</v>
      </c>
    </row>
    <row r="695">
      <c r="A695" s="2" t="s">
        <v>1362</v>
      </c>
      <c r="B695" s="2">
        <v>1.0</v>
      </c>
    </row>
    <row r="696">
      <c r="A696" s="2" t="s">
        <v>1363</v>
      </c>
      <c r="B696" s="2">
        <v>1.0</v>
      </c>
    </row>
    <row r="697">
      <c r="A697" s="2" t="s">
        <v>1364</v>
      </c>
      <c r="B697" s="2">
        <v>1.0</v>
      </c>
    </row>
    <row r="698">
      <c r="A698" s="2" t="s">
        <v>1365</v>
      </c>
      <c r="B698" s="2">
        <v>1.0</v>
      </c>
    </row>
    <row r="699">
      <c r="A699" s="2" t="s">
        <v>1366</v>
      </c>
      <c r="B699" s="2">
        <v>1.0</v>
      </c>
    </row>
    <row r="700">
      <c r="A700" s="2" t="s">
        <v>1367</v>
      </c>
      <c r="B700" s="2">
        <v>1.0</v>
      </c>
    </row>
    <row r="701">
      <c r="A701" s="2" t="s">
        <v>1369</v>
      </c>
      <c r="B701" s="2">
        <v>1.0</v>
      </c>
    </row>
    <row r="702">
      <c r="A702" s="2" t="s">
        <v>1370</v>
      </c>
      <c r="B702" s="2">
        <v>1.0</v>
      </c>
    </row>
    <row r="703">
      <c r="A703" s="2" t="s">
        <v>1371</v>
      </c>
      <c r="B703" s="2">
        <v>1.0</v>
      </c>
    </row>
    <row r="704">
      <c r="A704" s="2" t="s">
        <v>1372</v>
      </c>
      <c r="B704" s="2">
        <v>1.0</v>
      </c>
    </row>
    <row r="705">
      <c r="A705" s="2" t="s">
        <v>1373</v>
      </c>
      <c r="B705" s="2">
        <v>1.0</v>
      </c>
    </row>
    <row r="706">
      <c r="A706" s="2" t="s">
        <v>1374</v>
      </c>
      <c r="B706" s="2">
        <v>1.0</v>
      </c>
    </row>
    <row r="707">
      <c r="A707" s="2" t="s">
        <v>1375</v>
      </c>
      <c r="B707" s="2">
        <v>1.0</v>
      </c>
    </row>
    <row r="708">
      <c r="A708" s="2" t="s">
        <v>1377</v>
      </c>
      <c r="B708" s="2">
        <v>1.0</v>
      </c>
    </row>
    <row r="709">
      <c r="A709" s="2" t="s">
        <v>1379</v>
      </c>
      <c r="B709" s="2">
        <v>1.0</v>
      </c>
    </row>
    <row r="710">
      <c r="A710" s="2" t="s">
        <v>1380</v>
      </c>
      <c r="B710" s="2">
        <v>1.0</v>
      </c>
    </row>
    <row r="711">
      <c r="A711" s="2" t="s">
        <v>1381</v>
      </c>
      <c r="B711" s="2">
        <v>1.0</v>
      </c>
    </row>
    <row r="712">
      <c r="A712" s="2" t="s">
        <v>1382</v>
      </c>
      <c r="B712" s="2">
        <v>1.0</v>
      </c>
    </row>
    <row r="713">
      <c r="A713" s="2" t="s">
        <v>1383</v>
      </c>
      <c r="B713" s="2">
        <v>1.0</v>
      </c>
    </row>
    <row r="714">
      <c r="A714" s="2" t="s">
        <v>1384</v>
      </c>
      <c r="B714" s="2">
        <v>1.0</v>
      </c>
    </row>
    <row r="715">
      <c r="A715" s="2" t="s">
        <v>1386</v>
      </c>
      <c r="B715" s="2">
        <v>1.0</v>
      </c>
    </row>
    <row r="716">
      <c r="A716" s="2" t="s">
        <v>1388</v>
      </c>
      <c r="B716" s="2">
        <v>1.0</v>
      </c>
    </row>
    <row r="717">
      <c r="A717" s="2" t="s">
        <v>1389</v>
      </c>
      <c r="B717" s="2">
        <v>1.0</v>
      </c>
    </row>
    <row r="718">
      <c r="A718" s="2" t="s">
        <v>1390</v>
      </c>
      <c r="B718" s="2">
        <v>1.0</v>
      </c>
    </row>
    <row r="719">
      <c r="A719" s="2" t="s">
        <v>1391</v>
      </c>
      <c r="B719" s="2">
        <v>1.0</v>
      </c>
    </row>
    <row r="720">
      <c r="A720" s="2" t="s">
        <v>1392</v>
      </c>
      <c r="B720" s="2">
        <v>1.0</v>
      </c>
    </row>
    <row r="721">
      <c r="A721" s="2" t="s">
        <v>1393</v>
      </c>
      <c r="B721" s="2">
        <v>1.0</v>
      </c>
    </row>
    <row r="722">
      <c r="A722" s="2" t="s">
        <v>1395</v>
      </c>
      <c r="B722" s="2">
        <v>1.0</v>
      </c>
    </row>
    <row r="723">
      <c r="A723" s="2" t="s">
        <v>1396</v>
      </c>
      <c r="B723" s="2">
        <v>1.0</v>
      </c>
    </row>
    <row r="724">
      <c r="A724" s="2" t="s">
        <v>1397</v>
      </c>
      <c r="B724" s="2">
        <v>1.0</v>
      </c>
    </row>
    <row r="725">
      <c r="A725" s="2" t="s">
        <v>1398</v>
      </c>
      <c r="B725" s="2">
        <v>1.0</v>
      </c>
    </row>
    <row r="726">
      <c r="A726" s="2" t="s">
        <v>1399</v>
      </c>
      <c r="B726" s="2">
        <v>1.0</v>
      </c>
    </row>
    <row r="727">
      <c r="A727" s="2" t="s">
        <v>1400</v>
      </c>
      <c r="B727" s="2">
        <v>1.0</v>
      </c>
    </row>
    <row r="728">
      <c r="A728" s="2" t="s">
        <v>1403</v>
      </c>
      <c r="B728" s="2">
        <v>1.0</v>
      </c>
    </row>
    <row r="729">
      <c r="A729" s="2" t="s">
        <v>1404</v>
      </c>
      <c r="B729" s="2">
        <v>1.0</v>
      </c>
    </row>
    <row r="730">
      <c r="A730" s="2" t="s">
        <v>1405</v>
      </c>
      <c r="B730" s="2">
        <v>1.0</v>
      </c>
    </row>
    <row r="731">
      <c r="A731" s="2" t="s">
        <v>1406</v>
      </c>
      <c r="B731" s="2">
        <v>1.0</v>
      </c>
    </row>
    <row r="732">
      <c r="A732" s="2" t="s">
        <v>1407</v>
      </c>
      <c r="B732" s="2">
        <v>1.0</v>
      </c>
    </row>
    <row r="733">
      <c r="A733" s="2" t="s">
        <v>1408</v>
      </c>
      <c r="B733" s="2">
        <v>1.0</v>
      </c>
    </row>
    <row r="734">
      <c r="A734" s="2" t="s">
        <v>1411</v>
      </c>
      <c r="B734" s="2">
        <v>1.0</v>
      </c>
    </row>
    <row r="735">
      <c r="A735" s="2" t="s">
        <v>1412</v>
      </c>
      <c r="B735" s="2">
        <v>1.0</v>
      </c>
    </row>
    <row r="736">
      <c r="A736" s="2" t="s">
        <v>1413</v>
      </c>
      <c r="B736" s="2">
        <v>1.0</v>
      </c>
    </row>
    <row r="737">
      <c r="A737" s="2" t="s">
        <v>1416</v>
      </c>
      <c r="B737" s="2">
        <v>1.0</v>
      </c>
    </row>
    <row r="738">
      <c r="A738" s="2" t="s">
        <v>1417</v>
      </c>
      <c r="B738" s="2">
        <v>1.0</v>
      </c>
    </row>
    <row r="739">
      <c r="A739" s="2" t="s">
        <v>1418</v>
      </c>
      <c r="B739" s="2">
        <v>1.0</v>
      </c>
    </row>
    <row r="740">
      <c r="A740" s="2" t="s">
        <v>1419</v>
      </c>
      <c r="B740" s="2">
        <v>1.0</v>
      </c>
    </row>
    <row r="741">
      <c r="A741" s="2" t="s">
        <v>1420</v>
      </c>
      <c r="B741" s="2">
        <v>1.0</v>
      </c>
    </row>
    <row r="742">
      <c r="A742" s="2" t="s">
        <v>1423</v>
      </c>
      <c r="B742" s="2">
        <v>1.0</v>
      </c>
    </row>
    <row r="743">
      <c r="A743" s="2" t="s">
        <v>1424</v>
      </c>
      <c r="B743" s="2">
        <v>1.0</v>
      </c>
    </row>
    <row r="744">
      <c r="A744" s="2" t="s">
        <v>1425</v>
      </c>
      <c r="B744" s="2">
        <v>1.0</v>
      </c>
    </row>
    <row r="745">
      <c r="A745" s="2" t="s">
        <v>1426</v>
      </c>
      <c r="B745" s="2">
        <v>1.0</v>
      </c>
    </row>
    <row r="746">
      <c r="A746" s="2" t="s">
        <v>1427</v>
      </c>
      <c r="B746" s="2">
        <v>1.0</v>
      </c>
    </row>
    <row r="747">
      <c r="A747" s="2" t="s">
        <v>1430</v>
      </c>
      <c r="B747" s="2">
        <v>1.0</v>
      </c>
    </row>
    <row r="748">
      <c r="A748" s="2" t="s">
        <v>1431</v>
      </c>
      <c r="B748" s="2">
        <v>1.0</v>
      </c>
    </row>
    <row r="749">
      <c r="A749" s="2" t="s">
        <v>1433</v>
      </c>
      <c r="B749" s="2">
        <v>1.0</v>
      </c>
    </row>
    <row r="750">
      <c r="A750" s="2" t="s">
        <v>1434</v>
      </c>
      <c r="B750" s="2">
        <v>1.0</v>
      </c>
    </row>
    <row r="751">
      <c r="A751" s="2" t="s">
        <v>1435</v>
      </c>
      <c r="B751" s="2">
        <v>1.0</v>
      </c>
    </row>
    <row r="752">
      <c r="A752" s="2" t="s">
        <v>1438</v>
      </c>
      <c r="B752" s="2">
        <v>1.0</v>
      </c>
    </row>
    <row r="753">
      <c r="A753" s="2" t="s">
        <v>1439</v>
      </c>
      <c r="B753" s="2">
        <v>1.0</v>
      </c>
    </row>
    <row r="754">
      <c r="A754" s="2" t="s">
        <v>1440</v>
      </c>
      <c r="B754" s="2">
        <v>1.0</v>
      </c>
    </row>
    <row r="755">
      <c r="A755" s="2" t="s">
        <v>1441</v>
      </c>
      <c r="B755" s="2">
        <v>1.0</v>
      </c>
    </row>
    <row r="756">
      <c r="A756" s="2" t="s">
        <v>1442</v>
      </c>
      <c r="B756" s="2">
        <v>1.0</v>
      </c>
    </row>
    <row r="757">
      <c r="A757" s="2" t="s">
        <v>1445</v>
      </c>
      <c r="B757" s="2">
        <v>1.0</v>
      </c>
    </row>
    <row r="758">
      <c r="A758" s="2" t="s">
        <v>1446</v>
      </c>
      <c r="B758" s="2">
        <v>1.0</v>
      </c>
    </row>
    <row r="759">
      <c r="A759" s="2" t="s">
        <v>1447</v>
      </c>
      <c r="B759" s="2">
        <v>1.0</v>
      </c>
    </row>
    <row r="760">
      <c r="A760" s="2" t="s">
        <v>1448</v>
      </c>
      <c r="B760" s="2">
        <v>1.0</v>
      </c>
    </row>
    <row r="761">
      <c r="A761" s="2" t="s">
        <v>1449</v>
      </c>
      <c r="B761" s="2">
        <v>1.0</v>
      </c>
    </row>
    <row r="762">
      <c r="A762" s="2" t="s">
        <v>1450</v>
      </c>
      <c r="B762" s="2">
        <v>1.0</v>
      </c>
    </row>
    <row r="763">
      <c r="A763" s="2" t="s">
        <v>1452</v>
      </c>
      <c r="B763" s="2">
        <v>1.0</v>
      </c>
    </row>
    <row r="764">
      <c r="A764" s="2" t="s">
        <v>1454</v>
      </c>
      <c r="B764" s="2">
        <v>1.0</v>
      </c>
    </row>
    <row r="765">
      <c r="A765" s="2" t="s">
        <v>1455</v>
      </c>
      <c r="B765" s="2">
        <v>1.0</v>
      </c>
    </row>
    <row r="766">
      <c r="A766" s="2" t="s">
        <v>1456</v>
      </c>
      <c r="B766" s="2">
        <v>1.0</v>
      </c>
    </row>
  </sheetData>
  <autoFilter ref="$A$1:$B$1001">
    <sortState ref="A1:B1001">
      <sortCondition descending="1" ref="B1:B1001"/>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12</v>
      </c>
      <c r="B1" s="3" t="s">
        <v>102</v>
      </c>
      <c r="C1" s="3" t="s">
        <v>103</v>
      </c>
      <c r="D1" s="3" t="s">
        <v>104</v>
      </c>
      <c r="E1" s="3" t="s">
        <v>105</v>
      </c>
      <c r="F1" s="3" t="s">
        <v>107</v>
      </c>
      <c r="G1" s="3" t="s">
        <v>110</v>
      </c>
      <c r="H1" s="3" t="s">
        <v>111</v>
      </c>
      <c r="I1" s="3" t="s">
        <v>112</v>
      </c>
      <c r="J1" s="3" t="s">
        <v>73</v>
      </c>
      <c r="K1" s="3" t="s">
        <v>114</v>
      </c>
      <c r="L1" s="3" t="s">
        <v>75</v>
      </c>
      <c r="M1" s="3" t="str">
        <f t="array" ref="M1:OV1">TOROW({"Anchortext "&amp;TEXT(SEQUENCE(200,1),"000"),"URL "&amp;TEXT(SEQUENCE(200,1),"000")&amp;" (bài đặt link)"})</f>
        <v>Anchortext 001</v>
      </c>
      <c r="N1" s="3" t="s">
        <v>161</v>
      </c>
      <c r="O1" s="3" t="s">
        <v>162</v>
      </c>
      <c r="P1" s="3" t="s">
        <v>164</v>
      </c>
      <c r="Q1" s="3" t="s">
        <v>174</v>
      </c>
      <c r="R1" s="3" t="s">
        <v>175</v>
      </c>
      <c r="S1" s="3" t="s">
        <v>177</v>
      </c>
      <c r="T1" s="3" t="s">
        <v>178</v>
      </c>
      <c r="U1" s="3" t="s">
        <v>180</v>
      </c>
      <c r="V1" s="3" t="s">
        <v>181</v>
      </c>
      <c r="W1" s="3" t="s">
        <v>183</v>
      </c>
      <c r="X1" s="3" t="s">
        <v>184</v>
      </c>
      <c r="Y1" s="3" t="s">
        <v>185</v>
      </c>
      <c r="Z1" s="3" t="s">
        <v>189</v>
      </c>
      <c r="AA1" s="3" t="s">
        <v>191</v>
      </c>
      <c r="AB1" s="3" t="s">
        <v>193</v>
      </c>
      <c r="AC1" s="3" t="s">
        <v>195</v>
      </c>
      <c r="AD1" s="3" t="s">
        <v>197</v>
      </c>
      <c r="AE1" s="3" t="s">
        <v>199</v>
      </c>
      <c r="AF1" s="3" t="s">
        <v>200</v>
      </c>
      <c r="AG1" s="3" t="s">
        <v>201</v>
      </c>
      <c r="AH1" s="3" t="s">
        <v>202</v>
      </c>
      <c r="AI1" s="3" t="s">
        <v>204</v>
      </c>
      <c r="AJ1" s="3" t="s">
        <v>205</v>
      </c>
      <c r="AK1" s="3" t="s">
        <v>207</v>
      </c>
      <c r="AL1" s="3" t="s">
        <v>208</v>
      </c>
      <c r="AM1" s="3" t="s">
        <v>210</v>
      </c>
      <c r="AN1" s="3" t="s">
        <v>211</v>
      </c>
      <c r="AO1" s="3" t="s">
        <v>213</v>
      </c>
      <c r="AP1" s="3" t="s">
        <v>214</v>
      </c>
      <c r="AQ1" s="3" t="s">
        <v>215</v>
      </c>
      <c r="AR1" s="3" t="s">
        <v>217</v>
      </c>
      <c r="AS1" s="3" t="s">
        <v>219</v>
      </c>
      <c r="AT1" s="3" t="s">
        <v>220</v>
      </c>
      <c r="AU1" s="3" t="s">
        <v>221</v>
      </c>
      <c r="AV1" s="3" t="s">
        <v>223</v>
      </c>
      <c r="AW1" s="3" t="s">
        <v>224</v>
      </c>
      <c r="AX1" s="3" t="s">
        <v>226</v>
      </c>
      <c r="AY1" s="3" t="s">
        <v>227</v>
      </c>
      <c r="AZ1" s="3" t="s">
        <v>228</v>
      </c>
      <c r="BA1" s="3" t="s">
        <v>230</v>
      </c>
      <c r="BB1" s="3" t="s">
        <v>231</v>
      </c>
      <c r="BC1" s="3" t="s">
        <v>233</v>
      </c>
      <c r="BD1" s="3" t="s">
        <v>234</v>
      </c>
      <c r="BE1" s="3" t="s">
        <v>235</v>
      </c>
      <c r="BF1" s="3" t="s">
        <v>237</v>
      </c>
      <c r="BG1" s="3" t="s">
        <v>238</v>
      </c>
      <c r="BH1" s="3" t="s">
        <v>239</v>
      </c>
      <c r="BI1" s="3" t="s">
        <v>241</v>
      </c>
      <c r="BJ1" s="3" t="s">
        <v>242</v>
      </c>
      <c r="BK1" s="3" t="s">
        <v>244</v>
      </c>
      <c r="BL1" s="3" t="s">
        <v>245</v>
      </c>
      <c r="BM1" s="3" t="s">
        <v>246</v>
      </c>
      <c r="BN1" s="3" t="s">
        <v>248</v>
      </c>
      <c r="BO1" s="3" t="s">
        <v>249</v>
      </c>
      <c r="BP1" s="3" t="s">
        <v>250</v>
      </c>
      <c r="BQ1" s="3" t="s">
        <v>252</v>
      </c>
      <c r="BR1" s="3" t="s">
        <v>253</v>
      </c>
      <c r="BS1" s="3" t="s">
        <v>255</v>
      </c>
      <c r="BT1" s="3" t="s">
        <v>256</v>
      </c>
      <c r="BU1" s="3" t="s">
        <v>258</v>
      </c>
      <c r="BV1" s="3" t="s">
        <v>260</v>
      </c>
      <c r="BW1" s="3" t="s">
        <v>261</v>
      </c>
      <c r="BX1" s="3" t="s">
        <v>262</v>
      </c>
      <c r="BY1" s="3" t="s">
        <v>264</v>
      </c>
      <c r="BZ1" s="3" t="s">
        <v>265</v>
      </c>
      <c r="CA1" s="3" t="s">
        <v>267</v>
      </c>
      <c r="CB1" s="3" t="s">
        <v>268</v>
      </c>
      <c r="CC1" s="3" t="s">
        <v>269</v>
      </c>
      <c r="CD1" s="3" t="s">
        <v>271</v>
      </c>
      <c r="CE1" s="3" t="s">
        <v>272</v>
      </c>
      <c r="CF1" s="3" t="s">
        <v>274</v>
      </c>
      <c r="CG1" s="3" t="s">
        <v>275</v>
      </c>
      <c r="CH1" s="3" t="s">
        <v>277</v>
      </c>
      <c r="CI1" s="3" t="s">
        <v>278</v>
      </c>
      <c r="CJ1" s="3" t="s">
        <v>279</v>
      </c>
      <c r="CK1" s="3" t="s">
        <v>281</v>
      </c>
      <c r="CL1" s="3" t="s">
        <v>282</v>
      </c>
      <c r="CM1" s="3" t="s">
        <v>284</v>
      </c>
      <c r="CN1" s="3" t="s">
        <v>285</v>
      </c>
      <c r="CO1" s="3" t="s">
        <v>286</v>
      </c>
      <c r="CP1" s="3" t="s">
        <v>288</v>
      </c>
      <c r="CQ1" s="3" t="s">
        <v>289</v>
      </c>
      <c r="CR1" s="3" t="s">
        <v>291</v>
      </c>
      <c r="CS1" s="3" t="s">
        <v>293</v>
      </c>
      <c r="CT1" s="3" t="s">
        <v>295</v>
      </c>
      <c r="CU1" s="3" t="s">
        <v>296</v>
      </c>
      <c r="CV1" s="3" t="s">
        <v>297</v>
      </c>
      <c r="CW1" s="3" t="s">
        <v>298</v>
      </c>
      <c r="CX1" s="3" t="s">
        <v>299</v>
      </c>
      <c r="CY1" s="3" t="s">
        <v>301</v>
      </c>
      <c r="CZ1" s="3" t="s">
        <v>302</v>
      </c>
      <c r="DA1" s="3" t="s">
        <v>304</v>
      </c>
      <c r="DB1" s="3" t="s">
        <v>305</v>
      </c>
      <c r="DC1" s="3" t="s">
        <v>307</v>
      </c>
      <c r="DD1" s="3" t="s">
        <v>313</v>
      </c>
      <c r="DE1" s="3" t="s">
        <v>314</v>
      </c>
      <c r="DF1" s="3" t="s">
        <v>316</v>
      </c>
      <c r="DG1" s="3" t="s">
        <v>317</v>
      </c>
      <c r="DH1" s="3" t="s">
        <v>319</v>
      </c>
      <c r="DI1" s="3" t="s">
        <v>320</v>
      </c>
      <c r="DJ1" s="3" t="s">
        <v>322</v>
      </c>
      <c r="DK1" s="3" t="s">
        <v>323</v>
      </c>
      <c r="DL1" s="3" t="s">
        <v>324</v>
      </c>
      <c r="DM1" s="3" t="s">
        <v>327</v>
      </c>
      <c r="DN1" s="3" t="s">
        <v>328</v>
      </c>
      <c r="DO1" s="3" t="s">
        <v>330</v>
      </c>
      <c r="DP1" s="3" t="s">
        <v>332</v>
      </c>
      <c r="DQ1" s="3" t="s">
        <v>335</v>
      </c>
      <c r="DR1" s="3" t="s">
        <v>336</v>
      </c>
      <c r="DS1" s="3" t="s">
        <v>338</v>
      </c>
      <c r="DT1" s="3" t="s">
        <v>339</v>
      </c>
      <c r="DU1" s="3" t="s">
        <v>341</v>
      </c>
      <c r="DV1" s="3" t="s">
        <v>342</v>
      </c>
      <c r="DW1" s="3" t="s">
        <v>343</v>
      </c>
      <c r="DX1" s="3" t="s">
        <v>345</v>
      </c>
      <c r="DY1" s="3" t="s">
        <v>346</v>
      </c>
      <c r="DZ1" s="3" t="s">
        <v>348</v>
      </c>
      <c r="EA1" s="3" t="s">
        <v>349</v>
      </c>
      <c r="EB1" s="3" t="s">
        <v>353</v>
      </c>
      <c r="EC1" s="3" t="s">
        <v>355</v>
      </c>
      <c r="ED1" s="3" t="s">
        <v>356</v>
      </c>
      <c r="EE1" s="3" t="s">
        <v>358</v>
      </c>
      <c r="EF1" s="3" t="s">
        <v>359</v>
      </c>
      <c r="EG1" s="3" t="s">
        <v>361</v>
      </c>
      <c r="EH1" s="3" t="s">
        <v>362</v>
      </c>
      <c r="EI1" s="3" t="s">
        <v>363</v>
      </c>
      <c r="EJ1" s="3" t="s">
        <v>365</v>
      </c>
      <c r="EK1" s="3" t="s">
        <v>366</v>
      </c>
      <c r="EL1" s="3" t="s">
        <v>368</v>
      </c>
      <c r="EM1" s="3" t="s">
        <v>369</v>
      </c>
      <c r="EN1" s="3" t="s">
        <v>370</v>
      </c>
      <c r="EO1" s="3" t="s">
        <v>372</v>
      </c>
      <c r="EP1" s="3" t="s">
        <v>374</v>
      </c>
      <c r="EQ1" s="3" t="s">
        <v>377</v>
      </c>
      <c r="ER1" s="3" t="s">
        <v>378</v>
      </c>
      <c r="ES1" s="3" t="s">
        <v>379</v>
      </c>
      <c r="ET1" s="3" t="s">
        <v>381</v>
      </c>
      <c r="EU1" s="3" t="s">
        <v>382</v>
      </c>
      <c r="EV1" s="3" t="s">
        <v>384</v>
      </c>
      <c r="EW1" s="3" t="s">
        <v>386</v>
      </c>
      <c r="EX1" s="3" t="s">
        <v>387</v>
      </c>
      <c r="EY1" s="3" t="s">
        <v>389</v>
      </c>
      <c r="EZ1" s="3" t="s">
        <v>390</v>
      </c>
      <c r="FA1" s="3" t="s">
        <v>393</v>
      </c>
      <c r="FB1" s="3" t="s">
        <v>395</v>
      </c>
      <c r="FC1" s="3" t="s">
        <v>396</v>
      </c>
      <c r="FD1" s="3" t="s">
        <v>398</v>
      </c>
      <c r="FE1" s="3" t="s">
        <v>399</v>
      </c>
      <c r="FF1" s="3" t="s">
        <v>407</v>
      </c>
      <c r="FG1" s="3" t="s">
        <v>409</v>
      </c>
      <c r="FH1" s="3" t="s">
        <v>410</v>
      </c>
      <c r="FI1" s="3" t="s">
        <v>412</v>
      </c>
      <c r="FJ1" s="3" t="s">
        <v>413</v>
      </c>
      <c r="FK1" s="3" t="s">
        <v>415</v>
      </c>
      <c r="FL1" s="3" t="s">
        <v>416</v>
      </c>
      <c r="FM1" s="3" t="s">
        <v>418</v>
      </c>
      <c r="FN1" s="3" t="s">
        <v>419</v>
      </c>
      <c r="FO1" s="3" t="s">
        <v>420</v>
      </c>
      <c r="FP1" s="3" t="s">
        <v>422</v>
      </c>
      <c r="FQ1" s="3" t="s">
        <v>424</v>
      </c>
      <c r="FR1" s="3" t="s">
        <v>427</v>
      </c>
      <c r="FS1" s="3" t="s">
        <v>428</v>
      </c>
      <c r="FT1" s="3" t="s">
        <v>430</v>
      </c>
      <c r="FU1" s="3" t="s">
        <v>431</v>
      </c>
      <c r="FV1" s="3" t="s">
        <v>433</v>
      </c>
      <c r="FW1" s="3" t="s">
        <v>434</v>
      </c>
      <c r="FX1" s="3" t="s">
        <v>435</v>
      </c>
      <c r="FY1" s="3" t="s">
        <v>437</v>
      </c>
      <c r="FZ1" s="3" t="s">
        <v>438</v>
      </c>
      <c r="GA1" s="3" t="s">
        <v>440</v>
      </c>
      <c r="GB1" s="3" t="s">
        <v>442</v>
      </c>
      <c r="GC1" s="3" t="s">
        <v>445</v>
      </c>
      <c r="GD1" s="3" t="s">
        <v>446</v>
      </c>
      <c r="GE1" s="3" t="s">
        <v>448</v>
      </c>
      <c r="GF1" s="3" t="s">
        <v>450</v>
      </c>
      <c r="GG1" s="3" t="s">
        <v>451</v>
      </c>
      <c r="GH1" s="3" t="s">
        <v>454</v>
      </c>
      <c r="GI1" s="3" t="s">
        <v>456</v>
      </c>
      <c r="GJ1" s="3" t="s">
        <v>457</v>
      </c>
      <c r="GK1" s="3" t="s">
        <v>459</v>
      </c>
      <c r="GL1" s="3" t="s">
        <v>460</v>
      </c>
      <c r="GM1" s="3" t="s">
        <v>463</v>
      </c>
      <c r="GN1" s="3" t="s">
        <v>465</v>
      </c>
      <c r="GO1" s="3" t="s">
        <v>466</v>
      </c>
      <c r="GP1" s="3" t="s">
        <v>467</v>
      </c>
      <c r="GQ1" s="3" t="s">
        <v>468</v>
      </c>
      <c r="GR1" s="3" t="s">
        <v>470</v>
      </c>
      <c r="GS1" s="3" t="s">
        <v>471</v>
      </c>
      <c r="GT1" s="3" t="s">
        <v>473</v>
      </c>
      <c r="GU1" s="3" t="s">
        <v>474</v>
      </c>
      <c r="GV1" s="3" t="s">
        <v>476</v>
      </c>
      <c r="GW1" s="3" t="s">
        <v>478</v>
      </c>
      <c r="GX1" s="3" t="s">
        <v>479</v>
      </c>
      <c r="GY1" s="3" t="s">
        <v>480</v>
      </c>
      <c r="GZ1" s="3" t="s">
        <v>483</v>
      </c>
      <c r="HA1" s="3" t="s">
        <v>484</v>
      </c>
      <c r="HB1" s="3" t="s">
        <v>486</v>
      </c>
      <c r="HC1" s="3" t="s">
        <v>487</v>
      </c>
      <c r="HD1" s="3" t="s">
        <v>489</v>
      </c>
      <c r="HE1" s="3" t="s">
        <v>490</v>
      </c>
      <c r="HF1" s="3" t="s">
        <v>492</v>
      </c>
      <c r="HG1" s="3" t="s">
        <v>493</v>
      </c>
      <c r="HH1" s="3" t="s">
        <v>495</v>
      </c>
      <c r="HI1" s="3" t="s">
        <v>497</v>
      </c>
      <c r="HJ1" s="3" t="s">
        <v>500</v>
      </c>
      <c r="HK1" s="3" t="s">
        <v>502</v>
      </c>
      <c r="HL1" s="3" t="s">
        <v>504</v>
      </c>
      <c r="HM1" s="3" t="s">
        <v>505</v>
      </c>
      <c r="HN1" s="3" t="s">
        <v>507</v>
      </c>
      <c r="HO1" s="3" t="s">
        <v>508</v>
      </c>
      <c r="HP1" s="3" t="s">
        <v>509</v>
      </c>
      <c r="HQ1" s="3" t="s">
        <v>511</v>
      </c>
      <c r="HR1" s="3" t="s">
        <v>512</v>
      </c>
      <c r="HS1" s="3" t="s">
        <v>514</v>
      </c>
      <c r="HT1" s="3" t="s">
        <v>517</v>
      </c>
      <c r="HU1" s="3" t="s">
        <v>519</v>
      </c>
      <c r="HV1" s="3" t="s">
        <v>522</v>
      </c>
      <c r="HW1" s="3" t="s">
        <v>523</v>
      </c>
      <c r="HX1" s="3" t="s">
        <v>525</v>
      </c>
      <c r="HY1" s="3" t="s">
        <v>526</v>
      </c>
      <c r="HZ1" s="3" t="s">
        <v>528</v>
      </c>
      <c r="IA1" s="3" t="s">
        <v>529</v>
      </c>
      <c r="IB1" s="3" t="s">
        <v>530</v>
      </c>
      <c r="IC1" s="3" t="s">
        <v>533</v>
      </c>
      <c r="ID1" s="3" t="s">
        <v>535</v>
      </c>
      <c r="IE1" s="3" t="s">
        <v>538</v>
      </c>
      <c r="IF1" s="3" t="s">
        <v>539</v>
      </c>
      <c r="IG1" s="3" t="s">
        <v>540</v>
      </c>
      <c r="IH1" s="3" t="s">
        <v>542</v>
      </c>
      <c r="II1" s="3" t="s">
        <v>543</v>
      </c>
      <c r="IJ1" s="3" t="s">
        <v>545</v>
      </c>
      <c r="IK1" s="3" t="s">
        <v>546</v>
      </c>
      <c r="IL1" s="3" t="s">
        <v>548</v>
      </c>
      <c r="IM1" s="3" t="s">
        <v>550</v>
      </c>
      <c r="IN1" s="3" t="s">
        <v>552</v>
      </c>
      <c r="IO1" s="3" t="s">
        <v>555</v>
      </c>
      <c r="IP1" s="3" t="s">
        <v>556</v>
      </c>
      <c r="IQ1" s="3" t="s">
        <v>557</v>
      </c>
      <c r="IR1" s="3" t="s">
        <v>559</v>
      </c>
      <c r="IS1" s="3" t="s">
        <v>560</v>
      </c>
      <c r="IT1" s="3" t="s">
        <v>562</v>
      </c>
      <c r="IU1" s="3" t="s">
        <v>563</v>
      </c>
      <c r="IV1" s="3" t="s">
        <v>564</v>
      </c>
      <c r="IW1" s="3" t="s">
        <v>567</v>
      </c>
      <c r="IX1" s="3" t="s">
        <v>569</v>
      </c>
      <c r="IY1" s="3" t="s">
        <v>572</v>
      </c>
      <c r="IZ1" s="3" t="s">
        <v>574</v>
      </c>
      <c r="JA1" s="3" t="s">
        <v>575</v>
      </c>
      <c r="JB1" s="3" t="s">
        <v>577</v>
      </c>
      <c r="JC1" s="3" t="s">
        <v>578</v>
      </c>
      <c r="JD1" s="3" t="s">
        <v>580</v>
      </c>
      <c r="JE1" s="3" t="s">
        <v>581</v>
      </c>
      <c r="JF1" s="3" t="s">
        <v>583</v>
      </c>
      <c r="JG1" s="3" t="s">
        <v>584</v>
      </c>
      <c r="JH1" s="3" t="s">
        <v>585</v>
      </c>
      <c r="JI1" s="3" t="s">
        <v>587</v>
      </c>
      <c r="JJ1" s="3" t="s">
        <v>590</v>
      </c>
      <c r="JK1" s="3" t="s">
        <v>592</v>
      </c>
      <c r="JL1" s="3" t="s">
        <v>594</v>
      </c>
      <c r="JM1" s="3" t="s">
        <v>595</v>
      </c>
      <c r="JN1" s="3" t="s">
        <v>597</v>
      </c>
      <c r="JO1" s="3" t="s">
        <v>598</v>
      </c>
      <c r="JP1" s="3" t="s">
        <v>599</v>
      </c>
      <c r="JQ1" s="3" t="s">
        <v>600</v>
      </c>
      <c r="JR1" s="3" t="s">
        <v>601</v>
      </c>
      <c r="JS1" s="3" t="s">
        <v>602</v>
      </c>
      <c r="JT1" s="3" t="s">
        <v>603</v>
      </c>
      <c r="JU1" s="3" t="s">
        <v>604</v>
      </c>
      <c r="JV1" s="3" t="s">
        <v>607</v>
      </c>
      <c r="JW1" s="3" t="s">
        <v>608</v>
      </c>
      <c r="JX1" s="3" t="s">
        <v>611</v>
      </c>
      <c r="JY1" s="3" t="s">
        <v>612</v>
      </c>
      <c r="JZ1" s="3" t="s">
        <v>614</v>
      </c>
      <c r="KA1" s="3" t="s">
        <v>615</v>
      </c>
      <c r="KB1" s="3" t="s">
        <v>616</v>
      </c>
      <c r="KC1" s="3" t="s">
        <v>618</v>
      </c>
      <c r="KD1" s="3" t="s">
        <v>619</v>
      </c>
      <c r="KE1" s="3" t="s">
        <v>620</v>
      </c>
      <c r="KF1" s="3" t="s">
        <v>622</v>
      </c>
      <c r="KG1" s="3" t="s">
        <v>624</v>
      </c>
      <c r="KH1" s="3" t="s">
        <v>627</v>
      </c>
      <c r="KI1" s="3" t="s">
        <v>629</v>
      </c>
      <c r="KJ1" s="3" t="s">
        <v>630</v>
      </c>
      <c r="KK1" s="3" t="s">
        <v>632</v>
      </c>
      <c r="KL1" s="3" t="s">
        <v>633</v>
      </c>
      <c r="KM1" s="3" t="s">
        <v>635</v>
      </c>
      <c r="KN1" s="3" t="s">
        <v>636</v>
      </c>
      <c r="KO1" s="3" t="s">
        <v>637</v>
      </c>
      <c r="KP1" s="3" t="s">
        <v>639</v>
      </c>
      <c r="KQ1" s="3" t="s">
        <v>641</v>
      </c>
      <c r="KR1" s="3" t="s">
        <v>643</v>
      </c>
      <c r="KS1" s="3" t="s">
        <v>645</v>
      </c>
      <c r="KT1" s="3" t="s">
        <v>647</v>
      </c>
      <c r="KU1" s="3" t="s">
        <v>650</v>
      </c>
      <c r="KV1" s="3" t="s">
        <v>651</v>
      </c>
      <c r="KW1" s="3" t="s">
        <v>653</v>
      </c>
      <c r="KX1" s="3" t="s">
        <v>654</v>
      </c>
      <c r="KY1" s="3" t="s">
        <v>656</v>
      </c>
      <c r="KZ1" s="3" t="s">
        <v>657</v>
      </c>
      <c r="LA1" s="3" t="s">
        <v>659</v>
      </c>
      <c r="LB1" s="3" t="s">
        <v>661</v>
      </c>
      <c r="LC1" s="3" t="s">
        <v>662</v>
      </c>
      <c r="LD1" s="3" t="s">
        <v>663</v>
      </c>
      <c r="LE1" s="3" t="s">
        <v>665</v>
      </c>
      <c r="LF1" s="3" t="s">
        <v>667</v>
      </c>
      <c r="LG1" s="3" t="s">
        <v>669</v>
      </c>
      <c r="LH1" s="3" t="s">
        <v>671</v>
      </c>
      <c r="LI1" s="3" t="s">
        <v>673</v>
      </c>
      <c r="LJ1" s="3" t="s">
        <v>674</v>
      </c>
      <c r="LK1" s="3" t="s">
        <v>676</v>
      </c>
      <c r="LL1" s="3" t="s">
        <v>677</v>
      </c>
      <c r="LM1" s="3" t="s">
        <v>678</v>
      </c>
      <c r="LN1" s="3" t="s">
        <v>680</v>
      </c>
      <c r="LO1" s="3" t="s">
        <v>681</v>
      </c>
      <c r="LP1" s="3" t="s">
        <v>683</v>
      </c>
      <c r="LQ1" s="3" t="s">
        <v>684</v>
      </c>
      <c r="LR1" s="3" t="s">
        <v>686</v>
      </c>
      <c r="LS1" s="3" t="s">
        <v>688</v>
      </c>
      <c r="LT1" s="3" t="s">
        <v>690</v>
      </c>
      <c r="LU1" s="3" t="s">
        <v>692</v>
      </c>
      <c r="LV1" s="3" t="s">
        <v>694</v>
      </c>
      <c r="LW1" s="3" t="s">
        <v>696</v>
      </c>
      <c r="LX1" s="3" t="s">
        <v>697</v>
      </c>
      <c r="LY1" s="3" t="s">
        <v>698</v>
      </c>
      <c r="LZ1" s="3" t="s">
        <v>700</v>
      </c>
      <c r="MA1" s="3" t="s">
        <v>701</v>
      </c>
      <c r="MB1" s="3" t="s">
        <v>703</v>
      </c>
      <c r="MC1" s="3" t="s">
        <v>704</v>
      </c>
      <c r="MD1" s="3" t="s">
        <v>706</v>
      </c>
      <c r="ME1" s="3" t="s">
        <v>708</v>
      </c>
      <c r="MF1" s="3" t="s">
        <v>709</v>
      </c>
      <c r="MG1" s="3" t="s">
        <v>711</v>
      </c>
      <c r="MH1" s="3" t="s">
        <v>714</v>
      </c>
      <c r="MI1" s="3" t="s">
        <v>715</v>
      </c>
      <c r="MJ1" s="3" t="s">
        <v>718</v>
      </c>
      <c r="MK1" s="3" t="s">
        <v>720</v>
      </c>
      <c r="ML1" s="3" t="s">
        <v>721</v>
      </c>
      <c r="MM1" s="3" t="s">
        <v>723</v>
      </c>
      <c r="MN1" s="3" t="s">
        <v>724</v>
      </c>
      <c r="MO1" s="3" t="s">
        <v>726</v>
      </c>
      <c r="MP1" s="3" t="s">
        <v>727</v>
      </c>
      <c r="MQ1" s="3" t="s">
        <v>729</v>
      </c>
      <c r="MR1" s="3" t="s">
        <v>731</v>
      </c>
      <c r="MS1" s="3" t="s">
        <v>733</v>
      </c>
      <c r="MT1" s="3" t="s">
        <v>736</v>
      </c>
      <c r="MU1" s="3" t="s">
        <v>737</v>
      </c>
      <c r="MV1" s="3" t="s">
        <v>739</v>
      </c>
      <c r="MW1" s="3" t="s">
        <v>740</v>
      </c>
      <c r="MX1" s="3" t="s">
        <v>742</v>
      </c>
      <c r="MY1" s="3" t="s">
        <v>743</v>
      </c>
      <c r="MZ1" s="3" t="s">
        <v>745</v>
      </c>
      <c r="NA1" s="3" t="s">
        <v>746</v>
      </c>
      <c r="NB1" s="3" t="s">
        <v>747</v>
      </c>
      <c r="NC1" s="3" t="s">
        <v>750</v>
      </c>
      <c r="ND1" s="3" t="s">
        <v>752</v>
      </c>
      <c r="NE1" s="3" t="s">
        <v>755</v>
      </c>
      <c r="NF1" s="3" t="s">
        <v>756</v>
      </c>
      <c r="NG1" s="3" t="s">
        <v>758</v>
      </c>
      <c r="NH1" s="3" t="s">
        <v>759</v>
      </c>
      <c r="NI1" s="3" t="s">
        <v>760</v>
      </c>
      <c r="NJ1" s="3" t="s">
        <v>762</v>
      </c>
      <c r="NK1" s="3" t="s">
        <v>763</v>
      </c>
      <c r="NL1" s="3" t="s">
        <v>765</v>
      </c>
      <c r="NM1" s="3" t="s">
        <v>766</v>
      </c>
      <c r="NN1" s="3" t="s">
        <v>768</v>
      </c>
      <c r="NO1" s="3" t="s">
        <v>770</v>
      </c>
      <c r="NP1" s="3" t="s">
        <v>771</v>
      </c>
      <c r="NQ1" s="3" t="s">
        <v>772</v>
      </c>
      <c r="NR1" s="3" t="s">
        <v>774</v>
      </c>
      <c r="NS1" s="3" t="s">
        <v>775</v>
      </c>
      <c r="NT1" s="3" t="s">
        <v>776</v>
      </c>
      <c r="NU1" s="3" t="s">
        <v>778</v>
      </c>
      <c r="NV1" s="3" t="s">
        <v>780</v>
      </c>
      <c r="NW1" s="3" t="s">
        <v>782</v>
      </c>
      <c r="NX1" s="3" t="s">
        <v>784</v>
      </c>
      <c r="NY1" s="3" t="s">
        <v>785</v>
      </c>
      <c r="NZ1" s="3" t="s">
        <v>788</v>
      </c>
      <c r="OA1" s="3" t="s">
        <v>789</v>
      </c>
      <c r="OB1" s="3" t="s">
        <v>790</v>
      </c>
      <c r="OC1" s="3" t="s">
        <v>792</v>
      </c>
      <c r="OD1" s="3" t="s">
        <v>793</v>
      </c>
      <c r="OE1" s="3" t="s">
        <v>795</v>
      </c>
      <c r="OF1" s="3" t="s">
        <v>796</v>
      </c>
      <c r="OG1" s="3" t="s">
        <v>798</v>
      </c>
      <c r="OH1" s="3" t="s">
        <v>799</v>
      </c>
      <c r="OI1" s="3" t="s">
        <v>800</v>
      </c>
      <c r="OJ1" s="3" t="s">
        <v>802</v>
      </c>
      <c r="OK1" s="3" t="s">
        <v>803</v>
      </c>
      <c r="OL1" s="3" t="s">
        <v>805</v>
      </c>
      <c r="OM1" s="3" t="s">
        <v>806</v>
      </c>
      <c r="ON1" s="3" t="s">
        <v>808</v>
      </c>
      <c r="OO1" s="3" t="s">
        <v>809</v>
      </c>
      <c r="OP1" s="3" t="s">
        <v>811</v>
      </c>
      <c r="OQ1" s="3" t="s">
        <v>814</v>
      </c>
      <c r="OR1" s="3" t="s">
        <v>816</v>
      </c>
      <c r="OS1" s="3" t="s">
        <v>817</v>
      </c>
      <c r="OT1" s="3" t="s">
        <v>818</v>
      </c>
      <c r="OU1" s="3" t="s">
        <v>819</v>
      </c>
      <c r="OV1" s="3" t="s">
        <v>820</v>
      </c>
    </row>
    <row r="2" ht="18.0" customHeight="1">
      <c r="A2" s="28">
        <v>1.0</v>
      </c>
      <c r="B2" s="29" t="s">
        <v>68</v>
      </c>
      <c r="C2" s="30" t="s">
        <v>88</v>
      </c>
      <c r="D2" s="29" t="s">
        <v>72</v>
      </c>
      <c r="E2" s="28">
        <v>30.0</v>
      </c>
      <c r="F2" s="28" t="str">
        <f t="shared" ref="F2:F76" si="1">COUNTIF('Tổng hợp 75 trang đích'!$B$2:$B$3260,$D2)</f>
        <v>#REF!</v>
      </c>
      <c r="G2" s="28">
        <f t="shared" ref="G2:G76" si="2">COUNTIFS('Tổng hợp 75 trang đích'!$B$2:$B$3260,$D2,'Tổng hợp 75 trang đích'!$K$2:$K$3260,"PHÙ HỢP CAO")</f>
        <v>0</v>
      </c>
      <c r="H2" s="28">
        <f t="shared" ref="H2:H76" si="3">COUNTIFS('Tổng hợp 75 trang đích'!$B$2:$B$3260,$D2,'Tổng hợp 75 trang đích'!$K$2:$K$3260,"CÓ THỂ ĐI")</f>
        <v>0</v>
      </c>
      <c r="I2" s="28">
        <f t="shared" ref="I2:I76" si="4">COUNTIFS('Tổng hợp 75 trang đích'!$B$2:$B$3260,$D2,'Tổng hợp 75 trang đích'!$K$2:$K$3260,"CẦN SOÁT")</f>
        <v>0</v>
      </c>
      <c r="J2" s="31" t="s">
        <v>856</v>
      </c>
      <c r="K2" s="31" t="b">
        <v>0</v>
      </c>
      <c r="L2" s="32" t="s">
        <v>91</v>
      </c>
      <c r="M2" s="29" t="str">
        <f>IFERROR(__xludf.DUMMYFUNCTION("IFERROR(TOROW(CHOOSECOLS(SORT(FILTER({'Tổng hợp 75 trang đích'!$J$2:$J$3260,'Tổng hợp 75 trang đích'!$I$2:$I$3260,MATCH('Tổng hợp 75 trang đích'!$K$2:$K$3260,{""PHÙ HỢP CAO"",""CÓ THỂ ĐI"",""CẦN SOÁT""},0)},'Tổng hợp 75 trang đích'!$B$2:$B$3260=$D2),3,TRU"&amp;"E),1,2)),"""")"),"")</f>
        <v/>
      </c>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c r="FQ2" s="29"/>
      <c r="FR2" s="29"/>
      <c r="FS2" s="29"/>
      <c r="FT2" s="29"/>
      <c r="FU2" s="29"/>
      <c r="FV2" s="29"/>
      <c r="FW2" s="29"/>
      <c r="FX2" s="29"/>
      <c r="FY2" s="29"/>
      <c r="FZ2" s="29"/>
      <c r="GA2" s="29"/>
      <c r="GB2" s="29"/>
      <c r="GC2" s="29"/>
      <c r="GD2" s="29"/>
      <c r="GE2" s="29"/>
      <c r="GF2" s="29"/>
      <c r="GG2" s="29"/>
      <c r="GH2" s="29"/>
      <c r="GI2" s="29"/>
      <c r="GJ2" s="29"/>
      <c r="GK2" s="29"/>
      <c r="GL2" s="29"/>
      <c r="GM2" s="29"/>
      <c r="GN2" s="29"/>
      <c r="GO2" s="29"/>
      <c r="GP2" s="29"/>
      <c r="GQ2" s="29"/>
      <c r="GR2" s="29"/>
      <c r="GS2" s="29"/>
      <c r="GT2" s="29"/>
      <c r="GU2" s="29"/>
      <c r="GV2" s="29"/>
      <c r="GW2" s="29"/>
      <c r="GX2" s="29"/>
      <c r="GY2" s="29"/>
      <c r="GZ2" s="29"/>
      <c r="HA2" s="29"/>
      <c r="HB2" s="29"/>
      <c r="HC2" s="29"/>
      <c r="HD2" s="29"/>
      <c r="HE2" s="29"/>
      <c r="HF2" s="29"/>
      <c r="HG2" s="29"/>
      <c r="HH2" s="29"/>
      <c r="HI2" s="29"/>
      <c r="HJ2" s="29"/>
      <c r="HK2" s="29"/>
      <c r="HL2" s="29"/>
      <c r="HM2" s="29"/>
      <c r="HN2" s="29"/>
      <c r="HO2" s="29"/>
      <c r="HP2" s="29"/>
      <c r="HQ2" s="29"/>
      <c r="HR2" s="29"/>
      <c r="HS2" s="29"/>
      <c r="HT2" s="29"/>
      <c r="HU2" s="29"/>
      <c r="HV2" s="29"/>
      <c r="HW2" s="29"/>
      <c r="HX2" s="29"/>
      <c r="HY2" s="29"/>
      <c r="HZ2" s="29"/>
      <c r="IA2" s="29"/>
      <c r="IB2" s="29"/>
      <c r="IC2" s="29"/>
      <c r="ID2" s="29"/>
      <c r="IE2" s="29"/>
      <c r="IF2" s="29"/>
      <c r="IG2" s="29"/>
      <c r="IH2" s="29"/>
      <c r="II2" s="29"/>
      <c r="IJ2" s="29"/>
      <c r="IK2" s="29"/>
      <c r="IL2" s="29"/>
      <c r="IM2" s="29"/>
      <c r="IN2" s="29"/>
      <c r="IO2" s="29"/>
      <c r="IP2" s="29"/>
      <c r="IQ2" s="29"/>
      <c r="IR2" s="29"/>
      <c r="IS2" s="29"/>
      <c r="IT2" s="29"/>
      <c r="IU2" s="29"/>
      <c r="IV2" s="29"/>
      <c r="IW2" s="29"/>
      <c r="IX2" s="29"/>
      <c r="IY2" s="29"/>
      <c r="IZ2" s="29"/>
      <c r="JA2" s="29"/>
      <c r="JB2" s="29"/>
      <c r="JC2" s="29"/>
      <c r="JD2" s="29"/>
      <c r="JE2" s="29"/>
      <c r="JF2" s="29"/>
      <c r="JG2" s="29"/>
      <c r="JH2" s="29"/>
      <c r="JI2" s="29"/>
      <c r="JJ2" s="29"/>
      <c r="JK2" s="29"/>
      <c r="JL2" s="29"/>
      <c r="JM2" s="29"/>
      <c r="JN2" s="29"/>
      <c r="JO2" s="29"/>
      <c r="JP2" s="29"/>
      <c r="JQ2" s="29"/>
      <c r="JR2" s="29"/>
      <c r="JS2" s="29"/>
      <c r="JT2" s="29"/>
      <c r="JU2" s="29"/>
      <c r="JV2" s="29"/>
      <c r="JW2" s="29"/>
      <c r="JX2" s="29"/>
      <c r="JY2" s="29"/>
      <c r="JZ2" s="29"/>
      <c r="KA2" s="29"/>
      <c r="KB2" s="29"/>
      <c r="KC2" s="29"/>
      <c r="KD2" s="29"/>
      <c r="KE2" s="29"/>
      <c r="KF2" s="29"/>
      <c r="KG2" s="29"/>
      <c r="KH2" s="29"/>
      <c r="KI2" s="29"/>
      <c r="KJ2" s="29"/>
      <c r="KK2" s="29"/>
      <c r="KL2" s="29"/>
      <c r="KM2" s="29"/>
      <c r="KN2" s="29"/>
      <c r="KO2" s="29"/>
      <c r="KP2" s="29"/>
      <c r="KQ2" s="29"/>
      <c r="KR2" s="29"/>
      <c r="KS2" s="29"/>
      <c r="KT2" s="29"/>
      <c r="KU2" s="29"/>
      <c r="KV2" s="29"/>
      <c r="KW2" s="29"/>
      <c r="KX2" s="29"/>
      <c r="KY2" s="29"/>
      <c r="KZ2" s="29"/>
      <c r="LA2" s="29"/>
      <c r="LB2" s="29"/>
      <c r="LC2" s="29"/>
      <c r="LD2" s="29"/>
      <c r="LE2" s="29"/>
      <c r="LF2" s="29"/>
      <c r="LG2" s="29"/>
      <c r="LH2" s="29"/>
      <c r="LI2" s="29"/>
      <c r="LJ2" s="29"/>
      <c r="LK2" s="29"/>
      <c r="LL2" s="29"/>
      <c r="LM2" s="29"/>
      <c r="LN2" s="29"/>
      <c r="LO2" s="29"/>
      <c r="LP2" s="29"/>
      <c r="LQ2" s="29"/>
      <c r="LR2" s="29"/>
      <c r="LS2" s="29"/>
      <c r="LT2" s="29"/>
      <c r="LU2" s="29"/>
      <c r="LV2" s="29"/>
      <c r="LW2" s="29"/>
      <c r="LX2" s="29"/>
      <c r="LY2" s="29"/>
      <c r="LZ2" s="29"/>
      <c r="MA2" s="29"/>
      <c r="MB2" s="29"/>
      <c r="MC2" s="29"/>
      <c r="MD2" s="29"/>
      <c r="ME2" s="29"/>
      <c r="MF2" s="29"/>
      <c r="MG2" s="29"/>
      <c r="MH2" s="29"/>
      <c r="MI2" s="29"/>
      <c r="MJ2" s="29"/>
      <c r="MK2" s="29"/>
      <c r="ML2" s="29"/>
      <c r="MM2" s="29"/>
      <c r="MN2" s="29"/>
      <c r="MO2" s="29"/>
      <c r="MP2" s="29"/>
      <c r="MQ2" s="29"/>
      <c r="MR2" s="29"/>
      <c r="MS2" s="29"/>
      <c r="MT2" s="29"/>
      <c r="MU2" s="29"/>
      <c r="MV2" s="29"/>
      <c r="MW2" s="29"/>
      <c r="MX2" s="29"/>
      <c r="MY2" s="29"/>
      <c r="MZ2" s="29"/>
      <c r="NA2" s="29"/>
      <c r="NB2" s="29"/>
      <c r="NC2" s="29"/>
      <c r="ND2" s="29"/>
      <c r="NE2" s="29"/>
      <c r="NF2" s="29"/>
      <c r="NG2" s="29"/>
      <c r="NH2" s="29"/>
      <c r="NI2" s="29"/>
      <c r="NJ2" s="29"/>
      <c r="NK2" s="29"/>
      <c r="NL2" s="29"/>
      <c r="NM2" s="29"/>
      <c r="NN2" s="29"/>
      <c r="NO2" s="29"/>
      <c r="NP2" s="29"/>
      <c r="NQ2" s="29"/>
      <c r="NR2" s="29"/>
      <c r="NS2" s="29"/>
      <c r="NT2" s="29"/>
      <c r="NU2" s="29"/>
      <c r="NV2" s="29"/>
      <c r="NW2" s="29"/>
      <c r="NX2" s="29"/>
      <c r="NY2" s="29"/>
      <c r="NZ2" s="29"/>
      <c r="OA2" s="29"/>
      <c r="OB2" s="29"/>
      <c r="OC2" s="29"/>
      <c r="OD2" s="29"/>
      <c r="OE2" s="29"/>
      <c r="OF2" s="29"/>
      <c r="OG2" s="29"/>
      <c r="OH2" s="29"/>
      <c r="OI2" s="29"/>
      <c r="OJ2" s="29"/>
      <c r="OK2" s="29"/>
      <c r="OL2" s="29"/>
      <c r="OM2" s="29"/>
      <c r="ON2" s="29"/>
      <c r="OO2" s="29"/>
      <c r="OP2" s="29"/>
      <c r="OQ2" s="29"/>
      <c r="OR2" s="29"/>
      <c r="OS2" s="29"/>
      <c r="OT2" s="29"/>
      <c r="OU2" s="29"/>
      <c r="OV2" s="29"/>
    </row>
    <row r="3" ht="18.0" customHeight="1">
      <c r="A3" s="28">
        <v>2.0</v>
      </c>
      <c r="B3" s="29" t="s">
        <v>196</v>
      </c>
      <c r="C3" s="30" t="s">
        <v>995</v>
      </c>
      <c r="D3" s="29" t="s">
        <v>198</v>
      </c>
      <c r="E3" s="28">
        <v>100.0</v>
      </c>
      <c r="F3" s="28" t="str">
        <f t="shared" si="1"/>
        <v>#REF!</v>
      </c>
      <c r="G3" s="28">
        <f t="shared" si="2"/>
        <v>0</v>
      </c>
      <c r="H3" s="28">
        <f t="shared" si="3"/>
        <v>0</v>
      </c>
      <c r="I3" s="28">
        <f t="shared" si="4"/>
        <v>0</v>
      </c>
      <c r="J3" s="31" t="s">
        <v>856</v>
      </c>
      <c r="K3" s="31" t="b">
        <v>0</v>
      </c>
      <c r="L3" s="32" t="s">
        <v>91</v>
      </c>
      <c r="M3" s="29" t="str">
        <f>IFERROR(__xludf.DUMMYFUNCTION("IFERROR(TOROW(CHOOSECOLS(SORT(FILTER({'Tổng hợp 75 trang đích'!$J$2:$J$3260,'Tổng hợp 75 trang đích'!$I$2:$I$3260,MATCH('Tổng hợp 75 trang đích'!$K$2:$K$3260,{""PHÙ HỢP CAO"",""CÓ THỂ ĐI"",""CẦN SOÁT""},0)},'Tổng hợp 75 trang đích'!$B$2:$B$3260=$D3),3,TRU"&amp;"E),1,2)),"""")"),"")</f>
        <v/>
      </c>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c r="FQ3" s="29"/>
      <c r="FR3" s="29"/>
      <c r="FS3" s="29"/>
      <c r="FT3" s="29"/>
      <c r="FU3" s="29"/>
      <c r="FV3" s="29"/>
      <c r="FW3" s="29"/>
      <c r="FX3" s="29"/>
      <c r="FY3" s="29"/>
      <c r="FZ3" s="29"/>
      <c r="GA3" s="29"/>
      <c r="GB3" s="29"/>
      <c r="GC3" s="29"/>
      <c r="GD3" s="29"/>
      <c r="GE3" s="29"/>
      <c r="GF3" s="29"/>
      <c r="GG3" s="29"/>
      <c r="GH3" s="29"/>
      <c r="GI3" s="29"/>
      <c r="GJ3" s="29"/>
      <c r="GK3" s="29"/>
      <c r="GL3" s="29"/>
      <c r="GM3" s="29"/>
      <c r="GN3" s="29"/>
      <c r="GO3" s="29"/>
      <c r="GP3" s="29"/>
      <c r="GQ3" s="29"/>
      <c r="GR3" s="29"/>
      <c r="GS3" s="29"/>
      <c r="GT3" s="29"/>
      <c r="GU3" s="29"/>
      <c r="GV3" s="29"/>
      <c r="GW3" s="29"/>
      <c r="GX3" s="29"/>
      <c r="GY3" s="29"/>
      <c r="GZ3" s="29"/>
      <c r="HA3" s="29"/>
      <c r="HB3" s="29"/>
      <c r="HC3" s="29"/>
      <c r="HD3" s="29"/>
      <c r="HE3" s="29"/>
      <c r="HF3" s="29"/>
      <c r="HG3" s="29"/>
      <c r="HH3" s="29"/>
      <c r="HI3" s="29"/>
      <c r="HJ3" s="29"/>
      <c r="HK3" s="29"/>
      <c r="HL3" s="29"/>
      <c r="HM3" s="29"/>
      <c r="HN3" s="29"/>
      <c r="HO3" s="29"/>
      <c r="HP3" s="29"/>
      <c r="HQ3" s="29"/>
      <c r="HR3" s="29"/>
      <c r="HS3" s="29"/>
      <c r="HT3" s="29"/>
      <c r="HU3" s="29"/>
      <c r="HV3" s="29"/>
      <c r="HW3" s="29"/>
      <c r="HX3" s="29"/>
      <c r="HY3" s="29"/>
      <c r="HZ3" s="29"/>
      <c r="IA3" s="29"/>
      <c r="IB3" s="29"/>
      <c r="IC3" s="29"/>
      <c r="ID3" s="29"/>
      <c r="IE3" s="29"/>
      <c r="IF3" s="29"/>
      <c r="IG3" s="29"/>
      <c r="IH3" s="29"/>
      <c r="II3" s="29"/>
      <c r="IJ3" s="29"/>
      <c r="IK3" s="29"/>
      <c r="IL3" s="29"/>
      <c r="IM3" s="29"/>
      <c r="IN3" s="29"/>
      <c r="IO3" s="29"/>
      <c r="IP3" s="29"/>
      <c r="IQ3" s="29"/>
      <c r="IR3" s="29"/>
      <c r="IS3" s="29"/>
      <c r="IT3" s="29"/>
      <c r="IU3" s="29"/>
      <c r="IV3" s="29"/>
      <c r="IW3" s="29"/>
      <c r="IX3" s="29"/>
      <c r="IY3" s="29"/>
      <c r="IZ3" s="29"/>
      <c r="JA3" s="29"/>
      <c r="JB3" s="29"/>
      <c r="JC3" s="29"/>
      <c r="JD3" s="29"/>
      <c r="JE3" s="29"/>
      <c r="JF3" s="29"/>
      <c r="JG3" s="29"/>
      <c r="JH3" s="29"/>
      <c r="JI3" s="29"/>
      <c r="JJ3" s="29"/>
      <c r="JK3" s="29"/>
      <c r="JL3" s="29"/>
      <c r="JM3" s="29"/>
      <c r="JN3" s="29"/>
      <c r="JO3" s="29"/>
      <c r="JP3" s="29"/>
      <c r="JQ3" s="29"/>
      <c r="JR3" s="29"/>
      <c r="JS3" s="29"/>
      <c r="JT3" s="29"/>
      <c r="JU3" s="29"/>
      <c r="JV3" s="29"/>
      <c r="JW3" s="29"/>
      <c r="JX3" s="29"/>
      <c r="JY3" s="29"/>
      <c r="JZ3" s="29"/>
      <c r="KA3" s="29"/>
      <c r="KB3" s="29"/>
      <c r="KC3" s="29"/>
      <c r="KD3" s="29"/>
      <c r="KE3" s="29"/>
      <c r="KF3" s="29"/>
      <c r="KG3" s="29"/>
      <c r="KH3" s="29"/>
      <c r="KI3" s="29"/>
      <c r="KJ3" s="29"/>
      <c r="KK3" s="29"/>
      <c r="KL3" s="29"/>
      <c r="KM3" s="29"/>
      <c r="KN3" s="29"/>
      <c r="KO3" s="29"/>
      <c r="KP3" s="29"/>
      <c r="KQ3" s="29"/>
      <c r="KR3" s="29"/>
      <c r="KS3" s="29"/>
      <c r="KT3" s="29"/>
      <c r="KU3" s="29"/>
      <c r="KV3" s="29"/>
      <c r="KW3" s="29"/>
      <c r="KX3" s="29"/>
      <c r="KY3" s="29"/>
      <c r="KZ3" s="29"/>
      <c r="LA3" s="29"/>
      <c r="LB3" s="29"/>
      <c r="LC3" s="29"/>
      <c r="LD3" s="29"/>
      <c r="LE3" s="29"/>
      <c r="LF3" s="29"/>
      <c r="LG3" s="29"/>
      <c r="LH3" s="29"/>
      <c r="LI3" s="29"/>
      <c r="LJ3" s="29"/>
      <c r="LK3" s="29"/>
      <c r="LL3" s="29"/>
      <c r="LM3" s="29"/>
      <c r="LN3" s="29"/>
      <c r="LO3" s="29"/>
      <c r="LP3" s="29"/>
      <c r="LQ3" s="29"/>
      <c r="LR3" s="29"/>
      <c r="LS3" s="29"/>
      <c r="LT3" s="29"/>
      <c r="LU3" s="29"/>
      <c r="LV3" s="29"/>
      <c r="LW3" s="29"/>
      <c r="LX3" s="29"/>
      <c r="LY3" s="29"/>
      <c r="LZ3" s="29"/>
      <c r="MA3" s="29"/>
      <c r="MB3" s="29"/>
      <c r="MC3" s="29"/>
      <c r="MD3" s="29"/>
      <c r="ME3" s="29"/>
      <c r="MF3" s="29"/>
      <c r="MG3" s="29"/>
      <c r="MH3" s="29"/>
      <c r="MI3" s="29"/>
      <c r="MJ3" s="29"/>
      <c r="MK3" s="29"/>
      <c r="ML3" s="29"/>
      <c r="MM3" s="29"/>
      <c r="MN3" s="29"/>
      <c r="MO3" s="29"/>
      <c r="MP3" s="29"/>
      <c r="MQ3" s="29"/>
      <c r="MR3" s="29"/>
      <c r="MS3" s="29"/>
      <c r="MT3" s="29"/>
      <c r="MU3" s="29"/>
      <c r="MV3" s="29"/>
      <c r="MW3" s="29"/>
      <c r="MX3" s="29"/>
      <c r="MY3" s="29"/>
      <c r="MZ3" s="29"/>
      <c r="NA3" s="29"/>
      <c r="NB3" s="29"/>
      <c r="NC3" s="29"/>
      <c r="ND3" s="29"/>
      <c r="NE3" s="29"/>
      <c r="NF3" s="29"/>
      <c r="NG3" s="29"/>
      <c r="NH3" s="29"/>
      <c r="NI3" s="29"/>
      <c r="NJ3" s="29"/>
      <c r="NK3" s="29"/>
      <c r="NL3" s="29"/>
      <c r="NM3" s="29"/>
      <c r="NN3" s="29"/>
      <c r="NO3" s="29"/>
      <c r="NP3" s="29"/>
      <c r="NQ3" s="29"/>
      <c r="NR3" s="29"/>
      <c r="NS3" s="29"/>
      <c r="NT3" s="29"/>
      <c r="NU3" s="29"/>
      <c r="NV3" s="29"/>
      <c r="NW3" s="29"/>
      <c r="NX3" s="29"/>
      <c r="NY3" s="29"/>
      <c r="NZ3" s="29"/>
      <c r="OA3" s="29"/>
      <c r="OB3" s="29"/>
      <c r="OC3" s="29"/>
      <c r="OD3" s="29"/>
      <c r="OE3" s="29"/>
      <c r="OF3" s="29"/>
      <c r="OG3" s="29"/>
      <c r="OH3" s="29"/>
      <c r="OI3" s="29"/>
      <c r="OJ3" s="29"/>
      <c r="OK3" s="29"/>
      <c r="OL3" s="29"/>
      <c r="OM3" s="29"/>
      <c r="ON3" s="29"/>
      <c r="OO3" s="29"/>
      <c r="OP3" s="29"/>
      <c r="OQ3" s="29"/>
      <c r="OR3" s="29"/>
      <c r="OS3" s="29"/>
      <c r="OT3" s="29"/>
      <c r="OU3" s="29"/>
      <c r="OV3" s="29"/>
    </row>
    <row r="4" ht="18.0" customHeight="1">
      <c r="A4" s="28">
        <v>3.0</v>
      </c>
      <c r="B4" s="29" t="s">
        <v>196</v>
      </c>
      <c r="C4" s="30" t="s">
        <v>1118</v>
      </c>
      <c r="D4" s="29" t="s">
        <v>122</v>
      </c>
      <c r="E4" s="28">
        <v>50.0</v>
      </c>
      <c r="F4" s="28" t="str">
        <f t="shared" si="1"/>
        <v>#REF!</v>
      </c>
      <c r="G4" s="28">
        <f t="shared" si="2"/>
        <v>0</v>
      </c>
      <c r="H4" s="28">
        <f t="shared" si="3"/>
        <v>0</v>
      </c>
      <c r="I4" s="28">
        <f t="shared" si="4"/>
        <v>0</v>
      </c>
      <c r="J4" s="31" t="s">
        <v>856</v>
      </c>
      <c r="K4" s="31" t="b">
        <v>0</v>
      </c>
      <c r="L4" s="32" t="s">
        <v>91</v>
      </c>
      <c r="M4" s="29" t="str">
        <f>IFERROR(__xludf.DUMMYFUNCTION("IFERROR(TOROW(CHOOSECOLS(SORT(FILTER({'Tổng hợp 75 trang đích'!$J$2:$J$3260,'Tổng hợp 75 trang đích'!$I$2:$I$3260,MATCH('Tổng hợp 75 trang đích'!$K$2:$K$3260,{""PHÙ HỢP CAO"",""CÓ THỂ ĐI"",""CẦN SOÁT""},0)},'Tổng hợp 75 trang đích'!$B$2:$B$3260=$D4),3,TRU"&amp;"E),1,2)),"""")"),"")</f>
        <v/>
      </c>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c r="FQ4" s="29"/>
      <c r="FR4" s="29"/>
      <c r="FS4" s="29"/>
      <c r="FT4" s="29"/>
      <c r="FU4" s="29"/>
      <c r="FV4" s="29"/>
      <c r="FW4" s="29"/>
      <c r="FX4" s="29"/>
      <c r="FY4" s="29"/>
      <c r="FZ4" s="29"/>
      <c r="GA4" s="29"/>
      <c r="GB4" s="29"/>
      <c r="GC4" s="29"/>
      <c r="GD4" s="29"/>
      <c r="GE4" s="29"/>
      <c r="GF4" s="29"/>
      <c r="GG4" s="29"/>
      <c r="GH4" s="29"/>
      <c r="GI4" s="29"/>
      <c r="GJ4" s="29"/>
      <c r="GK4" s="29"/>
      <c r="GL4" s="29"/>
      <c r="GM4" s="29"/>
      <c r="GN4" s="29"/>
      <c r="GO4" s="29"/>
      <c r="GP4" s="29"/>
      <c r="GQ4" s="29"/>
      <c r="GR4" s="29"/>
      <c r="GS4" s="29"/>
      <c r="GT4" s="29"/>
      <c r="GU4" s="29"/>
      <c r="GV4" s="29"/>
      <c r="GW4" s="29"/>
      <c r="GX4" s="29"/>
      <c r="GY4" s="29"/>
      <c r="GZ4" s="29"/>
      <c r="HA4" s="29"/>
      <c r="HB4" s="29"/>
      <c r="HC4" s="29"/>
      <c r="HD4" s="29"/>
      <c r="HE4" s="29"/>
      <c r="HF4" s="29"/>
      <c r="HG4" s="29"/>
      <c r="HH4" s="29"/>
      <c r="HI4" s="29"/>
      <c r="HJ4" s="29"/>
      <c r="HK4" s="29"/>
      <c r="HL4" s="29"/>
      <c r="HM4" s="29"/>
      <c r="HN4" s="29"/>
      <c r="HO4" s="29"/>
      <c r="HP4" s="29"/>
      <c r="HQ4" s="29"/>
      <c r="HR4" s="29"/>
      <c r="HS4" s="29"/>
      <c r="HT4" s="29"/>
      <c r="HU4" s="29"/>
      <c r="HV4" s="29"/>
      <c r="HW4" s="29"/>
      <c r="HX4" s="29"/>
      <c r="HY4" s="29"/>
      <c r="HZ4" s="29"/>
      <c r="IA4" s="29"/>
      <c r="IB4" s="29"/>
      <c r="IC4" s="29"/>
      <c r="ID4" s="29"/>
      <c r="IE4" s="29"/>
      <c r="IF4" s="29"/>
      <c r="IG4" s="29"/>
      <c r="IH4" s="29"/>
      <c r="II4" s="29"/>
      <c r="IJ4" s="29"/>
      <c r="IK4" s="29"/>
      <c r="IL4" s="29"/>
      <c r="IM4" s="29"/>
      <c r="IN4" s="29"/>
      <c r="IO4" s="29"/>
      <c r="IP4" s="29"/>
      <c r="IQ4" s="29"/>
      <c r="IR4" s="29"/>
      <c r="IS4" s="29"/>
      <c r="IT4" s="29"/>
      <c r="IU4" s="29"/>
      <c r="IV4" s="29"/>
      <c r="IW4" s="29"/>
      <c r="IX4" s="29"/>
      <c r="IY4" s="29"/>
      <c r="IZ4" s="29"/>
      <c r="JA4" s="29"/>
      <c r="JB4" s="29"/>
      <c r="JC4" s="29"/>
      <c r="JD4" s="29"/>
      <c r="JE4" s="29"/>
      <c r="JF4" s="29"/>
      <c r="JG4" s="29"/>
      <c r="JH4" s="29"/>
      <c r="JI4" s="29"/>
      <c r="JJ4" s="29"/>
      <c r="JK4" s="29"/>
      <c r="JL4" s="29"/>
      <c r="JM4" s="29"/>
      <c r="JN4" s="29"/>
      <c r="JO4" s="29"/>
      <c r="JP4" s="29"/>
      <c r="JQ4" s="29"/>
      <c r="JR4" s="29"/>
      <c r="JS4" s="29"/>
      <c r="JT4" s="29"/>
      <c r="JU4" s="29"/>
      <c r="JV4" s="29"/>
      <c r="JW4" s="29"/>
      <c r="JX4" s="29"/>
      <c r="JY4" s="29"/>
      <c r="JZ4" s="29"/>
      <c r="KA4" s="29"/>
      <c r="KB4" s="29"/>
      <c r="KC4" s="29"/>
      <c r="KD4" s="29"/>
      <c r="KE4" s="29"/>
      <c r="KF4" s="29"/>
      <c r="KG4" s="29"/>
      <c r="KH4" s="29"/>
      <c r="KI4" s="29"/>
      <c r="KJ4" s="29"/>
      <c r="KK4" s="29"/>
      <c r="KL4" s="29"/>
      <c r="KM4" s="29"/>
      <c r="KN4" s="29"/>
      <c r="KO4" s="29"/>
      <c r="KP4" s="29"/>
      <c r="KQ4" s="29"/>
      <c r="KR4" s="29"/>
      <c r="KS4" s="29"/>
      <c r="KT4" s="29"/>
      <c r="KU4" s="29"/>
      <c r="KV4" s="29"/>
      <c r="KW4" s="29"/>
      <c r="KX4" s="29"/>
      <c r="KY4" s="29"/>
      <c r="KZ4" s="29"/>
      <c r="LA4" s="29"/>
      <c r="LB4" s="29"/>
      <c r="LC4" s="29"/>
      <c r="LD4" s="29"/>
      <c r="LE4" s="29"/>
      <c r="LF4" s="29"/>
      <c r="LG4" s="29"/>
      <c r="LH4" s="29"/>
      <c r="LI4" s="29"/>
      <c r="LJ4" s="29"/>
      <c r="LK4" s="29"/>
      <c r="LL4" s="29"/>
      <c r="LM4" s="29"/>
      <c r="LN4" s="29"/>
      <c r="LO4" s="29"/>
      <c r="LP4" s="29"/>
      <c r="LQ4" s="29"/>
      <c r="LR4" s="29"/>
      <c r="LS4" s="29"/>
      <c r="LT4" s="29"/>
      <c r="LU4" s="29"/>
      <c r="LV4" s="29"/>
      <c r="LW4" s="29"/>
      <c r="LX4" s="29"/>
      <c r="LY4" s="29"/>
      <c r="LZ4" s="29"/>
      <c r="MA4" s="29"/>
      <c r="MB4" s="29"/>
      <c r="MC4" s="29"/>
      <c r="MD4" s="29"/>
      <c r="ME4" s="29"/>
      <c r="MF4" s="29"/>
      <c r="MG4" s="29"/>
      <c r="MH4" s="29"/>
      <c r="MI4" s="29"/>
      <c r="MJ4" s="29"/>
      <c r="MK4" s="29"/>
      <c r="ML4" s="29"/>
      <c r="MM4" s="29"/>
      <c r="MN4" s="29"/>
      <c r="MO4" s="29"/>
      <c r="MP4" s="29"/>
      <c r="MQ4" s="29"/>
      <c r="MR4" s="29"/>
      <c r="MS4" s="29"/>
      <c r="MT4" s="29"/>
      <c r="MU4" s="29"/>
      <c r="MV4" s="29"/>
      <c r="MW4" s="29"/>
      <c r="MX4" s="29"/>
      <c r="MY4" s="29"/>
      <c r="MZ4" s="29"/>
      <c r="NA4" s="29"/>
      <c r="NB4" s="29"/>
      <c r="NC4" s="29"/>
      <c r="ND4" s="29"/>
      <c r="NE4" s="29"/>
      <c r="NF4" s="29"/>
      <c r="NG4" s="29"/>
      <c r="NH4" s="29"/>
      <c r="NI4" s="29"/>
      <c r="NJ4" s="29"/>
      <c r="NK4" s="29"/>
      <c r="NL4" s="29"/>
      <c r="NM4" s="29"/>
      <c r="NN4" s="29"/>
      <c r="NO4" s="29"/>
      <c r="NP4" s="29"/>
      <c r="NQ4" s="29"/>
      <c r="NR4" s="29"/>
      <c r="NS4" s="29"/>
      <c r="NT4" s="29"/>
      <c r="NU4" s="29"/>
      <c r="NV4" s="29"/>
      <c r="NW4" s="29"/>
      <c r="NX4" s="29"/>
      <c r="NY4" s="29"/>
      <c r="NZ4" s="29"/>
      <c r="OA4" s="29"/>
      <c r="OB4" s="29"/>
      <c r="OC4" s="29"/>
      <c r="OD4" s="29"/>
      <c r="OE4" s="29"/>
      <c r="OF4" s="29"/>
      <c r="OG4" s="29"/>
      <c r="OH4" s="29"/>
      <c r="OI4" s="29"/>
      <c r="OJ4" s="29"/>
      <c r="OK4" s="29"/>
      <c r="OL4" s="29"/>
      <c r="OM4" s="29"/>
      <c r="ON4" s="29"/>
      <c r="OO4" s="29"/>
      <c r="OP4" s="29"/>
      <c r="OQ4" s="29"/>
      <c r="OR4" s="29"/>
      <c r="OS4" s="29"/>
      <c r="OT4" s="29"/>
      <c r="OU4" s="29"/>
      <c r="OV4" s="29"/>
    </row>
    <row r="5" ht="18.0" customHeight="1">
      <c r="A5" s="28">
        <v>4.0</v>
      </c>
      <c r="B5" s="29" t="s">
        <v>196</v>
      </c>
      <c r="C5" s="30" t="s">
        <v>1201</v>
      </c>
      <c r="D5" s="29" t="s">
        <v>80</v>
      </c>
      <c r="E5" s="28">
        <v>50.0</v>
      </c>
      <c r="F5" s="28" t="str">
        <f t="shared" si="1"/>
        <v>#REF!</v>
      </c>
      <c r="G5" s="28">
        <f t="shared" si="2"/>
        <v>0</v>
      </c>
      <c r="H5" s="28">
        <f t="shared" si="3"/>
        <v>0</v>
      </c>
      <c r="I5" s="28">
        <f t="shared" si="4"/>
        <v>0</v>
      </c>
      <c r="J5" s="31" t="s">
        <v>856</v>
      </c>
      <c r="K5" s="31" t="b">
        <v>0</v>
      </c>
      <c r="L5" s="32" t="s">
        <v>91</v>
      </c>
      <c r="M5" s="29" t="str">
        <f>IFERROR(__xludf.DUMMYFUNCTION("IFERROR(TOROW(CHOOSECOLS(SORT(FILTER({'Tổng hợp 75 trang đích'!$J$2:$J$3260,'Tổng hợp 75 trang đích'!$I$2:$I$3260,MATCH('Tổng hợp 75 trang đích'!$K$2:$K$3260,{""PHÙ HỢP CAO"",""CÓ THỂ ĐI"",""CẦN SOÁT""},0)},'Tổng hợp 75 trang đích'!$B$2:$B$3260=$D5),3,TRU"&amp;"E),1,2)),"""")"),"")</f>
        <v/>
      </c>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29"/>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29"/>
      <c r="GU5" s="29"/>
      <c r="GV5" s="29"/>
      <c r="GW5" s="29"/>
      <c r="GX5" s="29"/>
      <c r="GY5" s="29"/>
      <c r="GZ5" s="29"/>
      <c r="HA5" s="29"/>
      <c r="HB5" s="29"/>
      <c r="HC5" s="29"/>
      <c r="HD5" s="29"/>
      <c r="HE5" s="29"/>
      <c r="HF5" s="29"/>
      <c r="HG5" s="29"/>
      <c r="HH5" s="29"/>
      <c r="HI5" s="29"/>
      <c r="HJ5" s="29"/>
      <c r="HK5" s="29"/>
      <c r="HL5" s="29"/>
      <c r="HM5" s="29"/>
      <c r="HN5" s="29"/>
      <c r="HO5" s="29"/>
      <c r="HP5" s="29"/>
      <c r="HQ5" s="29"/>
      <c r="HR5" s="29"/>
      <c r="HS5" s="29"/>
      <c r="HT5" s="29"/>
      <c r="HU5" s="29"/>
      <c r="HV5" s="29"/>
      <c r="HW5" s="29"/>
      <c r="HX5" s="29"/>
      <c r="HY5" s="29"/>
      <c r="HZ5" s="29"/>
      <c r="IA5" s="29"/>
      <c r="IB5" s="29"/>
      <c r="IC5" s="29"/>
      <c r="ID5" s="29"/>
      <c r="IE5" s="29"/>
      <c r="IF5" s="29"/>
      <c r="IG5" s="29"/>
      <c r="IH5" s="29"/>
      <c r="II5" s="29"/>
      <c r="IJ5" s="29"/>
      <c r="IK5" s="29"/>
      <c r="IL5" s="29"/>
      <c r="IM5" s="29"/>
      <c r="IN5" s="29"/>
      <c r="IO5" s="29"/>
      <c r="IP5" s="29"/>
      <c r="IQ5" s="29"/>
      <c r="IR5" s="29"/>
      <c r="IS5" s="29"/>
      <c r="IT5" s="29"/>
      <c r="IU5" s="29"/>
      <c r="IV5" s="29"/>
      <c r="IW5" s="29"/>
      <c r="IX5" s="29"/>
      <c r="IY5" s="29"/>
      <c r="IZ5" s="29"/>
      <c r="JA5" s="29"/>
      <c r="JB5" s="29"/>
      <c r="JC5" s="29"/>
      <c r="JD5" s="29"/>
      <c r="JE5" s="29"/>
      <c r="JF5" s="29"/>
      <c r="JG5" s="29"/>
      <c r="JH5" s="29"/>
      <c r="JI5" s="29"/>
      <c r="JJ5" s="29"/>
      <c r="JK5" s="29"/>
      <c r="JL5" s="29"/>
      <c r="JM5" s="29"/>
      <c r="JN5" s="29"/>
      <c r="JO5" s="29"/>
      <c r="JP5" s="29"/>
      <c r="JQ5" s="29"/>
      <c r="JR5" s="29"/>
      <c r="JS5" s="29"/>
      <c r="JT5" s="29"/>
      <c r="JU5" s="29"/>
      <c r="JV5" s="29"/>
      <c r="JW5" s="29"/>
      <c r="JX5" s="29"/>
      <c r="JY5" s="29"/>
      <c r="JZ5" s="29"/>
      <c r="KA5" s="29"/>
      <c r="KB5" s="29"/>
      <c r="KC5" s="29"/>
      <c r="KD5" s="29"/>
      <c r="KE5" s="29"/>
      <c r="KF5" s="29"/>
      <c r="KG5" s="29"/>
      <c r="KH5" s="29"/>
      <c r="KI5" s="29"/>
      <c r="KJ5" s="29"/>
      <c r="KK5" s="29"/>
      <c r="KL5" s="29"/>
      <c r="KM5" s="29"/>
      <c r="KN5" s="29"/>
      <c r="KO5" s="29"/>
      <c r="KP5" s="29"/>
      <c r="KQ5" s="29"/>
      <c r="KR5" s="29"/>
      <c r="KS5" s="29"/>
      <c r="KT5" s="29"/>
      <c r="KU5" s="29"/>
      <c r="KV5" s="29"/>
      <c r="KW5" s="29"/>
      <c r="KX5" s="29"/>
      <c r="KY5" s="29"/>
      <c r="KZ5" s="29"/>
      <c r="LA5" s="29"/>
      <c r="LB5" s="29"/>
      <c r="LC5" s="29"/>
      <c r="LD5" s="29"/>
      <c r="LE5" s="29"/>
      <c r="LF5" s="29"/>
      <c r="LG5" s="29"/>
      <c r="LH5" s="29"/>
      <c r="LI5" s="29"/>
      <c r="LJ5" s="29"/>
      <c r="LK5" s="29"/>
      <c r="LL5" s="29"/>
      <c r="LM5" s="29"/>
      <c r="LN5" s="29"/>
      <c r="LO5" s="29"/>
      <c r="LP5" s="29"/>
      <c r="LQ5" s="29"/>
      <c r="LR5" s="29"/>
      <c r="LS5" s="29"/>
      <c r="LT5" s="29"/>
      <c r="LU5" s="29"/>
      <c r="LV5" s="29"/>
      <c r="LW5" s="29"/>
      <c r="LX5" s="29"/>
      <c r="LY5" s="29"/>
      <c r="LZ5" s="29"/>
      <c r="MA5" s="29"/>
      <c r="MB5" s="29"/>
      <c r="MC5" s="29"/>
      <c r="MD5" s="29"/>
      <c r="ME5" s="29"/>
      <c r="MF5" s="29"/>
      <c r="MG5" s="29"/>
      <c r="MH5" s="29"/>
      <c r="MI5" s="29"/>
      <c r="MJ5" s="29"/>
      <c r="MK5" s="29"/>
      <c r="ML5" s="29"/>
      <c r="MM5" s="29"/>
      <c r="MN5" s="29"/>
      <c r="MO5" s="29"/>
      <c r="MP5" s="29"/>
      <c r="MQ5" s="29"/>
      <c r="MR5" s="29"/>
      <c r="MS5" s="29"/>
      <c r="MT5" s="29"/>
      <c r="MU5" s="29"/>
      <c r="MV5" s="29"/>
      <c r="MW5" s="29"/>
      <c r="MX5" s="29"/>
      <c r="MY5" s="29"/>
      <c r="MZ5" s="29"/>
      <c r="NA5" s="29"/>
      <c r="NB5" s="29"/>
      <c r="NC5" s="29"/>
      <c r="ND5" s="29"/>
      <c r="NE5" s="29"/>
      <c r="NF5" s="29"/>
      <c r="NG5" s="29"/>
      <c r="NH5" s="29"/>
      <c r="NI5" s="29"/>
      <c r="NJ5" s="29"/>
      <c r="NK5" s="29"/>
      <c r="NL5" s="29"/>
      <c r="NM5" s="29"/>
      <c r="NN5" s="29"/>
      <c r="NO5" s="29"/>
      <c r="NP5" s="29"/>
      <c r="NQ5" s="29"/>
      <c r="NR5" s="29"/>
      <c r="NS5" s="29"/>
      <c r="NT5" s="29"/>
      <c r="NU5" s="29"/>
      <c r="NV5" s="29"/>
      <c r="NW5" s="29"/>
      <c r="NX5" s="29"/>
      <c r="NY5" s="29"/>
      <c r="NZ5" s="29"/>
      <c r="OA5" s="29"/>
      <c r="OB5" s="29"/>
      <c r="OC5" s="29"/>
      <c r="OD5" s="29"/>
      <c r="OE5" s="29"/>
      <c r="OF5" s="29"/>
      <c r="OG5" s="29"/>
      <c r="OH5" s="29"/>
      <c r="OI5" s="29"/>
      <c r="OJ5" s="29"/>
      <c r="OK5" s="29"/>
      <c r="OL5" s="29"/>
      <c r="OM5" s="29"/>
      <c r="ON5" s="29"/>
      <c r="OO5" s="29"/>
      <c r="OP5" s="29"/>
      <c r="OQ5" s="29"/>
      <c r="OR5" s="29"/>
      <c r="OS5" s="29"/>
      <c r="OT5" s="29"/>
      <c r="OU5" s="29"/>
      <c r="OV5" s="29"/>
    </row>
    <row r="6" ht="18.0" customHeight="1">
      <c r="A6" s="28">
        <v>5.0</v>
      </c>
      <c r="B6" s="29" t="s">
        <v>196</v>
      </c>
      <c r="C6" s="30" t="s">
        <v>1324</v>
      </c>
      <c r="D6" s="29" t="s">
        <v>461</v>
      </c>
      <c r="E6" s="28">
        <v>30.0</v>
      </c>
      <c r="F6" s="28" t="str">
        <f t="shared" si="1"/>
        <v>#REF!</v>
      </c>
      <c r="G6" s="28">
        <f t="shared" si="2"/>
        <v>0</v>
      </c>
      <c r="H6" s="28">
        <f t="shared" si="3"/>
        <v>0</v>
      </c>
      <c r="I6" s="28">
        <f t="shared" si="4"/>
        <v>0</v>
      </c>
      <c r="J6" s="31" t="s">
        <v>856</v>
      </c>
      <c r="K6" s="31" t="b">
        <v>0</v>
      </c>
      <c r="L6" s="32" t="s">
        <v>91</v>
      </c>
      <c r="M6" s="29" t="str">
        <f>IFERROR(__xludf.DUMMYFUNCTION("IFERROR(TOROW(CHOOSECOLS(SORT(FILTER({'Tổng hợp 75 trang đích'!$J$2:$J$3260,'Tổng hợp 75 trang đích'!$I$2:$I$3260,MATCH('Tổng hợp 75 trang đích'!$K$2:$K$3260,{""PHÙ HỢP CAO"",""CÓ THỂ ĐI"",""CẦN SOÁT""},0)},'Tổng hợp 75 trang đích'!$B$2:$B$3260=$D6),3,TRU"&amp;"E),1,2)),"""")"),"")</f>
        <v/>
      </c>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c r="BS6" s="29"/>
      <c r="BT6" s="29"/>
      <c r="BU6" s="29"/>
      <c r="BV6" s="29"/>
      <c r="BW6" s="29"/>
      <c r="BX6" s="29"/>
      <c r="BY6" s="29"/>
      <c r="BZ6" s="29"/>
      <c r="CA6" s="29"/>
      <c r="CB6" s="29"/>
      <c r="CC6" s="29"/>
      <c r="CD6" s="29"/>
      <c r="CE6" s="29"/>
      <c r="CF6" s="29"/>
      <c r="CG6" s="29"/>
      <c r="CH6" s="29"/>
      <c r="CI6" s="29"/>
      <c r="CJ6" s="29"/>
      <c r="CK6" s="29"/>
      <c r="CL6" s="29"/>
      <c r="CM6" s="29"/>
      <c r="CN6" s="29"/>
      <c r="CO6" s="29"/>
      <c r="CP6" s="29"/>
      <c r="CQ6" s="29"/>
      <c r="CR6" s="29"/>
      <c r="CS6" s="29"/>
      <c r="CT6" s="29"/>
      <c r="CU6" s="29"/>
      <c r="CV6" s="29"/>
      <c r="CW6" s="29"/>
      <c r="CX6" s="29"/>
      <c r="CY6" s="29"/>
      <c r="CZ6" s="29"/>
      <c r="DA6" s="29"/>
      <c r="DB6" s="29"/>
      <c r="DC6" s="29"/>
      <c r="DD6" s="29"/>
      <c r="DE6" s="29"/>
      <c r="DF6" s="29"/>
      <c r="DG6" s="29"/>
      <c r="DH6" s="29"/>
      <c r="DI6" s="29"/>
      <c r="DJ6" s="29"/>
      <c r="DK6" s="29"/>
      <c r="DL6" s="29"/>
      <c r="DM6" s="29"/>
      <c r="DN6" s="29"/>
      <c r="DO6" s="29"/>
      <c r="DP6" s="29"/>
      <c r="DQ6" s="29"/>
      <c r="DR6" s="29"/>
      <c r="DS6" s="29"/>
      <c r="DT6" s="29"/>
      <c r="DU6" s="29"/>
      <c r="DV6" s="29"/>
      <c r="DW6" s="29"/>
      <c r="DX6" s="29"/>
      <c r="DY6" s="29"/>
      <c r="DZ6" s="29"/>
      <c r="EA6" s="29"/>
      <c r="EB6" s="29"/>
      <c r="EC6" s="29"/>
      <c r="ED6" s="29"/>
      <c r="EE6" s="29"/>
      <c r="EF6" s="29"/>
      <c r="EG6" s="29"/>
      <c r="EH6" s="29"/>
      <c r="EI6" s="29"/>
      <c r="EJ6" s="29"/>
      <c r="EK6" s="29"/>
      <c r="EL6" s="29"/>
      <c r="EM6" s="29"/>
      <c r="EN6" s="29"/>
      <c r="EO6" s="29"/>
      <c r="EP6" s="29"/>
      <c r="EQ6" s="29"/>
      <c r="ER6" s="29"/>
      <c r="ES6" s="29"/>
      <c r="ET6" s="29"/>
      <c r="EU6" s="29"/>
      <c r="EV6" s="29"/>
      <c r="EW6" s="29"/>
      <c r="EX6" s="29"/>
      <c r="EY6" s="29"/>
      <c r="EZ6" s="29"/>
      <c r="FA6" s="29"/>
      <c r="FB6" s="29"/>
      <c r="FC6" s="29"/>
      <c r="FD6" s="29"/>
      <c r="FE6" s="29"/>
      <c r="FF6" s="29"/>
      <c r="FG6" s="29"/>
      <c r="FH6" s="29"/>
      <c r="FI6" s="29"/>
      <c r="FJ6" s="29"/>
      <c r="FK6" s="29"/>
      <c r="FL6" s="29"/>
      <c r="FM6" s="29"/>
      <c r="FN6" s="29"/>
      <c r="FO6" s="29"/>
      <c r="FP6" s="29"/>
      <c r="FQ6" s="29"/>
      <c r="FR6" s="29"/>
      <c r="FS6" s="29"/>
      <c r="FT6" s="29"/>
      <c r="FU6" s="29"/>
      <c r="FV6" s="29"/>
      <c r="FW6" s="29"/>
      <c r="FX6" s="29"/>
      <c r="FY6" s="29"/>
      <c r="FZ6" s="29"/>
      <c r="GA6" s="29"/>
      <c r="GB6" s="29"/>
      <c r="GC6" s="29"/>
      <c r="GD6" s="29"/>
      <c r="GE6" s="29"/>
      <c r="GF6" s="29"/>
      <c r="GG6" s="29"/>
      <c r="GH6" s="29"/>
      <c r="GI6" s="29"/>
      <c r="GJ6" s="29"/>
      <c r="GK6" s="29"/>
      <c r="GL6" s="29"/>
      <c r="GM6" s="29"/>
      <c r="GN6" s="29"/>
      <c r="GO6" s="29"/>
      <c r="GP6" s="29"/>
      <c r="GQ6" s="29"/>
      <c r="GR6" s="29"/>
      <c r="GS6" s="29"/>
      <c r="GT6" s="29"/>
      <c r="GU6" s="29"/>
      <c r="GV6" s="29"/>
      <c r="GW6" s="29"/>
      <c r="GX6" s="29"/>
      <c r="GY6" s="29"/>
      <c r="GZ6" s="29"/>
      <c r="HA6" s="29"/>
      <c r="HB6" s="29"/>
      <c r="HC6" s="29"/>
      <c r="HD6" s="29"/>
      <c r="HE6" s="29"/>
      <c r="HF6" s="29"/>
      <c r="HG6" s="29"/>
      <c r="HH6" s="29"/>
      <c r="HI6" s="29"/>
      <c r="HJ6" s="29"/>
      <c r="HK6" s="29"/>
      <c r="HL6" s="29"/>
      <c r="HM6" s="29"/>
      <c r="HN6" s="29"/>
      <c r="HO6" s="29"/>
      <c r="HP6" s="29"/>
      <c r="HQ6" s="29"/>
      <c r="HR6" s="29"/>
      <c r="HS6" s="29"/>
      <c r="HT6" s="29"/>
      <c r="HU6" s="29"/>
      <c r="HV6" s="29"/>
      <c r="HW6" s="29"/>
      <c r="HX6" s="29"/>
      <c r="HY6" s="29"/>
      <c r="HZ6" s="29"/>
      <c r="IA6" s="29"/>
      <c r="IB6" s="29"/>
      <c r="IC6" s="29"/>
      <c r="ID6" s="29"/>
      <c r="IE6" s="29"/>
      <c r="IF6" s="29"/>
      <c r="IG6" s="29"/>
      <c r="IH6" s="29"/>
      <c r="II6" s="29"/>
      <c r="IJ6" s="29"/>
      <c r="IK6" s="29"/>
      <c r="IL6" s="29"/>
      <c r="IM6" s="29"/>
      <c r="IN6" s="29"/>
      <c r="IO6" s="29"/>
      <c r="IP6" s="29"/>
      <c r="IQ6" s="29"/>
      <c r="IR6" s="29"/>
      <c r="IS6" s="29"/>
      <c r="IT6" s="29"/>
      <c r="IU6" s="29"/>
      <c r="IV6" s="29"/>
      <c r="IW6" s="29"/>
      <c r="IX6" s="29"/>
      <c r="IY6" s="29"/>
      <c r="IZ6" s="29"/>
      <c r="JA6" s="29"/>
      <c r="JB6" s="29"/>
      <c r="JC6" s="29"/>
      <c r="JD6" s="29"/>
      <c r="JE6" s="29"/>
      <c r="JF6" s="29"/>
      <c r="JG6" s="29"/>
      <c r="JH6" s="29"/>
      <c r="JI6" s="29"/>
      <c r="JJ6" s="29"/>
      <c r="JK6" s="29"/>
      <c r="JL6" s="29"/>
      <c r="JM6" s="29"/>
      <c r="JN6" s="29"/>
      <c r="JO6" s="29"/>
      <c r="JP6" s="29"/>
      <c r="JQ6" s="29"/>
      <c r="JR6" s="29"/>
      <c r="JS6" s="29"/>
      <c r="JT6" s="29"/>
      <c r="JU6" s="29"/>
      <c r="JV6" s="29"/>
      <c r="JW6" s="29"/>
      <c r="JX6" s="29"/>
      <c r="JY6" s="29"/>
      <c r="JZ6" s="29"/>
      <c r="KA6" s="29"/>
      <c r="KB6" s="29"/>
      <c r="KC6" s="29"/>
      <c r="KD6" s="29"/>
      <c r="KE6" s="29"/>
      <c r="KF6" s="29"/>
      <c r="KG6" s="29"/>
      <c r="KH6" s="29"/>
      <c r="KI6" s="29"/>
      <c r="KJ6" s="29"/>
      <c r="KK6" s="29"/>
      <c r="KL6" s="29"/>
      <c r="KM6" s="29"/>
      <c r="KN6" s="29"/>
      <c r="KO6" s="29"/>
      <c r="KP6" s="29"/>
      <c r="KQ6" s="29"/>
      <c r="KR6" s="29"/>
      <c r="KS6" s="29"/>
      <c r="KT6" s="29"/>
      <c r="KU6" s="29"/>
      <c r="KV6" s="29"/>
      <c r="KW6" s="29"/>
      <c r="KX6" s="29"/>
      <c r="KY6" s="29"/>
      <c r="KZ6" s="29"/>
      <c r="LA6" s="29"/>
      <c r="LB6" s="29"/>
      <c r="LC6" s="29"/>
      <c r="LD6" s="29"/>
      <c r="LE6" s="29"/>
      <c r="LF6" s="29"/>
      <c r="LG6" s="29"/>
      <c r="LH6" s="29"/>
      <c r="LI6" s="29"/>
      <c r="LJ6" s="29"/>
      <c r="LK6" s="29"/>
      <c r="LL6" s="29"/>
      <c r="LM6" s="29"/>
      <c r="LN6" s="29"/>
      <c r="LO6" s="29"/>
      <c r="LP6" s="29"/>
      <c r="LQ6" s="29"/>
      <c r="LR6" s="29"/>
      <c r="LS6" s="29"/>
      <c r="LT6" s="29"/>
      <c r="LU6" s="29"/>
      <c r="LV6" s="29"/>
      <c r="LW6" s="29"/>
      <c r="LX6" s="29"/>
      <c r="LY6" s="29"/>
      <c r="LZ6" s="29"/>
      <c r="MA6" s="29"/>
      <c r="MB6" s="29"/>
      <c r="MC6" s="29"/>
      <c r="MD6" s="29"/>
      <c r="ME6" s="29"/>
      <c r="MF6" s="29"/>
      <c r="MG6" s="29"/>
      <c r="MH6" s="29"/>
      <c r="MI6" s="29"/>
      <c r="MJ6" s="29"/>
      <c r="MK6" s="29"/>
      <c r="ML6" s="29"/>
      <c r="MM6" s="29"/>
      <c r="MN6" s="29"/>
      <c r="MO6" s="29"/>
      <c r="MP6" s="29"/>
      <c r="MQ6" s="29"/>
      <c r="MR6" s="29"/>
      <c r="MS6" s="29"/>
      <c r="MT6" s="29"/>
      <c r="MU6" s="29"/>
      <c r="MV6" s="29"/>
      <c r="MW6" s="29"/>
      <c r="MX6" s="29"/>
      <c r="MY6" s="29"/>
      <c r="MZ6" s="29"/>
      <c r="NA6" s="29"/>
      <c r="NB6" s="29"/>
      <c r="NC6" s="29"/>
      <c r="ND6" s="29"/>
      <c r="NE6" s="29"/>
      <c r="NF6" s="29"/>
      <c r="NG6" s="29"/>
      <c r="NH6" s="29"/>
      <c r="NI6" s="29"/>
      <c r="NJ6" s="29"/>
      <c r="NK6" s="29"/>
      <c r="NL6" s="29"/>
      <c r="NM6" s="29"/>
      <c r="NN6" s="29"/>
      <c r="NO6" s="29"/>
      <c r="NP6" s="29"/>
      <c r="NQ6" s="29"/>
      <c r="NR6" s="29"/>
      <c r="NS6" s="29"/>
      <c r="NT6" s="29"/>
      <c r="NU6" s="29"/>
      <c r="NV6" s="29"/>
      <c r="NW6" s="29"/>
      <c r="NX6" s="29"/>
      <c r="NY6" s="29"/>
      <c r="NZ6" s="29"/>
      <c r="OA6" s="29"/>
      <c r="OB6" s="29"/>
      <c r="OC6" s="29"/>
      <c r="OD6" s="29"/>
      <c r="OE6" s="29"/>
      <c r="OF6" s="29"/>
      <c r="OG6" s="29"/>
      <c r="OH6" s="29"/>
      <c r="OI6" s="29"/>
      <c r="OJ6" s="29"/>
      <c r="OK6" s="29"/>
      <c r="OL6" s="29"/>
      <c r="OM6" s="29"/>
      <c r="ON6" s="29"/>
      <c r="OO6" s="29"/>
      <c r="OP6" s="29"/>
      <c r="OQ6" s="29"/>
      <c r="OR6" s="29"/>
      <c r="OS6" s="29"/>
      <c r="OT6" s="29"/>
      <c r="OU6" s="29"/>
      <c r="OV6" s="29"/>
    </row>
    <row r="7" ht="18.0" customHeight="1">
      <c r="A7" s="28">
        <v>6.0</v>
      </c>
      <c r="B7" s="29" t="s">
        <v>196</v>
      </c>
      <c r="C7" s="30" t="s">
        <v>1432</v>
      </c>
      <c r="D7" s="29" t="s">
        <v>236</v>
      </c>
      <c r="E7" s="28">
        <v>30.0</v>
      </c>
      <c r="F7" s="28" t="str">
        <f t="shared" si="1"/>
        <v>#REF!</v>
      </c>
      <c r="G7" s="28">
        <f t="shared" si="2"/>
        <v>0</v>
      </c>
      <c r="H7" s="28">
        <f t="shared" si="3"/>
        <v>0</v>
      </c>
      <c r="I7" s="28">
        <f t="shared" si="4"/>
        <v>0</v>
      </c>
      <c r="J7" s="31" t="s">
        <v>856</v>
      </c>
      <c r="K7" s="31" t="b">
        <v>0</v>
      </c>
      <c r="L7" s="32" t="s">
        <v>91</v>
      </c>
      <c r="M7" s="29" t="str">
        <f>IFERROR(__xludf.DUMMYFUNCTION("IFERROR(TOROW(CHOOSECOLS(SORT(FILTER({'Tổng hợp 75 trang đích'!$J$2:$J$3260,'Tổng hợp 75 trang đích'!$I$2:$I$3260,MATCH('Tổng hợp 75 trang đích'!$K$2:$K$3260,{""PHÙ HỢP CAO"",""CÓ THỂ ĐI"",""CẦN SOÁT""},0)},'Tổng hợp 75 trang đích'!$B$2:$B$3260=$D7),3,TRU"&amp;"E),1,2)),"""")"),"")</f>
        <v/>
      </c>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c r="CA7" s="29"/>
      <c r="CB7" s="29"/>
      <c r="CC7" s="29"/>
      <c r="CD7" s="29"/>
      <c r="CE7" s="29"/>
      <c r="CF7" s="29"/>
      <c r="CG7" s="29"/>
      <c r="CH7" s="29"/>
      <c r="CI7" s="29"/>
      <c r="CJ7" s="29"/>
      <c r="CK7" s="29"/>
      <c r="CL7" s="29"/>
      <c r="CM7" s="29"/>
      <c r="CN7" s="29"/>
      <c r="CO7" s="29"/>
      <c r="CP7" s="29"/>
      <c r="CQ7" s="29"/>
      <c r="CR7" s="29"/>
      <c r="CS7" s="29"/>
      <c r="CT7" s="29"/>
      <c r="CU7" s="29"/>
      <c r="CV7" s="29"/>
      <c r="CW7" s="29"/>
      <c r="CX7" s="29"/>
      <c r="CY7" s="29"/>
      <c r="CZ7" s="29"/>
      <c r="DA7" s="29"/>
      <c r="DB7" s="29"/>
      <c r="DC7" s="29"/>
      <c r="DD7" s="29"/>
      <c r="DE7" s="29"/>
      <c r="DF7" s="29"/>
      <c r="DG7" s="29"/>
      <c r="DH7" s="29"/>
      <c r="DI7" s="29"/>
      <c r="DJ7" s="29"/>
      <c r="DK7" s="29"/>
      <c r="DL7" s="29"/>
      <c r="DM7" s="29"/>
      <c r="DN7" s="29"/>
      <c r="DO7" s="29"/>
      <c r="DP7" s="29"/>
      <c r="DQ7" s="29"/>
      <c r="DR7" s="29"/>
      <c r="DS7" s="29"/>
      <c r="DT7" s="29"/>
      <c r="DU7" s="29"/>
      <c r="DV7" s="29"/>
      <c r="DW7" s="29"/>
      <c r="DX7" s="29"/>
      <c r="DY7" s="29"/>
      <c r="DZ7" s="29"/>
      <c r="EA7" s="29"/>
      <c r="EB7" s="29"/>
      <c r="EC7" s="29"/>
      <c r="ED7" s="29"/>
      <c r="EE7" s="29"/>
      <c r="EF7" s="29"/>
      <c r="EG7" s="29"/>
      <c r="EH7" s="29"/>
      <c r="EI7" s="29"/>
      <c r="EJ7" s="29"/>
      <c r="EK7" s="29"/>
      <c r="EL7" s="29"/>
      <c r="EM7" s="29"/>
      <c r="EN7" s="29"/>
      <c r="EO7" s="29"/>
      <c r="EP7" s="29"/>
      <c r="EQ7" s="29"/>
      <c r="ER7" s="29"/>
      <c r="ES7" s="29"/>
      <c r="ET7" s="29"/>
      <c r="EU7" s="29"/>
      <c r="EV7" s="29"/>
      <c r="EW7" s="29"/>
      <c r="EX7" s="29"/>
      <c r="EY7" s="29"/>
      <c r="EZ7" s="29"/>
      <c r="FA7" s="29"/>
      <c r="FB7" s="29"/>
      <c r="FC7" s="29"/>
      <c r="FD7" s="29"/>
      <c r="FE7" s="29"/>
      <c r="FF7" s="29"/>
      <c r="FG7" s="29"/>
      <c r="FH7" s="29"/>
      <c r="FI7" s="29"/>
      <c r="FJ7" s="29"/>
      <c r="FK7" s="29"/>
      <c r="FL7" s="29"/>
      <c r="FM7" s="29"/>
      <c r="FN7" s="29"/>
      <c r="FO7" s="29"/>
      <c r="FP7" s="29"/>
      <c r="FQ7" s="29"/>
      <c r="FR7" s="29"/>
      <c r="FS7" s="29"/>
      <c r="FT7" s="29"/>
      <c r="FU7" s="29"/>
      <c r="FV7" s="29"/>
      <c r="FW7" s="29"/>
      <c r="FX7" s="29"/>
      <c r="FY7" s="29"/>
      <c r="FZ7" s="29"/>
      <c r="GA7" s="29"/>
      <c r="GB7" s="29"/>
      <c r="GC7" s="29"/>
      <c r="GD7" s="29"/>
      <c r="GE7" s="29"/>
      <c r="GF7" s="29"/>
      <c r="GG7" s="29"/>
      <c r="GH7" s="29"/>
      <c r="GI7" s="29"/>
      <c r="GJ7" s="29"/>
      <c r="GK7" s="29"/>
      <c r="GL7" s="29"/>
      <c r="GM7" s="29"/>
      <c r="GN7" s="29"/>
      <c r="GO7" s="29"/>
      <c r="GP7" s="29"/>
      <c r="GQ7" s="29"/>
      <c r="GR7" s="29"/>
      <c r="GS7" s="29"/>
      <c r="GT7" s="29"/>
      <c r="GU7" s="29"/>
      <c r="GV7" s="29"/>
      <c r="GW7" s="29"/>
      <c r="GX7" s="29"/>
      <c r="GY7" s="29"/>
      <c r="GZ7" s="29"/>
      <c r="HA7" s="29"/>
      <c r="HB7" s="29"/>
      <c r="HC7" s="29"/>
      <c r="HD7" s="29"/>
      <c r="HE7" s="29"/>
      <c r="HF7" s="29"/>
      <c r="HG7" s="29"/>
      <c r="HH7" s="29"/>
      <c r="HI7" s="29"/>
      <c r="HJ7" s="29"/>
      <c r="HK7" s="29"/>
      <c r="HL7" s="29"/>
      <c r="HM7" s="29"/>
      <c r="HN7" s="29"/>
      <c r="HO7" s="29"/>
      <c r="HP7" s="29"/>
      <c r="HQ7" s="29"/>
      <c r="HR7" s="29"/>
      <c r="HS7" s="29"/>
      <c r="HT7" s="29"/>
      <c r="HU7" s="29"/>
      <c r="HV7" s="29"/>
      <c r="HW7" s="29"/>
      <c r="HX7" s="29"/>
      <c r="HY7" s="29"/>
      <c r="HZ7" s="29"/>
      <c r="IA7" s="29"/>
      <c r="IB7" s="29"/>
      <c r="IC7" s="29"/>
      <c r="ID7" s="29"/>
      <c r="IE7" s="29"/>
      <c r="IF7" s="29"/>
      <c r="IG7" s="29"/>
      <c r="IH7" s="29"/>
      <c r="II7" s="29"/>
      <c r="IJ7" s="29"/>
      <c r="IK7" s="29"/>
      <c r="IL7" s="29"/>
      <c r="IM7" s="29"/>
      <c r="IN7" s="29"/>
      <c r="IO7" s="29"/>
      <c r="IP7" s="29"/>
      <c r="IQ7" s="29"/>
      <c r="IR7" s="29"/>
      <c r="IS7" s="29"/>
      <c r="IT7" s="29"/>
      <c r="IU7" s="29"/>
      <c r="IV7" s="29"/>
      <c r="IW7" s="29"/>
      <c r="IX7" s="29"/>
      <c r="IY7" s="29"/>
      <c r="IZ7" s="29"/>
      <c r="JA7" s="29"/>
      <c r="JB7" s="29"/>
      <c r="JC7" s="29"/>
      <c r="JD7" s="29"/>
      <c r="JE7" s="29"/>
      <c r="JF7" s="29"/>
      <c r="JG7" s="29"/>
      <c r="JH7" s="29"/>
      <c r="JI7" s="29"/>
      <c r="JJ7" s="29"/>
      <c r="JK7" s="29"/>
      <c r="JL7" s="29"/>
      <c r="JM7" s="29"/>
      <c r="JN7" s="29"/>
      <c r="JO7" s="29"/>
      <c r="JP7" s="29"/>
      <c r="JQ7" s="29"/>
      <c r="JR7" s="29"/>
      <c r="JS7" s="29"/>
      <c r="JT7" s="29"/>
      <c r="JU7" s="29"/>
      <c r="JV7" s="29"/>
      <c r="JW7" s="29"/>
      <c r="JX7" s="29"/>
      <c r="JY7" s="29"/>
      <c r="JZ7" s="29"/>
      <c r="KA7" s="29"/>
      <c r="KB7" s="29"/>
      <c r="KC7" s="29"/>
      <c r="KD7" s="29"/>
      <c r="KE7" s="29"/>
      <c r="KF7" s="29"/>
      <c r="KG7" s="29"/>
      <c r="KH7" s="29"/>
      <c r="KI7" s="29"/>
      <c r="KJ7" s="29"/>
      <c r="KK7" s="29"/>
      <c r="KL7" s="29"/>
      <c r="KM7" s="29"/>
      <c r="KN7" s="29"/>
      <c r="KO7" s="29"/>
      <c r="KP7" s="29"/>
      <c r="KQ7" s="29"/>
      <c r="KR7" s="29"/>
      <c r="KS7" s="29"/>
      <c r="KT7" s="29"/>
      <c r="KU7" s="29"/>
      <c r="KV7" s="29"/>
      <c r="KW7" s="29"/>
      <c r="KX7" s="29"/>
      <c r="KY7" s="29"/>
      <c r="KZ7" s="29"/>
      <c r="LA7" s="29"/>
      <c r="LB7" s="29"/>
      <c r="LC7" s="29"/>
      <c r="LD7" s="29"/>
      <c r="LE7" s="29"/>
      <c r="LF7" s="29"/>
      <c r="LG7" s="29"/>
      <c r="LH7" s="29"/>
      <c r="LI7" s="29"/>
      <c r="LJ7" s="29"/>
      <c r="LK7" s="29"/>
      <c r="LL7" s="29"/>
      <c r="LM7" s="29"/>
      <c r="LN7" s="29"/>
      <c r="LO7" s="29"/>
      <c r="LP7" s="29"/>
      <c r="LQ7" s="29"/>
      <c r="LR7" s="29"/>
      <c r="LS7" s="29"/>
      <c r="LT7" s="29"/>
      <c r="LU7" s="29"/>
      <c r="LV7" s="29"/>
      <c r="LW7" s="29"/>
      <c r="LX7" s="29"/>
      <c r="LY7" s="29"/>
      <c r="LZ7" s="29"/>
      <c r="MA7" s="29"/>
      <c r="MB7" s="29"/>
      <c r="MC7" s="29"/>
      <c r="MD7" s="29"/>
      <c r="ME7" s="29"/>
      <c r="MF7" s="29"/>
      <c r="MG7" s="29"/>
      <c r="MH7" s="29"/>
      <c r="MI7" s="29"/>
      <c r="MJ7" s="29"/>
      <c r="MK7" s="29"/>
      <c r="ML7" s="29"/>
      <c r="MM7" s="29"/>
      <c r="MN7" s="29"/>
      <c r="MO7" s="29"/>
      <c r="MP7" s="29"/>
      <c r="MQ7" s="29"/>
      <c r="MR7" s="29"/>
      <c r="MS7" s="29"/>
      <c r="MT7" s="29"/>
      <c r="MU7" s="29"/>
      <c r="MV7" s="29"/>
      <c r="MW7" s="29"/>
      <c r="MX7" s="29"/>
      <c r="MY7" s="29"/>
      <c r="MZ7" s="29"/>
      <c r="NA7" s="29"/>
      <c r="NB7" s="29"/>
      <c r="NC7" s="29"/>
      <c r="ND7" s="29"/>
      <c r="NE7" s="29"/>
      <c r="NF7" s="29"/>
      <c r="NG7" s="29"/>
      <c r="NH7" s="29"/>
      <c r="NI7" s="29"/>
      <c r="NJ7" s="29"/>
      <c r="NK7" s="29"/>
      <c r="NL7" s="29"/>
      <c r="NM7" s="29"/>
      <c r="NN7" s="29"/>
      <c r="NO7" s="29"/>
      <c r="NP7" s="29"/>
      <c r="NQ7" s="29"/>
      <c r="NR7" s="29"/>
      <c r="NS7" s="29"/>
      <c r="NT7" s="29"/>
      <c r="NU7" s="29"/>
      <c r="NV7" s="29"/>
      <c r="NW7" s="29"/>
      <c r="NX7" s="29"/>
      <c r="NY7" s="29"/>
      <c r="NZ7" s="29"/>
      <c r="OA7" s="29"/>
      <c r="OB7" s="29"/>
      <c r="OC7" s="29"/>
      <c r="OD7" s="29"/>
      <c r="OE7" s="29"/>
      <c r="OF7" s="29"/>
      <c r="OG7" s="29"/>
      <c r="OH7" s="29"/>
      <c r="OI7" s="29"/>
      <c r="OJ7" s="29"/>
      <c r="OK7" s="29"/>
      <c r="OL7" s="29"/>
      <c r="OM7" s="29"/>
      <c r="ON7" s="29"/>
      <c r="OO7" s="29"/>
      <c r="OP7" s="29"/>
      <c r="OQ7" s="29"/>
      <c r="OR7" s="29"/>
      <c r="OS7" s="29"/>
      <c r="OT7" s="29"/>
      <c r="OU7" s="29"/>
      <c r="OV7" s="29"/>
    </row>
    <row r="8" ht="18.0" customHeight="1">
      <c r="A8" s="28">
        <v>7.0</v>
      </c>
      <c r="B8" s="29" t="s">
        <v>196</v>
      </c>
      <c r="C8" s="30" t="s">
        <v>1482</v>
      </c>
      <c r="D8" s="29" t="s">
        <v>658</v>
      </c>
      <c r="E8" s="28">
        <v>30.0</v>
      </c>
      <c r="F8" s="28" t="str">
        <f t="shared" si="1"/>
        <v>#REF!</v>
      </c>
      <c r="G8" s="28">
        <f t="shared" si="2"/>
        <v>0</v>
      </c>
      <c r="H8" s="28">
        <f t="shared" si="3"/>
        <v>0</v>
      </c>
      <c r="I8" s="28">
        <f t="shared" si="4"/>
        <v>0</v>
      </c>
      <c r="J8" s="31" t="s">
        <v>856</v>
      </c>
      <c r="K8" s="31" t="b">
        <v>0</v>
      </c>
      <c r="L8" s="32" t="s">
        <v>91</v>
      </c>
      <c r="M8" s="29" t="str">
        <f>IFERROR(__xludf.DUMMYFUNCTION("IFERROR(TOROW(CHOOSECOLS(SORT(FILTER({'Tổng hợp 75 trang đích'!$J$2:$J$3260,'Tổng hợp 75 trang đích'!$I$2:$I$3260,MATCH('Tổng hợp 75 trang đích'!$K$2:$K$3260,{""PHÙ HỢP CAO"",""CÓ THỂ ĐI"",""CẦN SOÁT""},0)},'Tổng hợp 75 trang đích'!$B$2:$B$3260=$D8),3,TRU"&amp;"E),1,2)),"""")"),"")</f>
        <v/>
      </c>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row>
    <row r="9" ht="18.0" customHeight="1">
      <c r="A9" s="28">
        <v>8.0</v>
      </c>
      <c r="B9" s="29" t="s">
        <v>196</v>
      </c>
      <c r="C9" s="30" t="s">
        <v>1506</v>
      </c>
      <c r="D9" s="29" t="s">
        <v>429</v>
      </c>
      <c r="E9" s="28">
        <v>30.0</v>
      </c>
      <c r="F9" s="28" t="str">
        <f t="shared" si="1"/>
        <v>#REF!</v>
      </c>
      <c r="G9" s="28">
        <f t="shared" si="2"/>
        <v>0</v>
      </c>
      <c r="H9" s="28">
        <f t="shared" si="3"/>
        <v>0</v>
      </c>
      <c r="I9" s="28">
        <f t="shared" si="4"/>
        <v>0</v>
      </c>
      <c r="J9" s="31" t="s">
        <v>856</v>
      </c>
      <c r="K9" s="31" t="b">
        <v>0</v>
      </c>
      <c r="L9" s="32" t="s">
        <v>91</v>
      </c>
      <c r="M9" s="29" t="str">
        <f>IFERROR(__xludf.DUMMYFUNCTION("IFERROR(TOROW(CHOOSECOLS(SORT(FILTER({'Tổng hợp 75 trang đích'!$J$2:$J$3260,'Tổng hợp 75 trang đích'!$I$2:$I$3260,MATCH('Tổng hợp 75 trang đích'!$K$2:$K$3260,{""PHÙ HỢP CAO"",""CÓ THỂ ĐI"",""CẦN SOÁT""},0)},'Tổng hợp 75 trang đích'!$B$2:$B$3260=$D9),3,TRU"&amp;"E),1,2)),"""")"),"")</f>
        <v/>
      </c>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row>
    <row r="10" ht="18.0" customHeight="1">
      <c r="A10" s="28">
        <v>9.0</v>
      </c>
      <c r="B10" s="29" t="s">
        <v>196</v>
      </c>
      <c r="C10" s="30" t="s">
        <v>1561</v>
      </c>
      <c r="D10" s="29" t="s">
        <v>127</v>
      </c>
      <c r="E10" s="28">
        <v>30.0</v>
      </c>
      <c r="F10" s="28" t="str">
        <f t="shared" si="1"/>
        <v>#REF!</v>
      </c>
      <c r="G10" s="28">
        <f t="shared" si="2"/>
        <v>0</v>
      </c>
      <c r="H10" s="28">
        <f t="shared" si="3"/>
        <v>0</v>
      </c>
      <c r="I10" s="28">
        <f t="shared" si="4"/>
        <v>0</v>
      </c>
      <c r="J10" s="31" t="s">
        <v>856</v>
      </c>
      <c r="K10" s="31" t="b">
        <v>0</v>
      </c>
      <c r="L10" s="32" t="s">
        <v>91</v>
      </c>
      <c r="M10" s="29" t="str">
        <f>IFERROR(__xludf.DUMMYFUNCTION("IFERROR(TOROW(CHOOSECOLS(SORT(FILTER({'Tổng hợp 75 trang đích'!$J$2:$J$3260,'Tổng hợp 75 trang đích'!$I$2:$I$3260,MATCH('Tổng hợp 75 trang đích'!$K$2:$K$3260,{""PHÙ HỢP CAO"",""CÓ THỂ ĐI"",""CẦN SOÁT""},0)},'Tổng hợp 75 trang đích'!$B$2:$B$3260=$D10),3,TR"&amp;"UE),1,2)),"""")"),"")</f>
        <v/>
      </c>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row>
    <row r="11" ht="18.0" customHeight="1">
      <c r="A11" s="28">
        <v>10.0</v>
      </c>
      <c r="B11" s="29" t="s">
        <v>912</v>
      </c>
      <c r="C11" s="30" t="s">
        <v>1591</v>
      </c>
      <c r="D11" s="29" t="s">
        <v>914</v>
      </c>
      <c r="E11" s="28">
        <v>30.0</v>
      </c>
      <c r="F11" s="28" t="str">
        <f t="shared" si="1"/>
        <v>#REF!</v>
      </c>
      <c r="G11" s="28">
        <f t="shared" si="2"/>
        <v>0</v>
      </c>
      <c r="H11" s="28">
        <f t="shared" si="3"/>
        <v>0</v>
      </c>
      <c r="I11" s="28">
        <f t="shared" si="4"/>
        <v>0</v>
      </c>
      <c r="J11" s="31" t="s">
        <v>856</v>
      </c>
      <c r="K11" s="31" t="b">
        <v>0</v>
      </c>
      <c r="L11" s="32" t="s">
        <v>91</v>
      </c>
      <c r="M11" s="29" t="str">
        <f>IFERROR(__xludf.DUMMYFUNCTION("IFERROR(TOROW(CHOOSECOLS(SORT(FILTER({'Tổng hợp 75 trang đích'!$J$2:$J$3260,'Tổng hợp 75 trang đích'!$I$2:$I$3260,MATCH('Tổng hợp 75 trang đích'!$K$2:$K$3260,{""PHÙ HỢP CAO"",""CÓ THỂ ĐI"",""CẦN SOÁT""},0)},'Tổng hợp 75 trang đích'!$B$2:$B$3260=$D11),3,TR"&amp;"UE),1,2)),"""")"),"")</f>
        <v/>
      </c>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row>
    <row r="12" ht="18.0" customHeight="1">
      <c r="A12" s="28">
        <v>11.0</v>
      </c>
      <c r="B12" s="29" t="s">
        <v>912</v>
      </c>
      <c r="C12" s="30" t="s">
        <v>1613</v>
      </c>
      <c r="D12" s="29" t="s">
        <v>958</v>
      </c>
      <c r="E12" s="28">
        <v>50.0</v>
      </c>
      <c r="F12" s="28" t="str">
        <f t="shared" si="1"/>
        <v>#REF!</v>
      </c>
      <c r="G12" s="28">
        <f t="shared" si="2"/>
        <v>0</v>
      </c>
      <c r="H12" s="28">
        <f t="shared" si="3"/>
        <v>0</v>
      </c>
      <c r="I12" s="28">
        <f t="shared" si="4"/>
        <v>0</v>
      </c>
      <c r="J12" s="31" t="s">
        <v>856</v>
      </c>
      <c r="K12" s="31" t="b">
        <v>0</v>
      </c>
      <c r="L12" s="32" t="s">
        <v>91</v>
      </c>
      <c r="M12" s="29" t="str">
        <f>IFERROR(__xludf.DUMMYFUNCTION("IFERROR(TOROW(CHOOSECOLS(SORT(FILTER({'Tổng hợp 75 trang đích'!$J$2:$J$3260,'Tổng hợp 75 trang đích'!$I$2:$I$3260,MATCH('Tổng hợp 75 trang đích'!$K$2:$K$3260,{""PHÙ HỢP CAO"",""CÓ THỂ ĐI"",""CẦN SOÁT""},0)},'Tổng hợp 75 trang đích'!$B$2:$B$3260=$D12),3,TR"&amp;"UE),1,2)),"""")"),"")</f>
        <v/>
      </c>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row>
    <row r="13" ht="18.0" customHeight="1">
      <c r="A13" s="28">
        <v>12.0</v>
      </c>
      <c r="B13" s="29" t="s">
        <v>912</v>
      </c>
      <c r="C13" s="30" t="s">
        <v>1629</v>
      </c>
      <c r="D13" s="29" t="s">
        <v>417</v>
      </c>
      <c r="E13" s="28">
        <v>50.0</v>
      </c>
      <c r="F13" s="28" t="str">
        <f t="shared" si="1"/>
        <v>#REF!</v>
      </c>
      <c r="G13" s="28">
        <f t="shared" si="2"/>
        <v>0</v>
      </c>
      <c r="H13" s="28">
        <f t="shared" si="3"/>
        <v>0</v>
      </c>
      <c r="I13" s="28">
        <f t="shared" si="4"/>
        <v>0</v>
      </c>
      <c r="J13" s="31" t="s">
        <v>856</v>
      </c>
      <c r="K13" s="31" t="b">
        <v>0</v>
      </c>
      <c r="L13" s="32" t="s">
        <v>91</v>
      </c>
      <c r="M13" s="29" t="str">
        <f>IFERROR(__xludf.DUMMYFUNCTION("IFERROR(TOROW(CHOOSECOLS(SORT(FILTER({'Tổng hợp 75 trang đích'!$J$2:$J$3260,'Tổng hợp 75 trang đích'!$I$2:$I$3260,MATCH('Tổng hợp 75 trang đích'!$K$2:$K$3260,{""PHÙ HỢP CAO"",""CÓ THỂ ĐI"",""CẦN SOÁT""},0)},'Tổng hợp 75 trang đích'!$B$2:$B$3260=$D13),3,TR"&amp;"UE),1,2)),"""")"),"")</f>
        <v/>
      </c>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row>
    <row r="14" ht="18.0" customHeight="1">
      <c r="A14" s="28">
        <v>13.0</v>
      </c>
      <c r="B14" s="29" t="s">
        <v>912</v>
      </c>
      <c r="C14" s="30" t="s">
        <v>1637</v>
      </c>
      <c r="D14" s="29" t="s">
        <v>1127</v>
      </c>
      <c r="E14" s="28">
        <v>30.0</v>
      </c>
      <c r="F14" s="28" t="str">
        <f t="shared" si="1"/>
        <v>#REF!</v>
      </c>
      <c r="G14" s="28">
        <f t="shared" si="2"/>
        <v>0</v>
      </c>
      <c r="H14" s="28">
        <f t="shared" si="3"/>
        <v>0</v>
      </c>
      <c r="I14" s="28">
        <f t="shared" si="4"/>
        <v>0</v>
      </c>
      <c r="J14" s="31" t="s">
        <v>856</v>
      </c>
      <c r="K14" s="31" t="b">
        <v>0</v>
      </c>
      <c r="L14" s="32" t="s">
        <v>91</v>
      </c>
      <c r="M14" s="29" t="str">
        <f>IFERROR(__xludf.DUMMYFUNCTION("IFERROR(TOROW(CHOOSECOLS(SORT(FILTER({'Tổng hợp 75 trang đích'!$J$2:$J$3260,'Tổng hợp 75 trang đích'!$I$2:$I$3260,MATCH('Tổng hợp 75 trang đích'!$K$2:$K$3260,{""PHÙ HỢP CAO"",""CÓ THỂ ĐI"",""CẦN SOÁT""},0)},'Tổng hợp 75 trang đích'!$B$2:$B$3260=$D14),3,TR"&amp;"UE),1,2)),"""")"),"")</f>
        <v/>
      </c>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row>
    <row r="15" ht="18.0" customHeight="1">
      <c r="A15" s="28">
        <v>14.0</v>
      </c>
      <c r="B15" s="29" t="s">
        <v>912</v>
      </c>
      <c r="C15" s="30" t="s">
        <v>1671</v>
      </c>
      <c r="D15" s="29" t="s">
        <v>1087</v>
      </c>
      <c r="E15" s="28">
        <v>30.0</v>
      </c>
      <c r="F15" s="28" t="str">
        <f t="shared" si="1"/>
        <v>#REF!</v>
      </c>
      <c r="G15" s="28">
        <f t="shared" si="2"/>
        <v>0</v>
      </c>
      <c r="H15" s="28">
        <f t="shared" si="3"/>
        <v>0</v>
      </c>
      <c r="I15" s="28">
        <f t="shared" si="4"/>
        <v>0</v>
      </c>
      <c r="J15" s="31" t="s">
        <v>856</v>
      </c>
      <c r="K15" s="31" t="b">
        <v>0</v>
      </c>
      <c r="L15" s="32" t="s">
        <v>91</v>
      </c>
      <c r="M15" s="29" t="str">
        <f>IFERROR(__xludf.DUMMYFUNCTION("IFERROR(TOROW(CHOOSECOLS(SORT(FILTER({'Tổng hợp 75 trang đích'!$J$2:$J$3260,'Tổng hợp 75 trang đích'!$I$2:$I$3260,MATCH('Tổng hợp 75 trang đích'!$K$2:$K$3260,{""PHÙ HỢP CAO"",""CÓ THỂ ĐI"",""CẦN SOÁT""},0)},'Tổng hợp 75 trang đích'!$B$2:$B$3260=$D15),3,TR"&amp;"UE),1,2)),"""")"),"")</f>
        <v/>
      </c>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row>
    <row r="16" ht="18.0" customHeight="1">
      <c r="A16" s="28">
        <v>15.0</v>
      </c>
      <c r="B16" s="29" t="s">
        <v>912</v>
      </c>
      <c r="C16" s="30" t="s">
        <v>1690</v>
      </c>
      <c r="D16" s="29" t="s">
        <v>1241</v>
      </c>
      <c r="E16" s="28">
        <v>30.0</v>
      </c>
      <c r="F16" s="28" t="str">
        <f t="shared" si="1"/>
        <v>#REF!</v>
      </c>
      <c r="G16" s="28">
        <f t="shared" si="2"/>
        <v>0</v>
      </c>
      <c r="H16" s="28">
        <f t="shared" si="3"/>
        <v>0</v>
      </c>
      <c r="I16" s="28">
        <f t="shared" si="4"/>
        <v>0</v>
      </c>
      <c r="J16" s="31" t="s">
        <v>856</v>
      </c>
      <c r="K16" s="31" t="b">
        <v>0</v>
      </c>
      <c r="L16" s="32" t="s">
        <v>91</v>
      </c>
      <c r="M16" s="29" t="str">
        <f>IFERROR(__xludf.DUMMYFUNCTION("IFERROR(TOROW(CHOOSECOLS(SORT(FILTER({'Tổng hợp 75 trang đích'!$J$2:$J$3260,'Tổng hợp 75 trang đích'!$I$2:$I$3260,MATCH('Tổng hợp 75 trang đích'!$K$2:$K$3260,{""PHÙ HỢP CAO"",""CÓ THỂ ĐI"",""CẦN SOÁT""},0)},'Tổng hợp 75 trang đích'!$B$2:$B$3260=$D16),3,TR"&amp;"UE),1,2)),"""")"),"")</f>
        <v/>
      </c>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row>
    <row r="17" ht="18.0" customHeight="1">
      <c r="A17" s="28">
        <v>16.0</v>
      </c>
      <c r="B17" s="29" t="s">
        <v>912</v>
      </c>
      <c r="C17" s="30" t="s">
        <v>1718</v>
      </c>
      <c r="D17" s="29" t="s">
        <v>1323</v>
      </c>
      <c r="E17" s="28">
        <v>30.0</v>
      </c>
      <c r="F17" s="28" t="str">
        <f t="shared" si="1"/>
        <v>#REF!</v>
      </c>
      <c r="G17" s="28">
        <f t="shared" si="2"/>
        <v>0</v>
      </c>
      <c r="H17" s="28">
        <f t="shared" si="3"/>
        <v>0</v>
      </c>
      <c r="I17" s="28">
        <f t="shared" si="4"/>
        <v>0</v>
      </c>
      <c r="J17" s="31" t="s">
        <v>856</v>
      </c>
      <c r="K17" s="31" t="b">
        <v>0</v>
      </c>
      <c r="L17" s="32" t="s">
        <v>91</v>
      </c>
      <c r="M17" s="29" t="str">
        <f>IFERROR(__xludf.DUMMYFUNCTION("IFERROR(TOROW(CHOOSECOLS(SORT(FILTER({'Tổng hợp 75 trang đích'!$J$2:$J$3260,'Tổng hợp 75 trang đích'!$I$2:$I$3260,MATCH('Tổng hợp 75 trang đích'!$K$2:$K$3260,{""PHÙ HỢP CAO"",""CÓ THỂ ĐI"",""CẦN SOÁT""},0)},'Tổng hợp 75 trang đích'!$B$2:$B$3260=$D17),3,TR"&amp;"UE),1,2)),"""")"),"")</f>
        <v/>
      </c>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row>
    <row r="18" ht="18.0" customHeight="1">
      <c r="A18" s="28">
        <v>17.0</v>
      </c>
      <c r="B18" s="29" t="s">
        <v>912</v>
      </c>
      <c r="C18" s="30" t="s">
        <v>1749</v>
      </c>
      <c r="D18" s="29" t="s">
        <v>1188</v>
      </c>
      <c r="E18" s="28">
        <v>30.0</v>
      </c>
      <c r="F18" s="28" t="str">
        <f t="shared" si="1"/>
        <v>#REF!</v>
      </c>
      <c r="G18" s="28">
        <f t="shared" si="2"/>
        <v>0</v>
      </c>
      <c r="H18" s="28">
        <f t="shared" si="3"/>
        <v>0</v>
      </c>
      <c r="I18" s="28">
        <f t="shared" si="4"/>
        <v>0</v>
      </c>
      <c r="J18" s="31" t="s">
        <v>856</v>
      </c>
      <c r="K18" s="31" t="b">
        <v>0</v>
      </c>
      <c r="L18" s="32" t="s">
        <v>91</v>
      </c>
      <c r="M18" s="29" t="str">
        <f>IFERROR(__xludf.DUMMYFUNCTION("IFERROR(TOROW(CHOOSECOLS(SORT(FILTER({'Tổng hợp 75 trang đích'!$J$2:$J$3260,'Tổng hợp 75 trang đích'!$I$2:$I$3260,MATCH('Tổng hợp 75 trang đích'!$K$2:$K$3260,{""PHÙ HỢP CAO"",""CÓ THỂ ĐI"",""CẦN SOÁT""},0)},'Tổng hợp 75 trang đích'!$B$2:$B$3260=$D18),3,TR"&amp;"UE),1,2)),"""")"),"")</f>
        <v/>
      </c>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row>
    <row r="19" ht="18.0" customHeight="1">
      <c r="A19" s="28">
        <v>18.0</v>
      </c>
      <c r="B19" s="29" t="s">
        <v>912</v>
      </c>
      <c r="C19" s="30" t="s">
        <v>1774</v>
      </c>
      <c r="D19" s="29" t="s">
        <v>1190</v>
      </c>
      <c r="E19" s="28">
        <v>30.0</v>
      </c>
      <c r="F19" s="28" t="str">
        <f t="shared" si="1"/>
        <v>#REF!</v>
      </c>
      <c r="G19" s="28">
        <f t="shared" si="2"/>
        <v>0</v>
      </c>
      <c r="H19" s="28">
        <f t="shared" si="3"/>
        <v>0</v>
      </c>
      <c r="I19" s="28">
        <f t="shared" si="4"/>
        <v>0</v>
      </c>
      <c r="J19" s="31" t="s">
        <v>856</v>
      </c>
      <c r="K19" s="31" t="b">
        <v>0</v>
      </c>
      <c r="L19" s="32" t="s">
        <v>91</v>
      </c>
      <c r="M19" s="29" t="str">
        <f>IFERROR(__xludf.DUMMYFUNCTION("IFERROR(TOROW(CHOOSECOLS(SORT(FILTER({'Tổng hợp 75 trang đích'!$J$2:$J$3260,'Tổng hợp 75 trang đích'!$I$2:$I$3260,MATCH('Tổng hợp 75 trang đích'!$K$2:$K$3260,{""PHÙ HỢP CAO"",""CÓ THỂ ĐI"",""CẦN SOÁT""},0)},'Tổng hợp 75 trang đích'!$B$2:$B$3260=$D19),3,TR"&amp;"UE),1,2)),"""")"),"")</f>
        <v/>
      </c>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row>
    <row r="20" ht="18.0" customHeight="1">
      <c r="A20" s="28">
        <v>19.0</v>
      </c>
      <c r="B20" s="29" t="s">
        <v>912</v>
      </c>
      <c r="C20" s="30" t="s">
        <v>1799</v>
      </c>
      <c r="D20" s="29" t="s">
        <v>86</v>
      </c>
      <c r="E20" s="28">
        <v>30.0</v>
      </c>
      <c r="F20" s="28" t="str">
        <f t="shared" si="1"/>
        <v>#REF!</v>
      </c>
      <c r="G20" s="28">
        <f t="shared" si="2"/>
        <v>0</v>
      </c>
      <c r="H20" s="28">
        <f t="shared" si="3"/>
        <v>0</v>
      </c>
      <c r="I20" s="28">
        <f t="shared" si="4"/>
        <v>0</v>
      </c>
      <c r="J20" s="31" t="s">
        <v>856</v>
      </c>
      <c r="K20" s="31" t="b">
        <v>0</v>
      </c>
      <c r="L20" s="32" t="s">
        <v>91</v>
      </c>
      <c r="M20" s="29" t="str">
        <f>IFERROR(__xludf.DUMMYFUNCTION("IFERROR(TOROW(CHOOSECOLS(SORT(FILTER({'Tổng hợp 75 trang đích'!$J$2:$J$3260,'Tổng hợp 75 trang đích'!$I$2:$I$3260,MATCH('Tổng hợp 75 trang đích'!$K$2:$K$3260,{""PHÙ HỢP CAO"",""CÓ THỂ ĐI"",""CẦN SOÁT""},0)},'Tổng hợp 75 trang đích'!$B$2:$B$3260=$D20),3,TR"&amp;"UE),1,2)),"""")"),"")</f>
        <v/>
      </c>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row>
    <row r="21" ht="18.0" customHeight="1">
      <c r="A21" s="28">
        <v>20.0</v>
      </c>
      <c r="B21" s="29" t="s">
        <v>912</v>
      </c>
      <c r="C21" s="30" t="s">
        <v>1829</v>
      </c>
      <c r="D21" s="29" t="s">
        <v>1347</v>
      </c>
      <c r="E21" s="28">
        <v>30.0</v>
      </c>
      <c r="F21" s="28" t="str">
        <f t="shared" si="1"/>
        <v>#REF!</v>
      </c>
      <c r="G21" s="28">
        <f t="shared" si="2"/>
        <v>0</v>
      </c>
      <c r="H21" s="28">
        <f t="shared" si="3"/>
        <v>0</v>
      </c>
      <c r="I21" s="28">
        <f t="shared" si="4"/>
        <v>0</v>
      </c>
      <c r="J21" s="31" t="s">
        <v>856</v>
      </c>
      <c r="K21" s="31" t="b">
        <v>0</v>
      </c>
      <c r="L21" s="32" t="s">
        <v>91</v>
      </c>
      <c r="M21" s="29" t="str">
        <f>IFERROR(__xludf.DUMMYFUNCTION("IFERROR(TOROW(CHOOSECOLS(SORT(FILTER({'Tổng hợp 75 trang đích'!$J$2:$J$3260,'Tổng hợp 75 trang đích'!$I$2:$I$3260,MATCH('Tổng hợp 75 trang đích'!$K$2:$K$3260,{""PHÙ HỢP CAO"",""CÓ THỂ ĐI"",""CẦN SOÁT""},0)},'Tổng hợp 75 trang đích'!$B$2:$B$3260=$D21),3,TR"&amp;"UE),1,2)),"""")"),"")</f>
        <v/>
      </c>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row>
    <row r="22" ht="18.0" customHeight="1">
      <c r="A22" s="28">
        <v>21.0</v>
      </c>
      <c r="B22" s="29" t="s">
        <v>912</v>
      </c>
      <c r="C22" s="30" t="s">
        <v>1858</v>
      </c>
      <c r="D22" s="29" t="s">
        <v>1304</v>
      </c>
      <c r="E22" s="28">
        <v>30.0</v>
      </c>
      <c r="F22" s="28" t="str">
        <f t="shared" si="1"/>
        <v>#REF!</v>
      </c>
      <c r="G22" s="28">
        <f t="shared" si="2"/>
        <v>0</v>
      </c>
      <c r="H22" s="28">
        <f t="shared" si="3"/>
        <v>0</v>
      </c>
      <c r="I22" s="28">
        <f t="shared" si="4"/>
        <v>0</v>
      </c>
      <c r="J22" s="31" t="s">
        <v>856</v>
      </c>
      <c r="K22" s="31" t="b">
        <v>0</v>
      </c>
      <c r="L22" s="32" t="s">
        <v>91</v>
      </c>
      <c r="M22" s="29" t="str">
        <f>IFERROR(__xludf.DUMMYFUNCTION("IFERROR(TOROW(CHOOSECOLS(SORT(FILTER({'Tổng hợp 75 trang đích'!$J$2:$J$3260,'Tổng hợp 75 trang đích'!$I$2:$I$3260,MATCH('Tổng hợp 75 trang đích'!$K$2:$K$3260,{""PHÙ HỢP CAO"",""CÓ THỂ ĐI"",""CẦN SOÁT""},0)},'Tổng hợp 75 trang đích'!$B$2:$B$3260=$D22),3,TR"&amp;"UE),1,2)),"""")"),"")</f>
        <v/>
      </c>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row>
    <row r="23" ht="18.0" customHeight="1">
      <c r="A23" s="28">
        <v>22.0</v>
      </c>
      <c r="B23" s="29" t="s">
        <v>912</v>
      </c>
      <c r="C23" s="30" t="s">
        <v>1869</v>
      </c>
      <c r="D23" s="29" t="s">
        <v>403</v>
      </c>
      <c r="E23" s="28">
        <v>30.0</v>
      </c>
      <c r="F23" s="28" t="str">
        <f t="shared" si="1"/>
        <v>#REF!</v>
      </c>
      <c r="G23" s="28">
        <f t="shared" si="2"/>
        <v>0</v>
      </c>
      <c r="H23" s="28">
        <f t="shared" si="3"/>
        <v>0</v>
      </c>
      <c r="I23" s="28">
        <f t="shared" si="4"/>
        <v>0</v>
      </c>
      <c r="J23" s="31" t="s">
        <v>856</v>
      </c>
      <c r="K23" s="31" t="b">
        <v>0</v>
      </c>
      <c r="L23" s="32" t="s">
        <v>91</v>
      </c>
      <c r="M23" s="29" t="str">
        <f>IFERROR(__xludf.DUMMYFUNCTION("IFERROR(TOROW(CHOOSECOLS(SORT(FILTER({'Tổng hợp 75 trang đích'!$J$2:$J$3260,'Tổng hợp 75 trang đích'!$I$2:$I$3260,MATCH('Tổng hợp 75 trang đích'!$K$2:$K$3260,{""PHÙ HỢP CAO"",""CÓ THỂ ĐI"",""CẦN SOÁT""},0)},'Tổng hợp 75 trang đích'!$B$2:$B$3260=$D23),3,TR"&amp;"UE),1,2)),"""")"),"")</f>
        <v/>
      </c>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row>
    <row r="24" ht="18.0" customHeight="1">
      <c r="A24" s="28">
        <v>23.0</v>
      </c>
      <c r="B24" s="29" t="s">
        <v>912</v>
      </c>
      <c r="C24" s="30" t="s">
        <v>1885</v>
      </c>
      <c r="D24" s="29" t="s">
        <v>1359</v>
      </c>
      <c r="E24" s="28">
        <v>30.0</v>
      </c>
      <c r="F24" s="28" t="str">
        <f t="shared" si="1"/>
        <v>#REF!</v>
      </c>
      <c r="G24" s="28">
        <f t="shared" si="2"/>
        <v>0</v>
      </c>
      <c r="H24" s="28">
        <f t="shared" si="3"/>
        <v>0</v>
      </c>
      <c r="I24" s="28">
        <f t="shared" si="4"/>
        <v>0</v>
      </c>
      <c r="J24" s="31" t="s">
        <v>856</v>
      </c>
      <c r="K24" s="31" t="b">
        <v>0</v>
      </c>
      <c r="L24" s="32" t="s">
        <v>91</v>
      </c>
      <c r="M24" s="29" t="str">
        <f>IFERROR(__xludf.DUMMYFUNCTION("IFERROR(TOROW(CHOOSECOLS(SORT(FILTER({'Tổng hợp 75 trang đích'!$J$2:$J$3260,'Tổng hợp 75 trang đích'!$I$2:$I$3260,MATCH('Tổng hợp 75 trang đích'!$K$2:$K$3260,{""PHÙ HỢP CAO"",""CÓ THỂ ĐI"",""CẦN SOÁT""},0)},'Tổng hợp 75 trang đích'!$B$2:$B$3260=$D24),3,TR"&amp;"UE),1,2)),"""")"),"")</f>
        <v/>
      </c>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row>
    <row r="25" ht="18.0" customHeight="1">
      <c r="A25" s="28">
        <v>24.0</v>
      </c>
      <c r="B25" s="29" t="s">
        <v>912</v>
      </c>
      <c r="C25" s="30" t="s">
        <v>1876</v>
      </c>
      <c r="D25" s="29" t="s">
        <v>551</v>
      </c>
      <c r="E25" s="28">
        <v>30.0</v>
      </c>
      <c r="F25" s="28" t="str">
        <f t="shared" si="1"/>
        <v>#REF!</v>
      </c>
      <c r="G25" s="28">
        <f t="shared" si="2"/>
        <v>0</v>
      </c>
      <c r="H25" s="28">
        <f t="shared" si="3"/>
        <v>0</v>
      </c>
      <c r="I25" s="28">
        <f t="shared" si="4"/>
        <v>0</v>
      </c>
      <c r="J25" s="31" t="s">
        <v>856</v>
      </c>
      <c r="K25" s="31" t="b">
        <v>0</v>
      </c>
      <c r="L25" s="32" t="s">
        <v>91</v>
      </c>
      <c r="M25" s="29" t="str">
        <f>IFERROR(__xludf.DUMMYFUNCTION("IFERROR(TOROW(CHOOSECOLS(SORT(FILTER({'Tổng hợp 75 trang đích'!$J$2:$J$3260,'Tổng hợp 75 trang đích'!$I$2:$I$3260,MATCH('Tổng hợp 75 trang đích'!$K$2:$K$3260,{""PHÙ HỢP CAO"",""CÓ THỂ ĐI"",""CẦN SOÁT""},0)},'Tổng hợp 75 trang đích'!$B$2:$B$3260=$D25),3,TR"&amp;"UE),1,2)),"""")"),"")</f>
        <v/>
      </c>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row>
    <row r="26" ht="18.0" customHeight="1">
      <c r="A26" s="28">
        <v>25.0</v>
      </c>
      <c r="B26" s="29" t="s">
        <v>912</v>
      </c>
      <c r="C26" s="30" t="s">
        <v>1906</v>
      </c>
      <c r="D26" s="29" t="s">
        <v>1079</v>
      </c>
      <c r="E26" s="28">
        <v>30.0</v>
      </c>
      <c r="F26" s="28" t="str">
        <f t="shared" si="1"/>
        <v>#REF!</v>
      </c>
      <c r="G26" s="28">
        <f t="shared" si="2"/>
        <v>0</v>
      </c>
      <c r="H26" s="28">
        <f t="shared" si="3"/>
        <v>0</v>
      </c>
      <c r="I26" s="28">
        <f t="shared" si="4"/>
        <v>0</v>
      </c>
      <c r="J26" s="31" t="s">
        <v>856</v>
      </c>
      <c r="K26" s="31" t="b">
        <v>0</v>
      </c>
      <c r="L26" s="32" t="s">
        <v>91</v>
      </c>
      <c r="M26" s="29" t="str">
        <f>IFERROR(__xludf.DUMMYFUNCTION("IFERROR(TOROW(CHOOSECOLS(SORT(FILTER({'Tổng hợp 75 trang đích'!$J$2:$J$3260,'Tổng hợp 75 trang đích'!$I$2:$I$3260,MATCH('Tổng hợp 75 trang đích'!$K$2:$K$3260,{""PHÙ HỢP CAO"",""CÓ THỂ ĐI"",""CẦN SOÁT""},0)},'Tổng hợp 75 trang đích'!$B$2:$B$3260=$D26),3,TR"&amp;"UE),1,2)),"""")"),"")</f>
        <v/>
      </c>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row>
    <row r="27" ht="18.0" customHeight="1">
      <c r="A27" s="28">
        <v>26.0</v>
      </c>
      <c r="B27" s="29" t="s">
        <v>912</v>
      </c>
      <c r="C27" s="30" t="s">
        <v>1918</v>
      </c>
      <c r="D27" s="29" t="s">
        <v>1314</v>
      </c>
      <c r="E27" s="28">
        <v>30.0</v>
      </c>
      <c r="F27" s="28" t="str">
        <f t="shared" si="1"/>
        <v>#REF!</v>
      </c>
      <c r="G27" s="28">
        <f t="shared" si="2"/>
        <v>0</v>
      </c>
      <c r="H27" s="28">
        <f t="shared" si="3"/>
        <v>0</v>
      </c>
      <c r="I27" s="28">
        <f t="shared" si="4"/>
        <v>0</v>
      </c>
      <c r="J27" s="31" t="s">
        <v>856</v>
      </c>
      <c r="K27" s="31" t="b">
        <v>0</v>
      </c>
      <c r="L27" s="32" t="s">
        <v>91</v>
      </c>
      <c r="M27" s="29" t="str">
        <f>IFERROR(__xludf.DUMMYFUNCTION("IFERROR(TOROW(CHOOSECOLS(SORT(FILTER({'Tổng hợp 75 trang đích'!$J$2:$J$3260,'Tổng hợp 75 trang đích'!$I$2:$I$3260,MATCH('Tổng hợp 75 trang đích'!$K$2:$K$3260,{""PHÙ HỢP CAO"",""CÓ THỂ ĐI"",""CẦN SOÁT""},0)},'Tổng hợp 75 trang đích'!$B$2:$B$3260=$D27),3,TR"&amp;"UE),1,2)),"""")"),"")</f>
        <v/>
      </c>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row>
    <row r="28" ht="18.0" customHeight="1">
      <c r="A28" s="28">
        <v>27.0</v>
      </c>
      <c r="B28" s="29" t="s">
        <v>912</v>
      </c>
      <c r="C28" s="30" t="s">
        <v>1938</v>
      </c>
      <c r="D28" s="29" t="s">
        <v>1369</v>
      </c>
      <c r="E28" s="28">
        <v>30.0</v>
      </c>
      <c r="F28" s="28" t="str">
        <f t="shared" si="1"/>
        <v>#REF!</v>
      </c>
      <c r="G28" s="28">
        <f t="shared" si="2"/>
        <v>0</v>
      </c>
      <c r="H28" s="28">
        <f t="shared" si="3"/>
        <v>0</v>
      </c>
      <c r="I28" s="28">
        <f t="shared" si="4"/>
        <v>0</v>
      </c>
      <c r="J28" s="31" t="s">
        <v>856</v>
      </c>
      <c r="K28" s="31" t="b">
        <v>0</v>
      </c>
      <c r="L28" s="32" t="s">
        <v>91</v>
      </c>
      <c r="M28" s="29" t="str">
        <f>IFERROR(__xludf.DUMMYFUNCTION("IFERROR(TOROW(CHOOSECOLS(SORT(FILTER({'Tổng hợp 75 trang đích'!$J$2:$J$3260,'Tổng hợp 75 trang đích'!$I$2:$I$3260,MATCH('Tổng hợp 75 trang đích'!$K$2:$K$3260,{""PHÙ HỢP CAO"",""CÓ THỂ ĐI"",""CẦN SOÁT""},0)},'Tổng hợp 75 trang đích'!$B$2:$B$3260=$D28),3,TR"&amp;"UE),1,2)),"""")"),"")</f>
        <v/>
      </c>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row>
    <row r="29" ht="18.0" customHeight="1">
      <c r="A29" s="28">
        <v>28.0</v>
      </c>
      <c r="B29" s="29" t="s">
        <v>1481</v>
      </c>
      <c r="C29" s="30" t="s">
        <v>1961</v>
      </c>
      <c r="D29" s="29" t="s">
        <v>283</v>
      </c>
      <c r="E29" s="28">
        <v>200.0</v>
      </c>
      <c r="F29" s="28" t="str">
        <f t="shared" si="1"/>
        <v>#REF!</v>
      </c>
      <c r="G29" s="28">
        <f t="shared" si="2"/>
        <v>0</v>
      </c>
      <c r="H29" s="28">
        <f t="shared" si="3"/>
        <v>0</v>
      </c>
      <c r="I29" s="28">
        <f t="shared" si="4"/>
        <v>0</v>
      </c>
      <c r="J29" s="31" t="s">
        <v>856</v>
      </c>
      <c r="K29" s="31" t="b">
        <v>0</v>
      </c>
      <c r="L29" s="32" t="s">
        <v>91</v>
      </c>
      <c r="M29" s="29" t="str">
        <f>IFERROR(__xludf.DUMMYFUNCTION("IFERROR(TOROW(CHOOSECOLS(SORT(FILTER({'Tổng hợp 75 trang đích'!$J$2:$J$3260,'Tổng hợp 75 trang đích'!$I$2:$I$3260,MATCH('Tổng hợp 75 trang đích'!$K$2:$K$3260,{""PHÙ HỢP CAO"",""CÓ THỂ ĐI"",""CẦN SOÁT""},0)},'Tổng hợp 75 trang đích'!$B$2:$B$3260=$D29),3,TR"&amp;"UE),1,2)),"""")"),"")</f>
        <v/>
      </c>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row>
    <row r="30" ht="18.0" customHeight="1">
      <c r="A30" s="28">
        <v>29.0</v>
      </c>
      <c r="B30" s="29" t="s">
        <v>1481</v>
      </c>
      <c r="C30" s="30" t="s">
        <v>1992</v>
      </c>
      <c r="D30" s="29" t="s">
        <v>494</v>
      </c>
      <c r="E30" s="28">
        <v>50.0</v>
      </c>
      <c r="F30" s="28" t="str">
        <f t="shared" si="1"/>
        <v>#REF!</v>
      </c>
      <c r="G30" s="28">
        <f t="shared" si="2"/>
        <v>0</v>
      </c>
      <c r="H30" s="28">
        <f t="shared" si="3"/>
        <v>0</v>
      </c>
      <c r="I30" s="28">
        <f t="shared" si="4"/>
        <v>0</v>
      </c>
      <c r="J30" s="31" t="s">
        <v>856</v>
      </c>
      <c r="K30" s="31" t="b">
        <v>0</v>
      </c>
      <c r="L30" s="32" t="s">
        <v>91</v>
      </c>
      <c r="M30" s="29" t="str">
        <f>IFERROR(__xludf.DUMMYFUNCTION("IFERROR(TOROW(CHOOSECOLS(SORT(FILTER({'Tổng hợp 75 trang đích'!$J$2:$J$3260,'Tổng hợp 75 trang đích'!$I$2:$I$3260,MATCH('Tổng hợp 75 trang đích'!$K$2:$K$3260,{""PHÙ HỢP CAO"",""CÓ THỂ ĐI"",""CẦN SOÁT""},0)},'Tổng hợp 75 trang đích'!$B$2:$B$3260=$D30),3,TR"&amp;"UE),1,2)),"""")"),"")</f>
        <v/>
      </c>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row>
    <row r="31" ht="18.0" customHeight="1">
      <c r="A31" s="28">
        <v>30.0</v>
      </c>
      <c r="B31" s="29" t="s">
        <v>1481</v>
      </c>
      <c r="C31" s="30" t="s">
        <v>2021</v>
      </c>
      <c r="D31" s="29" t="s">
        <v>861</v>
      </c>
      <c r="E31" s="28">
        <v>30.0</v>
      </c>
      <c r="F31" s="28" t="str">
        <f t="shared" si="1"/>
        <v>#REF!</v>
      </c>
      <c r="G31" s="28">
        <f t="shared" si="2"/>
        <v>0</v>
      </c>
      <c r="H31" s="28">
        <f t="shared" si="3"/>
        <v>0</v>
      </c>
      <c r="I31" s="28">
        <f t="shared" si="4"/>
        <v>0</v>
      </c>
      <c r="J31" s="31" t="s">
        <v>856</v>
      </c>
      <c r="K31" s="31" t="b">
        <v>0</v>
      </c>
      <c r="L31" s="32" t="s">
        <v>91</v>
      </c>
      <c r="M31" s="29" t="str">
        <f>IFERROR(__xludf.DUMMYFUNCTION("IFERROR(TOROW(CHOOSECOLS(SORT(FILTER({'Tổng hợp 75 trang đích'!$J$2:$J$3260,'Tổng hợp 75 trang đích'!$I$2:$I$3260,MATCH('Tổng hợp 75 trang đích'!$K$2:$K$3260,{""PHÙ HỢP CAO"",""CÓ THỂ ĐI"",""CẦN SOÁT""},0)},'Tổng hợp 75 trang đích'!$B$2:$B$3260=$D31),3,TR"&amp;"UE),1,2)),"""")"),"")</f>
        <v/>
      </c>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row>
    <row r="32" ht="18.0" customHeight="1">
      <c r="A32" s="28">
        <v>31.0</v>
      </c>
      <c r="B32" s="29" t="s">
        <v>1481</v>
      </c>
      <c r="C32" s="30" t="s">
        <v>2044</v>
      </c>
      <c r="D32" s="29" t="s">
        <v>1595</v>
      </c>
      <c r="E32" s="28">
        <v>30.0</v>
      </c>
      <c r="F32" s="28" t="str">
        <f t="shared" si="1"/>
        <v>#REF!</v>
      </c>
      <c r="G32" s="28">
        <f t="shared" si="2"/>
        <v>0</v>
      </c>
      <c r="H32" s="28">
        <f t="shared" si="3"/>
        <v>0</v>
      </c>
      <c r="I32" s="28">
        <f t="shared" si="4"/>
        <v>0</v>
      </c>
      <c r="J32" s="31" t="s">
        <v>856</v>
      </c>
      <c r="K32" s="31" t="b">
        <v>0</v>
      </c>
      <c r="L32" s="32" t="s">
        <v>91</v>
      </c>
      <c r="M32" s="29" t="str">
        <f>IFERROR(__xludf.DUMMYFUNCTION("IFERROR(TOROW(CHOOSECOLS(SORT(FILTER({'Tổng hợp 75 trang đích'!$J$2:$J$3260,'Tổng hợp 75 trang đích'!$I$2:$I$3260,MATCH('Tổng hợp 75 trang đích'!$K$2:$K$3260,{""PHÙ HỢP CAO"",""CÓ THỂ ĐI"",""CẦN SOÁT""},0)},'Tổng hợp 75 trang đích'!$B$2:$B$3260=$D32),3,TR"&amp;"UE),1,2)),"""")"),"")</f>
        <v/>
      </c>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row>
    <row r="33" ht="18.0" customHeight="1">
      <c r="A33" s="28">
        <v>32.0</v>
      </c>
      <c r="B33" s="29" t="s">
        <v>1481</v>
      </c>
      <c r="C33" s="30" t="s">
        <v>2059</v>
      </c>
      <c r="D33" s="29" t="s">
        <v>990</v>
      </c>
      <c r="E33" s="28">
        <v>30.0</v>
      </c>
      <c r="F33" s="28" t="str">
        <f t="shared" si="1"/>
        <v>#REF!</v>
      </c>
      <c r="G33" s="28">
        <f t="shared" si="2"/>
        <v>0</v>
      </c>
      <c r="H33" s="28">
        <f t="shared" si="3"/>
        <v>0</v>
      </c>
      <c r="I33" s="28">
        <f t="shared" si="4"/>
        <v>0</v>
      </c>
      <c r="J33" s="31" t="s">
        <v>856</v>
      </c>
      <c r="K33" s="31" t="b">
        <v>0</v>
      </c>
      <c r="L33" s="32" t="s">
        <v>91</v>
      </c>
      <c r="M33" s="29" t="str">
        <f>IFERROR(__xludf.DUMMYFUNCTION("IFERROR(TOROW(CHOOSECOLS(SORT(FILTER({'Tổng hợp 75 trang đích'!$J$2:$J$3260,'Tổng hợp 75 trang đích'!$I$2:$I$3260,MATCH('Tổng hợp 75 trang đích'!$K$2:$K$3260,{""PHÙ HỢP CAO"",""CÓ THỂ ĐI"",""CẦN SOÁT""},0)},'Tổng hợp 75 trang đích'!$B$2:$B$3260=$D33),3,TR"&amp;"UE),1,2)),"""")"),"")</f>
        <v/>
      </c>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row>
    <row r="34" ht="18.0" customHeight="1">
      <c r="A34" s="28">
        <v>33.0</v>
      </c>
      <c r="B34" s="29" t="s">
        <v>1481</v>
      </c>
      <c r="C34" s="30" t="s">
        <v>2078</v>
      </c>
      <c r="D34" s="29" t="s">
        <v>880</v>
      </c>
      <c r="E34" s="28">
        <v>50.0</v>
      </c>
      <c r="F34" s="28" t="str">
        <f t="shared" si="1"/>
        <v>#REF!</v>
      </c>
      <c r="G34" s="28">
        <f t="shared" si="2"/>
        <v>0</v>
      </c>
      <c r="H34" s="28">
        <f t="shared" si="3"/>
        <v>0</v>
      </c>
      <c r="I34" s="28">
        <f t="shared" si="4"/>
        <v>0</v>
      </c>
      <c r="J34" s="31" t="s">
        <v>856</v>
      </c>
      <c r="K34" s="31" t="b">
        <v>0</v>
      </c>
      <c r="L34" s="32" t="s">
        <v>91</v>
      </c>
      <c r="M34" s="29" t="str">
        <f>IFERROR(__xludf.DUMMYFUNCTION("IFERROR(TOROW(CHOOSECOLS(SORT(FILTER({'Tổng hợp 75 trang đích'!$J$2:$J$3260,'Tổng hợp 75 trang đích'!$I$2:$I$3260,MATCH('Tổng hợp 75 trang đích'!$K$2:$K$3260,{""PHÙ HỢP CAO"",""CÓ THỂ ĐI"",""CẦN SOÁT""},0)},'Tổng hợp 75 trang đích'!$B$2:$B$3260=$D34),3,TR"&amp;"UE),1,2)),"""")"),"")</f>
        <v/>
      </c>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row>
    <row r="35" ht="18.0" customHeight="1">
      <c r="A35" s="28">
        <v>34.0</v>
      </c>
      <c r="B35" s="29" t="s">
        <v>1481</v>
      </c>
      <c r="C35" s="30" t="s">
        <v>2103</v>
      </c>
      <c r="D35" s="29" t="s">
        <v>1225</v>
      </c>
      <c r="E35" s="28">
        <v>30.0</v>
      </c>
      <c r="F35" s="28" t="str">
        <f t="shared" si="1"/>
        <v>#REF!</v>
      </c>
      <c r="G35" s="28">
        <f t="shared" si="2"/>
        <v>0</v>
      </c>
      <c r="H35" s="28">
        <f t="shared" si="3"/>
        <v>0</v>
      </c>
      <c r="I35" s="28">
        <f t="shared" si="4"/>
        <v>0</v>
      </c>
      <c r="J35" s="31" t="s">
        <v>856</v>
      </c>
      <c r="K35" s="31" t="b">
        <v>0</v>
      </c>
      <c r="L35" s="32" t="s">
        <v>91</v>
      </c>
      <c r="M35" s="29" t="str">
        <f>IFERROR(__xludf.DUMMYFUNCTION("IFERROR(TOROW(CHOOSECOLS(SORT(FILTER({'Tổng hợp 75 trang đích'!$J$2:$J$3260,'Tổng hợp 75 trang đích'!$I$2:$I$3260,MATCH('Tổng hợp 75 trang đích'!$K$2:$K$3260,{""PHÙ HỢP CAO"",""CÓ THỂ ĐI"",""CẦN SOÁT""},0)},'Tổng hợp 75 trang đích'!$B$2:$B$3260=$D35),3,TR"&amp;"UE),1,2)),"""")"),"")</f>
        <v/>
      </c>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row>
    <row r="36" ht="18.0" customHeight="1">
      <c r="A36" s="28">
        <v>35.0</v>
      </c>
      <c r="B36" s="29" t="s">
        <v>1481</v>
      </c>
      <c r="C36" s="30" t="s">
        <v>2134</v>
      </c>
      <c r="D36" s="29" t="s">
        <v>51</v>
      </c>
      <c r="E36" s="28">
        <v>30.0</v>
      </c>
      <c r="F36" s="28" t="str">
        <f t="shared" si="1"/>
        <v>#REF!</v>
      </c>
      <c r="G36" s="28">
        <f t="shared" si="2"/>
        <v>0</v>
      </c>
      <c r="H36" s="28">
        <f t="shared" si="3"/>
        <v>0</v>
      </c>
      <c r="I36" s="28">
        <f t="shared" si="4"/>
        <v>0</v>
      </c>
      <c r="J36" s="31" t="s">
        <v>856</v>
      </c>
      <c r="K36" s="31" t="b">
        <v>0</v>
      </c>
      <c r="L36" s="32" t="s">
        <v>91</v>
      </c>
      <c r="M36" s="29" t="str">
        <f>IFERROR(__xludf.DUMMYFUNCTION("IFERROR(TOROW(CHOOSECOLS(SORT(FILTER({'Tổng hợp 75 trang đích'!$J$2:$J$3260,'Tổng hợp 75 trang đích'!$I$2:$I$3260,MATCH('Tổng hợp 75 trang đích'!$K$2:$K$3260,{""PHÙ HỢP CAO"",""CÓ THỂ ĐI"",""CẦN SOÁT""},0)},'Tổng hợp 75 trang đích'!$B$2:$B$3260=$D36),3,TR"&amp;"UE),1,2)),"""")"),"")</f>
        <v/>
      </c>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row>
    <row r="37" ht="18.0" customHeight="1">
      <c r="A37" s="28">
        <v>36.0</v>
      </c>
      <c r="B37" s="29" t="s">
        <v>1634</v>
      </c>
      <c r="C37" s="30" t="s">
        <v>2161</v>
      </c>
      <c r="D37" s="29" t="s">
        <v>1126</v>
      </c>
      <c r="E37" s="28">
        <v>30.0</v>
      </c>
      <c r="F37" s="28" t="str">
        <f t="shared" si="1"/>
        <v>#REF!</v>
      </c>
      <c r="G37" s="28">
        <f t="shared" si="2"/>
        <v>0</v>
      </c>
      <c r="H37" s="28">
        <f t="shared" si="3"/>
        <v>0</v>
      </c>
      <c r="I37" s="28">
        <f t="shared" si="4"/>
        <v>0</v>
      </c>
      <c r="J37" s="31" t="s">
        <v>856</v>
      </c>
      <c r="K37" s="31" t="b">
        <v>0</v>
      </c>
      <c r="L37" s="32" t="s">
        <v>91</v>
      </c>
      <c r="M37" s="29" t="str">
        <f>IFERROR(__xludf.DUMMYFUNCTION("IFERROR(TOROW(CHOOSECOLS(SORT(FILTER({'Tổng hợp 75 trang đích'!$J$2:$J$3260,'Tổng hợp 75 trang đích'!$I$2:$I$3260,MATCH('Tổng hợp 75 trang đích'!$K$2:$K$3260,{""PHÙ HỢP CAO"",""CÓ THỂ ĐI"",""CẦN SOÁT""},0)},'Tổng hợp 75 trang đích'!$B$2:$B$3260=$D37),3,TR"&amp;"UE),1,2)),"""")"),"")</f>
        <v/>
      </c>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row>
    <row r="38" ht="18.0" customHeight="1">
      <c r="A38" s="28">
        <v>37.0</v>
      </c>
      <c r="B38" s="29" t="s">
        <v>1634</v>
      </c>
      <c r="C38" s="30" t="s">
        <v>2189</v>
      </c>
      <c r="D38" s="29" t="s">
        <v>855</v>
      </c>
      <c r="E38" s="28">
        <v>30.0</v>
      </c>
      <c r="F38" s="28" t="str">
        <f t="shared" si="1"/>
        <v>#REF!</v>
      </c>
      <c r="G38" s="28">
        <f t="shared" si="2"/>
        <v>0</v>
      </c>
      <c r="H38" s="28">
        <f t="shared" si="3"/>
        <v>0</v>
      </c>
      <c r="I38" s="28">
        <f t="shared" si="4"/>
        <v>0</v>
      </c>
      <c r="J38" s="31" t="s">
        <v>856</v>
      </c>
      <c r="K38" s="31" t="b">
        <v>0</v>
      </c>
      <c r="L38" s="32" t="s">
        <v>91</v>
      </c>
      <c r="M38" s="29" t="str">
        <f>IFERROR(__xludf.DUMMYFUNCTION("IFERROR(TOROW(CHOOSECOLS(SORT(FILTER({'Tổng hợp 75 trang đích'!$J$2:$J$3260,'Tổng hợp 75 trang đích'!$I$2:$I$3260,MATCH('Tổng hợp 75 trang đích'!$K$2:$K$3260,{""PHÙ HỢP CAO"",""CÓ THỂ ĐI"",""CẦN SOÁT""},0)},'Tổng hợp 75 trang đích'!$B$2:$B$3260=$D38),3,TR"&amp;"UE),1,2)),"""")"),"")</f>
        <v/>
      </c>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row>
    <row r="39" ht="18.0" customHeight="1">
      <c r="A39" s="28">
        <v>38.0</v>
      </c>
      <c r="B39" s="29" t="s">
        <v>1662</v>
      </c>
      <c r="C39" s="30" t="s">
        <v>2230</v>
      </c>
      <c r="D39" s="29" t="s">
        <v>95</v>
      </c>
      <c r="E39" s="28">
        <v>30.0</v>
      </c>
      <c r="F39" s="28" t="str">
        <f t="shared" si="1"/>
        <v>#REF!</v>
      </c>
      <c r="G39" s="28">
        <f t="shared" si="2"/>
        <v>0</v>
      </c>
      <c r="H39" s="28">
        <f t="shared" si="3"/>
        <v>0</v>
      </c>
      <c r="I39" s="28">
        <f t="shared" si="4"/>
        <v>0</v>
      </c>
      <c r="J39" s="31" t="s">
        <v>856</v>
      </c>
      <c r="K39" s="31" t="b">
        <v>0</v>
      </c>
      <c r="L39" s="32" t="s">
        <v>91</v>
      </c>
      <c r="M39" s="29" t="str">
        <f>IFERROR(__xludf.DUMMYFUNCTION("IFERROR(TOROW(CHOOSECOLS(SORT(FILTER({'Tổng hợp 75 trang đích'!$J$2:$J$3260,'Tổng hợp 75 trang đích'!$I$2:$I$3260,MATCH('Tổng hợp 75 trang đích'!$K$2:$K$3260,{""PHÙ HỢP CAO"",""CÓ THỂ ĐI"",""CẦN SOÁT""},0)},'Tổng hợp 75 trang đích'!$B$2:$B$3260=$D39),3,TR"&amp;"UE),1,2)),"""")"),"")</f>
        <v/>
      </c>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row>
    <row r="40" ht="18.0" customHeight="1">
      <c r="A40" s="28">
        <v>39.0</v>
      </c>
      <c r="B40" s="29" t="s">
        <v>1662</v>
      </c>
      <c r="C40" s="30" t="s">
        <v>2254</v>
      </c>
      <c r="D40" s="29" t="s">
        <v>173</v>
      </c>
      <c r="E40" s="28">
        <v>30.0</v>
      </c>
      <c r="F40" s="28" t="str">
        <f t="shared" si="1"/>
        <v>#REF!</v>
      </c>
      <c r="G40" s="28">
        <f t="shared" si="2"/>
        <v>0</v>
      </c>
      <c r="H40" s="28">
        <f t="shared" si="3"/>
        <v>0</v>
      </c>
      <c r="I40" s="28">
        <f t="shared" si="4"/>
        <v>0</v>
      </c>
      <c r="J40" s="31" t="s">
        <v>856</v>
      </c>
      <c r="K40" s="31" t="b">
        <v>0</v>
      </c>
      <c r="L40" s="32" t="s">
        <v>91</v>
      </c>
      <c r="M40" s="29" t="str">
        <f>IFERROR(__xludf.DUMMYFUNCTION("IFERROR(TOROW(CHOOSECOLS(SORT(FILTER({'Tổng hợp 75 trang đích'!$J$2:$J$3260,'Tổng hợp 75 trang đích'!$I$2:$I$3260,MATCH('Tổng hợp 75 trang đích'!$K$2:$K$3260,{""PHÙ HỢP CAO"",""CÓ THỂ ĐI"",""CẦN SOÁT""},0)},'Tổng hợp 75 trang đích'!$B$2:$B$3260=$D40),3,TR"&amp;"UE),1,2)),"""")"),"")</f>
        <v/>
      </c>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row>
    <row r="41" ht="18.0" customHeight="1">
      <c r="A41" s="28">
        <v>40.0</v>
      </c>
      <c r="B41" s="29" t="s">
        <v>1662</v>
      </c>
      <c r="C41" s="30" t="s">
        <v>2288</v>
      </c>
      <c r="D41" s="29" t="s">
        <v>783</v>
      </c>
      <c r="E41" s="28">
        <v>30.0</v>
      </c>
      <c r="F41" s="28" t="str">
        <f t="shared" si="1"/>
        <v>#REF!</v>
      </c>
      <c r="G41" s="28">
        <f t="shared" si="2"/>
        <v>0</v>
      </c>
      <c r="H41" s="28">
        <f t="shared" si="3"/>
        <v>0</v>
      </c>
      <c r="I41" s="28">
        <f t="shared" si="4"/>
        <v>0</v>
      </c>
      <c r="J41" s="31" t="s">
        <v>856</v>
      </c>
      <c r="K41" s="31" t="b">
        <v>0</v>
      </c>
      <c r="L41" s="32" t="s">
        <v>91</v>
      </c>
      <c r="M41" s="29" t="str">
        <f>IFERROR(__xludf.DUMMYFUNCTION("IFERROR(TOROW(CHOOSECOLS(SORT(FILTER({'Tổng hợp 75 trang đích'!$J$2:$J$3260,'Tổng hợp 75 trang đích'!$I$2:$I$3260,MATCH('Tổng hợp 75 trang đích'!$K$2:$K$3260,{""PHÙ HỢP CAO"",""CÓ THỂ ĐI"",""CẦN SOÁT""},0)},'Tổng hợp 75 trang đích'!$B$2:$B$3260=$D41),3,TR"&amp;"UE),1,2)),"""")"),"")</f>
        <v/>
      </c>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row>
    <row r="42" ht="18.0" customHeight="1">
      <c r="A42" s="28">
        <v>41.0</v>
      </c>
      <c r="B42" s="29" t="s">
        <v>1662</v>
      </c>
      <c r="C42" s="30" t="s">
        <v>2310</v>
      </c>
      <c r="D42" s="29" t="s">
        <v>1115</v>
      </c>
      <c r="E42" s="28">
        <v>30.0</v>
      </c>
      <c r="F42" s="28" t="str">
        <f t="shared" si="1"/>
        <v>#REF!</v>
      </c>
      <c r="G42" s="28">
        <f t="shared" si="2"/>
        <v>0</v>
      </c>
      <c r="H42" s="28">
        <f t="shared" si="3"/>
        <v>0</v>
      </c>
      <c r="I42" s="28">
        <f t="shared" si="4"/>
        <v>0</v>
      </c>
      <c r="J42" s="31" t="s">
        <v>856</v>
      </c>
      <c r="K42" s="31" t="b">
        <v>0</v>
      </c>
      <c r="L42" s="32" t="s">
        <v>91</v>
      </c>
      <c r="M42" s="29" t="str">
        <f>IFERROR(__xludf.DUMMYFUNCTION("IFERROR(TOROW(CHOOSECOLS(SORT(FILTER({'Tổng hợp 75 trang đích'!$J$2:$J$3260,'Tổng hợp 75 trang đích'!$I$2:$I$3260,MATCH('Tổng hợp 75 trang đích'!$K$2:$K$3260,{""PHÙ HỢP CAO"",""CÓ THỂ ĐI"",""CẦN SOÁT""},0)},'Tổng hợp 75 trang đích'!$B$2:$B$3260=$D42),3,TR"&amp;"UE),1,2)),"""")"),"")</f>
        <v/>
      </c>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row>
    <row r="43" ht="18.0" customHeight="1">
      <c r="A43" s="28">
        <v>42.0</v>
      </c>
      <c r="B43" s="29" t="s">
        <v>1662</v>
      </c>
      <c r="C43" s="30" t="s">
        <v>2331</v>
      </c>
      <c r="D43" s="29" t="s">
        <v>340</v>
      </c>
      <c r="E43" s="28">
        <v>30.0</v>
      </c>
      <c r="F43" s="28" t="str">
        <f t="shared" si="1"/>
        <v>#REF!</v>
      </c>
      <c r="G43" s="28">
        <f t="shared" si="2"/>
        <v>0</v>
      </c>
      <c r="H43" s="28">
        <f t="shared" si="3"/>
        <v>0</v>
      </c>
      <c r="I43" s="28">
        <f t="shared" si="4"/>
        <v>0</v>
      </c>
      <c r="J43" s="31" t="s">
        <v>856</v>
      </c>
      <c r="K43" s="31" t="b">
        <v>0</v>
      </c>
      <c r="L43" s="32" t="s">
        <v>91</v>
      </c>
      <c r="M43" s="29" t="str">
        <f>IFERROR(__xludf.DUMMYFUNCTION("IFERROR(TOROW(CHOOSECOLS(SORT(FILTER({'Tổng hợp 75 trang đích'!$J$2:$J$3260,'Tổng hợp 75 trang đích'!$I$2:$I$3260,MATCH('Tổng hợp 75 trang đích'!$K$2:$K$3260,{""PHÙ HỢP CAO"",""CÓ THỂ ĐI"",""CẦN SOÁT""},0)},'Tổng hợp 75 trang đích'!$B$2:$B$3260=$D43),3,TR"&amp;"UE),1,2)),"""")"),"")</f>
        <v/>
      </c>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row>
    <row r="44" ht="18.0" customHeight="1">
      <c r="A44" s="28">
        <v>43.0</v>
      </c>
      <c r="B44" s="29" t="s">
        <v>1662</v>
      </c>
      <c r="C44" s="30" t="s">
        <v>2355</v>
      </c>
      <c r="D44" s="29" t="s">
        <v>143</v>
      </c>
      <c r="E44" s="28">
        <v>30.0</v>
      </c>
      <c r="F44" s="28" t="str">
        <f t="shared" si="1"/>
        <v>#REF!</v>
      </c>
      <c r="G44" s="28">
        <f t="shared" si="2"/>
        <v>0</v>
      </c>
      <c r="H44" s="28">
        <f t="shared" si="3"/>
        <v>0</v>
      </c>
      <c r="I44" s="28">
        <f t="shared" si="4"/>
        <v>0</v>
      </c>
      <c r="J44" s="31" t="s">
        <v>856</v>
      </c>
      <c r="K44" s="31" t="b">
        <v>0</v>
      </c>
      <c r="L44" s="32" t="s">
        <v>91</v>
      </c>
      <c r="M44" s="29" t="str">
        <f>IFERROR(__xludf.DUMMYFUNCTION("IFERROR(TOROW(CHOOSECOLS(SORT(FILTER({'Tổng hợp 75 trang đích'!$J$2:$J$3260,'Tổng hợp 75 trang đích'!$I$2:$I$3260,MATCH('Tổng hợp 75 trang đích'!$K$2:$K$3260,{""PHÙ HỢP CAO"",""CÓ THỂ ĐI"",""CẦN SOÁT""},0)},'Tổng hợp 75 trang đích'!$B$2:$B$3260=$D44),3,TR"&amp;"UE),1,2)),"""")"),"")</f>
        <v/>
      </c>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row>
    <row r="45" ht="18.0" customHeight="1">
      <c r="A45" s="28">
        <v>44.0</v>
      </c>
      <c r="B45" s="29" t="s">
        <v>1662</v>
      </c>
      <c r="C45" s="30" t="s">
        <v>2381</v>
      </c>
      <c r="D45" s="29" t="s">
        <v>779</v>
      </c>
      <c r="E45" s="28">
        <v>30.0</v>
      </c>
      <c r="F45" s="28" t="str">
        <f t="shared" si="1"/>
        <v>#REF!</v>
      </c>
      <c r="G45" s="28">
        <f t="shared" si="2"/>
        <v>0</v>
      </c>
      <c r="H45" s="28">
        <f t="shared" si="3"/>
        <v>0</v>
      </c>
      <c r="I45" s="28">
        <f t="shared" si="4"/>
        <v>0</v>
      </c>
      <c r="J45" s="31" t="s">
        <v>856</v>
      </c>
      <c r="K45" s="31" t="b">
        <v>0</v>
      </c>
      <c r="L45" s="32" t="s">
        <v>91</v>
      </c>
      <c r="M45" s="29" t="str">
        <f>IFERROR(__xludf.DUMMYFUNCTION("IFERROR(TOROW(CHOOSECOLS(SORT(FILTER({'Tổng hợp 75 trang đích'!$J$2:$J$3260,'Tổng hợp 75 trang đích'!$I$2:$I$3260,MATCH('Tổng hợp 75 trang đích'!$K$2:$K$3260,{""PHÙ HỢP CAO"",""CÓ THỂ ĐI"",""CẦN SOÁT""},0)},'Tổng hợp 75 trang đích'!$B$2:$B$3260=$D45),3,TR"&amp;"UE),1,2)),"""")"),"")</f>
        <v/>
      </c>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row>
    <row r="46" ht="18.0" customHeight="1">
      <c r="A46" s="28">
        <v>45.0</v>
      </c>
      <c r="B46" s="29" t="s">
        <v>1662</v>
      </c>
      <c r="C46" s="30" t="s">
        <v>2400</v>
      </c>
      <c r="D46" s="29" t="s">
        <v>1130</v>
      </c>
      <c r="E46" s="28">
        <v>30.0</v>
      </c>
      <c r="F46" s="28" t="str">
        <f t="shared" si="1"/>
        <v>#REF!</v>
      </c>
      <c r="G46" s="28">
        <f t="shared" si="2"/>
        <v>0</v>
      </c>
      <c r="H46" s="28">
        <f t="shared" si="3"/>
        <v>0</v>
      </c>
      <c r="I46" s="28">
        <f t="shared" si="4"/>
        <v>0</v>
      </c>
      <c r="J46" s="31" t="s">
        <v>856</v>
      </c>
      <c r="K46" s="31" t="b">
        <v>0</v>
      </c>
      <c r="L46" s="32" t="s">
        <v>91</v>
      </c>
      <c r="M46" s="29" t="str">
        <f>IFERROR(__xludf.DUMMYFUNCTION("IFERROR(TOROW(CHOOSECOLS(SORT(FILTER({'Tổng hợp 75 trang đích'!$J$2:$J$3260,'Tổng hợp 75 trang đích'!$I$2:$I$3260,MATCH('Tổng hợp 75 trang đích'!$K$2:$K$3260,{""PHÙ HỢP CAO"",""CÓ THỂ ĐI"",""CẦN SOÁT""},0)},'Tổng hợp 75 trang đích'!$B$2:$B$3260=$D46),3,TR"&amp;"UE),1,2)),"""")"),"")</f>
        <v/>
      </c>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row>
    <row r="47" ht="18.0" customHeight="1">
      <c r="A47" s="28">
        <v>46.0</v>
      </c>
      <c r="B47" s="29" t="s">
        <v>1662</v>
      </c>
      <c r="C47" s="30" t="s">
        <v>2417</v>
      </c>
      <c r="D47" s="29" t="s">
        <v>576</v>
      </c>
      <c r="E47" s="28">
        <v>30.0</v>
      </c>
      <c r="F47" s="28" t="str">
        <f t="shared" si="1"/>
        <v>#REF!</v>
      </c>
      <c r="G47" s="28">
        <f t="shared" si="2"/>
        <v>0</v>
      </c>
      <c r="H47" s="28">
        <f t="shared" si="3"/>
        <v>0</v>
      </c>
      <c r="I47" s="28">
        <f t="shared" si="4"/>
        <v>0</v>
      </c>
      <c r="J47" s="31" t="s">
        <v>856</v>
      </c>
      <c r="K47" s="31" t="b">
        <v>0</v>
      </c>
      <c r="L47" s="32" t="s">
        <v>91</v>
      </c>
      <c r="M47" s="29" t="str">
        <f>IFERROR(__xludf.DUMMYFUNCTION("IFERROR(TOROW(CHOOSECOLS(SORT(FILTER({'Tổng hợp 75 trang đích'!$J$2:$J$3260,'Tổng hợp 75 trang đích'!$I$2:$I$3260,MATCH('Tổng hợp 75 trang đích'!$K$2:$K$3260,{""PHÙ HỢP CAO"",""CÓ THỂ ĐI"",""CẦN SOÁT""},0)},'Tổng hợp 75 trang đích'!$B$2:$B$3260=$D47),3,TR"&amp;"UE),1,2)),"""")"),"")</f>
        <v/>
      </c>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row>
    <row r="48" ht="18.0" customHeight="1">
      <c r="A48" s="28">
        <v>47.0</v>
      </c>
      <c r="B48" s="29" t="s">
        <v>1662</v>
      </c>
      <c r="C48" s="30" t="s">
        <v>2433</v>
      </c>
      <c r="D48" s="29" t="s">
        <v>337</v>
      </c>
      <c r="E48" s="28">
        <v>30.0</v>
      </c>
      <c r="F48" s="28" t="str">
        <f t="shared" si="1"/>
        <v>#REF!</v>
      </c>
      <c r="G48" s="28">
        <f t="shared" si="2"/>
        <v>0</v>
      </c>
      <c r="H48" s="28">
        <f t="shared" si="3"/>
        <v>0</v>
      </c>
      <c r="I48" s="28">
        <f t="shared" si="4"/>
        <v>0</v>
      </c>
      <c r="J48" s="31" t="s">
        <v>856</v>
      </c>
      <c r="K48" s="31" t="b">
        <v>0</v>
      </c>
      <c r="L48" s="32" t="s">
        <v>91</v>
      </c>
      <c r="M48" s="29" t="str">
        <f>IFERROR(__xludf.DUMMYFUNCTION("IFERROR(TOROW(CHOOSECOLS(SORT(FILTER({'Tổng hợp 75 trang đích'!$J$2:$J$3260,'Tổng hợp 75 trang đích'!$I$2:$I$3260,MATCH('Tổng hợp 75 trang đích'!$K$2:$K$3260,{""PHÙ HỢP CAO"",""CÓ THỂ ĐI"",""CẦN SOÁT""},0)},'Tổng hợp 75 trang đích'!$B$2:$B$3260=$D48),3,TR"&amp;"UE),1,2)),"""")"),"")</f>
        <v/>
      </c>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row>
    <row r="49" ht="18.0" customHeight="1">
      <c r="A49" s="28">
        <v>48.0</v>
      </c>
      <c r="B49" s="29" t="s">
        <v>1662</v>
      </c>
      <c r="C49" s="30" t="s">
        <v>2451</v>
      </c>
      <c r="D49" s="29" t="s">
        <v>1128</v>
      </c>
      <c r="E49" s="28">
        <v>30.0</v>
      </c>
      <c r="F49" s="28" t="str">
        <f t="shared" si="1"/>
        <v>#REF!</v>
      </c>
      <c r="G49" s="28">
        <f t="shared" si="2"/>
        <v>0</v>
      </c>
      <c r="H49" s="28">
        <f t="shared" si="3"/>
        <v>0</v>
      </c>
      <c r="I49" s="28">
        <f t="shared" si="4"/>
        <v>0</v>
      </c>
      <c r="J49" s="31" t="s">
        <v>856</v>
      </c>
      <c r="K49" s="31" t="b">
        <v>0</v>
      </c>
      <c r="L49" s="32" t="s">
        <v>91</v>
      </c>
      <c r="M49" s="29" t="str">
        <f>IFERROR(__xludf.DUMMYFUNCTION("IFERROR(TOROW(CHOOSECOLS(SORT(FILTER({'Tổng hợp 75 trang đích'!$J$2:$J$3260,'Tổng hợp 75 trang đích'!$I$2:$I$3260,MATCH('Tổng hợp 75 trang đích'!$K$2:$K$3260,{""PHÙ HỢP CAO"",""CÓ THỂ ĐI"",""CẦN SOÁT""},0)},'Tổng hợp 75 trang đích'!$B$2:$B$3260=$D49),3,TR"&amp;"UE),1,2)),"""")"),"")</f>
        <v/>
      </c>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row>
    <row r="50" ht="18.0" customHeight="1">
      <c r="A50" s="28">
        <v>49.0</v>
      </c>
      <c r="B50" s="29" t="s">
        <v>1662</v>
      </c>
      <c r="C50" s="30" t="s">
        <v>2480</v>
      </c>
      <c r="D50" s="29" t="s">
        <v>897</v>
      </c>
      <c r="E50" s="28">
        <v>30.0</v>
      </c>
      <c r="F50" s="28" t="str">
        <f t="shared" si="1"/>
        <v>#REF!</v>
      </c>
      <c r="G50" s="28">
        <f t="shared" si="2"/>
        <v>0</v>
      </c>
      <c r="H50" s="28">
        <f t="shared" si="3"/>
        <v>0</v>
      </c>
      <c r="I50" s="28">
        <f t="shared" si="4"/>
        <v>0</v>
      </c>
      <c r="J50" s="31" t="s">
        <v>856</v>
      </c>
      <c r="K50" s="31" t="b">
        <v>0</v>
      </c>
      <c r="L50" s="32" t="s">
        <v>91</v>
      </c>
      <c r="M50" s="29" t="str">
        <f>IFERROR(__xludf.DUMMYFUNCTION("IFERROR(TOROW(CHOOSECOLS(SORT(FILTER({'Tổng hợp 75 trang đích'!$J$2:$J$3260,'Tổng hợp 75 trang đích'!$I$2:$I$3260,MATCH('Tổng hợp 75 trang đích'!$K$2:$K$3260,{""PHÙ HỢP CAO"",""CÓ THỂ ĐI"",""CẦN SOÁT""},0)},'Tổng hợp 75 trang đích'!$B$2:$B$3260=$D50),3,TR"&amp;"UE),1,2)),"""")"),"")</f>
        <v/>
      </c>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row>
    <row r="51" ht="18.0" customHeight="1">
      <c r="A51" s="28">
        <v>50.0</v>
      </c>
      <c r="B51" s="29" t="s">
        <v>1765</v>
      </c>
      <c r="C51" s="30" t="s">
        <v>2508</v>
      </c>
      <c r="D51" s="29" t="s">
        <v>165</v>
      </c>
      <c r="E51" s="28">
        <v>30.0</v>
      </c>
      <c r="F51" s="28" t="str">
        <f t="shared" si="1"/>
        <v>#REF!</v>
      </c>
      <c r="G51" s="28">
        <f t="shared" si="2"/>
        <v>0</v>
      </c>
      <c r="H51" s="28">
        <f t="shared" si="3"/>
        <v>0</v>
      </c>
      <c r="I51" s="28">
        <f t="shared" si="4"/>
        <v>0</v>
      </c>
      <c r="J51" s="31" t="s">
        <v>856</v>
      </c>
      <c r="K51" s="31" t="b">
        <v>0</v>
      </c>
      <c r="L51" s="32" t="s">
        <v>91</v>
      </c>
      <c r="M51" s="29" t="str">
        <f>IFERROR(__xludf.DUMMYFUNCTION("IFERROR(TOROW(CHOOSECOLS(SORT(FILTER({'Tổng hợp 75 trang đích'!$J$2:$J$3260,'Tổng hợp 75 trang đích'!$I$2:$I$3260,MATCH('Tổng hợp 75 trang đích'!$K$2:$K$3260,{""PHÙ HỢP CAO"",""CÓ THỂ ĐI"",""CẦN SOÁT""},0)},'Tổng hợp 75 trang đích'!$B$2:$B$3260=$D51),3,TR"&amp;"UE),1,2)),"""")"),"")</f>
        <v/>
      </c>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row>
    <row r="52" ht="18.0" customHeight="1">
      <c r="A52" s="28">
        <v>51.0</v>
      </c>
      <c r="B52" s="29" t="s">
        <v>1771</v>
      </c>
      <c r="C52" s="30" t="s">
        <v>2535</v>
      </c>
      <c r="D52" s="29" t="s">
        <v>1770</v>
      </c>
      <c r="E52" s="28">
        <v>30.0</v>
      </c>
      <c r="F52" s="28" t="str">
        <f t="shared" si="1"/>
        <v>#REF!</v>
      </c>
      <c r="G52" s="28">
        <f t="shared" si="2"/>
        <v>0</v>
      </c>
      <c r="H52" s="28">
        <f t="shared" si="3"/>
        <v>0</v>
      </c>
      <c r="I52" s="28">
        <f t="shared" si="4"/>
        <v>0</v>
      </c>
      <c r="J52" s="31" t="s">
        <v>856</v>
      </c>
      <c r="K52" s="31" t="b">
        <v>0</v>
      </c>
      <c r="L52" s="32" t="s">
        <v>91</v>
      </c>
      <c r="M52" s="29" t="str">
        <f>IFERROR(__xludf.DUMMYFUNCTION("IFERROR(TOROW(CHOOSECOLS(SORT(FILTER({'Tổng hợp 75 trang đích'!$J$2:$J$3260,'Tổng hợp 75 trang đích'!$I$2:$I$3260,MATCH('Tổng hợp 75 trang đích'!$K$2:$K$3260,{""PHÙ HỢP CAO"",""CÓ THỂ ĐI"",""CẦN SOÁT""},0)},'Tổng hợp 75 trang đích'!$B$2:$B$3260=$D52),3,TR"&amp;"UE),1,2)),"""")"),"")</f>
        <v/>
      </c>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row>
    <row r="53" ht="18.0" customHeight="1">
      <c r="A53" s="28">
        <v>52.0</v>
      </c>
      <c r="B53" s="29" t="s">
        <v>1589</v>
      </c>
      <c r="C53" s="30" t="s">
        <v>2328</v>
      </c>
      <c r="D53" s="29" t="s">
        <v>610</v>
      </c>
      <c r="E53" s="28">
        <v>50.0</v>
      </c>
      <c r="F53" s="28" t="str">
        <f t="shared" si="1"/>
        <v>#REF!</v>
      </c>
      <c r="G53" s="28">
        <f t="shared" si="2"/>
        <v>0</v>
      </c>
      <c r="H53" s="28">
        <f t="shared" si="3"/>
        <v>0</v>
      </c>
      <c r="I53" s="28">
        <f t="shared" si="4"/>
        <v>0</v>
      </c>
      <c r="J53" s="31" t="s">
        <v>856</v>
      </c>
      <c r="K53" s="31" t="b">
        <v>0</v>
      </c>
      <c r="L53" s="32" t="s">
        <v>91</v>
      </c>
      <c r="M53" s="29" t="str">
        <f>IFERROR(__xludf.DUMMYFUNCTION("IFERROR(TOROW(CHOOSECOLS(SORT(FILTER({'Tổng hợp 75 trang đích'!$J$2:$J$3260,'Tổng hợp 75 trang đích'!$I$2:$I$3260,MATCH('Tổng hợp 75 trang đích'!$K$2:$K$3260,{""PHÙ HỢP CAO"",""CÓ THỂ ĐI"",""CẦN SOÁT""},0)},'Tổng hợp 75 trang đích'!$B$2:$B$3260=$D53),3,TR"&amp;"UE),1,2)),"""")"),"")</f>
        <v/>
      </c>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row>
    <row r="54" ht="18.0" customHeight="1">
      <c r="A54" s="28">
        <v>53.0</v>
      </c>
      <c r="B54" s="29" t="s">
        <v>1589</v>
      </c>
      <c r="C54" s="30" t="s">
        <v>2573</v>
      </c>
      <c r="D54" s="29" t="s">
        <v>1778</v>
      </c>
      <c r="E54" s="28">
        <v>30.0</v>
      </c>
      <c r="F54" s="28" t="str">
        <f t="shared" si="1"/>
        <v>#REF!</v>
      </c>
      <c r="G54" s="28">
        <f t="shared" si="2"/>
        <v>0</v>
      </c>
      <c r="H54" s="28">
        <f t="shared" si="3"/>
        <v>0</v>
      </c>
      <c r="I54" s="28">
        <f t="shared" si="4"/>
        <v>0</v>
      </c>
      <c r="J54" s="31" t="s">
        <v>856</v>
      </c>
      <c r="K54" s="31" t="b">
        <v>0</v>
      </c>
      <c r="L54" s="32" t="s">
        <v>91</v>
      </c>
      <c r="M54" s="29" t="str">
        <f>IFERROR(__xludf.DUMMYFUNCTION("IFERROR(TOROW(CHOOSECOLS(SORT(FILTER({'Tổng hợp 75 trang đích'!$J$2:$J$3260,'Tổng hợp 75 trang đích'!$I$2:$I$3260,MATCH('Tổng hợp 75 trang đích'!$K$2:$K$3260,{""PHÙ HỢP CAO"",""CÓ THỂ ĐI"",""CẦN SOÁT""},0)},'Tổng hợp 75 trang đích'!$B$2:$B$3260=$D54),3,TR"&amp;"UE),1,2)),"""")"),"")</f>
        <v/>
      </c>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row>
    <row r="55" ht="18.0" customHeight="1">
      <c r="A55" s="28">
        <v>54.0</v>
      </c>
      <c r="B55" s="29" t="s">
        <v>1589</v>
      </c>
      <c r="C55" s="30" t="s">
        <v>2590</v>
      </c>
      <c r="D55" s="29" t="s">
        <v>1214</v>
      </c>
      <c r="E55" s="28">
        <v>30.0</v>
      </c>
      <c r="F55" s="28" t="str">
        <f t="shared" si="1"/>
        <v>#REF!</v>
      </c>
      <c r="G55" s="28">
        <f t="shared" si="2"/>
        <v>0</v>
      </c>
      <c r="H55" s="28">
        <f t="shared" si="3"/>
        <v>0</v>
      </c>
      <c r="I55" s="28">
        <f t="shared" si="4"/>
        <v>0</v>
      </c>
      <c r="J55" s="31" t="s">
        <v>856</v>
      </c>
      <c r="K55" s="31" t="b">
        <v>0</v>
      </c>
      <c r="L55" s="32" t="s">
        <v>91</v>
      </c>
      <c r="M55" s="29" t="str">
        <f>IFERROR(__xludf.DUMMYFUNCTION("IFERROR(TOROW(CHOOSECOLS(SORT(FILTER({'Tổng hợp 75 trang đích'!$J$2:$J$3260,'Tổng hợp 75 trang đích'!$I$2:$I$3260,MATCH('Tổng hợp 75 trang đích'!$K$2:$K$3260,{""PHÙ HỢP CAO"",""CÓ THỂ ĐI"",""CẦN SOÁT""},0)},'Tổng hợp 75 trang đích'!$B$2:$B$3260=$D55),3,TR"&amp;"UE),1,2)),"""")"),"")</f>
        <v/>
      </c>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row>
    <row r="56" ht="18.0" customHeight="1">
      <c r="A56" s="28">
        <v>55.0</v>
      </c>
      <c r="B56" s="29" t="s">
        <v>1589</v>
      </c>
      <c r="C56" s="30" t="s">
        <v>2615</v>
      </c>
      <c r="D56" s="29" t="s">
        <v>1</v>
      </c>
      <c r="E56" s="28">
        <v>30.0</v>
      </c>
      <c r="F56" s="28" t="str">
        <f t="shared" si="1"/>
        <v>#REF!</v>
      </c>
      <c r="G56" s="28">
        <f t="shared" si="2"/>
        <v>0</v>
      </c>
      <c r="H56" s="28">
        <f t="shared" si="3"/>
        <v>0</v>
      </c>
      <c r="I56" s="28">
        <f t="shared" si="4"/>
        <v>0</v>
      </c>
      <c r="J56" s="31" t="s">
        <v>856</v>
      </c>
      <c r="K56" s="31" t="b">
        <v>0</v>
      </c>
      <c r="L56" s="32" t="s">
        <v>91</v>
      </c>
      <c r="M56" s="29" t="str">
        <f>IFERROR(__xludf.DUMMYFUNCTION("IFERROR(TOROW(CHOOSECOLS(SORT(FILTER({'Tổng hợp 75 trang đích'!$J$2:$J$3260,'Tổng hợp 75 trang đích'!$I$2:$I$3260,MATCH('Tổng hợp 75 trang đích'!$K$2:$K$3260,{""PHÙ HỢP CAO"",""CÓ THỂ ĐI"",""CẦN SOÁT""},0)},'Tổng hợp 75 trang đích'!$B$2:$B$3260=$D56),3,TR"&amp;"UE),1,2)),"""")"),"")</f>
        <v/>
      </c>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row>
    <row r="57" ht="18.0" customHeight="1">
      <c r="A57" s="28">
        <v>56.0</v>
      </c>
      <c r="B57" s="29" t="s">
        <v>1589</v>
      </c>
      <c r="C57" s="30" t="s">
        <v>2639</v>
      </c>
      <c r="D57" s="29" t="s">
        <v>392</v>
      </c>
      <c r="E57" s="28">
        <v>30.0</v>
      </c>
      <c r="F57" s="28" t="str">
        <f t="shared" si="1"/>
        <v>#REF!</v>
      </c>
      <c r="G57" s="28">
        <f t="shared" si="2"/>
        <v>0</v>
      </c>
      <c r="H57" s="28">
        <f t="shared" si="3"/>
        <v>0</v>
      </c>
      <c r="I57" s="28">
        <f t="shared" si="4"/>
        <v>0</v>
      </c>
      <c r="J57" s="31" t="s">
        <v>856</v>
      </c>
      <c r="K57" s="31" t="b">
        <v>0</v>
      </c>
      <c r="L57" s="32" t="s">
        <v>91</v>
      </c>
      <c r="M57" s="29" t="str">
        <f>IFERROR(__xludf.DUMMYFUNCTION("IFERROR(TOROW(CHOOSECOLS(SORT(FILTER({'Tổng hợp 75 trang đích'!$J$2:$J$3260,'Tổng hợp 75 trang đích'!$I$2:$I$3260,MATCH('Tổng hợp 75 trang đích'!$K$2:$K$3260,{""PHÙ HỢP CAO"",""CÓ THỂ ĐI"",""CẦN SOÁT""},0)},'Tổng hợp 75 trang đích'!$B$2:$B$3260=$D57),3,TR"&amp;"UE),1,2)),"""")"),"")</f>
        <v/>
      </c>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row>
    <row r="58" ht="18.0" customHeight="1">
      <c r="A58" s="28">
        <v>57.0</v>
      </c>
      <c r="B58" s="29" t="s">
        <v>1598</v>
      </c>
      <c r="C58" s="30" t="s">
        <v>2673</v>
      </c>
      <c r="D58" s="29" t="s">
        <v>367</v>
      </c>
      <c r="E58" s="28">
        <v>50.0</v>
      </c>
      <c r="F58" s="28" t="str">
        <f t="shared" si="1"/>
        <v>#REF!</v>
      </c>
      <c r="G58" s="28">
        <f t="shared" si="2"/>
        <v>0</v>
      </c>
      <c r="H58" s="28">
        <f t="shared" si="3"/>
        <v>0</v>
      </c>
      <c r="I58" s="28">
        <f t="shared" si="4"/>
        <v>0</v>
      </c>
      <c r="J58" s="31" t="s">
        <v>856</v>
      </c>
      <c r="K58" s="31" t="b">
        <v>0</v>
      </c>
      <c r="L58" s="32" t="s">
        <v>91</v>
      </c>
      <c r="M58" s="29" t="str">
        <f>IFERROR(__xludf.DUMMYFUNCTION("IFERROR(TOROW(CHOOSECOLS(SORT(FILTER({'Tổng hợp 75 trang đích'!$J$2:$J$3260,'Tổng hợp 75 trang đích'!$I$2:$I$3260,MATCH('Tổng hợp 75 trang đích'!$K$2:$K$3260,{""PHÙ HỢP CAO"",""CÓ THỂ ĐI"",""CẦN SOÁT""},0)},'Tổng hợp 75 trang đích'!$B$2:$B$3260=$D58),3,TR"&amp;"UE),1,2)),"""")"),"")</f>
        <v/>
      </c>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row>
    <row r="59" ht="18.0" customHeight="1">
      <c r="A59" s="28">
        <v>58.0</v>
      </c>
      <c r="B59" s="29" t="s">
        <v>1598</v>
      </c>
      <c r="C59" s="30" t="s">
        <v>2694</v>
      </c>
      <c r="D59" s="29" t="s">
        <v>109</v>
      </c>
      <c r="E59" s="28">
        <v>30.0</v>
      </c>
      <c r="F59" s="28" t="str">
        <f t="shared" si="1"/>
        <v>#REF!</v>
      </c>
      <c r="G59" s="28">
        <f t="shared" si="2"/>
        <v>0</v>
      </c>
      <c r="H59" s="28">
        <f t="shared" si="3"/>
        <v>0</v>
      </c>
      <c r="I59" s="28">
        <f t="shared" si="4"/>
        <v>0</v>
      </c>
      <c r="J59" s="31" t="s">
        <v>856</v>
      </c>
      <c r="K59" s="31" t="b">
        <v>0</v>
      </c>
      <c r="L59" s="32" t="s">
        <v>91</v>
      </c>
      <c r="M59" s="29" t="str">
        <f>IFERROR(__xludf.DUMMYFUNCTION("IFERROR(TOROW(CHOOSECOLS(SORT(FILTER({'Tổng hợp 75 trang đích'!$J$2:$J$3260,'Tổng hợp 75 trang đích'!$I$2:$I$3260,MATCH('Tổng hợp 75 trang đích'!$K$2:$K$3260,{""PHÙ HỢP CAO"",""CÓ THỂ ĐI"",""CẦN SOÁT""},0)},'Tổng hợp 75 trang đích'!$B$2:$B$3260=$D59),3,TR"&amp;"UE),1,2)),"""")"),"")</f>
        <v/>
      </c>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row>
    <row r="60" ht="18.0" customHeight="1">
      <c r="A60" s="28">
        <v>59.0</v>
      </c>
      <c r="B60" s="29" t="s">
        <v>1598</v>
      </c>
      <c r="C60" s="30" t="s">
        <v>2715</v>
      </c>
      <c r="D60" s="29" t="s">
        <v>969</v>
      </c>
      <c r="E60" s="28">
        <v>30.0</v>
      </c>
      <c r="F60" s="28" t="str">
        <f t="shared" si="1"/>
        <v>#REF!</v>
      </c>
      <c r="G60" s="28">
        <f t="shared" si="2"/>
        <v>0</v>
      </c>
      <c r="H60" s="28">
        <f t="shared" si="3"/>
        <v>0</v>
      </c>
      <c r="I60" s="28">
        <f t="shared" si="4"/>
        <v>0</v>
      </c>
      <c r="J60" s="31" t="s">
        <v>856</v>
      </c>
      <c r="K60" s="31" t="b">
        <v>0</v>
      </c>
      <c r="L60" s="32" t="s">
        <v>91</v>
      </c>
      <c r="M60" s="29" t="str">
        <f>IFERROR(__xludf.DUMMYFUNCTION("IFERROR(TOROW(CHOOSECOLS(SORT(FILTER({'Tổng hợp 75 trang đích'!$J$2:$J$3260,'Tổng hợp 75 trang đích'!$I$2:$I$3260,MATCH('Tổng hợp 75 trang đích'!$K$2:$K$3260,{""PHÙ HỢP CAO"",""CÓ THỂ ĐI"",""CẦN SOÁT""},0)},'Tổng hợp 75 trang đích'!$B$2:$B$3260=$D60),3,TR"&amp;"UE),1,2)),"""")"),"")</f>
        <v/>
      </c>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row>
    <row r="61" ht="18.0" customHeight="1">
      <c r="A61" s="28">
        <v>60.0</v>
      </c>
      <c r="B61" s="29" t="s">
        <v>1492</v>
      </c>
      <c r="C61" s="30" t="s">
        <v>2738</v>
      </c>
      <c r="D61" s="29" t="s">
        <v>270</v>
      </c>
      <c r="E61" s="28">
        <v>200.0</v>
      </c>
      <c r="F61" s="28" t="str">
        <f t="shared" si="1"/>
        <v>#REF!</v>
      </c>
      <c r="G61" s="28">
        <f t="shared" si="2"/>
        <v>0</v>
      </c>
      <c r="H61" s="28">
        <f t="shared" si="3"/>
        <v>0</v>
      </c>
      <c r="I61" s="28">
        <f t="shared" si="4"/>
        <v>0</v>
      </c>
      <c r="J61" s="31" t="s">
        <v>856</v>
      </c>
      <c r="K61" s="31" t="b">
        <v>0</v>
      </c>
      <c r="L61" s="32" t="s">
        <v>91</v>
      </c>
      <c r="M61" s="29" t="str">
        <f>IFERROR(__xludf.DUMMYFUNCTION("IFERROR(TOROW(CHOOSECOLS(SORT(FILTER({'Tổng hợp 75 trang đích'!$J$2:$J$3260,'Tổng hợp 75 trang đích'!$I$2:$I$3260,MATCH('Tổng hợp 75 trang đích'!$K$2:$K$3260,{""PHÙ HỢP CAO"",""CÓ THỂ ĐI"",""CẦN SOÁT""},0)},'Tổng hợp 75 trang đích'!$B$2:$B$3260=$D61),3,TR"&amp;"UE),1,2)),"""")"),"")</f>
        <v/>
      </c>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row>
    <row r="62" ht="18.0" customHeight="1">
      <c r="A62" s="28">
        <v>61.0</v>
      </c>
      <c r="B62" s="29" t="s">
        <v>1492</v>
      </c>
      <c r="C62" s="30" t="s">
        <v>2755</v>
      </c>
      <c r="D62" s="29" t="s">
        <v>90</v>
      </c>
      <c r="E62" s="28">
        <v>150.0</v>
      </c>
      <c r="F62" s="28" t="str">
        <f t="shared" si="1"/>
        <v>#REF!</v>
      </c>
      <c r="G62" s="28">
        <f t="shared" si="2"/>
        <v>0</v>
      </c>
      <c r="H62" s="28">
        <f t="shared" si="3"/>
        <v>0</v>
      </c>
      <c r="I62" s="28">
        <f t="shared" si="4"/>
        <v>0</v>
      </c>
      <c r="J62" s="31" t="s">
        <v>856</v>
      </c>
      <c r="K62" s="31" t="b">
        <v>0</v>
      </c>
      <c r="L62" s="32" t="s">
        <v>91</v>
      </c>
      <c r="M62" s="29" t="str">
        <f>IFERROR(__xludf.DUMMYFUNCTION("IFERROR(TOROW(CHOOSECOLS(SORT(FILTER({'Tổng hợp 75 trang đích'!$J$2:$J$3260,'Tổng hợp 75 trang đích'!$I$2:$I$3260,MATCH('Tổng hợp 75 trang đích'!$K$2:$K$3260,{""PHÙ HỢP CAO"",""CÓ THỂ ĐI"",""CẦN SOÁT""},0)},'Tổng hợp 75 trang đích'!$B$2:$B$3260=$D62),3,TR"&amp;"UE),1,2)),"""")"),"")</f>
        <v/>
      </c>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row>
    <row r="63" ht="18.0" customHeight="1">
      <c r="A63" s="28">
        <v>62.0</v>
      </c>
      <c r="B63" s="29" t="s">
        <v>1492</v>
      </c>
      <c r="C63" s="30" t="s">
        <v>2783</v>
      </c>
      <c r="D63" s="29" t="s">
        <v>707</v>
      </c>
      <c r="E63" s="28">
        <v>30.0</v>
      </c>
      <c r="F63" s="28" t="str">
        <f t="shared" si="1"/>
        <v>#REF!</v>
      </c>
      <c r="G63" s="28">
        <f t="shared" si="2"/>
        <v>0</v>
      </c>
      <c r="H63" s="28">
        <f t="shared" si="3"/>
        <v>0</v>
      </c>
      <c r="I63" s="28">
        <f t="shared" si="4"/>
        <v>0</v>
      </c>
      <c r="J63" s="31" t="s">
        <v>856</v>
      </c>
      <c r="K63" s="31" t="b">
        <v>0</v>
      </c>
      <c r="L63" s="32" t="s">
        <v>91</v>
      </c>
      <c r="M63" s="29" t="str">
        <f>IFERROR(__xludf.DUMMYFUNCTION("IFERROR(TOROW(CHOOSECOLS(SORT(FILTER({'Tổng hợp 75 trang đích'!$J$2:$J$3260,'Tổng hợp 75 trang đích'!$I$2:$I$3260,MATCH('Tổng hợp 75 trang đích'!$K$2:$K$3260,{""PHÙ HỢP CAO"",""CÓ THỂ ĐI"",""CẦN SOÁT""},0)},'Tổng hợp 75 trang đích'!$B$2:$B$3260=$D63),3,TR"&amp;"UE),1,2)),"""")"),"")</f>
        <v/>
      </c>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row>
    <row r="64" ht="18.0" customHeight="1">
      <c r="A64" s="28">
        <v>63.0</v>
      </c>
      <c r="B64" s="29" t="s">
        <v>1492</v>
      </c>
      <c r="C64" s="30" t="s">
        <v>2816</v>
      </c>
      <c r="D64" s="29" t="s">
        <v>773</v>
      </c>
      <c r="E64" s="28">
        <v>30.0</v>
      </c>
      <c r="F64" s="28" t="str">
        <f t="shared" si="1"/>
        <v>#REF!</v>
      </c>
      <c r="G64" s="28">
        <f t="shared" si="2"/>
        <v>0</v>
      </c>
      <c r="H64" s="28">
        <f t="shared" si="3"/>
        <v>0</v>
      </c>
      <c r="I64" s="28">
        <f t="shared" si="4"/>
        <v>0</v>
      </c>
      <c r="J64" s="31" t="s">
        <v>856</v>
      </c>
      <c r="K64" s="31" t="b">
        <v>0</v>
      </c>
      <c r="L64" s="32" t="s">
        <v>91</v>
      </c>
      <c r="M64" s="29" t="str">
        <f>IFERROR(__xludf.DUMMYFUNCTION("IFERROR(TOROW(CHOOSECOLS(SORT(FILTER({'Tổng hợp 75 trang đích'!$J$2:$J$3260,'Tổng hợp 75 trang đích'!$I$2:$I$3260,MATCH('Tổng hợp 75 trang đích'!$K$2:$K$3260,{""PHÙ HỢP CAO"",""CÓ THỂ ĐI"",""CẦN SOÁT""},0)},'Tổng hợp 75 trang đích'!$B$2:$B$3260=$D64),3,TR"&amp;"UE),1,2)),"""")"),"")</f>
        <v/>
      </c>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row>
    <row r="65" ht="18.0" customHeight="1">
      <c r="A65" s="28">
        <v>64.0</v>
      </c>
      <c r="B65" s="29" t="s">
        <v>1492</v>
      </c>
      <c r="C65" s="30" t="s">
        <v>2863</v>
      </c>
      <c r="D65" s="29" t="s">
        <v>980</v>
      </c>
      <c r="E65" s="28">
        <v>30.0</v>
      </c>
      <c r="F65" s="28" t="str">
        <f t="shared" si="1"/>
        <v>#REF!</v>
      </c>
      <c r="G65" s="28">
        <f t="shared" si="2"/>
        <v>0</v>
      </c>
      <c r="H65" s="28">
        <f t="shared" si="3"/>
        <v>0</v>
      </c>
      <c r="I65" s="28">
        <f t="shared" si="4"/>
        <v>0</v>
      </c>
      <c r="J65" s="31" t="s">
        <v>856</v>
      </c>
      <c r="K65" s="31" t="b">
        <v>0</v>
      </c>
      <c r="L65" s="32" t="s">
        <v>91</v>
      </c>
      <c r="M65" s="29" t="str">
        <f>IFERROR(__xludf.DUMMYFUNCTION("IFERROR(TOROW(CHOOSECOLS(SORT(FILTER({'Tổng hợp 75 trang đích'!$J$2:$J$3260,'Tổng hợp 75 trang đích'!$I$2:$I$3260,MATCH('Tổng hợp 75 trang đích'!$K$2:$K$3260,{""PHÙ HỢP CAO"",""CÓ THỂ ĐI"",""CẦN SOÁT""},0)},'Tổng hợp 75 trang đích'!$B$2:$B$3260=$D65),3,TR"&amp;"UE),1,2)),"""")"),"")</f>
        <v/>
      </c>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row>
    <row r="66" ht="18.0" customHeight="1">
      <c r="A66" s="28">
        <v>65.0</v>
      </c>
      <c r="B66" s="29" t="s">
        <v>1492</v>
      </c>
      <c r="C66" s="30" t="s">
        <v>2895</v>
      </c>
      <c r="D66" s="29" t="s">
        <v>1019</v>
      </c>
      <c r="E66" s="28">
        <v>30.0</v>
      </c>
      <c r="F66" s="28" t="str">
        <f t="shared" si="1"/>
        <v>#REF!</v>
      </c>
      <c r="G66" s="28">
        <f t="shared" si="2"/>
        <v>0</v>
      </c>
      <c r="H66" s="28">
        <f t="shared" si="3"/>
        <v>0</v>
      </c>
      <c r="I66" s="28">
        <f t="shared" si="4"/>
        <v>0</v>
      </c>
      <c r="J66" s="31" t="s">
        <v>856</v>
      </c>
      <c r="K66" s="31" t="b">
        <v>0</v>
      </c>
      <c r="L66" s="32" t="s">
        <v>91</v>
      </c>
      <c r="M66" s="29" t="str">
        <f>IFERROR(__xludf.DUMMYFUNCTION("IFERROR(TOROW(CHOOSECOLS(SORT(FILTER({'Tổng hợp 75 trang đích'!$J$2:$J$3260,'Tổng hợp 75 trang đích'!$I$2:$I$3260,MATCH('Tổng hợp 75 trang đích'!$K$2:$K$3260,{""PHÙ HỢP CAO"",""CÓ THỂ ĐI"",""CẦN SOÁT""},0)},'Tổng hợp 75 trang đích'!$B$2:$B$3260=$D66),3,TR"&amp;"UE),1,2)),"""")"),"")</f>
        <v/>
      </c>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row>
    <row r="67" ht="18.0" customHeight="1">
      <c r="A67" s="28">
        <v>66.0</v>
      </c>
      <c r="B67" s="29" t="s">
        <v>1532</v>
      </c>
      <c r="C67" s="30" t="s">
        <v>2931</v>
      </c>
      <c r="D67" s="29" t="s">
        <v>1531</v>
      </c>
      <c r="E67" s="28">
        <v>150.0</v>
      </c>
      <c r="F67" s="28" t="str">
        <f t="shared" si="1"/>
        <v>#REF!</v>
      </c>
      <c r="G67" s="28">
        <f t="shared" si="2"/>
        <v>0</v>
      </c>
      <c r="H67" s="28">
        <f t="shared" si="3"/>
        <v>0</v>
      </c>
      <c r="I67" s="28">
        <f t="shared" si="4"/>
        <v>0</v>
      </c>
      <c r="J67" s="31" t="s">
        <v>856</v>
      </c>
      <c r="K67" s="31" t="b">
        <v>0</v>
      </c>
      <c r="L67" s="32" t="s">
        <v>91</v>
      </c>
      <c r="M67" s="29" t="str">
        <f>IFERROR(__xludf.DUMMYFUNCTION("IFERROR(TOROW(CHOOSECOLS(SORT(FILTER({'Tổng hợp 75 trang đích'!$J$2:$J$3260,'Tổng hợp 75 trang đích'!$I$2:$I$3260,MATCH('Tổng hợp 75 trang đích'!$K$2:$K$3260,{""PHÙ HỢP CAO"",""CÓ THỂ ĐI"",""CẦN SOÁT""},0)},'Tổng hợp 75 trang đích'!$B$2:$B$3260=$D67),3,TR"&amp;"UE),1,2)),"""")"),"")</f>
        <v/>
      </c>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row>
    <row r="68" ht="18.0" customHeight="1">
      <c r="A68" s="28">
        <v>67.0</v>
      </c>
      <c r="B68" s="29" t="s">
        <v>1532</v>
      </c>
      <c r="C68" s="30" t="s">
        <v>2970</v>
      </c>
      <c r="D68" s="29" t="s">
        <v>1540</v>
      </c>
      <c r="E68" s="28">
        <v>100.0</v>
      </c>
      <c r="F68" s="28" t="str">
        <f t="shared" si="1"/>
        <v>#REF!</v>
      </c>
      <c r="G68" s="28">
        <f t="shared" si="2"/>
        <v>0</v>
      </c>
      <c r="H68" s="28">
        <f t="shared" si="3"/>
        <v>0</v>
      </c>
      <c r="I68" s="28">
        <f t="shared" si="4"/>
        <v>0</v>
      </c>
      <c r="J68" s="31" t="s">
        <v>856</v>
      </c>
      <c r="K68" s="31" t="b">
        <v>0</v>
      </c>
      <c r="L68" s="32" t="s">
        <v>91</v>
      </c>
      <c r="M68" s="29" t="str">
        <f>IFERROR(__xludf.DUMMYFUNCTION("IFERROR(TOROW(CHOOSECOLS(SORT(FILTER({'Tổng hợp 75 trang đích'!$J$2:$J$3260,'Tổng hợp 75 trang đích'!$I$2:$I$3260,MATCH('Tổng hợp 75 trang đích'!$K$2:$K$3260,{""PHÙ HỢP CAO"",""CÓ THỂ ĐI"",""CẦN SOÁT""},0)},'Tổng hợp 75 trang đích'!$B$2:$B$3260=$D68),3,TR"&amp;"UE),1,2)),"""")"),"")</f>
        <v/>
      </c>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row>
    <row r="69" ht="18.0" customHeight="1">
      <c r="A69" s="28">
        <v>68.0</v>
      </c>
      <c r="B69" s="29" t="s">
        <v>1503</v>
      </c>
      <c r="C69" s="30" t="s">
        <v>2203</v>
      </c>
      <c r="D69" s="29" t="s">
        <v>411</v>
      </c>
      <c r="E69" s="28">
        <v>200.0</v>
      </c>
      <c r="F69" s="28" t="str">
        <f t="shared" si="1"/>
        <v>#REF!</v>
      </c>
      <c r="G69" s="28">
        <f t="shared" si="2"/>
        <v>0</v>
      </c>
      <c r="H69" s="28">
        <f t="shared" si="3"/>
        <v>0</v>
      </c>
      <c r="I69" s="28">
        <f t="shared" si="4"/>
        <v>0</v>
      </c>
      <c r="J69" s="31" t="s">
        <v>856</v>
      </c>
      <c r="K69" s="31" t="b">
        <v>0</v>
      </c>
      <c r="L69" s="50"/>
      <c r="M69" s="29" t="str">
        <f>IFERROR(__xludf.DUMMYFUNCTION("IFERROR(TOROW(CHOOSECOLS(SORT(FILTER({'Tổng hợp 75 trang đích'!$J$2:$J$3260,'Tổng hợp 75 trang đích'!$I$2:$I$3260,MATCH('Tổng hợp 75 trang đích'!$K$2:$K$3260,{""PHÙ HỢP CAO"",""CÓ THỂ ĐI"",""CẦN SOÁT""},0)},'Tổng hợp 75 trang đích'!$B$2:$B$3260=$D69),3,TR"&amp;"UE),1,2)),"""")"),"")</f>
        <v/>
      </c>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row>
    <row r="70" ht="18.0" customHeight="1">
      <c r="A70" s="28">
        <v>69.0</v>
      </c>
      <c r="B70" s="29" t="s">
        <v>1503</v>
      </c>
      <c r="C70" s="30" t="s">
        <v>2264</v>
      </c>
      <c r="D70" s="29" t="s">
        <v>276</v>
      </c>
      <c r="E70" s="28">
        <v>100.0</v>
      </c>
      <c r="F70" s="28" t="str">
        <f t="shared" si="1"/>
        <v>#REF!</v>
      </c>
      <c r="G70" s="28">
        <f t="shared" si="2"/>
        <v>0</v>
      </c>
      <c r="H70" s="28">
        <f t="shared" si="3"/>
        <v>0</v>
      </c>
      <c r="I70" s="28">
        <f t="shared" si="4"/>
        <v>0</v>
      </c>
      <c r="J70" s="31" t="s">
        <v>856</v>
      </c>
      <c r="K70" s="31" t="b">
        <v>0</v>
      </c>
      <c r="L70" s="32" t="s">
        <v>91</v>
      </c>
      <c r="M70" s="29" t="str">
        <f>IFERROR(__xludf.DUMMYFUNCTION("IFERROR(TOROW(CHOOSECOLS(SORT(FILTER({'Tổng hợp 75 trang đích'!$J$2:$J$3260,'Tổng hợp 75 trang đích'!$I$2:$I$3260,MATCH('Tổng hợp 75 trang đích'!$K$2:$K$3260,{""PHÙ HỢP CAO"",""CÓ THỂ ĐI"",""CẦN SOÁT""},0)},'Tổng hợp 75 trang đích'!$B$2:$B$3260=$D70),3,TR"&amp;"UE),1,2)),"""")"),"")</f>
        <v/>
      </c>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row>
    <row r="71" ht="18.0" customHeight="1">
      <c r="A71" s="28">
        <v>70.0</v>
      </c>
      <c r="B71" s="29" t="s">
        <v>1503</v>
      </c>
      <c r="C71" s="30" t="s">
        <v>2289</v>
      </c>
      <c r="D71" s="29" t="s">
        <v>918</v>
      </c>
      <c r="E71" s="28">
        <v>50.0</v>
      </c>
      <c r="F71" s="28" t="str">
        <f t="shared" si="1"/>
        <v>#REF!</v>
      </c>
      <c r="G71" s="28">
        <f t="shared" si="2"/>
        <v>0</v>
      </c>
      <c r="H71" s="28">
        <f t="shared" si="3"/>
        <v>0</v>
      </c>
      <c r="I71" s="28">
        <f t="shared" si="4"/>
        <v>0</v>
      </c>
      <c r="J71" s="31" t="s">
        <v>856</v>
      </c>
      <c r="K71" s="31" t="b">
        <v>0</v>
      </c>
      <c r="L71" s="32" t="s">
        <v>91</v>
      </c>
      <c r="M71" s="29" t="str">
        <f>IFERROR(__xludf.DUMMYFUNCTION("IFERROR(TOROW(CHOOSECOLS(SORT(FILTER({'Tổng hợp 75 trang đích'!$J$2:$J$3260,'Tổng hợp 75 trang đích'!$I$2:$I$3260,MATCH('Tổng hợp 75 trang đích'!$K$2:$K$3260,{""PHÙ HỢP CAO"",""CÓ THỂ ĐI"",""CẦN SOÁT""},0)},'Tổng hợp 75 trang đích'!$B$2:$B$3260=$D71),3,TR"&amp;"UE),1,2)),"""")"),"")</f>
        <v/>
      </c>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row>
    <row r="72" ht="18.0" customHeight="1">
      <c r="A72" s="28">
        <v>71.0</v>
      </c>
      <c r="B72" s="29" t="s">
        <v>1503</v>
      </c>
      <c r="C72" s="30" t="s">
        <v>3111</v>
      </c>
      <c r="D72" s="29" t="s">
        <v>306</v>
      </c>
      <c r="E72" s="28">
        <v>30.0</v>
      </c>
      <c r="F72" s="28" t="str">
        <f t="shared" si="1"/>
        <v>#REF!</v>
      </c>
      <c r="G72" s="28">
        <f t="shared" si="2"/>
        <v>0</v>
      </c>
      <c r="H72" s="28">
        <f t="shared" si="3"/>
        <v>0</v>
      </c>
      <c r="I72" s="28">
        <f t="shared" si="4"/>
        <v>0</v>
      </c>
      <c r="J72" s="31" t="s">
        <v>856</v>
      </c>
      <c r="K72" s="31" t="b">
        <v>0</v>
      </c>
      <c r="L72" s="32" t="s">
        <v>91</v>
      </c>
      <c r="M72" s="29" t="str">
        <f>IFERROR(__xludf.DUMMYFUNCTION("IFERROR(TOROW(CHOOSECOLS(SORT(FILTER({'Tổng hợp 75 trang đích'!$J$2:$J$3260,'Tổng hợp 75 trang đích'!$I$2:$I$3260,MATCH('Tổng hợp 75 trang đích'!$K$2:$K$3260,{""PHÙ HỢP CAO"",""CÓ THỂ ĐI"",""CẦN SOÁT""},0)},'Tổng hợp 75 trang đích'!$B$2:$B$3260=$D72),3,TR"&amp;"UE),1,2)),"""")"),"")</f>
        <v/>
      </c>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row>
    <row r="73" ht="18.0" customHeight="1">
      <c r="A73" s="28">
        <v>72.0</v>
      </c>
      <c r="B73" s="29" t="s">
        <v>1503</v>
      </c>
      <c r="C73" s="30" t="s">
        <v>3153</v>
      </c>
      <c r="D73" s="29" t="s">
        <v>117</v>
      </c>
      <c r="E73" s="28">
        <v>30.0</v>
      </c>
      <c r="F73" s="28" t="str">
        <f t="shared" si="1"/>
        <v>#REF!</v>
      </c>
      <c r="G73" s="28">
        <f t="shared" si="2"/>
        <v>0</v>
      </c>
      <c r="H73" s="28">
        <f t="shared" si="3"/>
        <v>0</v>
      </c>
      <c r="I73" s="28">
        <f t="shared" si="4"/>
        <v>0</v>
      </c>
      <c r="J73" s="31" t="s">
        <v>856</v>
      </c>
      <c r="K73" s="31" t="b">
        <v>0</v>
      </c>
      <c r="L73" s="32" t="s">
        <v>91</v>
      </c>
      <c r="M73" s="29" t="str">
        <f>IFERROR(__xludf.DUMMYFUNCTION("IFERROR(TOROW(CHOOSECOLS(SORT(FILTER({'Tổng hợp 75 trang đích'!$J$2:$J$3260,'Tổng hợp 75 trang đích'!$I$2:$I$3260,MATCH('Tổng hợp 75 trang đích'!$K$2:$K$3260,{""PHÙ HỢP CAO"",""CÓ THỂ ĐI"",""CẦN SOÁT""},0)},'Tổng hợp 75 trang đích'!$B$2:$B$3260=$D73),3,TR"&amp;"UE),1,2)),"""")"),"")</f>
        <v/>
      </c>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row>
    <row r="74" ht="18.0" customHeight="1">
      <c r="A74" s="28">
        <v>73.0</v>
      </c>
      <c r="B74" s="29" t="s">
        <v>1503</v>
      </c>
      <c r="C74" s="30" t="s">
        <v>3191</v>
      </c>
      <c r="D74" s="29" t="s">
        <v>722</v>
      </c>
      <c r="E74" s="28">
        <v>30.0</v>
      </c>
      <c r="F74" s="28" t="str">
        <f t="shared" si="1"/>
        <v>#REF!</v>
      </c>
      <c r="G74" s="28">
        <f t="shared" si="2"/>
        <v>0</v>
      </c>
      <c r="H74" s="28">
        <f t="shared" si="3"/>
        <v>0</v>
      </c>
      <c r="I74" s="28">
        <f t="shared" si="4"/>
        <v>0</v>
      </c>
      <c r="J74" s="31" t="s">
        <v>856</v>
      </c>
      <c r="K74" s="31" t="b">
        <v>0</v>
      </c>
      <c r="L74" s="32" t="s">
        <v>91</v>
      </c>
      <c r="M74" s="29" t="str">
        <f>IFERROR(__xludf.DUMMYFUNCTION("IFERROR(TOROW(CHOOSECOLS(SORT(FILTER({'Tổng hợp 75 trang đích'!$J$2:$J$3260,'Tổng hợp 75 trang đích'!$I$2:$I$3260,MATCH('Tổng hợp 75 trang đích'!$K$2:$K$3260,{""PHÙ HỢP CAO"",""CÓ THỂ ĐI"",""CẦN SOÁT""},0)},'Tổng hợp 75 trang đích'!$B$2:$B$3260=$D74),3,TR"&amp;"UE),1,2)),"""")"),"")</f>
        <v/>
      </c>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row>
    <row r="75" ht="18.0" customHeight="1">
      <c r="A75" s="28">
        <v>74.0</v>
      </c>
      <c r="B75" s="29" t="s">
        <v>1503</v>
      </c>
      <c r="C75" s="30" t="s">
        <v>3232</v>
      </c>
      <c r="D75" s="29" t="s">
        <v>878</v>
      </c>
      <c r="E75" s="28">
        <v>30.0</v>
      </c>
      <c r="F75" s="28" t="str">
        <f t="shared" si="1"/>
        <v>#REF!</v>
      </c>
      <c r="G75" s="28">
        <f t="shared" si="2"/>
        <v>0</v>
      </c>
      <c r="H75" s="28">
        <f t="shared" si="3"/>
        <v>0</v>
      </c>
      <c r="I75" s="28">
        <f t="shared" si="4"/>
        <v>0</v>
      </c>
      <c r="J75" s="31" t="s">
        <v>856</v>
      </c>
      <c r="K75" s="31" t="b">
        <v>0</v>
      </c>
      <c r="L75" s="32" t="s">
        <v>91</v>
      </c>
      <c r="M75" s="29" t="str">
        <f>IFERROR(__xludf.DUMMYFUNCTION("IFERROR(TOROW(CHOOSECOLS(SORT(FILTER({'Tổng hợp 75 trang đích'!$J$2:$J$3260,'Tổng hợp 75 trang đích'!$I$2:$I$3260,MATCH('Tổng hợp 75 trang đích'!$K$2:$K$3260,{""PHÙ HỢP CAO"",""CÓ THỂ ĐI"",""CẦN SOÁT""},0)},'Tổng hợp 75 trang đích'!$B$2:$B$3260=$D75),3,TR"&amp;"UE),1,2)),"""")"),"")</f>
        <v/>
      </c>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row>
    <row r="76" ht="18.0" customHeight="1">
      <c r="A76" s="28">
        <v>75.0</v>
      </c>
      <c r="B76" s="29" t="s">
        <v>1852</v>
      </c>
      <c r="C76" s="30" t="s">
        <v>3255</v>
      </c>
      <c r="D76" s="29" t="s">
        <v>1435</v>
      </c>
      <c r="E76" s="28">
        <v>30.0</v>
      </c>
      <c r="F76" s="28" t="str">
        <f t="shared" si="1"/>
        <v>#REF!</v>
      </c>
      <c r="G76" s="28">
        <f t="shared" si="2"/>
        <v>0</v>
      </c>
      <c r="H76" s="28">
        <f t="shared" si="3"/>
        <v>0</v>
      </c>
      <c r="I76" s="28">
        <f t="shared" si="4"/>
        <v>0</v>
      </c>
      <c r="J76" s="31" t="s">
        <v>856</v>
      </c>
      <c r="K76" s="31" t="b">
        <v>0</v>
      </c>
      <c r="L76" s="32" t="s">
        <v>91</v>
      </c>
      <c r="M76" s="29" t="str">
        <f>IFERROR(__xludf.DUMMYFUNCTION("IFERROR(TOROW(CHOOSECOLS(SORT(FILTER({'Tổng hợp 75 trang đích'!$J$2:$J$3260,'Tổng hợp 75 trang đích'!$I$2:$I$3260,MATCH('Tổng hợp 75 trang đích'!$K$2:$K$3260,{""PHÙ HỢP CAO"",""CÓ THỂ ĐI"",""CẦN SOÁT""},0)},'Tổng hợp 75 trang đích'!$B$2:$B$3260=$D76),3,TR"&amp;"UE),1,2)),"""")"),"")</f>
        <v/>
      </c>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row>
    <row r="77">
      <c r="E77" s="44"/>
      <c r="L77" s="51"/>
    </row>
    <row r="78">
      <c r="E78" s="44"/>
      <c r="L78" s="51"/>
    </row>
    <row r="79">
      <c r="E79" s="44"/>
      <c r="L79" s="51"/>
    </row>
    <row r="80">
      <c r="E80" s="44"/>
      <c r="L80" s="51"/>
    </row>
  </sheetData>
  <conditionalFormatting sqref="M2:OV76">
    <cfRule type="expression" dxfId="8" priority="1" stopIfTrue="1">
      <formula>COUNTIFS(INDIRECT("'Trang tính3'!A:A"),$D2,INDIRECT("'Trang tính3'!B:B"),M2)&gt;0</formula>
    </cfRule>
  </conditionalFormatting>
  <conditionalFormatting sqref="J2:J76">
    <cfRule type="cellIs" dxfId="9" priority="2" stopIfTrue="1" operator="equal">
      <formula>"Chưa hoàn thành"</formula>
    </cfRule>
  </conditionalFormatting>
  <conditionalFormatting sqref="J2:J76">
    <cfRule type="cellIs" dxfId="10" priority="3" stopIfTrue="1" operator="equal">
      <formula>"Đang làm"</formula>
    </cfRule>
  </conditionalFormatting>
  <conditionalFormatting sqref="J2:J76">
    <cfRule type="cellIs" dxfId="11" priority="4" stopIfTrue="1" operator="equal">
      <formula>"Đã hoàn thành"</formula>
    </cfRule>
  </conditionalFormatting>
  <conditionalFormatting sqref="M2:OV76">
    <cfRule type="expression" dxfId="11" priority="5" stopIfTrue="1">
      <formula>AND(M2&lt;&gt;"",INT((COLUMN()-13)/2)+1&lt;=$G2)</formula>
    </cfRule>
  </conditionalFormatting>
  <conditionalFormatting sqref="M2:OV76">
    <cfRule type="expression" dxfId="12" priority="6" stopIfTrue="1">
      <formula>AND(M2&lt;&gt;"",INT((COLUMN()-13)/2)+1&lt;=$G2+$H2)</formula>
    </cfRule>
  </conditionalFormatting>
  <conditionalFormatting sqref="M2:OV76">
    <cfRule type="expression" dxfId="13" priority="7" stopIfTrue="1">
      <formula>M2&lt;&gt;""</formula>
    </cfRule>
  </conditionalFormatting>
  <dataValidations>
    <dataValidation type="list" allowBlank="1" showErrorMessage="1" sqref="J2:J76">
      <formula1>"Chưa hoàn thành,Đang làm,Đã hoàn thành"</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88"/>
    <col customWidth="1" min="2" max="2" width="42.25"/>
    <col customWidth="1" min="3" max="3" width="13.88"/>
    <col customWidth="1" min="4" max="5" width="11.38"/>
    <col customWidth="1" min="6" max="6" width="65.13"/>
  </cols>
  <sheetData>
    <row r="1" ht="33.0" customHeight="1">
      <c r="A1" s="9" t="s">
        <v>12</v>
      </c>
      <c r="B1" s="11" t="s">
        <v>48</v>
      </c>
      <c r="C1" s="11" t="s">
        <v>102</v>
      </c>
      <c r="D1" s="11" t="s">
        <v>1476</v>
      </c>
      <c r="E1" s="11" t="s">
        <v>1477</v>
      </c>
      <c r="F1" s="14" t="s">
        <v>1478</v>
      </c>
    </row>
    <row r="2">
      <c r="A2" s="33">
        <v>28.0</v>
      </c>
      <c r="B2" s="34" t="s">
        <v>283</v>
      </c>
      <c r="C2" s="35" t="s">
        <v>1481</v>
      </c>
      <c r="D2" s="36">
        <v>200.0</v>
      </c>
      <c r="E2" s="37">
        <f>COUNTIF('Kế hoạch chèn link (mới)'!$B$3:$B$2944,B2)</f>
        <v>156</v>
      </c>
      <c r="F2" s="38" t="str">
        <f>IFERROR(__xludf.DUMMYFUNCTION("TEXTJOIN(CHAR(10),TRUE,FILTER('Kế hoạch chèn link (mới)'!$F$3:$F$2944,'Kế hoạch chèn link (mới)'!$B$3:$B$2944=B2))"),"https://techcombank.com/thong-tin/blog/diem-tin-dung
https://techcombank.com/thong-tin/blog/no-nhom-3
https://techcombank.com/thong-tin/blog/lich-su-tin-dung
https://techcombank.com/thong-tin/blog/no-chu-y-la-gi
https://techcombank.com/thong-tin/blog/no-x"&amp;"au-nhom-2
https://techcombank.com/thong-tin/blog/kinh-nghiem-vay-tien-mua-nha
https://techcombank.com/thong-tin/blog/kiem-tra-no-xau
https://techcombank.com/thong-tin/blog/no-xau
https://techcombank.com/thong-tin/blog/no-xau-la-gi
https://techcombank.com/"&amp;"thong-tin/blog/xep-hang-tin-dung
https://techcombank.com/thong-tin/blog/vay-von-doanh-nghiep-khong-the-chap
https://techcombank.com/thong-tin/blog/qua-han-thanh-toan-the-tin-dung-1-ngay
https://techcombank.com/thong-tin/blog/no-xau-co-lam-the-visa-duoc-kh"&amp;"ong
https://techcombank.com/thong-tin/blog/spaylater
https://techcombank.com/thong-tin/blog/app-mua-truoc-tra-sau
https://techcombank.com/thong-tin/blog/no-the-tin-dung-qua-han
https://techcombank.com/thong-tin/blog/luu-y-khi-su-dung-the-tin-dung
https://"&amp;"techcombank.com/thong-tin/blog/no-xau-co-vay-the-chap-duoc-khong
https://techcombank.com/thong-tin/blog/vay-tin-chap-khong-tra-duoc-co-sao-khong
https://techcombank.com/thong-tin/blog/du-no-tin-dung-la-gi
https://techcombank.com/thong-tin/blog/du-no-la-gi"&amp;"
https://techcombank.com/thong-tin/blog/cam-ket-tin-dung
https://techcombank.com/thong-tin/blog/vay-han-muc-la-gi
https://techcombank.com/thong-tin/blog/vay-tin-chap-toi-da-duoc-bao-nhieu
https://techcombank.com/thong-tin/blog/vay-tra-gop
https://techcomb"&amp;"ank.com/thong-tin/blog/ho-so-vay-von-cua-doanh-nghiep-gom-nhung-gi
https://techcombank.com/thong-tin/blog/han-muc-thau-chi-la-gi
https://techcombank.com/thong-tin/blog/no-xau-mo-the-tin-dung-duoc-khong
https://techcombank.com/thong-tin/blog/vay-tin-chap-n"&amp;"o-xau
https://techcombank.com/thong-tin/blog/han-muc-tra-gop-the-tin-dung
https://techcombank.com/thong-tin/blog/han-muc-the-tin-dung
https://techcombank.com/thong-tin/blog/ngan-hang-so-cho-doanh-nghiep
https://techcombank.com/thong-tin/blog/giai-ngan-la-"&amp;"gi
https://techcombank.com/thong-tin/blog/the-ghi-no-visa-la-gi
https://techcombank.com/thong-tin/blog/tra-gop-lazada
https://techcombank.com/thong-tin/blog/tra-gop-shopee
https://techcombank.com/thong-tin/blog/thanh-toan-tra-gop-qua-the-tin-dung
https://"&amp;"techcombank.com/thong-tin/blog/tous-les-jours
https://techcombank.com/thong-tin/blog/the-visa-co-can-mat-khau-khong
https://techcombank.com/thong-tin/blog/kich-hoat-the-tin-dung-techcombank
https://techcombank.com/thong-tin/blog/cach-kich-hoat-the-atm
htt"&amp;"ps://techcombank.com/thong-tin/blog/the-tin-dung-hoan-tien
https://techcombank.com/thong-tin/blog/sang-ngang-the-tin-dung
https://techcombank.com/thong-tin/blog/thanh-toan-online-bang-the-tin-dung
https://techcombank.com/thong-tin/blog/the-tin-dung-ao
htt"&amp;"ps://techcombank.com/thong-tin/blog/the-tin-dung-co-ma-pin-khong
https://techcombank.com/thong-tin/blog/mat-the-tin-dung-co-lam-lai-duoc-khong
https://techcombank.com/thong-tin/blog/ghi-chep-chi-tieu
https://techcombank.com/thong-tin/blog/voucher-highland"&amp;"
https://techcombank.com/thong-tin/blog/lam-the-tin-dung
https://techcombank.com/thong-tin/blog/the-tin-dung-mien-lai-55-ngay
https://techcombank.com/thong-tin/blog/khach-hang-vip-bat-dong-san
https://techcombank.com/thong-tin/blog/the-tin-dung-la-gi
http"&amp;"s://techcombank.com/thong-tin/blog/cach-huy-the-tin-dung
https://techcombank.com/thong-tin/blog/chuyen-tien-tu-han-sang-viet-nam
https://techcombank.com/thong-tin/blog/in-ma-qr-ngan-hang
https://techcombank.com/thong-tin/blog/cac-loai-the-tin-dung
https:/"&amp;"/techcombank.com/thong-tin/blog/gui-tien-du-hoc
https://techcombank.com/thong-tin/blog/ma-qr-techcombank
https://techcombank.com/thong-tin/blog/chuyen-tien-tu-my-ve-viet-nam
https://techcombank.com/thong-tin/blog/cach-lam-the-ngan-hang-chay-quang-cao-face"&amp;"book
https://techcombank.com/thong-tin/blog/uu-diem-cua-blockchain
https://techcombank.com/thong-tin/blog/mm-yy-la-gi
https://techcombank.com/thong-tin/blog/tin-dung-doanh-nghiep
https://techcombank.com/thong-tin/blog/voucher-the-pizza-company
https://tec"&amp;"hcombank.com/thong-tin/blog/chuyen-khoan-thanh-cong-nhung-khong-nhan-duoc-tien
https://techcombank.com/thong-tin/blog/thanh-toan-quoc-te
https://techcombank.com/thong-tin/blog/the-mastercard-la-gi
https://techcombank.com/thong-tin/blog/vang-14k-gia-hom-na"&amp;"y
https://techcombank.com/thong-tin/blog/cach-su-dung-the-visa-techcombank
https://techcombank.com/thong-tin/blog/mua-nha-tra-gop-dua-truoc-100-trieu
https://techcombank.com/thong-tin/blog/di-du-lich-nuoc-ngoai-can-chuan-bi-gi
https://techcombank.com/thon"&amp;"g-tin/blog/ngan-hang-thu-huong-la-gi
https://techcombank.com/thong-tin/blog/the-visa-khong-thanh-toan-duoc
https://techcombank.com/thong-tin/blog/6-chiec-lo-tai-chinh-ca-nhan
https://techcombank.com/thong-tin/blog/lam-the-visa-online
https://techcombank.c"&amp;"om/thong-tin/blog/dat-ve-may-bay
https://techcombank.com/thong-tin/blog/remittance-la-gi
https://techcombank.com/thong-tin/blog/cach-tao-ma-qr
https://techcombank.com/thong-tin/blog/the-visa-co-thanh-toan-quoc-te-duoc-khong
https://techcombank.com/thong-t"&amp;"in/blog/vay-15-trieu
https://techcombank.com/thong-tin/blog/thu-tuc-chuyen-tien-ra-nuoc-ngoai
https://techcombank.com/thong-tin/blog/qr-dong
https://techcombank.com/thong-tin/blog/bao-hiem-vat-chat-xe-o-to
https://techcombank.com/thong-tin/blog/quy-trinh-"&amp;"cho-vay-tieu-dung
https://techcombank.com/thong-tin/blog/cach-mo-tai-khoan
https://techcombank.com/thong-tin/blog/so-sanh-bao-hiem-suc-khoe-bo-sung
https://techcombank.com/thong-tin/blog/rut-tien-mat-tu-tai-khoan-doanh-nghiep
https://techcombank.com/thong"&amp;"-tin/blog/the-chap-la-gi
https://techcombank.com/thong-tin/blog/cach-lien-ket-epass-voi-tai-khoan-ngan-hang
https://techcombank.com/thong-tin/blog/tai-khoan-thanh-toan-la-gi
https://techcombank.com/thong-tin/blog/chuyen-tien-tro-cap-than-nhan-o-nuoc-ngoai"&amp;"
https://techcombank.com/thong-tin/blog/dieu-kien-mua-usd-tu-ngan-hang
https://techcombank.com/thong-tin/blog/mo-tai-khoan-ngan-hang-bang-so-dien-thoai
https://techcombank.com/thong-tin/blog/thanh-toan-khi-du-lich-han-quoc
https://techcombank.com/thong-ti"&amp;"n/blog/ty-gia-hoi-doai-la-gi
https://techcombank.com/thong-tin/blog/thanh-toan-bang-ma-qr
https://techcombank.com/thong-tin/blog/tai-khoan-ngan-hang-duoi-50k-co-bi-khoa-khong
https://techcombank.com/thong-tin/blog/truy-thu-thue-ho-kinh-doanh
https://techc"&amp;"ombank.com/thong-tin/blog/nap-xu-tiktok
https://techcombank.com/thong-tin/blog/cac-loai-the-ngan-hang
https://techcombank.com/thong-tin/blog/iban-la-gi
https://techcombank.com/thong-tin/blog/cach-thanh-toan-quang-cao-tiktok
https://techcombank.com/thong-t"&amp;"in/blog/cach-sao-ke-tai-khoan-ngan-hang
https://techcombank.com/thong-tin/blog/cach-nap-the-viettel
https://techcombank.com/thong-tin/blog/the-debit
https://techcombank.com/thong-tin/blog/cac-loai-bao-hiem-suc-khoe
https://techcombank.com/thong-tin/blog/w"&amp;"acc-la-gi
https://techcombank.com/thong-tin/blog/luat-thuong-mai-dien-tu
https://techcombank.com/thong-tin/blog/the-napas-la-gi
https://techcombank.com/thong-tin/blog/cach-nap-the-vina
https://techcombank.com/thong-tin/blog/dac-san-nha-trang
https://techc"&amp;"ombank.com/thong-tin/blog/the-ghi-no-la-gi
https://techcombank.com/thong-tin/blog/cach-lien-ket-tai-khoan-ngan-hang-voi-vneid
https://techcombank.com/thong-tin/blog/the-atm-gan-chip
https://techcombank.com/thong-tin/blog/quy-trinh-gui-tien-tiet-kiem
https"&amp;"://techcombank.com/thong-tin/blog/ma-pin-the-atm
https://techcombank.com/thong-tin/blog/bao-hiem-suc-khoe-la-gi
https://techcombank.com/thong-tin/blog/sms-banking
https://techcombank.com/thong-tin/blog/the-atm-tu
https://techcombank.com/thong-tin/blog/han"&amp;"-muc-vay-the-chap-so-do
https://techcombank.com/thong-tin/blog/kinh-nghiem-vay-the-chap-ngan-hang
https://techcombank.com/thong-tin/blog/sao-ke-the-tin-dung-la-gi
https://techcombank.com/thong-tin/blog/thanh-toan-tien-internet-online
https://techcombank.c"&amp;"om/thong-tin/blog/thanh-toan-cuoc-truyen-hinh
https://techcombank.com/thong-tin/blog/so-the-tin-dung
https://techcombank.com/thong-tin/blog/merchant-portal
https://techcombank.com/thong-tin/blog/softpos
https://techcombank.com/thong-tin/blog/bao-lanh-thuc"&amp;"-hien-hop-dong
https://techcombank.com/thong-tin/blog/so-cvv-la-gi
https://techcombank.com/thong-tin/blog/cach-kiem-tra-tai-khoan-ngan-hang
https://techcombank.com/thong-tin/blog/nop-thue-dat-qua-ngan-hang
https://techcombank.com/thong-tin/blog/tai-khoan-"&amp;"ngan-hang-bi-khoa
https://techcombank.com/thong-tin/blog/ma-swift-ngan-hang
https://techcombank.com/thong-tin/blog/ma-mcc
https://techcombank.com/thong-tin/blog/so-the-visa-hop-le
https://techcombank.com/thong-tin/blog/cua-hang-tien-loi
https://techcomban"&amp;"k.com/thong-tin/blog/app-dong-tien-dien-online
https://techcombank.com/thong-tin/blog/ten-dang-nhap-tai-khoan-ngan-hang-la-gi
https://techcombank.com/thong-tin/blog/thanh-toan-ve-may-bay-online
https://techcombank.com/thong-tin/blog/so-the-ngan-hang
https"&amp;"://techcombank.com/thong-tin/blog/chuyen-tien-tu-duc-ve-viet-nam
https://techcombank.com/thong-tin/blog/mua-ve-xem-phim
https://techcombank.com/thong-tin/blog/1-yen-bang-bao-nhieu-tien-viet-nam
https://techcombank.com/thong-tin/blog/merchant-la-gi
https:/"&amp;"/techcombank.com/thong-tin/blog/dieu-kien-thanh-lap-doanh-nghiep
https://techcombank.com/thong-tin/blog/thanh-toan-khi-du-lich-hong-kong
https://techcombank.com/thong-tin/blog/thanh-toan-khi-du-lich-singapore
https://techcombank.com/thong-tin/blog/cach-tr"&amp;"a-cuu-hoa-don-dien-tu
https://techcombank.com/thong-tin/blog/the-ghi-no-co-rut-tien-duoc-khong
https://techcombank.com/thong-tin/blog/cach-nap-the-mobi
https://techcombank.com/thong-tin/blog/atm-la-gi
https://techcombank.com/thong-tin/blog/kiem-tra-thue-t"&amp;"hu-nhap-ca-nhan
https://techcombank.com/thong-tin/blog/kiem-tra-ma-so-thue-doanh-nghiep
https://techcombank.com/thong-tin/blog/tra-cuu-han-muc-the-tin-dung
https://techcombank.com/thong-tin/blog/phi-thuong-nien-la-gi")</f>
        <v>https://techcombank.com/thong-tin/blog/diem-tin-dung
https://techcombank.com/thong-tin/blog/no-nhom-3
https://techcombank.com/thong-tin/blog/lich-su-tin-dung
https://techcombank.com/thong-tin/blog/no-chu-y-la-gi
https://techcombank.com/thong-tin/blog/no-xau-nhom-2
https://techcombank.com/thong-tin/blog/kinh-nghiem-vay-tien-mua-nha
https://techcombank.com/thong-tin/blog/kiem-tra-no-xau
https://techcombank.com/thong-tin/blog/no-xau
https://techcombank.com/thong-tin/blog/no-xau-la-gi
https://techcombank.com/thong-tin/blog/xep-hang-tin-dung
https://techcombank.com/thong-tin/blog/vay-von-doanh-nghiep-khong-the-chap
https://techcombank.com/thong-tin/blog/qua-han-thanh-toan-the-tin-dung-1-ngay
https://techcombank.com/thong-tin/blog/no-xau-co-lam-the-visa-duoc-khong
https://techcombank.com/thong-tin/blog/spaylater
https://techcombank.com/thong-tin/blog/app-mua-truoc-tra-sau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https://techcombank.com/thong-tin/blog/vay-tin-chap-toi-da-duoc-bao-nhieu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https://techcombank.com/thong-tin/blog/han-muc-tra-gop-the-tin-dung
https://techcombank.com/thong-tin/blog/han-muc-the-tin-dung
https://techcombank.com/thong-tin/blog/ngan-hang-so-cho-doanh-nghiep
https://techcombank.com/thong-tin/blog/giai-ngan-la-gi
https://techcombank.com/thong-tin/blog/the-ghi-no-visa-la-gi
https://techcombank.com/thong-tin/blog/tra-gop-lazada
https://techcombank.com/thong-tin/blog/tra-gop-shopee
https://techcombank.com/thong-tin/blog/thanh-toan-tra-gop-qua-the-tin-dung
https://techcombank.com/thong-tin/blog/tous-les-jours
https://techcombank.com/thong-tin/blog/the-visa-co-can-mat-khau-khong
https://techcombank.com/thong-tin/blog/kich-hoat-the-tin-dung-techcombank
https://techcombank.com/thong-tin/blog/cach-kich-hoat-the-atm
https://techcombank.com/thong-tin/blog/the-tin-dung-hoan-tien
https://techcombank.com/thong-tin/blog/sang-ngang-the-tin-dung
https://techcombank.com/thong-tin/blog/thanh-toan-online-bang-the-tin-dung
https://techcombank.com/thong-tin/blog/the-tin-dung-ao
https://techcombank.com/thong-tin/blog/the-tin-dung-co-ma-pin-khong
https://techcombank.com/thong-tin/blog/mat-the-tin-dung-co-lam-lai-duoc-khong
https://techcombank.com/thong-tin/blog/ghi-chep-chi-tieu
https://techcombank.com/thong-tin/blog/voucher-highland
https://techcombank.com/thong-tin/blog/lam-the-tin-dung
https://techcombank.com/thong-tin/blog/the-tin-dung-mien-lai-55-ngay
https://techcombank.com/thong-tin/blog/khach-hang-vip-bat-dong-san
https://techcombank.com/thong-tin/blog/the-tin-dung-la-gi
https://techcombank.com/thong-tin/blog/cach-huy-the-tin-dung
https://techcombank.com/thong-tin/blog/chuyen-tien-tu-han-sang-viet-nam
https://techcombank.com/thong-tin/blog/in-ma-qr-ngan-hang
https://techcombank.com/thong-tin/blog/cac-loai-the-tin-dung
https://techcombank.com/thong-tin/blog/gui-tien-du-hoc
https://techcombank.com/thong-tin/blog/ma-qr-techcombank
https://techcombank.com/thong-tin/blog/chuyen-tien-tu-my-ve-viet-nam
https://techcombank.com/thong-tin/blog/cach-lam-the-ngan-hang-chay-quang-cao-facebook
https://techcombank.com/thong-tin/blog/uu-diem-cua-blockchain
https://techcombank.com/thong-tin/blog/mm-yy-la-gi
https://techcombank.com/thong-tin/blog/tin-dung-doanh-nghiep
https://techcombank.com/thong-tin/blog/voucher-the-pizza-company
https://techcombank.com/thong-tin/blog/chuyen-khoan-thanh-cong-nhung-khong-nhan-duoc-tien
https://techcombank.com/thong-tin/blog/thanh-toan-quoc-te
https://techcombank.com/thong-tin/blog/the-mastercard-la-gi
https://techcombank.com/thong-tin/blog/vang-14k-gia-hom-nay
https://techcombank.com/thong-tin/blog/cach-su-dung-the-visa-techcombank
https://techcombank.com/thong-tin/blog/mua-nha-tra-gop-dua-truoc-100-trieu
https://techcombank.com/thong-tin/blog/di-du-lich-nuoc-ngoai-can-chuan-bi-gi
https://techcombank.com/thong-tin/blog/ngan-hang-thu-huong-la-gi
https://techcombank.com/thong-tin/blog/the-visa-khong-thanh-toan-duoc
https://techcombank.com/thong-tin/blog/6-chiec-lo-tai-chinh-ca-nhan
https://techcombank.com/thong-tin/blog/lam-the-visa-online
https://techcombank.com/thong-tin/blog/dat-ve-may-bay
https://techcombank.com/thong-tin/blog/remittance-la-gi
https://techcombank.com/thong-tin/blog/cach-tao-ma-qr
https://techcombank.com/thong-tin/blog/the-visa-co-thanh-toan-quoc-te-duoc-khong
https://techcombank.com/thong-tin/blog/vay-15-trieu
https://techcombank.com/thong-tin/blog/thu-tuc-chuyen-tien-ra-nuoc-ngoai
https://techcombank.com/thong-tin/blog/qr-dong
https://techcombank.com/thong-tin/blog/bao-hiem-vat-chat-xe-o-to
https://techcombank.com/thong-tin/blog/quy-trinh-cho-vay-tieu-dung
https://techcombank.com/thong-tin/blog/cach-mo-tai-khoan
https://techcombank.com/thong-tin/blog/so-sanh-bao-hiem-suc-khoe-bo-sung
https://techcombank.com/thong-tin/blog/rut-tien-mat-tu-tai-khoan-doanh-nghiep
https://techcombank.com/thong-tin/blog/the-chap-la-gi
https://techcombank.com/thong-tin/blog/cach-lien-ket-epass-voi-tai-khoan-ngan-hang
https://techcombank.com/thong-tin/blog/tai-khoan-thanh-toan-la-gi
https://techcombank.com/thong-tin/blog/chuyen-tien-tro-cap-than-nhan-o-nuoc-ngoai
https://techcombank.com/thong-tin/blog/dieu-kien-mua-usd-tu-ngan-hang
https://techcombank.com/thong-tin/blog/mo-tai-khoan-ngan-hang-bang-so-dien-thoai
https://techcombank.com/thong-tin/blog/thanh-toan-khi-du-lich-han-quoc
https://techcombank.com/thong-tin/blog/ty-gia-hoi-doai-la-gi
https://techcombank.com/thong-tin/blog/thanh-toan-bang-ma-qr
https://techcombank.com/thong-tin/blog/tai-khoan-ngan-hang-duoi-50k-co-bi-khoa-khong
https://techcombank.com/thong-tin/blog/truy-thu-thue-ho-kinh-doanh
https://techcombank.com/thong-tin/blog/nap-xu-tiktok
https://techcombank.com/thong-tin/blog/cac-loai-the-ngan-hang
https://techcombank.com/thong-tin/blog/iban-la-gi
https://techcombank.com/thong-tin/blog/cach-thanh-toan-quang-cao-tiktok
https://techcombank.com/thong-tin/blog/cach-sao-ke-tai-khoan-ngan-hang
https://techcombank.com/thong-tin/blog/cach-nap-the-viettel
https://techcombank.com/thong-tin/blog/the-debit
https://techcombank.com/thong-tin/blog/cac-loai-bao-hiem-suc-khoe
https://techcombank.com/thong-tin/blog/wacc-la-gi
https://techcombank.com/thong-tin/blog/luat-thuong-mai-dien-tu
https://techcombank.com/thong-tin/blog/the-napas-la-gi
https://techcombank.com/thong-tin/blog/cach-nap-the-vina
https://techcombank.com/thong-tin/blog/dac-san-nha-trang
https://techcombank.com/thong-tin/blog/the-ghi-no-la-gi
https://techcombank.com/thong-tin/blog/cach-lien-ket-tai-khoan-ngan-hang-voi-vneid
https://techcombank.com/thong-tin/blog/the-atm-gan-chip
https://techcombank.com/thong-tin/blog/quy-trinh-gui-tien-tiet-kiem
https://techcombank.com/thong-tin/blog/ma-pin-the-atm
https://techcombank.com/thong-tin/blog/bao-hiem-suc-khoe-la-gi
https://techcombank.com/thong-tin/blog/sms-banking
https://techcombank.com/thong-tin/blog/the-atm-tu
https://techcombank.com/thong-tin/blog/han-muc-vay-the-chap-so-do
https://techcombank.com/thong-tin/blog/kinh-nghiem-vay-the-chap-ngan-hang
https://techcombank.com/thong-tin/blog/sao-ke-the-tin-dung-la-gi
https://techcombank.com/thong-tin/blog/thanh-toan-tien-internet-online
https://techcombank.com/thong-tin/blog/thanh-toan-cuoc-truyen-hinh
https://techcombank.com/thong-tin/blog/so-the-tin-dung
https://techcombank.com/thong-tin/blog/merchant-portal
https://techcombank.com/thong-tin/blog/softpos
https://techcombank.com/thong-tin/blog/bao-lanh-thuc-hien-hop-dong
https://techcombank.com/thong-tin/blog/so-cvv-la-gi
https://techcombank.com/thong-tin/blog/cach-kiem-tra-tai-khoan-ngan-hang
https://techcombank.com/thong-tin/blog/nop-thue-dat-qua-ngan-hang
https://techcombank.com/thong-tin/blog/tai-khoan-ngan-hang-bi-khoa
https://techcombank.com/thong-tin/blog/ma-swift-ngan-hang
https://techcombank.com/thong-tin/blog/ma-mcc
https://techcombank.com/thong-tin/blog/so-the-visa-hop-le
https://techcombank.com/thong-tin/blog/cua-hang-tien-loi
https://techcombank.com/thong-tin/blog/app-dong-tien-dien-online
https://techcombank.com/thong-tin/blog/ten-dang-nhap-tai-khoan-ngan-hang-la-gi
https://techcombank.com/thong-tin/blog/thanh-toan-ve-may-bay-online
https://techcombank.com/thong-tin/blog/so-the-ngan-hang
https://techcombank.com/thong-tin/blog/chuyen-tien-tu-duc-ve-viet-nam
https://techcombank.com/thong-tin/blog/mua-ve-xem-phim
https://techcombank.com/thong-tin/blog/1-yen-bang-bao-nhieu-tien-viet-nam
https://techcombank.com/thong-tin/blog/merchant-la-gi
https://techcombank.com/thong-tin/blog/dieu-kien-thanh-lap-doanh-nghiep
https://techcombank.com/thong-tin/blog/thanh-toan-khi-du-lich-hong-kong
https://techcombank.com/thong-tin/blog/thanh-toan-khi-du-lich-singapore
https://techcombank.com/thong-tin/blog/cach-tra-cuu-hoa-don-dien-tu
https://techcombank.com/thong-tin/blog/the-ghi-no-co-rut-tien-duoc-khong
https://techcombank.com/thong-tin/blog/cach-nap-the-mobi
https://techcombank.com/thong-tin/blog/atm-la-gi
https://techcombank.com/thong-tin/blog/kiem-tra-thue-thu-nhap-ca-nhan
https://techcombank.com/thong-tin/blog/kiem-tra-ma-so-thue-doanh-nghiep
https://techcombank.com/thong-tin/blog/tra-cuu-han-muc-the-tin-dung
https://techcombank.com/thong-tin/blog/phi-thuong-nien-la-gi</v>
      </c>
    </row>
    <row r="3">
      <c r="A3" s="33">
        <v>60.0</v>
      </c>
      <c r="B3" s="34" t="s">
        <v>270</v>
      </c>
      <c r="C3" s="35" t="s">
        <v>1492</v>
      </c>
      <c r="D3" s="36">
        <v>200.0</v>
      </c>
      <c r="E3" s="37">
        <f>COUNTIF('Kế hoạch chèn link (mới)'!$B$3:$B$2944,B3)</f>
        <v>200</v>
      </c>
      <c r="F3" s="38" t="str">
        <f>IFERROR(__xludf.DUMMYFUNCTION("TEXTJOIN(CHAR(10),TRUE,FILTER('Kế hoạch chèn link (mới)'!$F$3:$F$2944,'Kế hoạch chèn link (mới)'!$B$3:$B$2944=B3))"),"https://techcombank.com/thong-tin/blog/tai-sao-gui-tiet-kiem-online-lai-suat-cao-hon
https://techcombank.com/thong-tin/blog/vay-the-chap-hop-dong-mua-ban-can-ho
https://techcombank.com/thong-tin/blog/cach-tinh-gia-vang
https://techcombank.com/thong-tin/bl"&amp;"og/so-sanh-gui-tiet-kiem-online-va-tai-quay
https://techcombank.com/thong-tin/blog/cong-thuc-tinh-lai-suat-thuc
https://techcombank.com/thong-tin/blog/lai-suat-ngan-hang-cho-vay-xay-nha
https://techcombank.com/thong-tin/blog/lai-suat-chung-chi-quy
https:/"&amp;"/techcombank.com/thong-tin/blog/so-tiet-kiem-ngan-hang
https://techcombank.com/thong-tin/blog/gui-tiet-kiem-theo-ngay
https://techcombank.com/thong-tin/blog/nen-gui-tiet-kiem-thong-thuong-hay-tich-luy
https://techcombank.com/thong-tin/blog/nen-de-tien-tro"&amp;"ng-the-hay-gui-tiet-kiem
https://techcombank.com/thong-tin/blog/xu-huong-dau-tu-trai-phieu-ky-han-duoi-mot-nam-lua-chon-an-toan-khi-thi-truong-bien-dong
https://techcombank.com/thong-tin/blog/gui-tiet-kiem-online-bi-mat-tien
https://techcombank.com/thong-"&amp;"tin/blog/tich-luy-tai-san
https://techcombank.com/thong-tin/blog/mo-tai-khoan-tiet-kiem-cho-con
https://techcombank.com/thong-tin/blog/rut-tien-tiet-kiem-truoc-thoi-han
https://techcombank.com/thong-tin/blog/cach-dau-tu
https://techcombank.com/thong-tin/b"&amp;"log/chung-chi-tien-gui-co-an-toan-khong
https://techcombank.com/thong-tin/blog/diem-tin-dung
https://techcombank.com/thong-tin/blog/ngan-hang-dien-tu
https://techcombank.com/thong-tin/blog/nhung-kho-khan-khi-tiet-kiem-tien
https://techcombank.com/thong-ti"&amp;"n/blog/quan-ly-chuoi-cua-hang
https://techcombank.com/thong-tin/blog/cach-tiet-kiem-tien-theo-tuan
https://techcombank.com/thong-tin/blog/cach-tiet-kiem-100-trieu-1-nam
https://techcombank.com/thong-tin/blog/the-nao-la-tiet-kiem
https://techcombank.com/th"&amp;"ong-tin/blog/tai-khoan-thanh-toan-la-gi
https://techcombank.com/thong-tin/blog/gui-them-tien-vao-so-tiet-kiem
https://techcombank.com/thong-tin/blog/loi-ich-cua-viec-tiet-kiem-tien
https://techcombank.com/thong-tin/blog/cach-tiet-kiem-tien-hieu-qua-cho-gi"&amp;"a-dinh
https://techcombank.com/thong-tin/blog/khau-vi-nha-dau-tu-tpdn-thay-doi-the-nao-sau-nhung-bien-dong-vua-qua
https://techcombank.com/thong-tin/blog/5-trieu-mua-duoc-bao-nhieu-vang
https://techcombank.com/thong-tin/blog/tai-san-va-tieu-san-la-gi
http"&amp;"s://techcombank.com/thong-tin/blog/6-chiec-lo-tai-chinh-ca-nhan
https://techcombank.com/thong-tin/blog/cach-quan-ly-tai-san
https://techcombank.com/thong-tin/blog/rut-tien-mat-tu-the-tin-dung
https://techcombank.com/thong-tin/blog/vay-mua-nha-tra-gop
http"&amp;"s://techcombank.com/thong-tin/blog/dau-tu-trai-phieu-doanh-nghiep-dung-ham-lai-suat-cao
https://techcombank.com/thong-tin/blog/casa-la-gi
https://techcombank.com/thong-tin/blog/gui-tiet-kiem-tich-luy-la-gi
https://techcombank.com/thong-tin/blog/mo-the-tin"&amp;"-dung-co-loi-ich-gi
https://techcombank.com/thong-tin/blog/vay-tin-chap-cho-doanh-nghiep-moi-thanh-lap
https://techcombank.com/thong-tin/blog/rui-ro-khi-gui-tiet-kiem-ngan-hang
https://techcombank.com/thong-tin/blog/kinh-nghiem-vay-tien-ngan-hang-xay-nha
"&amp;"https://techcombank.com/thong-tin/blog/the-visa-co-may-loai
https://techcombank.com/thong-tin/blog/tien-singapore
https://techcombank.com/thong-tin/blog/nen-lam-the-visa-hay-noi-dia
https://techcombank.com/thong-tin/blog/tra-gop-shopee
https://techcombank"&amp;".com/thong-tin/blog/ngan-hang-so
https://techcombank.com/thong-tin/blog/cong-ty-su-dung-tai-khoan-ca-nhan
https://techcombank.com/thong-tin/blog/khach-hang-vip-bat-dong-san
https://techcombank.com/thong-tin/blog/vay-100-trieu
https://techcombank.com/thong"&amp;"-tin/blog/co-nen-vay-ngan-hang-mua-nha
https://techcombank.com/thong-tin/blog/vi-sao-lai-suat-trai-phieu-tai-tcbs-lai-thap-hon-so-voi-cac-to-chuc-phat-hanh-khac
https://techcombank.com/thong-tin/blog/vay-ngan-han
https://techcombank.com/thong-tin/blog/cho"&amp;"-vay-kinh-doanh-ho-gia-dinh
https://techcombank.com/thong-tin/blog/vay-von-doanh-nghiep-nho
https://techcombank.com/thong-tin/blog/vay-mua-chung-cu
https://techcombank.com/thong-tin/blog/tra-gop-hoc-phi
https://techcombank.com/thong-tin/blog/vay-mua-dien-"&amp;"thoai
https://techcombank.com/thong-tin/blog/nen-vay-tin-chap-o-dau
https://techcombank.com/thong-tin/blog/cho-vay-tieu-dung-la-gi
https://techcombank.com/thong-tin/blog/vay-15-trieu
https://techcombank.com/thong-tin/blog/vay-tien-mat
https://techcombank."&amp;"com/thong-tin/blog/vnd-to-myr
https://techcombank.com/thong-tin/blog/lai-suat-qua-han
https://techcombank.com/thong-tin/blog/app-vay-tien-nhanh
https://techcombank.com/thong-tin/blog/vay-sinh-vien
https://techcombank.com/thong-tin/blog/vay-the-chap-so-hon"&amp;"g
https://techcombank.com/thong-tin/blog/1-cmnd-dang-ky-duoc-may-tai-khoan-ngan-hang
https://techcombank.com/thong-tin/blog/vay-300-trieu
https://techcombank.com/thong-tin/blog/vay-the-chap-xe-o-to-cu
https://techcombank.com/thong-tin/blog/lai-suat-the-ti"&amp;"n-dung
https://techcombank.com/thong-tin/blog/tra-gop-lazada
https://techcombank.com/thong-tin/blog/vay-mua-xe-tra-gop-ngan-hang-nao-tot-nhat
https://techcombank.com/thong-tin/blog/nen-mua-xe-tra-gop-hay-tra-thang
https://techcombank.com/thong-tin/blog/va"&amp;"y-tin-chap-la-gi
https://techcombank.com/thong-tin/blog/vay-the-chap-kinh-doanh
https://techcombank.com/thong-tin/blog/lai-suat-vay-kinh-doanh
https://techcombank.com/thong-tin/blog/quy-trinh-tat-toan-khoan-vay-the-chap
https://techcombank.com/thong-tin/b"&amp;"log/dieu-kien-vay-von-ngan-hang
https://techcombank.com/thong-tin/blog/cho-vay-tung-lan
https://techcombank.com/thong-tin/blog/1-te-bang-bao-nhieu-tien-viet-nam
https://techcombank.com/thong-tin/blog/cach-thanh-toan-the-tin-dung
https://techcombank.com/th"&amp;"ong-tin/blog/tin-dung-la-gi
https://techcombank.com/thong-tin/blog/quan-ly-tai-chinh-cho-dan-van-phong
https://techcombank.com/thong-tin/blog/dau-tu-ngan-han
https://techcombank.com/thong-tin/blog/no-xau-co-lam-the-visa-duoc-khong
https://techcombank.com/"&amp;"thong-tin/blog/co-100-trieu-co-mua-nen-mua-tra-gop
https://techcombank.com/thong-tin/blog/nap-tien-vao-tai-khoan-ngan-hang
https://techcombank.com/thong-tin/blog/vay-ngan-hang-1-ty-moi-thang-tra-bao-nhieu
https://techcombank.com/thong-tin/blog/thu-tuc-vay"&amp;"-von-kinh-doanh-nho
https://techcombank.com/thong-tin/blog/mobile-banking-la-gi
https://techcombank.com/thong-tin/blog/uu-dai-mo-the-tin-dung
https://techcombank.com/thong-tin/blog/tat-toan-chung-chi-tien-gui
https://techcombank.com/thong-tin/blog/tat-toa"&amp;"n
https://techcombank.com/thong-tin/blog/thu-tuc-vay-von-ngan-hang-de-xay-nha
https://techcombank.com/thong-tin/blog/quan-ly-tai-chinh-doanh-nghiep-nho
https://techcombank.com/thong-tin/blog/thanh-toan-toi-thieu-the-tin-dung
https://techcombank.com/thong-"&amp;"tin/blog/fintech-la-gi
https://techcombank.com/thong-tin/blog/ty-gia-la-gi
https://techcombank.com/thong-tin/blog/quy-trinh-cho-vay-tieu-dung
https://techcombank.com/thong-tin/blog/vay-kinh-doanh-online
https://techcombank.com/thong-tin/blog/chung-chi-tie"&amp;"n-gui-co-phai-la-trai-phieu-khong
https://techcombank.com/thong-tin/blog/vay-tra-gop
https://techcombank.com/thong-tin/blog/kinh-nghiem-mua-vang-tich-tru
https://techcombank.com/thong-tin/blog/1000-yen-bang-bao-nhieu-tien-viet
https://techcombank.com/thon"&amp;"g-tin/blog/rut-tien-bao-hiem-nhan-tho-khi-het-han
https://techcombank.com/thong-tin/blog/the-tin-dung-hoan-tien
https://techcombank.com/thong-tin/blog/bao-hiem-lien-ket-dau-tu
https://techcombank.com/thong-tin/blog/dieu-kien-vay-the-chap
https://techcomba"&amp;"nk.com/thong-tin/blog/thu-tuc-vay-von-doanh-nghiep
https://techcombank.com/thong-tin/blog/bao-hiem-sinh-ky-la-gi
https://techcombank.com/thong-tin/blog/so-du-tai-khoan-thanh-toan
https://techcombank.com/thong-tin/blog/an-han-no-goc-la-gi
https://techcomba"&amp;"nk.com/thong-tin/blog/ca-nhan-hoa
https://techcombank.com/thong-tin/blog/co-nen-mua-o-to-tra-gop
https://techcombank.com/thong-tin/blog/cpi-la-gi
https://techcombank.com/thong-tin/blog/dac-quyen-khach-hang-vip-ngan-hang
https://techcombank.com/thong-tin/b"&amp;"log/gia-vang-16k-hom-nay
https://techcombank.com/thong-tin/blog/lam-the-tin-dung-co-mat-phi-khong
https://techcombank.com/thong-tin/blog/ngoai-hoi-la-gi
https://techcombank.com/thong-tin/blog/so-du-tien-gui-la-gi
https://techcombank.com/thong-tin/blog/tha"&amp;"nh-ly-tai-san
https://techcombank.com/thong-tin/blog/thanh-toan-online-bang-the-tin-dung
https://techcombank.com/thong-tin/blog/the-tin-dung-la-gi
https://techcombank.com/thong-tin/blog/ung-dung-big-data-trong-ngan-hang
https://techcombank.com/thong-tin/b"&amp;"log/xep-hang-tin-dung
https://techcombank.com/thong-tin/blog/vay-du-hoc
https://techcombank.com/thong-tin/blog/lai-suat-cho-vay-doanh-nghiep
https://techcombank.com/thong-tin/blog/lai-suat-gui-tiet-kiem-usd
https://techcombank.com/thong-tin/blog/gui-tiet-"&amp;"kiem-usd
https://techcombank.com/thong-tin/blog/bi-quyet-tiet-kiem-tien-mua-nha
https://techcombank.com/thong-tin/blog/nghich-ly-nha-dau-tu-che-trai-phieu-lai-suat-cao-ua-ma-an-toan-du-lai-suat-thap-hon-05-1
https://techcombank.com/thong-tin/blog/thi-truo"&amp;"ng-trai-phieu-co-hoi-dau-tu-trai-phieu-vang-du-lai-suat-thap
https://techcombank.com/thong-tin/blog/vay-bo-sung-von-luu-dong
https://techcombank.com/thong-tin/blog/vay-50-trieu
https://techcombank.com/thong-tin/blog/kinh-nghiem-vay-the-chap-ngan-hang
http"&amp;"s://techcombank.com/thong-tin/blog/tin-chap-doanh-nghiep
https://techcombank.com/thong-tin/blog/lai-suat-vay-mua-o-to
https://techcombank.com/thong-tin/blog/vay-mua-nha-o-xa-hoi
https://techcombank.com/thong-tin/blog/lai-suat-vay-the-chap
https://techcomb"&amp;"ank.com/thong-tin/blog/lai-suat-vay-thau-chi
https://techcombank.com/thong-tin/blog/lai-suat-vay-tieu-dung
https://techcombank.com/thong-tin/blog/cach-tinh-lai-vay-ngan-hang
https://techcombank.com/thong-tin/blog/vay-tin-chap-va-vay-the-chap
https://techc"&amp;"ombank.com/thong-tin/blog/lai-suat-vay-the-chap-so-do
https://techcombank.com/thong-tin/blog/thanh-toan-khi-du-lich-singapore
https://techcombank.com/thong-tin/blog/tieu-dung-ben-vung
https://techcombank.com/thong-tin/blog/chuyen-doi-xanh
https://techcomb"&amp;"ank.com/thong-tin/blog/thanh-toan-khi-du-lich-han-quoc
https://techcombank.com/thong-tin/blog/uu-dai-the-tin-dung
https://techcombank.com/thong-tin/blog/mo-the-tin-dung-khong-can-chung-minh-thu-nhap
https://techcombank.com/thong-tin/blog/mo-tai-khoan-ngan"&amp;"-hang-cho-tre-em
https://techcombank.com/thong-tin/blog/ngan-hang-xanh
https://techcombank.com/thong-tin/blog/lai-suat-vay-ngan-hang
https://techcombank.com/thong-tin/blog/cashback-the-thanh-toan
https://techcombank.com/thong-tin/blog/ho-kinh-doanh-can-gi"&amp;"-o-tai-khoan-ngan-hang
https://techcombank.com/thong-tin/blog/chung-chi-quy-mo-va-dong
https://techcombank.com/thong-tin/blog/techcombank-sinh-loi-tu-dong
https://techcombank.com/thong-tin/blog/anh-sang-cuoi-duong-ham-xuat-hien-trai-phieu-doanh-nghiep-tot"&amp;"-va-an-toan-se-duoc-nha-dau-tu-chon
https://techcombank.com/thong-tin/blog/gui-tiet-kiem-vang
https://techcombank.com/thong-tin/blog/gui-tiet-kiem-ngan-hang-van-la-lua-chon-an-toan-trong-thoi-ky-kinh-te-con-nhieu-bien-dong
https://techcombank.com/thong-ti"&amp;"n/blog/gui-tien-ngan-hang-co-an-toan-khong
https://techcombank.com/thong-tin/blog/rui-ro-khi-gui-tiet-kiem-online
https://techcombank.com/thong-tin/blog/gui-tiet-kiem-ngoai-te
https://techcombank.com/thong-tin/blog/kinh-nghiem-gui-tiet-kiem-online
https:/"&amp;"/techcombank.com/thong-tin/blog/chung-chi-tien-gui-co-duoc-rut-truoc-han
https://techcombank.com/thong-tin/blog/lai-suat-chung-chi-tien-gui-cac-ngan-hang
https://techcombank.com/thong-tin/blog/tat-toan-so-tiet-kiem
https://techcombank.com/thong-tin/blog/q"&amp;"uy-du-phong-tai-chinh-la-gi
https://techcombank.com/thong-tin/blog/tien-nhan-roi-nen-lam-gi
https://techcombank.com/thong-tin/blog/vay-30-trieu
https://techcombank.com/thong-tin/blog/tiet-kiem-tien-moi-ngay
https://techcombank.com/thong-tin/blog/cach-tiet"&amp;"-kiem-tien-cua-nguoi-nhat
https://techcombank.com/thong-tin/blog/mat-so-tiet-kiem
https://techcombank.com/thong-tin/blog/hoc-cach-tiet-kiem-tien-luong
https://techcombank.com/thong-tin/blog/so-du-kha-dung
https://techcombank.com/thong-tin/blog/chung-chi-t"&amp;"ien-gui-co-duoc-bao-hiem-khong
https://techcombank.com/thong-tin/blog/tinh-thanh-khoan-la-gi
https://techcombank.com/thong-tin/blog/chung-chi-quy-dong
https://techcombank.com/thong-tin/blog/tien-gui-khong-ky-han
https://techcombank.com/thong-tin/blog/cach"&amp;"-gui-tiet-kiem-online
https://techcombank.com/thong-tin/blog/gui-tiet-kiem-lay-lai-hang-thang
https://techcombank.com/thong-tin/blog/chon-kenh-dau-tu-an-toan-trong-boi-canh-thi-truong-bien-dong
https://techcombank.com/thong-tin/blog/gui-tiet-kiem-hang-tha"&amp;"ng
https://techcombank.com/thong-tin/blog/gui-tiet-kiem-online-co-rut-truoc-han-duoc-khong
https://techcombank.com/thong-tin/blog/cach-tinh-ty-gia-ky-han
https://techcombank.com/thong-tin/blog/app-gui-tien-tiet-kiem
https://techcombank.com/thong-tin/blog/"&amp;"chung-chi-tien-gui-la-gi
https://techcombank.com/thong-tin/blog/lai-suat-la-gi
https://techcombank.com/thong-tin/blog/dang-ky-nhieu-tai-khoan-ngan-hang-co-sao-khong
https://techcombank.com/thong-tin/blog/ngoai-te-la-gi
https://techcombank.com/thong-tin/bl"&amp;"og/tai-khoan-tiet-kiem
https://techcombank.com/thong-tin/blog/phan-mem-lap-ke-hoach-tai-chinh-ca-nhan
https://techcombank.com/thong-tin/blog/co-nen-gui-chung-chi-tien-gui
https://techcombank.com/thong-tin/blog/tai-khoan-ngan-hang-la-gi
https://techcombank"&amp;".com/thong-tin/blog/nguyen-tac-quan-ly-tai-chinh-ca-nhan
https://techcombank.com/thong-tin/blog/chuyen-nhuong-chung-chi-tien-gui
https://techcombank.com/thong-tin/blog/cach-tinh-loi-nhuan-chung-chi-tien-gui
https://techcombank.com/thong-tin/blog/ly-do-nga"&amp;"n-hang-so-tro-thanh-cong-cu-tai-chinh-hang-dau-cua-gioi-tre")</f>
        <v>https://techcombank.com/thong-tin/blog/tai-sao-gui-tiet-kiem-online-lai-suat-cao-hon
https://techcombank.com/thong-tin/blog/vay-the-chap-hop-dong-mua-ban-can-ho
https://techcombank.com/thong-tin/blog/cach-tinh-gia-vang
https://techcombank.com/thong-tin/blog/so-sanh-gui-tiet-kiem-online-va-tai-quay
https://techcombank.com/thong-tin/blog/cong-thuc-tinh-lai-suat-thuc
https://techcombank.com/thong-tin/blog/lai-suat-ngan-hang-cho-vay-xay-nha
https://techcombank.com/thong-tin/blog/lai-suat-chung-chi-quy
https://techcombank.com/thong-tin/blog/so-tiet-kiem-ngan-hang
https://techcombank.com/thong-tin/blog/gui-tiet-kiem-theo-ngay
https://techcombank.com/thong-tin/blog/nen-gui-tiet-kiem-thong-thuong-hay-tich-luy
https://techcombank.com/thong-tin/blog/nen-de-tien-trong-the-hay-gui-tiet-kiem
https://techcombank.com/thong-tin/blog/xu-huong-dau-tu-trai-phieu-ky-han-duoi-mot-nam-lua-chon-an-toan-khi-thi-truong-bien-dong
https://techcombank.com/thong-tin/blog/gui-tiet-kiem-online-bi-mat-tien
https://techcombank.com/thong-tin/blog/tich-luy-tai-san
https://techcombank.com/thong-tin/blog/mo-tai-khoan-tiet-kiem-cho-con
https://techcombank.com/thong-tin/blog/rut-tien-tiet-kiem-truoc-thoi-han
https://techcombank.com/thong-tin/blog/cach-dau-tu
https://techcombank.com/thong-tin/blog/chung-chi-tien-gui-co-an-toan-khong
https://techcombank.com/thong-tin/blog/diem-tin-dung
https://techcombank.com/thong-tin/blog/ngan-hang-dien-tu
https://techcombank.com/thong-tin/blog/nhung-kho-khan-khi-tiet-kiem-tien
https://techcombank.com/thong-tin/blog/quan-ly-chuoi-cua-hang
https://techcombank.com/thong-tin/blog/cach-tiet-kiem-tien-theo-tuan
https://techcombank.com/thong-tin/blog/cach-tiet-kiem-100-trieu-1-nam
https://techcombank.com/thong-tin/blog/the-nao-la-tiet-kiem
https://techcombank.com/thong-tin/blog/tai-khoan-thanh-toan-la-gi
https://techcombank.com/thong-tin/blog/gui-them-tien-vao-so-tiet-kiem
https://techcombank.com/thong-tin/blog/loi-ich-cua-viec-tiet-kiem-tien
https://techcombank.com/thong-tin/blog/cach-tiet-kiem-tien-hieu-qua-cho-gia-dinh
https://techcombank.com/thong-tin/blog/khau-vi-nha-dau-tu-tpdn-thay-doi-the-nao-sau-nhung-bien-dong-vua-qua
https://techcombank.com/thong-tin/blog/5-trieu-mua-duoc-bao-nhieu-vang
https://techcombank.com/thong-tin/blog/tai-san-va-tieu-san-la-gi
https://techcombank.com/thong-tin/blog/6-chiec-lo-tai-chinh-ca-nhan
https://techcombank.com/thong-tin/blog/cach-quan-ly-tai-san
https://techcombank.com/thong-tin/blog/rut-tien-mat-tu-the-tin-dung
https://techcombank.com/thong-tin/blog/vay-mua-nha-tra-gop
https://techcombank.com/thong-tin/blog/dau-tu-trai-phieu-doanh-nghiep-dung-ham-lai-suat-cao
https://techcombank.com/thong-tin/blog/casa-la-gi
https://techcombank.com/thong-tin/blog/gui-tiet-kiem-tich-luy-la-gi
https://techcombank.com/thong-tin/blog/mo-the-tin-dung-co-loi-ich-gi
https://techcombank.com/thong-tin/blog/vay-tin-chap-cho-doanh-nghiep-moi-thanh-lap
https://techcombank.com/thong-tin/blog/rui-ro-khi-gui-tiet-kiem-ngan-hang
https://techcombank.com/thong-tin/blog/kinh-nghiem-vay-tien-ngan-hang-xay-nha
https://techcombank.com/thong-tin/blog/the-visa-co-may-loai
https://techcombank.com/thong-tin/blog/tien-singapore
https://techcombank.com/thong-tin/blog/nen-lam-the-visa-hay-noi-dia
https://techcombank.com/thong-tin/blog/tra-gop-shopee
https://techcombank.com/thong-tin/blog/ngan-hang-so
https://techcombank.com/thong-tin/blog/cong-ty-su-dung-tai-khoan-ca-nhan
https://techcombank.com/thong-tin/blog/khach-hang-vip-bat-dong-san
https://techcombank.com/thong-tin/blog/vay-100-trieu
https://techcombank.com/thong-tin/blog/co-nen-vay-ngan-hang-mua-nha
https://techcombank.com/thong-tin/blog/vi-sao-lai-suat-trai-phieu-tai-tcbs-lai-thap-hon-so-voi-cac-to-chuc-phat-hanh-khac
https://techcombank.com/thong-tin/blog/vay-ngan-han
https://techcombank.com/thong-tin/blog/cho-vay-kinh-doanh-ho-gia-dinh
https://techcombank.com/thong-tin/blog/vay-von-doanh-nghiep-nho
https://techcombank.com/thong-tin/blog/vay-mua-chung-cu
https://techcombank.com/thong-tin/blog/tra-gop-hoc-phi
https://techcombank.com/thong-tin/blog/vay-mua-dien-thoai
https://techcombank.com/thong-tin/blog/nen-vay-tin-chap-o-dau
https://techcombank.com/thong-tin/blog/cho-vay-tieu-dung-la-gi
https://techcombank.com/thong-tin/blog/vay-15-trieu
https://techcombank.com/thong-tin/blog/vay-tien-mat
https://techcombank.com/thong-tin/blog/vnd-to-myr
https://techcombank.com/thong-tin/blog/lai-suat-qua-han
https://techcombank.com/thong-tin/blog/app-vay-tien-nhanh
https://techcombank.com/thong-tin/blog/vay-sinh-vien
https://techcombank.com/thong-tin/blog/vay-the-chap-so-hong
https://techcombank.com/thong-tin/blog/1-cmnd-dang-ky-duoc-may-tai-khoan-ngan-hang
https://techcombank.com/thong-tin/blog/vay-300-trieu
https://techcombank.com/thong-tin/blog/vay-the-chap-xe-o-to-cu
https://techcombank.com/thong-tin/blog/lai-suat-the-tin-dung
https://techcombank.com/thong-tin/blog/tra-gop-lazada
https://techcombank.com/thong-tin/blog/vay-mua-xe-tra-gop-ngan-hang-nao-tot-nhat
https://techcombank.com/thong-tin/blog/nen-mua-xe-tra-gop-hay-tra-thang
https://techcombank.com/thong-tin/blog/vay-tin-chap-la-gi
https://techcombank.com/thong-tin/blog/vay-the-chap-kinh-doanh
https://techcombank.com/thong-tin/blog/lai-suat-vay-kinh-doanh
https://techcombank.com/thong-tin/blog/quy-trinh-tat-toan-khoan-vay-the-chap
https://techcombank.com/thong-tin/blog/dieu-kien-vay-von-ngan-hang
https://techcombank.com/thong-tin/blog/cho-vay-tung-lan
https://techcombank.com/thong-tin/blog/1-te-bang-bao-nhieu-tien-viet-nam
https://techcombank.com/thong-tin/blog/cach-thanh-toan-the-tin-dung
https://techcombank.com/thong-tin/blog/tin-dung-la-gi
https://techcombank.com/thong-tin/blog/quan-ly-tai-chinh-cho-dan-van-phong
https://techcombank.com/thong-tin/blog/dau-tu-ngan-han
https://techcombank.com/thong-tin/blog/no-xau-co-lam-the-visa-duoc-khong
https://techcombank.com/thong-tin/blog/co-100-trieu-co-mua-nen-mua-tra-gop
https://techcombank.com/thong-tin/blog/nap-tien-vao-tai-khoan-ngan-hang
https://techcombank.com/thong-tin/blog/vay-ngan-hang-1-ty-moi-thang-tra-bao-nhieu
https://techcombank.com/thong-tin/blog/thu-tuc-vay-von-kinh-doanh-nho
https://techcombank.com/thong-tin/blog/mobile-banking-la-gi
https://techcombank.com/thong-tin/blog/uu-dai-mo-the-tin-dung
https://techcombank.com/thong-tin/blog/tat-toan-chung-chi-tien-gui
https://techcombank.com/thong-tin/blog/tat-toan
https://techcombank.com/thong-tin/blog/thu-tuc-vay-von-ngan-hang-de-xay-nha
https://techcombank.com/thong-tin/blog/quan-ly-tai-chinh-doanh-nghiep-nho
https://techcombank.com/thong-tin/blog/thanh-toan-toi-thieu-the-tin-dung
https://techcombank.com/thong-tin/blog/fintech-la-gi
https://techcombank.com/thong-tin/blog/ty-gia-la-gi
https://techcombank.com/thong-tin/blog/quy-trinh-cho-vay-tieu-dung
https://techcombank.com/thong-tin/blog/vay-kinh-doanh-online
https://techcombank.com/thong-tin/blog/chung-chi-tien-gui-co-phai-la-trai-phieu-khong
https://techcombank.com/thong-tin/blog/vay-tra-gop
https://techcombank.com/thong-tin/blog/kinh-nghiem-mua-vang-tich-tru
https://techcombank.com/thong-tin/blog/1000-yen-bang-bao-nhieu-tien-viet
https://techcombank.com/thong-tin/blog/rut-tien-bao-hiem-nhan-tho-khi-het-han
https://techcombank.com/thong-tin/blog/the-tin-dung-hoan-tien
https://techcombank.com/thong-tin/blog/bao-hiem-lien-ket-dau-tu
https://techcombank.com/thong-tin/blog/dieu-kien-vay-the-chap
https://techcombank.com/thong-tin/blog/thu-tuc-vay-von-doanh-nghiep
https://techcombank.com/thong-tin/blog/bao-hiem-sinh-ky-la-gi
https://techcombank.com/thong-tin/blog/so-du-tai-khoan-thanh-toan
https://techcombank.com/thong-tin/blog/an-han-no-goc-la-gi
https://techcombank.com/thong-tin/blog/ca-nhan-hoa
https://techcombank.com/thong-tin/blog/co-nen-mua-o-to-tra-gop
https://techcombank.com/thong-tin/blog/cpi-la-gi
https://techcombank.com/thong-tin/blog/dac-quyen-khach-hang-vip-ngan-hang
https://techcombank.com/thong-tin/blog/gia-vang-16k-hom-nay
https://techcombank.com/thong-tin/blog/lam-the-tin-dung-co-mat-phi-khong
https://techcombank.com/thong-tin/blog/ngoai-hoi-la-gi
https://techcombank.com/thong-tin/blog/so-du-tien-gui-la-gi
https://techcombank.com/thong-tin/blog/thanh-ly-tai-san
https://techcombank.com/thong-tin/blog/thanh-toan-online-bang-the-tin-dung
https://techcombank.com/thong-tin/blog/the-tin-dung-la-gi
https://techcombank.com/thong-tin/blog/ung-dung-big-data-trong-ngan-hang
https://techcombank.com/thong-tin/blog/xep-hang-tin-dung
https://techcombank.com/thong-tin/blog/vay-du-hoc
https://techcombank.com/thong-tin/blog/lai-suat-cho-vay-doanh-nghiep
https://techcombank.com/thong-tin/blog/lai-suat-gui-tiet-kiem-usd
https://techcombank.com/thong-tin/blog/gui-tiet-kiem-usd
https://techcombank.com/thong-tin/blog/bi-quyet-tiet-kiem-tien-mua-nha
https://techcombank.com/thong-tin/blog/nghich-ly-nha-dau-tu-che-trai-phieu-lai-suat-cao-ua-ma-an-toan-du-lai-suat-thap-hon-05-1
https://techcombank.com/thong-tin/blog/thi-truong-trai-phieu-co-hoi-dau-tu-trai-phieu-vang-du-lai-suat-thap
https://techcombank.com/thong-tin/blog/vay-bo-sung-von-luu-dong
https://techcombank.com/thong-tin/blog/vay-50-trieu
https://techcombank.com/thong-tin/blog/kinh-nghiem-vay-the-chap-ngan-hang
https://techcombank.com/thong-tin/blog/tin-chap-doanh-nghiep
https://techcombank.com/thong-tin/blog/lai-suat-vay-mua-o-to
https://techcombank.com/thong-tin/blog/vay-mua-nha-o-xa-hoi
https://techcombank.com/thong-tin/blog/lai-suat-vay-the-chap
https://techcombank.com/thong-tin/blog/lai-suat-vay-thau-chi
https://techcombank.com/thong-tin/blog/lai-suat-vay-tieu-dung
https://techcombank.com/thong-tin/blog/cach-tinh-lai-vay-ngan-hang
https://techcombank.com/thong-tin/blog/vay-tin-chap-va-vay-the-chap
https://techcombank.com/thong-tin/blog/lai-suat-vay-the-chap-so-do
https://techcombank.com/thong-tin/blog/thanh-toan-khi-du-lich-singapore
https://techcombank.com/thong-tin/blog/tieu-dung-ben-vung
https://techcombank.com/thong-tin/blog/chuyen-doi-xanh
https://techcombank.com/thong-tin/blog/thanh-toan-khi-du-lich-han-quoc
https://techcombank.com/thong-tin/blog/uu-dai-the-tin-dung
https://techcombank.com/thong-tin/blog/mo-the-tin-dung-khong-can-chung-minh-thu-nhap
https://techcombank.com/thong-tin/blog/mo-tai-khoan-ngan-hang-cho-tre-em
https://techcombank.com/thong-tin/blog/ngan-hang-xanh
https://techcombank.com/thong-tin/blog/lai-suat-vay-ngan-hang
https://techcombank.com/thong-tin/blog/cashback-the-thanh-toan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https://techcombank.com/thong-tin/blog/rui-ro-khi-gui-tiet-kiem-online
https://techcombank.com/thong-tin/blog/gui-tiet-kiem-ngoai-te
https://techcombank.com/thong-tin/blog/kinh-nghiem-gui-tiet-kiem-online
https://techcombank.com/thong-tin/blog/chung-chi-tien-gui-co-duoc-rut-truoc-han
https://techcombank.com/thong-tin/blog/lai-suat-chung-chi-tien-gui-cac-ngan-hang
https://techcombank.com/thong-tin/blog/tat-toan-so-tiet-kiem
https://techcombank.com/thong-tin/blog/quy-du-phong-tai-chinh-la-gi
https://techcombank.com/thong-tin/blog/tien-nhan-roi-nen-lam-gi
https://techcombank.com/thong-tin/blog/vay-30-trieu
https://techcombank.com/thong-tin/blog/tiet-kiem-tien-moi-ngay
https://techcombank.com/thong-tin/blog/cach-tiet-kiem-tien-cua-nguoi-nhat
https://techcombank.com/thong-tin/blog/mat-so-tiet-kiem
https://techcombank.com/thong-tin/blog/hoc-cach-tiet-kiem-tien-luong
https://techcombank.com/thong-tin/blog/so-du-kha-dung
https://techcombank.com/thong-tin/blog/chung-chi-tien-gui-co-duoc-bao-hiem-khong
https://techcombank.com/thong-tin/blog/tinh-thanh-khoan-la-gi
https://techcombank.com/thong-tin/blog/chung-chi-quy-dong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https://techcombank.com/thong-tin/blog/gui-tiet-kiem-hang-thang
https://techcombank.com/thong-tin/blog/gui-tiet-kiem-online-co-rut-truoc-han-duoc-khong
https://techcombank.com/thong-tin/blog/cach-tinh-ty-gia-ky-han
https://techcombank.com/thong-tin/blog/app-gui-tien-tiet-kiem
https://techcombank.com/thong-tin/blog/chung-chi-tien-gui-la-gi
https://techcombank.com/thong-tin/blog/lai-suat-la-gi
https://techcombank.com/thong-tin/blog/dang-ky-nhieu-tai-khoan-ngan-hang-co-sao-khong
https://techcombank.com/thong-tin/blog/ngoai-te-la-gi
https://techcombank.com/thong-tin/blog/tai-khoan-tiet-kiem
https://techcombank.com/thong-tin/blog/phan-mem-lap-ke-hoach-tai-chinh-ca-nhan
https://techcombank.com/thong-tin/blog/co-nen-gui-chung-chi-tien-gui
https://techcombank.com/thong-tin/blog/tai-khoan-ngan-hang-la-gi
https://techcombank.com/thong-tin/blog/nguyen-tac-quan-ly-tai-chinh-ca-nhan
https://techcombank.com/thong-tin/blog/chuyen-nhuong-chung-chi-tien-gui
https://techcombank.com/thong-tin/blog/cach-tinh-loi-nhuan-chung-chi-tien-gui
https://techcombank.com/thong-tin/blog/ly-do-ngan-hang-so-tro-thanh-cong-cu-tai-chinh-hang-dau-cua-gioi-tre</v>
      </c>
    </row>
    <row r="4">
      <c r="A4" s="33">
        <v>68.0</v>
      </c>
      <c r="B4" s="34" t="s">
        <v>411</v>
      </c>
      <c r="C4" s="35" t="s">
        <v>1503</v>
      </c>
      <c r="D4" s="36">
        <v>200.0</v>
      </c>
      <c r="E4" s="37">
        <f>COUNTIF('Kế hoạch chèn link (mới)'!$B$3:$B$2944,B4)</f>
        <v>200</v>
      </c>
      <c r="F4" s="38" t="str">
        <f>IFERROR(__xludf.DUMMYFUNCTION("TEXTJOIN(CHAR(10),TRUE,FILTER('Kế hoạch chèn link (mới)'!$F$3:$F$2944,'Kế hoạch chèn link (mới)'!$B$3:$B$2944=B4))"),"https://techcombank.com/thong-tin/blog/vay-30-trieu
https://techcombank.com/thong-tin/blog/vay-ngan-hang-chi-can-cccd
https://techcombank.com/thong-tin/blog/vay-50-trieu
https://techcombank.com/thong-tin/blog/vay-tien-online
https://techcombank.com/thong-"&amp;"tin/blog/tin-dung-la-gi
https://techcombank.com/thong-tin/blog/ebitda-la-gi
https://techcombank.com/thong-tin/blog/an-han-no-goc-la-gi
https://techcombank.com/thong-tin/blog/wacc-la-gi
https://techcombank.com/thong-tin/blog/xep-hang-tin-dung
https://techc"&amp;"ombank.com/thong-tin/blog/quan-ly-tai-chinh-doanh-nghiep-nho
https://techcombank.com/thong-tin/blog/quan-ly-chi-phi-doanh-nghiep
https://techcombank.com/thong-tin/blog/nhung-chi-phi-khong-duoc-tru-khi-tinh-thue-tndn
https://techcombank.com/thong-tin/blog/"&amp;"fintech-la-gi
https://techcombank.com/thong-tin/blog/thanh-ly-tai-san
https://techcombank.com/thong-tin/blog/quan-ly-tai-chinh-doanh-nghiep-la-gi
https://techcombank.com/thong-tin/blog/doi-xe-xang-lay-xe-dien
https://techcombank.com/thong-tin/blog/mo-them"&amp;"-tai-khoan-ngan-hang-cho-cong-ty
https://techcombank.com/thong-tin/blog/thue-thu-nhap-doanh-nghiep
https://techcombank.com/thong-tin/blog/co-nen-dung-the-tin-dung-khong
https://techcombank.com/thong-tin/blog/doanh-nghiep-moi-thanh-lap-duoc-uu-dai-gi
https"&amp;"://techcombank.com/thong-tin/blog/one-stop-shop
https://techcombank.com/thong-tin/blog/hoc-cach-tiet-kiem-tien-luong
https://techcombank.com/thong-tin/blog/nim-la-gi
https://techcombank.com/thong-tin/blog/dang-ky-kinh-doanh-la-gi
https://techcombank.com/t"&amp;"hong-tin/blog/tiem-nang-chuyen-doi-tu-ho-kinh-doanh-len-doanh-nghiep-sme
https://techcombank.com/thong-tin/blog/kinh-nghiem-chuyen-doi-tu-ho-kinh-doanh-len-doanh-nghiep
https://techcombank.com/thong-tin/blog/khai-bao-tai-khoan-ngan-hang-voi-co-quan-thue
h"&amp;"ttps://techcombank.com/thong-tin/blog/thay-doi-dia-chi-ho-kinh-doanh
https://techcombank.com/thong-tin/blog/kiem-tra-thue-ho-kinh-doanh
https://techcombank.com/thong-tin/blog/dang-ky-thue-ho-kinh-doanh-ca-the-online
https://techcombank.com/thong-tin/blog/"&amp;"ngan-hang-xanh
https://techcombank.com/thong-tin/blog/cac-sai-lam-pho-bien-khi-chuyen-doi-ho-kinh-doanh-len-sme
https://techcombank.com/thong-tin/blog/cach-dang-ky-ma-so-thue-ho-kinh-doanh-online
https://techcombank.com/thong-tin/blog/san-pham-xanh
https:"&amp;"//techcombank.com/thong-tin/blog/tra-cuu-no-thue-ho-kinh-doanh
https://techcombank.com/thong-tin/blog/vong-quay-von
https://techcombank.com/thong-tin/blog/cac-loai-hinh-doanh-nghiep
https://techcombank.com/thong-tin/blog/gia-tri-tai-san-rong
https://techc"&amp;"ombank.com/thong-tin/blog/vay-sieu-toc
https://techcombank.com/thong-tin/blog/don-bay-tai-chinh
https://techcombank.com/thong-tin/blog/cach-lay-lai-tien-da-chuyen-khoan-khi-bi-lua
https://techcombank.com/thong-tin/blog/vay-the-chap-qua-luong
https://techc"&amp;"ombank.com/thong-tin/blog/vay-tra-gop
https://techcombank.com/thong-tin/blog/nen-mua-xe-tra-gop-hay-tra-thang
https://techcombank.com/thong-tin/blog/lai-suat-vay-mua-o-to
https://techcombank.com/thong-tin/blog/tin-chap-doanh-nghiep
https://techcombank.com"&amp;"/thong-tin/blog/vay-mua-nha-o-xa-hoi
https://techcombank.com/thong-tin/blog/vay-the-chap-xe-o-to-cu
https://techcombank.com/thong-tin/blog/cach-tinh-lai-vay-ngan-hang
https://techcombank.com/thong-tin/blog/vay-san-xuat-kinh-doanh
https://techcombank.com/t"&amp;"hong-tin/blog/lai-suat-vay-tin-chap
https://techcombank.com/thong-tin/blog/cac-hinh-thuc-vay-von-ngan-hang
https://techcombank.com/thong-tin/blog/lai-suat-vay-the-chap-so-do
https://techcombank.com/thong-tin/blog/co-100-trieu-co-mua-nen-mua-tra-gop
https:"&amp;"//techcombank.com/thong-tin/blog/mua-nha-tra-gop-dua-truoc-100-trieu
https://techcombank.com/thong-tin/blog/kiem-tra-no-xau
https://techcombank.com/thong-tin/blog/thu-tuc-mua-xe-tra-gop
https://techcombank.com/thong-tin/blog/vay-mua-xe-tra-gop-ngan-hang-n"&amp;"ao-tot-nhat
https://techcombank.com/thong-tin/blog/lai-suat-vay-thau-chi
https://techcombank.com/thong-tin/blog/vay-thau-chi-bang-so-tiet-kiem
https://techcombank.com/thong-tin/blog/lai-suat-vay-the-chap
https://techcombank.com/thong-tin/blog/vay-the-chap"&amp;"-kinh-doanh
https://techcombank.com/thong-tin/blog/giai-ngan-vay-the-chap
https://techcombank.com/thong-tin/blog/vay-the-chap-toi-da-duoc-bao-nhieu
https://techcombank.com/thong-tin/blog/han-muc-thau-chi-la-gi
https://techcombank.com/thong-tin/blog/vay-mu"&amp;"a-nha-tra-gop
https://techcombank.com/thong-tin/blog/no-xau-nhom-2
https://techcombank.com/thong-tin/blog/vay-ngan-han
https://techcombank.com/thong-tin/blog/vay-von-doanh-nghiep-nho
https://techcombank.com/thong-tin/blog/no-nhom-3
https://techcombank.com"&amp;"/thong-tin/blog/han-muc-vay-the-chap-so-do
https://techcombank.com/thong-tin/blog/diem-tin-dung
https://techcombank.com/thong-tin/blog/kinh-nghiem-vay-the-chap-ngan-hang
https://techcombank.com/thong-tin/blog/bi-quyet-tiet-kiem-tien-mua-nha
https://techco"&amp;"mbank.com/thong-tin/blog/lai-suat-ngan-hang-cho-vay-xay-nha
https://techcombank.com/thong-tin/blog/lai-suat-cho-vay-doanh-nghiep
https://techcombank.com/thong-tin/blog/tat-toan
https://techcombank.com/thong-tin/blog/lai-suat-vay-tieu-dung
https://techcomb"&amp;"ank.com/thong-tin/blog/no-xau-co-vay-the-chap-duoc-khong
https://techcombank.com/thong-tin/blog/thu-tuc-vay-von-kinh-doanh-nho
https://techcombank.com/thong-tin/blog/rui-ro-khi-vay-the-chap-ngan-hang
https://techcombank.com/thong-tin/blog/lai-suat-vay-kin"&amp;"h-doanh
https://techcombank.com/thong-tin/blog/vay-tin-chap-khong-tra-duoc-co-sao-khong
https://techcombank.com/thong-tin/blog/vay-tin-chap-cho-doanh-nghiep-moi-thanh-lap
https://techcombank.com/thong-tin/blog/thanh-toan-khoan-vay
https://techcombank.com/"&amp;"thong-tin/blog/co-nen-vay-ngan-hang-mua-nha
https://techcombank.com/thong-tin/blog/thu-tuc-vay-ngan-hang-mua-nha
https://techcombank.com/thong-tin/blog/thoi-han-vay-thau-chi
https://techcombank.com/thong-tin/blog/co-nen-mua-o-to-tra-gop
https://techcomban"&amp;"k.com/thong-tin/blog/vay-the-chap-so-bao-hiem-xa-hoi
https://techcombank.com/thong-tin/blog/lai-suat-tha-noi
https://techcombank.com/thong-tin/blog/tra-no-vay-thau-chi-nhu-the-nao
https://techcombank.com/thong-tin/blog/vay-bo-sung-von-luu-dong
https://tec"&amp;"hcombank.com/thong-tin/blog/vay-tin-chap-ho-kinh-doanh
https://techcombank.com/thong-tin/blog/no-chu-y-la-gi
https://techcombank.com/thong-tin/blog/no-xau-la-gi
https://techcombank.com/thong-tin/blog/vay-mua-chung-cu
https://techcombank.com/thong-tin/blog"&amp;"/vay-the-chap-khong-tra-duoc
https://techcombank.com/thong-tin/blog/thu-tuc-vay-von-doanh-nghiep
https://techcombank.com/thong-tin/blog/cho-vay-tung-lan
https://techcombank.com/thong-tin/blog/tin-dung-tieu-dung
https://techcombank.com/thong-tin/blog/cho-v"&amp;"ay-hop-von-la-gi
https://techcombank.com/thong-tin/blog/von-luu-dong-la-gi
https://techcombank.com/thong-tin/blog/nhu-cau-vay-tieu-dung-cua-nguoi-viet-du-kien-tang-manh-trong-thoi-gian-toi
https://techcombank.com/thong-tin/blog/tap-doan-thanh-quang-khoi-s"&amp;"ac-kinh-doanh-nho-nguon-von-vay-tin-dung-techcombank-tren-nen-tang-misa-lending
https://techcombank.com/thong-tin/blog/loi-nhuan
https://techcombank.com/thong-tin/blog/dieu-kien-vay-von-ngan-hang
https://techcombank.com/thong-tin/blog/vay-ngan-hang-1-ty-m"&amp;"oi-thang-tra-bao-nhieu
https://techcombank.com/thong-tin/blog/no-xau-mo-the-tin-dung-duoc-khong
https://techcombank.com/thong-tin/blog/gui-tiet-kiem-online-co-rut-truoc-han-duoc-khong
https://techcombank.com/thong-tin/blog/lam-ho-so-tra-gop-dien-thoai
htt"&amp;"ps://techcombank.com/thong-tin/blog/the-ghi-no-va-the-tin-dung
https://techcombank.com/thong-tin/blog/nen-mua-xe-o-to-dien-hay-xe-xang
https://techcombank.com/thong-tin/blog/han-muc-the-tin-dung
https://techcombank.com/thong-tin/blog/the-tin-dung-phu-la-g"&amp;"i
https://techcombank.com/thong-tin/blog/rut-tien-mat-tu-the-tin-dung
https://techcombank.com/thong-tin/blog/the-visa-co-rut-tien-duoc-khong
https://techcombank.com/thong-tin/blog/tai-khoan-ngan-hang-chua-toi-da-bao-nhieu-tien
https://techcombank.com/thon"&amp;"g-tin/blog/app-mua-truoc-tra-sau
https://techcombank.com/thong-tin/blog/ho-so-thu-tuc-xoa-the-chap
https://techcombank.com/thong-tin/blog/spaylater
https://techcombank.com/thong-tin/blog/nang-han-muc-tin-dung
https://techcombank.com/thong-tin/blog/lich-su"&amp;"-tin-dung
https://techcombank.com/thong-tin/blog/lai-suat-la-gi
https://techcombank.com/thong-tin/blog/mo-the-tin-dung-han-muc-cao
https://techcombank.com/thong-tin/blog/tra-gop-qua-the-tin-dung
https://techcombank.com/thong-tin/blog/cong-thuc-tinh-lai-su"&amp;"at-thuc
https://techcombank.com/thong-tin/blog/so-tiet-kiem-ngan-hang
https://techcombank.com/thong-tin/blog/no-xau
https://techcombank.com/thong-tin/blog/lai-kep-ngan-hang
https://techcombank.com/thong-tin/blog/tien-gui-khong-ky-han
https://techcombank.c"&amp;"om/thong-tin/blog/cach-su-dung-the-visa-techcombank
https://techcombank.com/thong-tin/blog/so-sanh-gui-tiet-kiem-online-va-tai-quay
https://techcombank.com/thong-tin/blog/no-xau-co-lam-the-visa-duoc-khong
https://techcombank.com/thong-tin/blog/the-tin-dun"&amp;"g-bi-khoa
https://techcombank.com/thong-tin/blog/no-the-tin-dung-qua-han
https://techcombank.com/thong-tin/blog/lai-suat-qua-han
https://techcombank.com/thong-tin/blog/chung-chi-tien-gui-khac-gi-so-tiet-kiem
https://techcombank.com/thong-tin/blog/lai-suat"&amp;"-gui-tiet-kiem-usd
https://techcombank.com/thong-tin/blog/gui-tiet-kiem-theo-ngay
https://techcombank.com/thong-tin/blog/nen-gui-tiet-kiem-6-thang-hay-1-nam
https://techcombank.com/thong-tin/blog/lai-suat-the-tin-dung
https://techcombank.com/thong-tin/blo"&amp;"g/thanh-toan-toi-thieu-the-tin-dung
https://techcombank.com/thong-tin/blog/cach-tinh-lai-suat-tien-gui-tiet-kiem
https://techcombank.com/thong-tin/blog/gui-tiet-kiem-hang-thang
https://techcombank.com/thong-tin/blog/tien-gui-co-ky-han
https://techcombank."&amp;"com/thong-tin/blog/lai-suat-tiet-kiem
https://techcombank.com/thong-tin/blog/cach-su-dung-the-tin-dung
https://techcombank.com/thong-tin/blog/uu-dai-the-tin-dung-techcombank-signature
https://techcombank.com/thong-tin/blog/vay-kinh-doanh-online
https://te"&amp;"chcombank.com/thong-tin/blog/vay-100-trieu
https://techcombank.com/thong-tin/blog/vay-tin-chap-theo-luong
https://techcombank.com/thong-tin/blog/cho-vay-kinh-doanh-ho-gia-dinh
https://techcombank.com/thong-tin/blog/vay-15-trieu
https://techcombank.com/tho"&amp;"ng-tin/blog/vay-20-trieu
https://techcombank.com/thong-tin/blog/vay-von-doanh-nghiep-khong-the-chap
https://techcombank.com/thong-tin/blog/thu-tuc-vay-von-ngan-hang-de-xay-nha
https://techcombank.com/thong-tin/blog/vay-the-chap-la-gi
https://techcombank.c"&amp;"om/thong-tin/blog/vay-40-trieu
https://techcombank.com/thong-tin/blog/nen-vay-the-chap-ngan-hang-nao
https://techcombank.com/thong-tin/blog/tin-dung-doanh-nghiep
https://techcombank.com/thong-tin/blog/vay-tien-mat
https://techcombank.com/thong-tin/blog/va"&amp;"y-tin-chap-toi-da-duoc-bao-nhieu
https://techcombank.com/thong-tin/blog/kinh-nghiem-vay-tien-ngan-hang-xay-nha
https://techcombank.com/thong-tin/blog/lai-suat-vay-ngan-hang
https://techcombank.com/thong-tin/blog/dang-vay-tra-gop-co-vay-them-duoc-khong
htt"&amp;"ps://techcombank.com/thong-tin/blog/quy-trinh-cho-vay-tieu-dung
https://techcombank.com/thong-tin/blog/kinh-nghiem-vay-tien-mua-nha
https://techcombank.com/thong-tin/blog/vay-the-chap-hop-dong-mua-ban-can-ho
https://techcombank.com/thong-tin/blog/vay-du-h"&amp;"oc
https://techcombank.com/thong-tin/blog/vay-tin-chap-va-vay-the-chap
https://techcombank.com/thong-tin/blog/vay-200-trieu
https://techcombank.com/thong-tin/blog/vay-300-trieu
https://techcombank.com/thong-tin/blog/nen-vay-tin-chap-o-dau
https://techcomb"&amp;"ank.com/thong-tin/blog/quy-trinh-tat-toan-khoan-vay-the-chap
https://techcombank.com/thong-tin/blog/vay-the-chap-so-hong
https://techcombank.com/thong-tin/blog/vay-han-muc-la-gi
https://techcombank.com/thong-tin/blog/cac-hinh-thuc-cho-vay-tieu-dung
https:"&amp;"//techcombank.com/thong-tin/blog/du-no-tin-dung-la-gi
https://techcombank.com/thong-tin/blog/vay-sinh-vien
https://techcombank.com/thong-tin/blog/vay-tin-chap-no-xau
https://techcombank.com/thong-tin/blog/vay-tin-chap-la-gi
https://techcombank.com/thong-t"&amp;"in/blog/vay-thau-chi-la-gi
https://techcombank.com/thong-tin/blog/ho-so-vay-tin-chap
https://techcombank.com/thong-tin/blog/phi-vay-the-chap
https://techcombank.com/thong-tin/blog/the-chap-la-gi
https://techcombank.com/thong-tin/blog/vay-the-chap-khong-ch"&amp;"ung-minh-thu-nhap
https://techcombank.com/thong-tin/blog/cic-la-gi
https://techcombank.com/thong-tin/blog/dieu-kien-vay-the-chap
https://techcombank.com/thong-tin/blog/dao-han-la-gi
https://techcombank.com/thong-tin/blog/cho-vay-tieu-dung-la-gi
https://te"&amp;"chcombank.com/thong-tin/blog/ho-so-vay-von-cua-doanh-nghiep-gom-nhung-gi
https://techcombank.com/thong-tin/blog/tra-gop-hoc-phi
https://techcombank.com/thong-tin/blog/tat-toan-so-tiet-kiem
https://techcombank.com/thong-tin/blog/du-no-la-gi
https://techcom"&amp;"bank.com/thong-tin/blog/cach-tiet-kiem-tien-sinh-loi
https://techcombank.com/thong-tin/blog/gui-tiet-kiem-ngoai-te
https://techcombank.com/thong-tin/blog/app-ngan-hang-uy-tin
https://techcombank.com/thong-tin/blog/chuyen-gia-du-doan-gia-bat-dong-san-2025-"&amp;"va-cac-no-luc-tu-ngan-hang
https://techcombank.com/thong-tin/blog/bao-lanh-vay-von")</f>
        <v>https://techcombank.com/thong-tin/blog/vay-30-trieu
https://techcombank.com/thong-tin/blog/vay-ngan-hang-chi-can-cccd
https://techcombank.com/thong-tin/blog/vay-50-trieu
https://techcombank.com/thong-tin/blog/vay-tien-online
https://techcombank.com/thong-tin/blog/tin-dung-la-gi
https://techcombank.com/thong-tin/blog/ebitda-la-gi
https://techcombank.com/thong-tin/blog/an-han-no-goc-la-gi
https://techcombank.com/thong-tin/blog/wacc-la-gi
https://techcombank.com/thong-tin/blog/xep-hang-tin-dung
https://techcombank.com/thong-tin/blog/quan-ly-tai-chinh-doanh-nghiep-nho
https://techcombank.com/thong-tin/blog/quan-ly-chi-phi-doanh-nghiep
https://techcombank.com/thong-tin/blog/nhung-chi-phi-khong-duoc-tru-khi-tinh-thue-tndn
https://techcombank.com/thong-tin/blog/fintech-la-gi
https://techcombank.com/thong-tin/blog/thanh-ly-tai-san
https://techcombank.com/thong-tin/blog/quan-ly-tai-chinh-doanh-nghiep-la-gi
https://techcombank.com/thong-tin/blog/doi-xe-xang-lay-xe-dien
https://techcombank.com/thong-tin/blog/mo-them-tai-khoan-ngan-hang-cho-cong-ty
https://techcombank.com/thong-tin/blog/thue-thu-nhap-doanh-nghiep
https://techcombank.com/thong-tin/blog/co-nen-dung-the-tin-dung-khong
https://techcombank.com/thong-tin/blog/doanh-nghiep-moi-thanh-lap-duoc-uu-dai-gi
https://techcombank.com/thong-tin/blog/one-stop-shop
https://techcombank.com/thong-tin/blog/hoc-cach-tiet-kiem-tien-luong
https://techcombank.com/thong-tin/blog/nim-la-gi
https://techcombank.com/thong-tin/blog/dang-ky-kinh-doanh-la-gi
https://techcombank.com/thong-tin/blog/tiem-nang-chuyen-doi-tu-ho-kinh-doanh-len-doanh-nghiep-sme
https://techcombank.com/thong-tin/blog/kinh-nghiem-chuyen-doi-tu-ho-kinh-doanh-len-doanh-nghiep
https://techcombank.com/thong-tin/blog/khai-bao-tai-khoan-ngan-hang-voi-co-quan-thue
https://techcombank.com/thong-tin/blog/thay-doi-dia-chi-ho-kinh-doanh
https://techcombank.com/thong-tin/blog/kiem-tra-thue-ho-kinh-doanh
https://techcombank.com/thong-tin/blog/dang-ky-thue-ho-kinh-doanh-ca-the-online
https://techcombank.com/thong-tin/blog/ngan-hang-xanh
https://techcombank.com/thong-tin/blog/cac-sai-lam-pho-bien-khi-chuyen-doi-ho-kinh-doanh-len-sme
https://techcombank.com/thong-tin/blog/cach-dang-ky-ma-so-thue-ho-kinh-doanh-online
https://techcombank.com/thong-tin/blog/san-pham-xanh
https://techcombank.com/thong-tin/blog/tra-cuu-no-thue-ho-kinh-doanh
https://techcombank.com/thong-tin/blog/vong-quay-von
https://techcombank.com/thong-tin/blog/cac-loai-hinh-doanh-nghiep
https://techcombank.com/thong-tin/blog/gia-tri-tai-san-rong
https://techcombank.com/thong-tin/blog/vay-sieu-toc
https://techcombank.com/thong-tin/blog/don-bay-tai-chinh
https://techcombank.com/thong-tin/blog/cach-lay-lai-tien-da-chuyen-khoan-khi-bi-lua
https://techcombank.com/thong-tin/blog/vay-the-chap-qua-luong
https://techcombank.com/thong-tin/blog/vay-tra-gop
https://techcombank.com/thong-tin/blog/nen-mua-xe-tra-gop-hay-tra-thang
https://techcombank.com/thong-tin/blog/lai-suat-vay-mua-o-to
https://techcombank.com/thong-tin/blog/tin-chap-doanh-nghiep
https://techcombank.com/thong-tin/blog/vay-mua-nha-o-xa-hoi
https://techcombank.com/thong-tin/blog/vay-the-chap-xe-o-to-cu
https://techcombank.com/thong-tin/blog/cach-tinh-lai-vay-ngan-hang
https://techcombank.com/thong-tin/blog/vay-san-xuat-kinh-doanh
https://techcombank.com/thong-tin/blog/lai-suat-vay-tin-chap
https://techcombank.com/thong-tin/blog/cac-hinh-thuc-vay-von-ngan-hang
https://techcombank.com/thong-tin/blog/lai-suat-vay-the-chap-so-do
https://techcombank.com/thong-tin/blog/co-100-trieu-co-mua-nen-mua-tra-gop
https://techcombank.com/thong-tin/blog/mua-nha-tra-gop-dua-truoc-100-trieu
https://techcombank.com/thong-tin/blog/kiem-tra-no-xau
https://techcombank.com/thong-tin/blog/thu-tuc-mua-xe-tra-gop
https://techcombank.com/thong-tin/blog/vay-mua-xe-tra-gop-ngan-hang-nao-tot-nhat
https://techcombank.com/thong-tin/blog/lai-suat-vay-thau-chi
https://techcombank.com/thong-tin/blog/vay-thau-chi-bang-so-tiet-kiem
https://techcombank.com/thong-tin/blog/lai-suat-vay-the-chap
https://techcombank.com/thong-tin/blog/vay-the-chap-kinh-doanh
https://techcombank.com/thong-tin/blog/giai-ngan-vay-the-chap
https://techcombank.com/thong-tin/blog/vay-the-chap-toi-da-duoc-bao-nhieu
https://techcombank.com/thong-tin/blog/han-muc-thau-chi-la-gi
https://techcombank.com/thong-tin/blog/vay-mua-nha-tra-gop
https://techcombank.com/thong-tin/blog/no-xau-nhom-2
https://techcombank.com/thong-tin/blog/vay-ngan-han
https://techcombank.com/thong-tin/blog/vay-von-doanh-nghiep-nho
https://techcombank.com/thong-tin/blog/no-nhom-3
https://techcombank.com/thong-tin/blog/han-muc-vay-the-chap-so-do
https://techcombank.com/thong-tin/blog/diem-tin-dung
https://techcombank.com/thong-tin/blog/kinh-nghiem-vay-the-chap-ngan-hang
https://techcombank.com/thong-tin/blog/bi-quyet-tiet-kiem-tien-mua-nha
https://techcombank.com/thong-tin/blog/lai-suat-ngan-hang-cho-vay-xay-nha
https://techcombank.com/thong-tin/blog/lai-suat-cho-vay-doanh-nghiep
https://techcombank.com/thong-tin/blog/tat-toan
https://techcombank.com/thong-tin/blog/lai-suat-vay-tieu-dung
https://techcombank.com/thong-tin/blog/no-xau-co-vay-the-chap-duoc-khong
https://techcombank.com/thong-tin/blog/thu-tuc-vay-von-kinh-doanh-nho
https://techcombank.com/thong-tin/blog/rui-ro-khi-vay-the-chap-ngan-hang
https://techcombank.com/thong-tin/blog/lai-suat-vay-kinh-doanh
https://techcombank.com/thong-tin/blog/vay-tin-chap-khong-tra-duoc-co-sao-khong
https://techcombank.com/thong-tin/blog/vay-tin-chap-cho-doanh-nghiep-moi-thanh-lap
https://techcombank.com/thong-tin/blog/thanh-toan-khoan-vay
https://techcombank.com/thong-tin/blog/co-nen-vay-ngan-hang-mua-nha
https://techcombank.com/thong-tin/blog/thu-tuc-vay-ngan-hang-mua-nha
https://techcombank.com/thong-tin/blog/thoi-han-vay-thau-chi
https://techcombank.com/thong-tin/blog/co-nen-mua-o-to-tra-gop
https://techcombank.com/thong-tin/blog/vay-the-chap-so-bao-hiem-xa-hoi
https://techcombank.com/thong-tin/blog/lai-suat-tha-noi
https://techcombank.com/thong-tin/blog/tra-no-vay-thau-chi-nhu-the-nao
https://techcombank.com/thong-tin/blog/vay-bo-sung-von-luu-dong
https://techcombank.com/thong-tin/blog/vay-tin-chap-ho-kinh-doanh
https://techcombank.com/thong-tin/blog/no-chu-y-la-gi
https://techcombank.com/thong-tin/blog/no-xau-la-gi
https://techcombank.com/thong-tin/blog/vay-mua-chung-cu
https://techcombank.com/thong-tin/blog/vay-the-chap-khong-tra-duoc
https://techcombank.com/thong-tin/blog/thu-tuc-vay-von-doanh-nghiep
https://techcombank.com/thong-tin/blog/cho-vay-tung-lan
https://techcombank.com/thong-tin/blog/tin-dung-tieu-dung
https://techcombank.com/thong-tin/blog/cho-vay-hop-von-la-gi
https://techcombank.com/thong-tin/blog/von-luu-dong-la-gi
https://techcombank.com/thong-tin/blog/nhu-cau-vay-tieu-dung-cua-nguoi-viet-du-kien-tang-manh-trong-thoi-gian-toi
https://techcombank.com/thong-tin/blog/tap-doan-thanh-quang-khoi-sac-kinh-doanh-nho-nguon-von-vay-tin-dung-techcombank-tren-nen-tang-misa-lending
https://techcombank.com/thong-tin/blog/loi-nhuan
https://techcombank.com/thong-tin/blog/dieu-kien-vay-von-ngan-hang
https://techcombank.com/thong-tin/blog/vay-ngan-hang-1-ty-moi-thang-tra-bao-nhieu
https://techcombank.com/thong-tin/blog/no-xau-mo-the-tin-dung-duoc-khong
https://techcombank.com/thong-tin/blog/gui-tiet-kiem-online-co-rut-truoc-han-duoc-khong
https://techcombank.com/thong-tin/blog/lam-ho-so-tra-gop-dien-thoai
https://techcombank.com/thong-tin/blog/the-ghi-no-va-the-tin-dung
https://techcombank.com/thong-tin/blog/nen-mua-xe-o-to-dien-hay-xe-xang
https://techcombank.com/thong-tin/blog/han-muc-the-tin-dung
https://techcombank.com/thong-tin/blog/the-tin-dung-phu-la-gi
https://techcombank.com/thong-tin/blog/rut-tien-mat-tu-the-tin-dung
https://techcombank.com/thong-tin/blog/the-visa-co-rut-tien-duoc-khong
https://techcombank.com/thong-tin/blog/tai-khoan-ngan-hang-chua-toi-da-bao-nhieu-tien
https://techcombank.com/thong-tin/blog/app-mua-truoc-tra-sau
https://techcombank.com/thong-tin/blog/ho-so-thu-tuc-xoa-the-chap
https://techcombank.com/thong-tin/blog/spaylater
https://techcombank.com/thong-tin/blog/nang-han-muc-tin-dung
https://techcombank.com/thong-tin/blog/lich-su-tin-dung
https://techcombank.com/thong-tin/blog/lai-suat-la-gi
https://techcombank.com/thong-tin/blog/mo-the-tin-dung-han-muc-cao
https://techcombank.com/thong-tin/blog/tra-gop-qua-the-tin-dung
https://techcombank.com/thong-tin/blog/cong-thuc-tinh-lai-suat-thuc
https://techcombank.com/thong-tin/blog/so-tiet-kiem-ngan-hang
https://techcombank.com/thong-tin/blog/no-xau
https://techcombank.com/thong-tin/blog/lai-kep-ngan-hang
https://techcombank.com/thong-tin/blog/tien-gui-khong-ky-han
https://techcombank.com/thong-tin/blog/cach-su-dung-the-visa-techcombank
https://techcombank.com/thong-tin/blog/so-sanh-gui-tiet-kiem-online-va-tai-quay
https://techcombank.com/thong-tin/blog/no-xau-co-lam-the-visa-duoc-khong
https://techcombank.com/thong-tin/blog/the-tin-dung-bi-khoa
https://techcombank.com/thong-tin/blog/no-the-tin-dung-qua-han
https://techcombank.com/thong-tin/blog/lai-suat-qua-han
https://techcombank.com/thong-tin/blog/chung-chi-tien-gui-khac-gi-so-tiet-kiem
https://techcombank.com/thong-tin/blog/lai-suat-gui-tiet-kiem-usd
https://techcombank.com/thong-tin/blog/gui-tiet-kiem-theo-ngay
https://techcombank.com/thong-tin/blog/nen-gui-tiet-kiem-6-thang-hay-1-nam
https://techcombank.com/thong-tin/blog/lai-suat-the-tin-dung
https://techcombank.com/thong-tin/blog/thanh-toan-toi-thieu-the-tin-dung
https://techcombank.com/thong-tin/blog/cach-tinh-lai-suat-tien-gui-tiet-kiem
https://techcombank.com/thong-tin/blog/gui-tiet-kiem-hang-thang
https://techcombank.com/thong-tin/blog/tien-gui-co-ky-han
https://techcombank.com/thong-tin/blog/lai-suat-tiet-kiem
https://techcombank.com/thong-tin/blog/cach-su-dung-the-tin-dung
https://techcombank.com/thong-tin/blog/uu-dai-the-tin-dung-techcombank-signature
https://techcombank.com/thong-tin/blog/vay-kinh-doanh-online
https://techcombank.com/thong-tin/blog/vay-100-trieu
https://techcombank.com/thong-tin/blog/vay-tin-chap-theo-luong
https://techcombank.com/thong-tin/blog/cho-vay-kinh-doanh-ho-gia-dinh
https://techcombank.com/thong-tin/blog/vay-15-trieu
https://techcombank.com/thong-tin/blog/vay-20-trieu
https://techcombank.com/thong-tin/blog/vay-von-doanh-nghiep-khong-the-chap
https://techcombank.com/thong-tin/blog/thu-tuc-vay-von-ngan-hang-de-xay-nha
https://techcombank.com/thong-tin/blog/vay-the-chap-la-gi
https://techcombank.com/thong-tin/blog/vay-40-trieu
https://techcombank.com/thong-tin/blog/nen-vay-the-chap-ngan-hang-nao
https://techcombank.com/thong-tin/blog/tin-dung-doanh-nghiep
https://techcombank.com/thong-tin/blog/vay-tien-mat
https://techcombank.com/thong-tin/blog/vay-tin-chap-toi-da-duoc-bao-nhieu
https://techcombank.com/thong-tin/blog/kinh-nghiem-vay-tien-ngan-hang-xay-nha
https://techcombank.com/thong-tin/blog/lai-suat-vay-ngan-hang
https://techcombank.com/thong-tin/blog/dang-vay-tra-gop-co-vay-them-duoc-khong
https://techcombank.com/thong-tin/blog/quy-trinh-cho-vay-tieu-dung
https://techcombank.com/thong-tin/blog/kinh-nghiem-vay-tien-mua-nha
https://techcombank.com/thong-tin/blog/vay-the-chap-hop-dong-mua-ban-can-ho
https://techcombank.com/thong-tin/blog/vay-du-hoc
https://techcombank.com/thong-tin/blog/vay-tin-chap-va-vay-the-chap
https://techcombank.com/thong-tin/blog/vay-200-trieu
https://techcombank.com/thong-tin/blog/vay-300-trieu
https://techcombank.com/thong-tin/blog/nen-vay-tin-chap-o-dau
https://techcombank.com/thong-tin/blog/quy-trinh-tat-toan-khoan-vay-the-chap
https://techcombank.com/thong-tin/blog/vay-the-chap-so-hong
https://techcombank.com/thong-tin/blog/vay-han-muc-la-gi
https://techcombank.com/thong-tin/blog/cac-hinh-thuc-cho-vay-tieu-dung
https://techcombank.com/thong-tin/blog/du-no-tin-dung-la-gi
https://techcombank.com/thong-tin/blog/vay-sinh-vien
https://techcombank.com/thong-tin/blog/vay-tin-chap-no-xau
https://techcombank.com/thong-tin/blog/vay-tin-chap-la-gi
https://techcombank.com/thong-tin/blog/vay-thau-chi-la-gi
https://techcombank.com/thong-tin/blog/ho-so-vay-tin-chap
https://techcombank.com/thong-tin/blog/phi-vay-the-chap
https://techcombank.com/thong-tin/blog/the-chap-la-gi
https://techcombank.com/thong-tin/blog/vay-the-chap-khong-chung-minh-thu-nhap
https://techcombank.com/thong-tin/blog/cic-la-gi
https://techcombank.com/thong-tin/blog/dieu-kien-vay-the-chap
https://techcombank.com/thong-tin/blog/dao-han-la-gi
https://techcombank.com/thong-tin/blog/cho-vay-tieu-dung-la-gi
https://techcombank.com/thong-tin/blog/ho-so-vay-von-cua-doanh-nghiep-gom-nhung-gi
https://techcombank.com/thong-tin/blog/tra-gop-hoc-phi
https://techcombank.com/thong-tin/blog/tat-toan-so-tiet-kiem
https://techcombank.com/thong-tin/blog/du-no-la-gi
https://techcombank.com/thong-tin/blog/cach-tiet-kiem-tien-sinh-loi
https://techcombank.com/thong-tin/blog/gui-tiet-kiem-ngoai-te
https://techcombank.com/thong-tin/blog/app-ngan-hang-uy-tin
https://techcombank.com/thong-tin/blog/chuyen-gia-du-doan-gia-bat-dong-san-2025-va-cac-no-luc-tu-ngan-hang
https://techcombank.com/thong-tin/blog/bao-lanh-vay-von</v>
      </c>
    </row>
    <row r="5">
      <c r="A5" s="33">
        <v>61.0</v>
      </c>
      <c r="B5" s="34" t="s">
        <v>90</v>
      </c>
      <c r="C5" s="35" t="s">
        <v>1492</v>
      </c>
      <c r="D5" s="36">
        <v>150.0</v>
      </c>
      <c r="E5" s="37">
        <f>COUNTIF('Kế hoạch chèn link (mới)'!$B$3:$B$2944,B5)</f>
        <v>150</v>
      </c>
      <c r="F5" s="38" t="str">
        <f>IFERROR(__xludf.DUMMYFUNCTION("TEXTJOIN(CHAR(10),TRUE,FILTER('Kế hoạch chèn link (mới)'!$F$3:$F$2944,'Kế hoạch chèn link (mới)'!$B$3:$B$2944=B5))"),"https://techcombank.com/thong-tin/blog/gui-tiet-kiem-hang-thang
https://techcombank.com/thong-tin/blog/kinh-nghiem-vay-tien-ngan-hang-xay-nha
https://techcombank.com/thong-tin/blog/tai-khoan-ngan-hang-duoi-50k-co-bi-khoa-khong
https://techcombank.com/thon"&amp;"g-tin/blog/thanh-toan-tien-dien-bang-the-tin-dung
https://techcombank.com/thong-tin/blog/thanh-toan-hoa-don-tieu-dung
https://techcombank.com/thong-tin/blog/tien-gui-khong-ky-han
https://techcombank.com/thong-tin/blog/dao-han-la-gi
https://techcombank.com"&amp;"/thong-tin/blog/lai-suat-tiet-kiem
https://techcombank.com/thong-tin/blog/diem-tin-dung
https://techcombank.com/thong-tin/blog/tai-khoan-thanh-toan-la-gi
https://techcombank.com/thong-tin/blog/cong-thuc-tinh-lai-suat-thuc
https://techcombank.com/thong-tin"&amp;"/blog/rui-ro-khi-vay-the-chap-ngan-hang
https://techcombank.com/thong-tin/blog/lai-suat-the-tin-dung
https://techcombank.com/thong-tin/blog/lai-suat-tha-noi
https://techcombank.com/thong-tin/blog/cach-tinh-lai-vay-ngan-hang
https://techcombank.com/thong-t"&amp;"in/blog/lai-suat-vay-ngan-hang
https://techcombank.com/thong-tin/blog/quy-du-phong-tai-chinh-la-gi
https://techcombank.com/thong-tin/blog/loi-ich-cua-ngan-hang-so-voi-sme
https://techcombank.com/thong-tin/blog/vay-mua-chung-cu
https://techcombank.com/thon"&amp;"g-tin/blog/kinh-nghiem-vay-the-chap-ngan-hang
https://techcombank.com/thong-tin/blog/vay-15-trieu
https://techcombank.com/thong-tin/blog/vay-mua-nha-o-xa-hoi
https://techcombank.com/thong-tin/blog/lai-suat-vay-the-chap
https://techcombank.com/thong-tin/bl"&amp;"og/ngan-hang-dien-tu
https://techcombank.com/thong-tin/blog/vay-ngan-hang-1-ty-moi-thang-tra-bao-nhieu
https://techcombank.com/thong-tin/blog/the-tin-dung-hoan-tien
https://techcombank.com/thong-tin/blog/dac-quyen-khach-hang-vip-ngan-hang
https://techcomb"&amp;"ank.com/thong-tin/blog/nen-gui-tiet-kiem-6-thang-hay-1-nam
https://techcombank.com/thong-tin/blog/cach-tiet-kiem-tien-cua-nguoi-nhat
https://techcombank.com/thong-tin/blog/phan-mem-lap-ke-hoach-tai-chinh-ca-nhan
https://techcombank.com/thong-tin/blog/quy-"&amp;"trinh-gui-tien-tiet-kiem
https://techcombank.com/thong-tin/blog/gui-tiet-kiem-theo-ngay
https://techcombank.com/thong-tin/blog/gui-tiet-kiem-vang
https://techcombank.com/thong-tin/blog/tai-sao-gui-tiet-kiem-online-lai-suat-cao-hon
https://techcombank.com/"&amp;"thong-tin/blog/nen-de-tien-trong-the-hay-gui-tiet-kiem
https://techcombank.com/thong-tin/blog/co-nen-gui-tiet-kiem-ngan-hang
https://techcombank.com/thong-tin/blog/co-nen-gui-tiet-kiem-online
https://techcombank.com/thong-tin/blog/gui-tiet-kiem-ngan-hang-"&amp;"van-la-lua-chon-an-toan-trong-thoi-ky-kinh-te-con-nhieu-bien-dong
https://techcombank.com/thong-tin/blog/cach-gui-tiet-kiem-online
https://techcombank.com/thong-tin/blog/gui-tiet-kiem-tich-luy-la-gi
https://techcombank.com/thong-tin/blog/kinh-nghiem-gui-t"&amp;"iet-kiem-online
https://techcombank.com/thong-tin/blog/gui-tiet-kiem-online-co-rut-truoc-han-duoc-khong
https://techcombank.com/thong-tin/blog/rut-tien-mat-tu-the-tin-dung
https://techcombank.com/thong-tin/blog/so-sanh-gui-tiet-kiem-online-va-tai-quay
htt"&amp;"ps://techcombank.com/thong-tin/blog/cach-tiet-kiem-tien-sinh-loi
https://techcombank.com/thong-tin/blog/co-50-trieu-nen-mua-vang-hay-gui-tiet-kiem
https://techcombank.com/thong-tin/blog/tien-gui-co-ky-han
https://techcombank.com/thong-tin/blog/lai-suat-ch"&amp;"ung-chi-tien-gui-cac-ngan-hang
https://techcombank.com/thong-tin/blog/bi-quyet-tiet-kiem-tien-mua-nha
https://techcombank.com/thong-tin/blog/tra-gop-shopee
https://techcombank.com/thong-tin/blog/chung-chi-tien-gui-la-gi
https://techcombank.com/thong-tin/b"&amp;"log/ngan-hang-so
https://techcombank.com/thong-tin/blog/giai-ngan-la-gi
https://techcombank.com/thong-tin/blog/the-visa-co-may-loai
https://techcombank.com/thong-tin/blog/techcombank-sinh-loi-tu-dong
https://techcombank.com/thong-tin/blog/mo-so-tiet-kiem-"&amp;"can-bao-nhieu-tien
https://techcombank.com/thong-tin/blog/lai-suat-la-gi
https://techcombank.com/thong-tin/blog/cho-vay-kinh-doanh-ho-gia-dinh
https://techcombank.com/thong-tin/blog/vay-von-doanh-nghiep-nho
https://techcombank.com/thong-tin/blog/vay-50-tr"&amp;"ieu
https://techcombank.com/thong-tin/blog/vay-mua-dien-thoai
https://techcombank.com/thong-tin/blog/tien-nhan-roi-nen-lam-gi
https://techcombank.com/thong-tin/blog/cho-vay-tieu-dung-la-gi
https://techcombank.com/thong-tin/blog/cach-tiet-kiem-tien
https:/"&amp;"/techcombank.com/thong-tin/blog/vay-the-chap-so-hong
https://techcombank.com/thong-tin/blog/lai-suat-vay-mua-o-to
https://techcombank.com/thong-tin/blog/nen-lam-the-visa-hay-noi-dia
https://techcombank.com/thong-tin/blog/tra-gop-lazada
https://techcombank"&amp;".com/thong-tin/blog/vay-the-chap-kinh-doanh
https://techcombank.com/thong-tin/blog/cach-thanh-toan-the-tin-dung
https://techcombank.com/thong-tin/blog/nap-tien-vao-tai-khoan-ngan-hang
https://techcombank.com/thong-tin/blog/mobile-banking-la-gi
https://tec"&amp;"hcombank.com/thong-tin/blog/nap-xu-tiktok
https://techcombank.com/thong-tin/blog/so-du-kha-dung
https://techcombank.com/thong-tin/blog/vay-kinh-doanh-online
https://techcombank.com/thong-tin/blog/dieu-kien-vay-the-chap
https://techcombank.com/thong-tin/bl"&amp;"og/so-du-tai-khoan-thanh-toan
https://techcombank.com/thong-tin/blog/tin-dung-doanh-nghiep
https://techcombank.com/thong-tin/blog/chung-chi-tien-gui-co-duoc-rut-truoc-han
https://techcombank.com/thong-tin/blog/thanh-toan-khi-du-lich-han-quoc
https://techc"&amp;"ombank.com/thong-tin/blog/so-du-tien-gui-la-gi
https://techcombank.com/thong-tin/blog/bao-hiem-sinh-ky-la-gi
https://techcombank.com/thong-tin/blog/cac-loai-hinh-bao-hiem-nhan-tho
https://techcombank.com/thong-tin/blog/cach-tinh-gia-vang
https://techcomba"&amp;"nk.com/thong-tin/blog/cach-tinh-loi-nhuan-chung-chi-tien-gui
https://techcombank.com/thong-tin/blog/casa-la-gi
https://techcombank.com/thong-tin/blog/chung-chi-tien-gui-co-phai-la-trai-phieu-khong
https://techcombank.com/thong-tin/blog/chuyen-doi-xanh
htt"&amp;"ps://techcombank.com/thong-tin/blog/cpi-la-gi
https://techcombank.com/thong-tin/blog/dau-co-va-dau-tu
https://techcombank.com/thong-tin/blog/gia-vang-16k-hom-nay
https://techcombank.com/thong-tin/blog/khau-vi-nha-dau-tu-tpdn-thay-doi-the-nao-sau-nhung-bie"&amp;"n-dong-vua-qua
https://techcombank.com/thong-tin/blog/kich-hoat-the-tin-dung-techcombank
https://techcombank.com/thong-tin/blog/kinh-nghiem-mua-vang-tich-tru
https://techcombank.com/thong-tin/blog/lam-the-tin-dung-co-mat-phi-khong
https://techcombank.com/"&amp;"thong-tin/blog/ly-do-ngan-hang-so-tro-thanh-cong-cu-tai-chinh-hang-dau-cua-gioi-tre
https://techcombank.com/thong-tin/blog/ngoai-hoi-la-gi
https://techcombank.com/thong-tin/blog/rut-tien-bao-hiem-nhan-tho-khi-het-han
https://techcombank.com/thong-tin/blog"&amp;"/sinh-loi-rinh-loc
https://techcombank.com/thong-tin/blog/nen-gui-tiet-kiem-thong-thuong-hay-tich-luy
https://techcombank.com/thong-tin/blog/gui-tien-ngan-hang-co-an-toan-khong
https://techcombank.com/thong-tin/blog/dau-tu-trai-phieu-doanh-nghiep-dung-ham"&amp;"-lai-suat-cao
https://techcombank.com/thong-tin/blog/rui-ro-khi-gui-tiet-kiem-online
https://techcombank.com/thong-tin/blog/chon-kenh-dau-tu-an-toan-trong-boi-canh-thi-truong-bien-dong
https://techcombank.com/thong-tin/blog/rui-ro-khi-gui-tiet-kiem-ngan-h"&amp;"ang
https://techcombank.com/thong-tin/blog/gui-tiet-kiem-online-bi-mat-tien
https://techcombank.com/thong-tin/blog/chung-chi-tien-gui-khac-gi-so-tiet-kiem
https://techcombank.com/thong-tin/blog/vay-20-trieu
https://techcombank.com/thong-tin/blog/lai-suat-"&amp;"gui-tiet-kiem-usd
https://techcombank.com/thong-tin/blog/gui-tiet-kiem-usd
https://techcombank.com/thong-tin/blog/so-tiet-kiem-ngan-hang
https://techcombank.com/thong-tin/blog/app-gui-tien-tiet-kiem
https://techcombank.com/thong-tin/blog/tat-toan-so-tiet-"&amp;"kiem
https://techcombank.com/thong-tin/blog/ke-hoach-tai-chinh
https://techcombank.com/thong-tin/blog/nghich-ly-nha-dau-tu-che-trai-phieu-lai-suat-cao-ua-ma-an-toan-du-lai-suat-thap-hon-05-1
https://techcombank.com/thong-tin/blog/thi-truong-trai-phieu-co-"&amp;"hoi-dau-tu-trai-phieu-vang-du-lai-suat-thap
https://techcombank.com/thong-tin/blog/lai-suat-chung-chi-quy
https://techcombank.com/thong-tin/blog/lai-suat-cho-vay-doanh-nghiep
https://techcombank.com/thong-tin/blog/mo-tai-khoan-tiet-kiem-cho-con
https://te"&amp;"chcombank.com/thong-tin/blog/rut-tien-tiet-kiem-truoc-thoi-han
https://techcombank.com/thong-tin/blog/vi-sao-lai-suat-trai-phieu-tai-tcbs-lai-thap-hon-so-voi-cac-to-chuc-phat-hanh-khac
https://techcombank.com/thong-tin/blog/cach-dau-tu
https://techcombank"&amp;".com/thong-tin/blog/vay-bo-sung-von-luu-dong
https://techcombank.com/thong-tin/blog/chung-chi-tien-gui-co-an-toan-khong
https://techcombank.com/thong-tin/blog/nhung-kho-khan-khi-tiet-kiem-tien
https://techcombank.com/thong-tin/blog/xu-huong-dau-tu-trai-ph"&amp;"ieu-ky-han-duoi-mot-nam-lua-chon-an-toan-khi-thi-truong-bien-dong
https://techcombank.com/thong-tin/blog/dau-tu-tai-chinh-ca-nhan
https://techcombank.com/thong-tin/blog/quan-ly-chuoi-cua-hang
https://techcombank.com/thong-tin/blog/cach-tiet-kiem-tien-theo"&amp;"-tuan
https://techcombank.com/thong-tin/blog/quan-ly-tai-chinh-cho-dan-van-phong
https://techcombank.com/thong-tin/blog/dau-tu-ngan-han
https://techcombank.com/thong-tin/blog/tiet-kiem-tien-moi-ngay
https://techcombank.com/thong-tin/blog/cach-tiet-kiem-10"&amp;"0-trieu-1-nam
https://techcombank.com/thong-tin/blog/tai-khoan-tiet-kiem
https://techcombank.com/thong-tin/blog/the-nao-la-tiet-kiem
https://techcombank.com/thong-tin/blog/gui-them-tien-vao-so-tiet-kiem
https://techcombank.com/thong-tin/blog/loi-ich-cua-v"&amp;"iec-tiet-kiem-tien
https://techcombank.com/thong-tin/blog/mat-so-tiet-kiem
https://techcombank.com/thong-tin/blog/cac-chung-chi-quy-o-viet-nam
https://techcombank.com/thong-tin/blog/5-trieu-mua-duoc-bao-nhieu-vang
https://techcombank.com/thong-tin/blog/ca"&amp;"m-nang-dinh-cu-my
https://techcombank.com/thong-tin/blog/chung-chi-quy
https://techcombank.com/thong-tin/blog/lam-phat-la-gi
https://techcombank.com/thong-tin/blog/loyalty-la-gi
https://techcombank.com/thong-tin/blog/may-pos-la-gi
https://techcombank.com/"&amp;"thong-tin/blog/mua-chung-chi-quy
https://techcombank.com/thong-tin/blog/nguyen-tac-quan-ly-tai-chinh-ca-nhan
https://techcombank.com/thong-tin/blog/quy-gia-dinh
https://techcombank.com/thong-tin/blog/tai-khoan-ngan-hang-chua-toi-da-bao-nhieu-tien
https://"&amp;"techcombank.com/thong-tin/blog/tai-san-va-tieu-san-la-gi")</f>
        <v>https://techcombank.com/thong-tin/blog/gui-tiet-kiem-hang-thang
https://techcombank.com/thong-tin/blog/kinh-nghiem-vay-tien-ngan-hang-xay-nha
https://techcombank.com/thong-tin/blog/tai-khoan-ngan-hang-duoi-50k-co-bi-khoa-khong
https://techcombank.com/thong-tin/blog/thanh-toan-tien-dien-bang-the-tin-dung
https://techcombank.com/thong-tin/blog/thanh-toan-hoa-don-tieu-dung
https://techcombank.com/thong-tin/blog/tien-gui-khong-ky-han
https://techcombank.com/thong-tin/blog/dao-han-la-gi
https://techcombank.com/thong-tin/blog/lai-suat-tiet-kiem
https://techcombank.com/thong-tin/blog/diem-tin-dung
https://techcombank.com/thong-tin/blog/tai-khoan-thanh-toan-la-gi
https://techcombank.com/thong-tin/blog/cong-thuc-tinh-lai-suat-thuc
https://techcombank.com/thong-tin/blog/rui-ro-khi-vay-the-chap-ngan-hang
https://techcombank.com/thong-tin/blog/lai-suat-the-tin-dung
https://techcombank.com/thong-tin/blog/lai-suat-tha-noi
https://techcombank.com/thong-tin/blog/cach-tinh-lai-vay-ngan-hang
https://techcombank.com/thong-tin/blog/lai-suat-vay-ngan-hang
https://techcombank.com/thong-tin/blog/quy-du-phong-tai-chinh-la-gi
https://techcombank.com/thong-tin/blog/loi-ich-cua-ngan-hang-so-voi-sme
https://techcombank.com/thong-tin/blog/vay-mua-chung-cu
https://techcombank.com/thong-tin/blog/kinh-nghiem-vay-the-chap-ngan-hang
https://techcombank.com/thong-tin/blog/vay-15-trieu
https://techcombank.com/thong-tin/blog/vay-mua-nha-o-xa-hoi
https://techcombank.com/thong-tin/blog/lai-suat-vay-the-chap
https://techcombank.com/thong-tin/blog/ngan-hang-dien-tu
https://techcombank.com/thong-tin/blog/vay-ngan-hang-1-ty-moi-thang-tra-bao-nhieu
https://techcombank.com/thong-tin/blog/the-tin-dung-hoan-tien
https://techcombank.com/thong-tin/blog/dac-quyen-khach-hang-vip-ngan-hang
https://techcombank.com/thong-tin/blog/nen-gui-tiet-kiem-6-thang-hay-1-nam
https://techcombank.com/thong-tin/blog/cach-tiet-kiem-tien-cua-nguoi-nhat
https://techcombank.com/thong-tin/blog/phan-mem-lap-ke-hoach-tai-chinh-ca-nhan
https://techcombank.com/thong-tin/blog/quy-trinh-gui-tien-tiet-kiem
https://techcombank.com/thong-tin/blog/gui-tiet-kiem-theo-ngay
https://techcombank.com/thong-tin/blog/gui-tiet-kiem-vang
https://techcombank.com/thong-tin/blog/tai-sao-gui-tiet-kiem-online-lai-suat-cao-hon
https://techcombank.com/thong-tin/blog/nen-de-tien-trong-the-hay-gui-tiet-kiem
https://techcombank.com/thong-tin/blog/co-nen-gui-tiet-kiem-ngan-hang
https://techcombank.com/thong-tin/blog/co-nen-gui-tiet-kiem-online
https://techcombank.com/thong-tin/blog/gui-tiet-kiem-ngan-hang-van-la-lua-chon-an-toan-trong-thoi-ky-kinh-te-con-nhieu-bien-dong
https://techcombank.com/thong-tin/blog/cach-gui-tiet-kiem-online
https://techcombank.com/thong-tin/blog/gui-tiet-kiem-tich-luy-la-gi
https://techcombank.com/thong-tin/blog/kinh-nghiem-gui-tiet-kiem-online
https://techcombank.com/thong-tin/blog/gui-tiet-kiem-online-co-rut-truoc-han-duoc-khong
https://techcombank.com/thong-tin/blog/rut-tien-mat-tu-the-tin-dung
https://techcombank.com/thong-tin/blog/so-sanh-gui-tiet-kiem-online-va-tai-quay
https://techcombank.com/thong-tin/blog/cach-tiet-kiem-tien-sinh-loi
https://techcombank.com/thong-tin/blog/co-50-trieu-nen-mua-vang-hay-gui-tiet-kiem
https://techcombank.com/thong-tin/blog/tien-gui-co-ky-han
https://techcombank.com/thong-tin/blog/lai-suat-chung-chi-tien-gui-cac-ngan-hang
https://techcombank.com/thong-tin/blog/bi-quyet-tiet-kiem-tien-mua-nha
https://techcombank.com/thong-tin/blog/tra-gop-shopee
https://techcombank.com/thong-tin/blog/chung-chi-tien-gui-la-gi
https://techcombank.com/thong-tin/blog/ngan-hang-so
https://techcombank.com/thong-tin/blog/giai-ngan-la-gi
https://techcombank.com/thong-tin/blog/the-visa-co-may-loai
https://techcombank.com/thong-tin/blog/techcombank-sinh-loi-tu-dong
https://techcombank.com/thong-tin/blog/mo-so-tiet-kiem-can-bao-nhieu-tien
https://techcombank.com/thong-tin/blog/lai-suat-la-gi
https://techcombank.com/thong-tin/blog/cho-vay-kinh-doanh-ho-gia-dinh
https://techcombank.com/thong-tin/blog/vay-von-doanh-nghiep-nho
https://techcombank.com/thong-tin/blog/vay-50-trieu
https://techcombank.com/thong-tin/blog/vay-mua-dien-thoai
https://techcombank.com/thong-tin/blog/tien-nhan-roi-nen-lam-gi
https://techcombank.com/thong-tin/blog/cho-vay-tieu-dung-la-gi
https://techcombank.com/thong-tin/blog/cach-tiet-kiem-tien
https://techcombank.com/thong-tin/blog/vay-the-chap-so-hong
https://techcombank.com/thong-tin/blog/lai-suat-vay-mua-o-to
https://techcombank.com/thong-tin/blog/nen-lam-the-visa-hay-noi-dia
https://techcombank.com/thong-tin/blog/tra-gop-lazada
https://techcombank.com/thong-tin/blog/vay-the-chap-kinh-doanh
https://techcombank.com/thong-tin/blog/cach-thanh-toan-the-tin-dung
https://techcombank.com/thong-tin/blog/nap-tien-vao-tai-khoan-ngan-hang
https://techcombank.com/thong-tin/blog/mobile-banking-la-gi
https://techcombank.com/thong-tin/blog/nap-xu-tiktok
https://techcombank.com/thong-tin/blog/so-du-kha-dung
https://techcombank.com/thong-tin/blog/vay-kinh-doanh-online
https://techcombank.com/thong-tin/blog/dieu-kien-vay-the-chap
https://techcombank.com/thong-tin/blog/so-du-tai-khoan-thanh-toan
https://techcombank.com/thong-tin/blog/tin-dung-doanh-nghiep
https://techcombank.com/thong-tin/blog/chung-chi-tien-gui-co-duoc-rut-truoc-han
https://techcombank.com/thong-tin/blog/thanh-toan-khi-du-lich-han-quoc
https://techcombank.com/thong-tin/blog/so-du-tien-gui-la-gi
https://techcombank.com/thong-tin/blog/bao-hiem-sinh-ky-la-gi
https://techcombank.com/thong-tin/blog/cac-loai-hinh-bao-hiem-nhan-tho
https://techcombank.com/thong-tin/blog/cach-tinh-gia-vang
https://techcombank.com/thong-tin/blog/cach-tinh-loi-nhuan-chung-chi-tien-gui
https://techcombank.com/thong-tin/blog/casa-la-gi
https://techcombank.com/thong-tin/blog/chung-chi-tien-gui-co-phai-la-trai-phieu-khong
https://techcombank.com/thong-tin/blog/chuyen-doi-xanh
https://techcombank.com/thong-tin/blog/cpi-la-gi
https://techcombank.com/thong-tin/blog/dau-co-va-dau-tu
https://techcombank.com/thong-tin/blog/gia-vang-16k-hom-nay
https://techcombank.com/thong-tin/blog/khau-vi-nha-dau-tu-tpdn-thay-doi-the-nao-sau-nhung-bien-dong-vua-qua
https://techcombank.com/thong-tin/blog/kich-hoat-the-tin-dung-techcombank
https://techcombank.com/thong-tin/blog/kinh-nghiem-mua-vang-tich-tru
https://techcombank.com/thong-tin/blog/lam-the-tin-dung-co-mat-phi-khong
https://techcombank.com/thong-tin/blog/ly-do-ngan-hang-so-tro-thanh-cong-cu-tai-chinh-hang-dau-cua-gioi-tre
https://techcombank.com/thong-tin/blog/ngoai-hoi-la-gi
https://techcombank.com/thong-tin/blog/rut-tien-bao-hiem-nhan-tho-khi-het-han
https://techcombank.com/thong-tin/blog/sinh-loi-rinh-loc
https://techcombank.com/thong-tin/blog/nen-gui-tiet-kiem-thong-thuong-hay-tich-luy
https://techcombank.com/thong-tin/blog/gui-tien-ngan-hang-co-an-toan-khong
https://techcombank.com/thong-tin/blog/dau-tu-trai-phieu-doanh-nghiep-dung-ham-lai-suat-cao
https://techcombank.com/thong-tin/blog/rui-ro-khi-gui-tiet-kiem-online
https://techcombank.com/thong-tin/blog/chon-kenh-dau-tu-an-toan-trong-boi-canh-thi-truong-bien-dong
https://techcombank.com/thong-tin/blog/rui-ro-khi-gui-tiet-kiem-ngan-hang
https://techcombank.com/thong-tin/blog/gui-tiet-kiem-online-bi-mat-tien
https://techcombank.com/thong-tin/blog/chung-chi-tien-gui-khac-gi-so-tiet-kiem
https://techcombank.com/thong-tin/blog/vay-20-trieu
https://techcombank.com/thong-tin/blog/lai-suat-gui-tiet-kiem-usd
https://techcombank.com/thong-tin/blog/gui-tiet-kiem-usd
https://techcombank.com/thong-tin/blog/so-tiet-kiem-ngan-hang
https://techcombank.com/thong-tin/blog/app-gui-tien-tiet-kiem
https://techcombank.com/thong-tin/blog/tat-toan-so-tiet-kiem
https://techcombank.com/thong-tin/blog/ke-hoach-tai-chinh
https://techcombank.com/thong-tin/blog/nghich-ly-nha-dau-tu-che-trai-phieu-lai-suat-cao-ua-ma-an-toan-du-lai-suat-thap-hon-05-1
https://techcombank.com/thong-tin/blog/thi-truong-trai-phieu-co-hoi-dau-tu-trai-phieu-vang-du-lai-suat-thap
https://techcombank.com/thong-tin/blog/lai-suat-chung-chi-quy
https://techcombank.com/thong-tin/blog/lai-suat-cho-vay-doanh-nghiep
https://techcombank.com/thong-tin/blog/mo-tai-khoan-tiet-kiem-cho-con
https://techcombank.com/thong-tin/blog/rut-tien-tiet-kiem-truoc-thoi-han
https://techcombank.com/thong-tin/blog/vi-sao-lai-suat-trai-phieu-tai-tcbs-lai-thap-hon-so-voi-cac-to-chuc-phat-hanh-khac
https://techcombank.com/thong-tin/blog/cach-dau-tu
https://techcombank.com/thong-tin/blog/vay-bo-sung-von-luu-dong
https://techcombank.com/thong-tin/blog/chung-chi-tien-gui-co-an-toan-khong
https://techcombank.com/thong-tin/blog/nhung-kho-khan-khi-tiet-kiem-tien
https://techcombank.com/thong-tin/blog/xu-huong-dau-tu-trai-phieu-ky-han-duoi-mot-nam-lua-chon-an-toan-khi-thi-truong-bien-dong
https://techcombank.com/thong-tin/blog/dau-tu-tai-chinh-ca-nhan
https://techcombank.com/thong-tin/blog/quan-ly-chuoi-cua-hang
https://techcombank.com/thong-tin/blog/cach-tiet-kiem-tien-theo-tuan
https://techcombank.com/thong-tin/blog/quan-ly-tai-chinh-cho-dan-van-phong
https://techcombank.com/thong-tin/blog/dau-tu-ngan-han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https://techcombank.com/thong-tin/blog/loi-ich-cua-viec-tiet-kiem-tien
https://techcombank.com/thong-tin/blog/mat-so-tiet-kiem
https://techcombank.com/thong-tin/blog/cac-chung-chi-quy-o-viet-nam
https://techcombank.com/thong-tin/blog/5-trieu-mua-duoc-bao-nhieu-vang
https://techcombank.com/thong-tin/blog/cam-nang-dinh-cu-my
https://techcombank.com/thong-tin/blog/chung-chi-quy
https://techcombank.com/thong-tin/blog/lam-phat-la-gi
https://techcombank.com/thong-tin/blog/loyalty-la-gi
https://techcombank.com/thong-tin/blog/may-pos-la-gi
https://techcombank.com/thong-tin/blog/mua-chung-chi-quy
https://techcombank.com/thong-tin/blog/nguyen-tac-quan-ly-tai-chinh-ca-nhan
https://techcombank.com/thong-tin/blog/quy-gia-dinh
https://techcombank.com/thong-tin/blog/tai-khoan-ngan-hang-chua-toi-da-bao-nhieu-tien
https://techcombank.com/thong-tin/blog/tai-san-va-tieu-san-la-gi</v>
      </c>
    </row>
    <row r="6">
      <c r="A6" s="33">
        <v>66.0</v>
      </c>
      <c r="B6" s="34" t="s">
        <v>1531</v>
      </c>
      <c r="C6" s="35" t="s">
        <v>1532</v>
      </c>
      <c r="D6" s="36">
        <v>150.0</v>
      </c>
      <c r="E6" s="37">
        <f>COUNTIF('Kế hoạch chèn link (mới)'!$B$3:$B$2944,B6)</f>
        <v>112</v>
      </c>
      <c r="F6" s="38" t="str">
        <f>IFERROR(__xludf.DUMMYFUNCTION("TEXTJOIN(CHAR(10),TRUE,FILTER('Kế hoạch chèn link (mới)'!$F$3:$F$2944,'Kế hoạch chèn link (mới)'!$B$3:$B$2944=B6))"),"https://techcombank.com/thong-tin/blog/vay-100-trieu
https://techcombank.com/thong-tin/blog/vay-tra-gop
https://techcombank.com/thong-tin/blog/dang-vay-tra-gop-co-vay-them-duoc-khong
https://techcombank.com/thong-tin/blog/cong-thuc-tinh-lai-suat-thuc
http"&amp;"s://techcombank.com/thong-tin/blog/cach-tinh-lai-suat-tien-gui-tiet-kiem
https://techcombank.com/thong-tin/blog/tien-gui-co-ky-han
https://techcombank.com/thong-tin/blog/co-nen-mua-o-to-tra-gop
https://techcombank.com/thong-tin/blog/an-han-no-goc-la-gi
ht"&amp;"tps://techcombank.com/thong-tin/blog/vay-tin-chap-va-vay-the-chap
https://techcombank.com/thong-tin/blog/vay-mua-xe-tra-gop-ngan-hang-nao-tot-nhat
https://techcombank.com/thong-tin/blog/lai-suat-vay-thau-chi
https://techcombank.com/thong-tin/blog/vay-40-t"&amp;"rieu
https://techcombank.com/thong-tin/blog/tra-gop-lazada
https://techcombank.com/thong-tin/blog/nen-mua-xe-tra-gop-hay-tra-thang
https://techcombank.com/thong-tin/blog/cong-ty-su-dung-tai-khoan-ca-nhan
https://techcombank.com/thong-tin/blog/thu-tuc-vay-"&amp;"von-ngan-hang-de-xay-nha
https://techcombank.com/thong-tin/blog/khach-hang-vip-bat-dong-san
https://techcombank.com/thong-tin/blog/tra-gop-qua-the-tin-dung
https://techcombank.com/thong-tin/blog/mua-nha-tra-gop-dua-truoc-100-trieu
https://techcombank.com/"&amp;"thong-tin/blog/co-100-trieu-co-mua-nen-mua-tra-gop
https://techcombank.com/thong-tin/blog/mo-so-tiet-kiem-can-bao-nhieu-tien
https://techcombank.com/thong-tin/blog/quy-trinh-cho-vay-tieu-dung
https://techcombank.com/thong-tin/blog/vay-mua-dien-thoai
https"&amp;"://techcombank.com/thong-tin/blog/lai-suat-cho-vay-doanh-nghiep
https://techcombank.com/thong-tin/blog/vay-the-chap-xe-o-to-cu
https://techcombank.com/thong-tin/blog/cach-tiet-kiem-tien
https://techcombank.com/thong-tin/blog/vay-the-chap-kinh-doanh
https:"&amp;"//techcombank.com/thong-tin/blog/cho-vay-kinh-doanh-ho-gia-dinh
https://techcombank.com/thong-tin/blog/vay-von-doanh-nghiep-nho
https://techcombank.com/thong-tin/blog/cach-thanh-toan-the-tin-dung
https://techcombank.com/thong-tin/blog/thu-tuc-vay-von-kinh"&amp;"-doanh-nho
https://techcombank.com/thong-tin/blog/vay-tin-chap-cho-doanh-nghiep-moi-thanh-lap
https://techcombank.com/thong-tin/blog/vay-kinh-doanh-online
https://techcombank.com/thong-tin/blog/co-nen-vay-ngan-hang-mua-nha
https://techcombank.com/thong-ti"&amp;"n/blog/ho-so-vay-tin-chap
https://techcombank.com/thong-tin/blog/phi-vay-the-chap
https://techcombank.com/thong-tin/blog/vay-the-chap-la-gi
https://techcombank.com/thong-tin/blog/vay-bo-sung-von-luu-dong
https://techcombank.com/thong-tin/blog/nen-vay-the-"&amp;"chap-ngan-hang-nao
https://techcombank.com/thong-tin/blog/tin-dung-la-gi
https://techcombank.com/thong-tin/blog/tien-gui-khong-ky-han
https://techcombank.com/thong-tin/blog/vay-50-trieu
https://techcombank.com/thong-tin/blog/cho-vay-tieu-dung-la-gi
https:"&amp;"//techcombank.com/thong-tin/blog/tieu-dung-ben-vung
https://techcombank.com/thong-tin/blog/lai-suat-the-tin-dung
https://techcombank.com/thong-tin/blog/thu-tuc-vay-von-doanh-nghiep
https://techcombank.com/thong-tin/blog/cho-vay-tung-lan
https://techcomban"&amp;"k.com/thong-tin/blog/tin-dung-tieu-dung
https://techcombank.com/thong-tin/blog/nhu-cau-vay-tieu-dung-cua-nguoi-viet-du-kien-tang-manh-trong-thoi-gian-toi
https://techcombank.com/thong-tin/blog/vay-du-hoc
https://techcombank.com/thong-tin/blog/casa-la-gi
h"&amp;"ttps://techcombank.com/thong-tin/blog/gui-tiet-kiem-online-co-rut-truoc-han-duoc-khong
https://techcombank.com/thong-tin/blog/rut-tien-mat-tu-the-tin-dung
https://techcombank.com/thong-tin/blog/gui-tiet-kiem-ngan-hang-van-la-lua-chon-an-toan-trong-thoi-ky"&amp;"-kinh-te-con-nhieu-bien-dong
https://techcombank.com/thong-tin/blog/chuyen-doi-xanh
https://techcombank.com/thong-tin/blog/nap-tien-vao-tai-khoan-ngan-hang
https://techcombank.com/thong-tin/blog/ca-nhan-hoa
https://techcombank.com/thong-tin/blog/chung-chi"&amp;"-tien-gui-co-an-toan-khong
https://techcombank.com/thong-tin/blog/fintech-la-gi
https://techcombank.com/thong-tin/blog/nim-la-gi
https://techcombank.com/thong-tin/blog/pos
https://techcombank.com/thong-tin/blog/san-pham-xanh
https://techcombank.com/thong-"&amp;"tin/blog/thanh-ly-tai-san
https://techcombank.com/thong-tin/blog/ung-dung-big-data-trong-ngan-hang
https://techcombank.com/thong-tin/blog/xep-hang-tin-dung
https://techcombank.com/thong-tin/blog/the-visa-co-may-loai
https://techcombank.com/thong-tin/blog/"&amp;"cac-hinh-thuc-vay-von-ngan-hang
https://techcombank.com/thong-tin/blog/thanh-toan-khoan-vay
https://techcombank.com/thong-tin/blog/tai-khoan-ngan-hang-la-gi
https://techcombank.com/thong-tin/blog/vay-mua-nha-tra-gop
https://techcombank.com/thong-tin/blog/"&amp;"vay-ngan-hang-chi-can-cccd
https://techcombank.com/thong-tin/blog/lai-suat-vay-tieu-dung
https://techcombank.com/thong-tin/blog/kinh-nghiem-vay-tien-ngan-hang-xay-nha
https://techcombank.com/thong-tin/blog/lai-suat-vay-ngan-hang
https://techcombank.com/th"&amp;"ong-tin/blog/du-no-tin-dung-la-gi
https://techcombank.com/thong-tin/blog/vay-han-muc-la-gi
https://techcombank.com/thong-tin/blog/lai-suat-vay-mua-o-to
https://techcombank.com/thong-tin/blog/vay-20-trieu
https://techcombank.com/thong-tin/blog/lai-suat-nga"&amp;"n-hang-cho-vay-xay-nha
https://techcombank.com/thong-tin/blog/lai-suat-tha-noi
https://techcombank.com/thong-tin/blog/tra-no-vay-thau-chi-nhu-the-nao
https://techcombank.com/thong-tin/blog/giai-ngan-vay-the-chap
https://techcombank.com/thong-tin/blog/no-n"&amp;"hom-3
https://techcombank.com/thong-tin/blog/han-muc-vay-the-chap-so-do
https://techcombank.com/thong-tin/blog/vay-sinh-vien
https://techcombank.com/thong-tin/blog/vay-thau-chi-la-gi
https://techcombank.com/thong-tin/blog/vay-tin-chap-khong-tra-duoc-co-sa"&amp;"o-khong
https://techcombank.com/thong-tin/blog/thu-tuc-vay-ngan-hang-mua-nha
https://techcombank.com/thong-tin/blog/thoi-han-vay-thau-chi
https://techcombank.com/thong-tin/blog/vay-the-chap-khong-chung-minh-thu-nhap
https://techcombank.com/thong-tin/blog/"&amp;"vay-the-chap-so-bao-hiem-xa-hoi
https://techcombank.com/thong-tin/blog/vay-mua-chung-cu
https://techcombank.com/thong-tin/blog/no-chu-y-la-gi
https://techcombank.com/thong-tin/blog/no-xau-la-gi
https://techcombank.com/thong-tin/blog/app-vay-tien-nhanh
htt"&amp;"ps://techcombank.com/thong-tin/blog/vay-the-chap-khong-tra-duoc
https://techcombank.com/thong-tin/blog/vay-the-chap-qua-luong
https://techcombank.com/thong-tin/blog/ho-so-vay-von-cua-doanh-nghiep-gom-nhung-gi
https://techcombank.com/thong-tin/blog/tin-dun"&amp;"g-doanh-nghiep
https://techcombank.com/thong-tin/blog/cho-vay-hop-von-la-gi
https://techcombank.com/thong-tin/blog/von-luu-dong-la-gi
https://techcombank.com/thong-tin/blog/vay-sieu-toc
https://techcombank.com/thong-tin/blog/tap-doan-thanh-quang-khoi-sac-"&amp;"kinh-doanh-nho-nguon-von-vay-tin-dung-techcombank-tren-nen-tang-misa-lending
https://techcombank.com/thong-tin/blog/vay-tien-online
https://techcombank.com/thong-tin/blog/giai-ngan-la-gi
https://techcombank.com/thong-tin/blog/nen-mua-xe-o-to-dien-hay-xe-x"&amp;"ang
https://techcombank.com/thong-tin/blog/tai-khoan-ngan-hang-chua-toi-da-bao-nhieu-tien
https://techcombank.com/thong-tin/blog/gia-tri-tai-san-rong
https://techcombank.com/thong-tin/blog/mo-tai-khoan-ngan-hang-online-co-an-toan-khong
https://techcombank"&amp;".com/thong-tin/blog/ngan-hang-dien-tu
https://techcombank.com/thong-tin/blog/bao-lanh-vay-von
https://techcombank.com/thong-tin/blog/chuyen-gia-du-doan-gia-bat-dong-san-2025-va-cac-no-luc-tu-ngan-hang")</f>
        <v>https://techcombank.com/thong-tin/blog/vay-100-trieu
https://techcombank.com/thong-tin/blog/vay-tra-gop
https://techcombank.com/thong-tin/blog/dang-vay-tra-gop-co-vay-them-duoc-khong
https://techcombank.com/thong-tin/blog/cong-thuc-tinh-lai-suat-thuc
https://techcombank.com/thong-tin/blog/cach-tinh-lai-suat-tien-gui-tiet-kiem
https://techcombank.com/thong-tin/blog/tien-gui-co-ky-han
https://techcombank.com/thong-tin/blog/co-nen-mua-o-to-tra-gop
https://techcombank.com/thong-tin/blog/an-han-no-goc-la-gi
https://techcombank.com/thong-tin/blog/vay-tin-chap-va-vay-the-chap
https://techcombank.com/thong-tin/blog/vay-mua-xe-tra-gop-ngan-hang-nao-tot-nhat
https://techcombank.com/thong-tin/blog/lai-suat-vay-thau-chi
https://techcombank.com/thong-tin/blog/vay-40-trieu
https://techcombank.com/thong-tin/blog/tra-gop-lazada
https://techcombank.com/thong-tin/blog/nen-mua-xe-tra-gop-hay-tra-thang
https://techcombank.com/thong-tin/blog/cong-ty-su-dung-tai-khoan-ca-nhan
https://techcombank.com/thong-tin/blog/thu-tuc-vay-von-ngan-hang-de-xay-nha
https://techcombank.com/thong-tin/blog/khach-hang-vip-bat-dong-san
https://techcombank.com/thong-tin/blog/tra-gop-qua-the-tin-dung
https://techcombank.com/thong-tin/blog/mua-nha-tra-gop-dua-truoc-100-trieu
https://techcombank.com/thong-tin/blog/co-100-trieu-co-mua-nen-mua-tra-gop
https://techcombank.com/thong-tin/blog/mo-so-tiet-kiem-can-bao-nhieu-tien
https://techcombank.com/thong-tin/blog/quy-trinh-cho-vay-tieu-dung
https://techcombank.com/thong-tin/blog/vay-mua-dien-thoai
https://techcombank.com/thong-tin/blog/lai-suat-cho-vay-doanh-nghiep
https://techcombank.com/thong-tin/blog/vay-the-chap-xe-o-to-cu
https://techcombank.com/thong-tin/blog/cach-tiet-kiem-tien
https://techcombank.com/thong-tin/blog/vay-the-chap-kinh-doanh
https://techcombank.com/thong-tin/blog/cho-vay-kinh-doanh-ho-gia-dinh
https://techcombank.com/thong-tin/blog/vay-von-doanh-nghiep-nho
https://techcombank.com/thong-tin/blog/cach-thanh-toan-the-tin-dung
https://techcombank.com/thong-tin/blog/thu-tuc-vay-von-kinh-doanh-nho
https://techcombank.com/thong-tin/blog/vay-tin-chap-cho-doanh-nghiep-moi-thanh-lap
https://techcombank.com/thong-tin/blog/vay-kinh-doanh-online
https://techcombank.com/thong-tin/blog/co-nen-vay-ngan-hang-mua-nha
https://techcombank.com/thong-tin/blog/ho-so-vay-tin-chap
https://techcombank.com/thong-tin/blog/phi-vay-the-chap
https://techcombank.com/thong-tin/blog/vay-the-chap-la-gi
https://techcombank.com/thong-tin/blog/vay-bo-sung-von-luu-dong
https://techcombank.com/thong-tin/blog/nen-vay-the-chap-ngan-hang-nao
https://techcombank.com/thong-tin/blog/tin-dung-la-gi
https://techcombank.com/thong-tin/blog/tien-gui-khong-ky-han
https://techcombank.com/thong-tin/blog/vay-50-trieu
https://techcombank.com/thong-tin/blog/cho-vay-tieu-dung-la-gi
https://techcombank.com/thong-tin/blog/tieu-dung-ben-vung
https://techcombank.com/thong-tin/blog/lai-suat-the-tin-dung
https://techcombank.com/thong-tin/blog/thu-tuc-vay-von-doanh-nghiep
https://techcombank.com/thong-tin/blog/cho-vay-tung-lan
https://techcombank.com/thong-tin/blog/tin-dung-tieu-dung
https://techcombank.com/thong-tin/blog/nhu-cau-vay-tieu-dung-cua-nguoi-viet-du-kien-tang-manh-trong-thoi-gian-toi
https://techcombank.com/thong-tin/blog/vay-du-hoc
https://techcombank.com/thong-tin/blog/casa-la-gi
https://techcombank.com/thong-tin/blog/gui-tiet-kiem-online-co-rut-truoc-han-duoc-khong
https://techcombank.com/thong-tin/blog/rut-tien-mat-tu-the-tin-dung
https://techcombank.com/thong-tin/blog/gui-tiet-kiem-ngan-hang-van-la-lua-chon-an-toan-trong-thoi-ky-kinh-te-con-nhieu-bien-dong
https://techcombank.com/thong-tin/blog/chuyen-doi-xanh
https://techcombank.com/thong-tin/blog/nap-tien-vao-tai-khoan-ngan-hang
https://techcombank.com/thong-tin/blog/ca-nhan-hoa
https://techcombank.com/thong-tin/blog/chung-chi-tien-gui-co-an-toan-khong
https://techcombank.com/thong-tin/blog/fintech-la-gi
https://techcombank.com/thong-tin/blog/nim-la-gi
https://techcombank.com/thong-tin/blog/pos
https://techcombank.com/thong-tin/blog/san-pham-xanh
https://techcombank.com/thong-tin/blog/thanh-ly-tai-san
https://techcombank.com/thong-tin/blog/ung-dung-big-data-trong-ngan-hang
https://techcombank.com/thong-tin/blog/xep-hang-tin-dung
https://techcombank.com/thong-tin/blog/the-visa-co-may-loai
https://techcombank.com/thong-tin/blog/cac-hinh-thuc-vay-von-ngan-hang
https://techcombank.com/thong-tin/blog/thanh-toan-khoan-vay
https://techcombank.com/thong-tin/blog/tai-khoan-ngan-hang-la-gi
https://techcombank.com/thong-tin/blog/vay-mua-nha-tra-gop
https://techcombank.com/thong-tin/blog/vay-ngan-hang-chi-can-cccd
https://techcombank.com/thong-tin/blog/lai-suat-vay-tieu-dung
https://techcombank.com/thong-tin/blog/kinh-nghiem-vay-tien-ngan-hang-xay-nha
https://techcombank.com/thong-tin/blog/lai-suat-vay-ngan-hang
https://techcombank.com/thong-tin/blog/du-no-tin-dung-la-gi
https://techcombank.com/thong-tin/blog/vay-han-muc-la-gi
https://techcombank.com/thong-tin/blog/lai-suat-vay-mua-o-to
https://techcombank.com/thong-tin/blog/vay-20-trieu
https://techcombank.com/thong-tin/blog/lai-suat-ngan-hang-cho-vay-xay-nha
https://techcombank.com/thong-tin/blog/lai-suat-tha-noi
https://techcombank.com/thong-tin/blog/tra-no-vay-thau-chi-nhu-the-nao
https://techcombank.com/thong-tin/blog/giai-ngan-vay-the-chap
https://techcombank.com/thong-tin/blog/no-nhom-3
https://techcombank.com/thong-tin/blog/han-muc-vay-the-chap-so-do
https://techcombank.com/thong-tin/blog/vay-sinh-vien
https://techcombank.com/thong-tin/blog/vay-thau-chi-la-gi
https://techcombank.com/thong-tin/blog/vay-tin-chap-khong-tra-duoc-co-sao-khong
https://techcombank.com/thong-tin/blog/thu-tuc-vay-ngan-hang-mua-nha
https://techcombank.com/thong-tin/blog/thoi-han-vay-thau-chi
https://techcombank.com/thong-tin/blog/vay-the-chap-khong-chung-minh-thu-nhap
https://techcombank.com/thong-tin/blog/vay-the-chap-so-bao-hiem-xa-hoi
https://techcombank.com/thong-tin/blog/vay-mua-chung-cu
https://techcombank.com/thong-tin/blog/no-chu-y-la-gi
https://techcombank.com/thong-tin/blog/no-xau-la-gi
https://techcombank.com/thong-tin/blog/app-vay-tien-nhanh
https://techcombank.com/thong-tin/blog/vay-the-chap-khong-tra-duoc
https://techcombank.com/thong-tin/blog/vay-the-chap-qua-luong
https://techcombank.com/thong-tin/blog/ho-so-vay-von-cua-doanh-nghiep-gom-nhung-gi
https://techcombank.com/thong-tin/blog/tin-dung-doanh-nghiep
https://techcombank.com/thong-tin/blog/cho-vay-hop-von-la-gi
https://techcombank.com/thong-tin/blog/von-luu-dong-la-gi
https://techcombank.com/thong-tin/blog/vay-sieu-toc
https://techcombank.com/thong-tin/blog/tap-doan-thanh-quang-khoi-sac-kinh-doanh-nho-nguon-von-vay-tin-dung-techcombank-tren-nen-tang-misa-lending
https://techcombank.com/thong-tin/blog/vay-tien-online
https://techcombank.com/thong-tin/blog/giai-ngan-la-gi
https://techcombank.com/thong-tin/blog/nen-mua-xe-o-to-dien-hay-xe-xang
https://techcombank.com/thong-tin/blog/tai-khoan-ngan-hang-chua-toi-da-bao-nhieu-tien
https://techcombank.com/thong-tin/blog/gia-tri-tai-san-rong
https://techcombank.com/thong-tin/blog/mo-tai-khoan-ngan-hang-online-co-an-toan-khong
https://techcombank.com/thong-tin/blog/ngan-hang-dien-tu
https://techcombank.com/thong-tin/blog/bao-lanh-vay-von
https://techcombank.com/thong-tin/blog/chuyen-gia-du-doan-gia-bat-dong-san-2025-va-cac-no-luc-tu-ngan-hang</v>
      </c>
    </row>
    <row r="7">
      <c r="A7" s="33">
        <v>2.0</v>
      </c>
      <c r="B7" s="34" t="s">
        <v>198</v>
      </c>
      <c r="C7" s="35" t="s">
        <v>196</v>
      </c>
      <c r="D7" s="36">
        <v>100.0</v>
      </c>
      <c r="E7" s="37">
        <f>COUNTIF('Kế hoạch chèn link (mới)'!$B$3:$B$2944,B7)</f>
        <v>41</v>
      </c>
      <c r="F7" s="38" t="str">
        <f>IFERROR(__xludf.DUMMYFUNCTION("TEXTJOIN(CHAR(10),TRUE,FILTER('Kế hoạch chèn link (mới)'!$F$3:$F$2944,'Kế hoạch chèn link (mới)'!$B$3:$B$2944=B7))"),"https://techcombank.com/thong-tin/blog/cach-nop-thue-dien-tu
https://techcombank.com/thong-tin/blog/thue-vat-la-gi
https://techcombank.com/thong-tin/blog/nop-thue-hai-quan
https://techcombank.com/thong-tin/blog/nop-tien-mat-vao-tai-khoan-cong-ty
https://t"&amp;"echcombank.com/thong-tin/blog/mau-mo-tai-khoan-doanh-nghiep-techcombank
https://techcombank.com/thong-tin/blog/tin-dung-doanh-nghiep
https://techcombank.com/thong-tin/blog/thue-thu-nhap-ca-nhan
https://techcombank.com/thong-tin/blog/ho-kinh-doanh-la-gi
ht"&amp;"tps://techcombank.com/thong-tin/blog/phat-cham-dang-ky-thue-ho-kinh-doanh
https://techcombank.com/thong-tin/blog/chuyen-nhuong-chung-chi-tien-gui
https://techcombank.com/thong-tin/blog/dong-ma-so-thue-ho-kinh-doanh
https://techcombank.com/thong-tin/blog/k"&amp;"inh-doanh-online
https://techcombank.com/thong-tin/blog/kiem-tra-thue-thu-nhap-ca-nhan
https://techcombank.com/thong-tin/blog/dang-ky-thue-ho-kinh-doanh-ca-the-online
https://techcombank.com/thong-tin/blog/khau-hao
https://techcombank.com/thong-tin/blog/t"&amp;"hu-tuc-vay-ngan-hang-mua-nha
https://techcombank.com/thong-tin/blog/chinh-sach-thue-moi
https://techcombank.com/thong-tin/blog/chuyen-gia-du-doan-gia-bat-dong-san-2025-va-cac-no-luc-tu-ngan-hang
https://techcombank.com/thong-tin/blog/dinh-cu-chau-au
https"&amp;"://techcombank.com/thong-tin/blog/khach-hang-vip-bat-dong-san
https://techcombank.com/thong-tin/blog/cach-lay-lai-tien-da-chuyen-khoan-khi-bi-lua
https://techcombank.com/thong-tin/blog/cho-vay-hop-von-la-gi
https://techcombank.com/thong-tin/blog/chuyen-ti"&amp;"en-tu-my-ve-viet-nam
https://techcombank.com/thong-tin/blog/due-diligence
https://techcombank.com/thong-tin/blog/loi-ich-khi-ho-kinh-doanh-chuyen-len-doanh-nghiep
https://techcombank.com/thong-tin/blog/may-pos-la-gi
https://techcombank.com/thong-tin/blog/"&amp;"mo-tai-khoan-doanh-nghiep
https://techcombank.com/thong-tin/blog/cach-quan-ly-tai-chinh-kinh-doanh
https://techcombank.com/thong-tin/blog/chuan-bi-cho-doanh-nghiep-khoi-nghiep-truoc-nhung-thay-doi-ve-thue
https://techcombank.com/thong-tin/blog/chuyen-doi-"&amp;"hoa-don-dien-tu
https://techcombank.com/thong-tin/blog/cong-ty-xuat-nhap-khau
https://techcombank.com/thong-tin/blog/hoa-don-dien-tu-ho-kinh-doanh
https://techcombank.com/thong-tin/blog/luat-thuong-mai-dien-tu
https://techcombank.com/thong-tin/blog/may-ti"&amp;"nh-tien
https://techcombank.com/thong-tin/blog/cach-tinh-thue-thu-nhap-ca-nhan-2025
https://techcombank.com/thong-tin/blog/bao-lanh-ngan-hang-la-gi
https://techcombank.com/thong-tin/blog/chung-chi-tien-gui-co-duoc-rut-truoc-han
https://techcombank.com/tho"&amp;"ng-tin/blog/chuyen-doi-so-ho-kinh-doanh
https://techcombank.com/thong-tin/blog/ho-so-thu-tuc-xoa-the-chap
https://techcombank.com/thong-tin/blog/lap-ke-hoach-tai-chinh-ca-nhan
https://techcombank.com/thong-tin/blog/luu-y-khi-chuyen-tien-vao-tai-khoan-cong"&amp;"-ty")</f>
        <v>https://techcombank.com/thong-tin/blog/cach-nop-thue-dien-tu
https://techcombank.com/thong-tin/blog/thue-vat-la-gi
https://techcombank.com/thong-tin/blog/nop-thue-hai-quan
https://techcombank.com/thong-tin/blog/nop-tien-mat-vao-tai-khoan-cong-ty
https://techcombank.com/thong-tin/blog/mau-mo-tai-khoan-doanh-nghiep-techcombank
https://techcombank.com/thong-tin/blog/tin-dung-doanh-nghiep
https://techcombank.com/thong-tin/blog/thue-thu-nhap-ca-nhan
https://techcombank.com/thong-tin/blog/ho-kinh-doanh-la-gi
https://techcombank.com/thong-tin/blog/phat-cham-dang-ky-thue-ho-kinh-doanh
https://techcombank.com/thong-tin/blog/chuyen-nhuong-chung-chi-tien-gui
https://techcombank.com/thong-tin/blog/dong-ma-so-thue-ho-kinh-doanh
https://techcombank.com/thong-tin/blog/kinh-doanh-online
https://techcombank.com/thong-tin/blog/kiem-tra-thue-thu-nhap-ca-nhan
https://techcombank.com/thong-tin/blog/dang-ky-thue-ho-kinh-doanh-ca-the-online
https://techcombank.com/thong-tin/blog/khau-hao
https://techcombank.com/thong-tin/blog/thu-tuc-vay-ngan-hang-mua-nha
https://techcombank.com/thong-tin/blog/chinh-sach-thue-moi
https://techcombank.com/thong-tin/blog/chuyen-gia-du-doan-gia-bat-dong-san-2025-va-cac-no-luc-tu-ngan-hang
https://techcombank.com/thong-tin/blog/dinh-cu-chau-au
https://techcombank.com/thong-tin/blog/khach-hang-vip-bat-dong-san
https://techcombank.com/thong-tin/blog/cach-lay-lai-tien-da-chuyen-khoan-khi-bi-lua
https://techcombank.com/thong-tin/blog/cho-vay-hop-von-la-gi
https://techcombank.com/thong-tin/blog/chuyen-tien-tu-my-ve-viet-nam
https://techcombank.com/thong-tin/blog/due-diligence
https://techcombank.com/thong-tin/blog/loi-ich-khi-ho-kinh-doanh-chuyen-len-doanh-nghiep
https://techcombank.com/thong-tin/blog/may-pos-la-gi
https://techcombank.com/thong-tin/blog/mo-tai-khoan-doanh-nghiep
https://techcombank.com/thong-tin/blog/cach-quan-ly-tai-chinh-kinh-doanh
https://techcombank.com/thong-tin/blog/chuan-bi-cho-doanh-nghiep-khoi-nghiep-truoc-nhung-thay-doi-ve-thue
https://techcombank.com/thong-tin/blog/chuyen-doi-hoa-don-dien-tu
https://techcombank.com/thong-tin/blog/cong-ty-xuat-nhap-khau
https://techcombank.com/thong-tin/blog/hoa-don-dien-tu-ho-kinh-doanh
https://techcombank.com/thong-tin/blog/luat-thuong-mai-dien-tu
https://techcombank.com/thong-tin/blog/may-tinh-tien
https://techcombank.com/thong-tin/blog/cach-tinh-thue-thu-nhap-ca-nhan-2025
https://techcombank.com/thong-tin/blog/bao-lanh-ngan-hang-la-gi
https://techcombank.com/thong-tin/blog/chung-chi-tien-gui-co-duoc-rut-truoc-han
https://techcombank.com/thong-tin/blog/chuyen-doi-so-ho-kinh-doanh
https://techcombank.com/thong-tin/blog/ho-so-thu-tuc-xoa-the-chap
https://techcombank.com/thong-tin/blog/lap-ke-hoach-tai-chinh-ca-nhan
https://techcombank.com/thong-tin/blog/luu-y-khi-chuyen-tien-vao-tai-khoan-cong-ty</v>
      </c>
    </row>
    <row r="8">
      <c r="A8" s="33">
        <v>67.0</v>
      </c>
      <c r="B8" s="34" t="s">
        <v>1540</v>
      </c>
      <c r="C8" s="35" t="s">
        <v>1532</v>
      </c>
      <c r="D8" s="36">
        <v>100.0</v>
      </c>
      <c r="E8" s="37">
        <f>COUNTIF('Kế hoạch chèn link (mới)'!$B$3:$B$2944,B8)</f>
        <v>52</v>
      </c>
      <c r="F8" s="38" t="str">
        <f>IFERROR(__xludf.DUMMYFUNCTION("TEXTJOIN(CHAR(10),TRUE,FILTER('Kế hoạch chèn link (mới)'!$F$3:$F$2944,'Kế hoạch chèn link (mới)'!$B$3:$B$2944=B8))"),"https://techcombank.com/thong-tin/blog/cach-tiet-kiem-100-trieu-1-nam
https://techcombank.com/thong-tin/blog/co-50-trieu-nen-mua-vang-hay-gui-tiet-kiem
https://techcombank.com/thong-tin/blog/gui-tiet-kiem-tich-luy-la-gi
https://techcombank.com/thong-tin/b"&amp;"log/quy-trinh-gui-tien-tiet-kiem
https://techcombank.com/thong-tin/blog/nen-de-tien-trong-the-hay-gui-tiet-kiem
https://techcombank.com/thong-tin/blog/tai-khoan-thanh-toan-la-gi
https://techcombank.com/thong-tin/blog/xu-huong-dau-tu-trai-phieu-ky-han-duoi"&amp;"-mot-nam-lua-chon-an-toan-khi-thi-truong-bien-dong
https://techcombank.com/thong-tin/blog/dau-tu-ngan-han
https://techcombank.com/thong-tin/blog/co-nen-gui-tiet-kiem-ngan-hang
https://techcombank.com/thong-tin/blog/cac-chung-chi-quy-o-viet-nam
https://tec"&amp;"hcombank.com/thong-tin/blog/dau-tu-trai-phieu-doanh-nghiep-dung-ham-lai-suat-cao
https://techcombank.com/thong-tin/blog/mo-tai-khoan-tiet-kiem-cho-con
https://techcombank.com/thong-tin/blog/so-du-tien-gui-la-gi
https://techcombank.com/thong-tin/blog/quy-g"&amp;"ia-dinh
https://techcombank.com/thong-tin/blog/rui-ro-khi-gui-tiet-kiem-online
https://techcombank.com/thong-tin/blog/the-ghi-no-visa-la-gi
https://techcombank.com/thong-tin/blog/loyalty-la-gi
https://techcombank.com/thong-tin/blog/chon-kenh-dau-tu-an-toa"&amp;"n-trong-boi-canh-thi-truong-bien-dong
https://techcombank.com/thong-tin/blog/gui-tiet-kiem-ngoai-te
https://techcombank.com/thong-tin/blog/cach-tiet-kiem-tien
https://techcombank.com/thong-tin/blog/giai-ngan-la-gi
https://techcombank.com/thong-tin/blog/gu"&amp;"i-tiet-kiem-online-bi-mat-tien
https://techcombank.com/thong-tin/blog/chung-chi-tien-gui-khac-gi-so-tiet-kiem
https://techcombank.com/thong-tin/blog/chung-chi-tien-gui-co-phai-la-trai-phieu-khong
https://techcombank.com/thong-tin/blog/nen-lam-the-visa-hay"&amp;"-noi-dia
https://techcombank.com/thong-tin/blog/lai-suat-gui-tiet-kiem-usd
https://techcombank.com/thong-tin/blog/gui-tiet-kiem-usd
https://techcombank.com/thong-tin/blog/app-gui-tien-tiet-kiem
https://techcombank.com/thong-tin/blog/nghich-ly-nha-dau-tu-c"&amp;"he-trai-phieu-lai-suat-cao-ua-ma-an-toan-du-lai-suat-thap-hon-05-1
https://techcombank.com/thong-tin/blog/thi-truong-trai-phieu-co-hoi-dau-tu-trai-phieu-vang-du-lai-suat-thap
https://techcombank.com/thong-tin/blog/mo-so-tiet-kiem-can-bao-nhieu-tien
https:"&amp;"//techcombank.com/thong-tin/blog/quy-du-phong-tai-chinh-la-gi
https://techcombank.com/thong-tin/blog/rut-tien-tiet-kiem-truoc-thoi-han
https://techcombank.com/thong-tin/blog/vi-sao-lai-suat-trai-phieu-tai-tcbs-lai-thap-hon-so-voi-cac-to-chuc-phat-hanh-kha"&amp;"c
https://techcombank.com/thong-tin/blog/cach-dau-tu
https://techcombank.com/thong-tin/blog/chung-chi-tien-gui-co-an-toan-khong
https://techcombank.com/thong-tin/blog/cach-tiet-kiem-tien-hieu-qua-cho-gia-dinh
https://techcombank.com/thong-tin/blog/chung-c"&amp;"hi-quy
https://techcombank.com/thong-tin/blog/nen-gui-tiet-kiem-thong-thuong-hay-tich-luy
https://techcombank.com/thong-tin/blog/lai-kep-ngan-hang
https://techcombank.com/thong-tin/blog/lai-suat-tiet-kiem
https://techcombank.com/thong-tin/blog/co-nen-gui-"&amp;"tiet-kiem-online
https://techcombank.com/thong-tin/blog/gui-tiet-kiem-lay-lai-hang-thang
https://techcombank.com/thong-tin/blog/cach-tinh-lai-suat-tien-gui-tiet-kiem
https://techcombank.com/thong-tin/blog/ngan-hang-so-cho-doanh-nghiep
https://techcombank."&amp;"com/thong-tin/blog/cach-tinh-lai-vay-ngan-hang
https://techcombank.com/thong-tin/blog/gui-tiet-kiem-online-quay-vong-ca-goc-va-lai
https://techcombank.com/thong-tin/blog/thanh-toan-tra-gop-qua-the-tin-dung
https://techcombank.com/thong-tin/blog/vi-dien-tu"&amp;"
https://techcombank.com/thong-tin/blog/ung-dung-cong-nghe
https://techcombank.com/thong-tin/blog/chuan-bi-cho-doanh-nghiep-khoi-nghiep-truoc-nhung-thay-doi-ve-thue
https://techcombank.com/thong-tin/blog/thanh-toan-ve-may-bay-online")</f>
        <v>https://techcombank.com/thong-tin/blog/cach-tiet-kiem-100-trieu-1-nam
https://techcombank.com/thong-tin/blog/co-50-trieu-nen-mua-vang-hay-gui-tiet-kiem
https://techcombank.com/thong-tin/blog/gui-tiet-kiem-tich-luy-la-gi
https://techcombank.com/thong-tin/blog/quy-trinh-gui-tien-tiet-kiem
https://techcombank.com/thong-tin/blog/nen-de-tien-trong-the-hay-gui-tiet-kiem
https://techcombank.com/thong-tin/blog/tai-khoan-thanh-toan-la-gi
https://techcombank.com/thong-tin/blog/xu-huong-dau-tu-trai-phieu-ky-han-duoi-mot-nam-lua-chon-an-toan-khi-thi-truong-bien-dong
https://techcombank.com/thong-tin/blog/dau-tu-ngan-han
https://techcombank.com/thong-tin/blog/co-nen-gui-tiet-kiem-ngan-hang
https://techcombank.com/thong-tin/blog/cac-chung-chi-quy-o-viet-nam
https://techcombank.com/thong-tin/blog/dau-tu-trai-phieu-doanh-nghiep-dung-ham-lai-suat-cao
https://techcombank.com/thong-tin/blog/mo-tai-khoan-tiet-kiem-cho-con
https://techcombank.com/thong-tin/blog/so-du-tien-gui-la-gi
https://techcombank.com/thong-tin/blog/quy-gia-dinh
https://techcombank.com/thong-tin/blog/rui-ro-khi-gui-tiet-kiem-online
https://techcombank.com/thong-tin/blog/the-ghi-no-visa-la-gi
https://techcombank.com/thong-tin/blog/loyalty-la-gi
https://techcombank.com/thong-tin/blog/chon-kenh-dau-tu-an-toan-trong-boi-canh-thi-truong-bien-dong
https://techcombank.com/thong-tin/blog/gui-tiet-kiem-ngoai-te
https://techcombank.com/thong-tin/blog/cach-tiet-kiem-tien
https://techcombank.com/thong-tin/blog/giai-ngan-la-gi
https://techcombank.com/thong-tin/blog/gui-tiet-kiem-online-bi-mat-tien
https://techcombank.com/thong-tin/blog/chung-chi-tien-gui-khac-gi-so-tiet-kiem
https://techcombank.com/thong-tin/blog/chung-chi-tien-gui-co-phai-la-trai-phieu-khong
https://techcombank.com/thong-tin/blog/nen-lam-the-visa-hay-noi-dia
https://techcombank.com/thong-tin/blog/lai-suat-gui-tiet-kiem-usd
https://techcombank.com/thong-tin/blog/gui-tiet-kiem-usd
https://techcombank.com/thong-tin/blog/app-gui-tien-tiet-kiem
https://techcombank.com/thong-tin/blog/nghich-ly-nha-dau-tu-che-trai-phieu-lai-suat-cao-ua-ma-an-toan-du-lai-suat-thap-hon-05-1
https://techcombank.com/thong-tin/blog/thi-truong-trai-phieu-co-hoi-dau-tu-trai-phieu-vang-du-lai-suat-thap
https://techcombank.com/thong-tin/blog/mo-so-tiet-kiem-can-bao-nhieu-tien
https://techcombank.com/thong-tin/blog/quy-du-phong-tai-chinh-la-gi
https://techcombank.com/thong-tin/blog/rut-tien-tiet-kiem-truoc-thoi-han
https://techcombank.com/thong-tin/blog/vi-sao-lai-suat-trai-phieu-tai-tcbs-lai-thap-hon-so-voi-cac-to-chuc-phat-hanh-khac
https://techcombank.com/thong-tin/blog/cach-dau-tu
https://techcombank.com/thong-tin/blog/chung-chi-tien-gui-co-an-toan-khong
https://techcombank.com/thong-tin/blog/cach-tiet-kiem-tien-hieu-qua-cho-gia-dinh
https://techcombank.com/thong-tin/blog/chung-chi-quy
https://techcombank.com/thong-tin/blog/nen-gui-tiet-kiem-thong-thuong-hay-tich-luy
https://techcombank.com/thong-tin/blog/lai-kep-ngan-hang
https://techcombank.com/thong-tin/blog/lai-suat-tiet-kiem
https://techcombank.com/thong-tin/blog/co-nen-gui-tiet-kiem-online
https://techcombank.com/thong-tin/blog/gui-tiet-kiem-lay-lai-hang-thang
https://techcombank.com/thong-tin/blog/cach-tinh-lai-suat-tien-gui-tiet-kiem
https://techcombank.com/thong-tin/blog/ngan-hang-so-cho-doanh-nghiep
https://techcombank.com/thong-tin/blog/cach-tinh-lai-vay-ngan-hang
https://techcombank.com/thong-tin/blog/gui-tiet-kiem-online-quay-vong-ca-goc-va-lai
https://techcombank.com/thong-tin/blog/thanh-toan-tra-gop-qua-the-tin-dung
https://techcombank.com/thong-tin/blog/vi-dien-tu
https://techcombank.com/thong-tin/blog/ung-dung-cong-nghe
https://techcombank.com/thong-tin/blog/chuan-bi-cho-doanh-nghiep-khoi-nghiep-truoc-nhung-thay-doi-ve-thue
https://techcombank.com/thong-tin/blog/thanh-toan-ve-may-bay-online</v>
      </c>
    </row>
    <row r="9">
      <c r="A9" s="33">
        <v>69.0</v>
      </c>
      <c r="B9" s="34" t="s">
        <v>276</v>
      </c>
      <c r="C9" s="35" t="s">
        <v>1503</v>
      </c>
      <c r="D9" s="36">
        <v>100.0</v>
      </c>
      <c r="E9" s="37">
        <f>COUNTIF('Kế hoạch chèn link (mới)'!$B$3:$B$2944,B9)</f>
        <v>100</v>
      </c>
      <c r="F9" s="38" t="str">
        <f>IFERROR(__xludf.DUMMYFUNCTION("TEXTJOIN(CHAR(10),TRUE,FILTER('Kế hoạch chèn link (mới)'!$F$3:$F$2944,'Kế hoạch chèn link (mới)'!$B$3:$B$2944=B9))"),"https://techcombank.com/thong-tin/blog/lai-suat-la-gi
https://techcombank.com/thong-tin/blog/lai-suat-vay-tieu-dung
https://techcombank.com/thong-tin/blog/lai-suat-vay-tin-chap
https://techcombank.com/thong-tin/blog/the-tin-dung-phu-la-gi
https://techcomb"&amp;"ank.com/thong-tin/blog/vay-ngan-hang-1-ty-moi-thang-tra-bao-nhieu
https://techcombank.com/thong-tin/blog/dieu-kien-vay-von-ngan-hang
https://techcombank.com/thong-tin/blog/lai-suat-qua-han
https://techcombank.com/thong-tin/blog/cach-tinh-lai-vay-ngan-hang"&amp;"
https://techcombank.com/thong-tin/blog/vay-the-chap-xe-o-to-cu
https://techcombank.com/thong-tin/blog/vay-300-trieu
https://techcombank.com/thong-tin/blog/vay-mua-xe-tra-gop-ngan-hang-nao-tot-nhat
https://techcombank.com/thong-tin/blog/vay-the-chap-kinh-"&amp;"doanh
https://techcombank.com/thong-tin/blog/vay-mua-dien-thoai
https://techcombank.com/thong-tin/blog/cho-vay-kinh-doanh-ho-gia-dinh
https://techcombank.com/thong-tin/blog/vay-sinh-vien
https://techcombank.com/thong-tin/blog/co-100-trieu-co-mua-nen-mua-t"&amp;"ra-gop
https://techcombank.com/thong-tin/blog/mua-nha-tra-gop-dua-truoc-100-trieu
https://techcombank.com/thong-tin/blog/cho-vay-tieu-dung-la-gi
https://techcombank.com/thong-tin/blog/giai-ngan-vay-the-chap
https://techcombank.com/thong-tin/blog/vay-han-m"&amp;"uc-la-gi
https://techcombank.com/thong-tin/blog/kinh-nghiem-vay-tien-mua-nha
https://techcombank.com/thong-tin/blog/no-nhom-3
https://techcombank.com/thong-tin/blog/thu-tuc-vay-von-kinh-doanh-nho
https://techcombank.com/thong-tin/blog/vay-thau-chi-la-gi
h"&amp;"ttps://techcombank.com/thong-tin/blog/vay-von-doanh-nghiep-khong-the-chap
https://techcombank.com/thong-tin/blog/co-nen-vay-ngan-hang-mua-nha
https://techcombank.com/thong-tin/blog/thu-tuc-vay-ngan-hang-mua-nha
https://techcombank.com/thong-tin/blog/phi-v"&amp;"ay-the-chap
https://techcombank.com/thong-tin/blog/quy-trinh-cho-vay-tieu-dung
https://techcombank.com/thong-tin/blog/vay-40-trieu
https://techcombank.com/thong-tin/blog/nen-vay-the-chap-ngan-hang-nao
https://techcombank.com/thong-tin/blog/tra-no-vay-thau"&amp;"-chi-nhu-the-nao
https://techcombank.com/thong-tin/blog/lai-suat-vay-kinh-doanh
https://techcombank.com/thong-tin/blog/lai-suat-ngan-hang-cho-vay-xay-nha
https://techcombank.com/thong-tin/blog/nen-mua-xe-tra-gop-hay-tra-thang
https://techcombank.com/thong"&amp;"-tin/blog/nen-vay-tin-chap-o-dau
https://techcombank.com/thong-tin/blog/vay-the-chap-so-hong
https://techcombank.com/thong-tin/blog/vay-100-trieu
https://techcombank.com/thong-tin/blog/vay-tien-mat
https://techcombank.com/thong-tin/blog/vay-ngan-han
https"&amp;"://techcombank.com/thong-tin/blog/vay-von-doanh-nghiep-nho
https://techcombank.com/thong-tin/blog/cac-hinh-thuc-vay-von-ngan-hang
https://techcombank.com/thong-tin/blog/lai-suat-tha-noi
https://techcombank.com/thong-tin/blog/app-vay-tien-nhanh
https://tec"&amp;"hcombank.com/thong-tin/blog/vay-200-trieu
https://techcombank.com/thong-tin/blog/quy-trinh-tat-toan-khoan-vay-the-chap
https://techcombank.com/thong-tin/blog/vay-the-chap-hop-dong-mua-ban-can-ho
https://techcombank.com/thong-tin/blog/han-muc-thau-chi-la-g"&amp;"i
https://techcombank.com/thong-tin/blog/vay-kinh-doanh-online
https://techcombank.com/thong-tin/blog/vay-tin-chap-khong-tra-duoc-co-sao-khong
https://techcombank.com/thong-tin/blog/vay-tin-chap-cho-doanh-nghiep-moi-thanh-lap
https://techcombank.com/thong"&amp;"-tin/blog/ho-so-vay-tin-chap
https://techcombank.com/thong-tin/blog/thu-tuc-vay-von-ngan-hang-de-xay-nha
https://techcombank.com/thong-tin/blog/the-chap-la-gi
https://techcombank.com/thong-tin/blog/vay-the-chap-la-gi
https://techcombank.com/thong-tin/blog"&amp;"/vay-ngan-hang-chi-can-cccd
https://techcombank.com/thong-tin/blog/vay-tin-chap-ho-kinh-doanh
https://techcombank.com/thong-tin/blog/an-han-no-goc-la-gi
https://techcombank.com/thong-tin/blog/ca-nhan-hoa
https://techcombank.com/thong-tin/blog/casa-la-gi
h"&amp;"ttps://techcombank.com/thong-tin/blog/chung-chi-tien-gui-co-an-toan-khong
https://techcombank.com/thong-tin/blog/fintech-la-gi
https://techcombank.com/thong-tin/blog/khach-hang-vip-bat-dong-san
https://techcombank.com/thong-tin/blog/pos
https://techcomban"&amp;"k.com/thong-tin/blog/san-pham-xanh
https://techcombank.com/thong-tin/blog/thanh-ly-tai-san
https://techcombank.com/thong-tin/blog/thu-tuc-vay-von-doanh-nghiep
https://techcombank.com/thong-tin/blog/ung-dung-big-data-trong-ngan-hang
https://techcombank.com"&amp;"/thong-tin/blog/xep-hang-tin-dung
https://techcombank.com/thong-tin/blog/dac-quyen-khach-hang-vip-ngan-hang
https://techcombank.com/thong-tin/blog/loyalty-la-gi
https://techcombank.com/thong-tin/blog/mo-tai-khoan-ngan-hang-trung-so-dien-thoai
https://tech"&amp;"combank.com/thong-tin/blog/nhu-cau-vay-tieu-dung-cua-nguoi-viet-du-kien-tang-manh-trong-thoi-gian-toi
https://techcombank.com/thong-tin/blog/quan-ly-chi-phi-doanh-nghiep
https://techcombank.com/thong-tin/blog/thanh-toan-online-bang-the-tin-dung
https://te"&amp;"chcombank.com/thong-tin/blog/vay-tin-chap-va-vay-the-chap
https://techcombank.com/thong-tin/blog/lai-suat-vay-thau-chi
https://techcombank.com/thong-tin/blog/lai-suat-cho-vay-doanh-nghiep
https://techcombank.com/thong-tin/blog/vay-mua-nha-o-xa-hoi
https:/"&amp;"/techcombank.com/thong-tin/blog/vay-50-trieu
https://techcombank.com/thong-tin/blog/vay-bo-sung-von-luu-dong
https://techcombank.com/thong-tin/blog/vay-tin-chap-theo-luong
https://techcombank.com/thong-tin/blog/cac-hinh-thuc-cho-vay-tieu-dung
https://tech"&amp;"combank.com/thong-tin/blog/rui-ro-khi-vay-the-chap-ngan-hang
https://techcombank.com/thong-tin/blog/thoi-han-vay-thau-chi
https://techcombank.com/thong-tin/blog/co-nen-mua-o-to-tra-gop
https://techcombank.com/thong-tin/blog/co-50-trieu-nen-mua-vang-hay-gu"&amp;"i-tiet-kiem
https://techcombank.com/thong-tin/blog/thanh-khoan-la-gi
https://techcombank.com/thong-tin/blog/vay-thau-chi-bang-so-tiet-kiem
https://techcombank.com/thong-tin/blog/bi-quyet-tiet-kiem-tien-mua-nha
https://techcombank.com/thong-tin/blog/vay-sa"&amp;"n-xuat-kinh-doanh
https://techcombank.com/thong-tin/blog/vay-mua-chung-cu
https://techcombank.com/thong-tin/blog/vay-mua-nha-tra-gop
https://techcombank.com/thong-tin/blog/no-xau-co-vay-the-chap-duoc-khong
https://techcombank.com/thong-tin/blog/thanh-toan"&amp;"-khoan-vay
https://techcombank.com/thong-tin/blog/vay-the-chap-khong-chung-minh-thu-nhap
https://techcombank.com/thong-tin/blog/vay-the-chap-so-bao-hiem-xa-hoi
https://techcombank.com/thong-tin/blog/app-ngan-hang
https://techcombank.com/thong-tin/blog/cho"&amp;"-vay-hop-von-la-gi
https://techcombank.com/thong-tin/blog/tap-doan-thanh-quang-khoi-sac-kinh-doanh-nho-nguon-von-vay-tin-dung-techcombank-tren-nen-tang-misa-lending")</f>
        <v>https://techcombank.com/thong-tin/blog/lai-suat-la-gi
https://techcombank.com/thong-tin/blog/lai-suat-vay-tieu-dung
https://techcombank.com/thong-tin/blog/lai-suat-vay-tin-chap
https://techcombank.com/thong-tin/blog/the-tin-dung-phu-la-gi
https://techcombank.com/thong-tin/blog/vay-ngan-hang-1-ty-moi-thang-tra-bao-nhieu
https://techcombank.com/thong-tin/blog/dieu-kien-vay-von-ngan-hang
https://techcombank.com/thong-tin/blog/lai-suat-qua-han
https://techcombank.com/thong-tin/blog/cach-tinh-lai-vay-ngan-hang
https://techcombank.com/thong-tin/blog/vay-the-chap-xe-o-to-cu
https://techcombank.com/thong-tin/blog/vay-300-trieu
https://techcombank.com/thong-tin/blog/vay-mua-xe-tra-gop-ngan-hang-nao-tot-nhat
https://techcombank.com/thong-tin/blog/vay-the-chap-kinh-doanh
https://techcombank.com/thong-tin/blog/vay-mua-dien-thoai
https://techcombank.com/thong-tin/blog/cho-vay-kinh-doanh-ho-gia-dinh
https://techcombank.com/thong-tin/blog/vay-sinh-vien
https://techcombank.com/thong-tin/blog/co-100-trieu-co-mua-nen-mua-tra-gop
https://techcombank.com/thong-tin/blog/mua-nha-tra-gop-dua-truoc-100-trieu
https://techcombank.com/thong-tin/blog/cho-vay-tieu-dung-la-gi
https://techcombank.com/thong-tin/blog/giai-ngan-vay-the-chap
https://techcombank.com/thong-tin/blog/vay-han-muc-la-gi
https://techcombank.com/thong-tin/blog/kinh-nghiem-vay-tien-mua-nha
https://techcombank.com/thong-tin/blog/no-nhom-3
https://techcombank.com/thong-tin/blog/thu-tuc-vay-von-kinh-doanh-nho
https://techcombank.com/thong-tin/blog/vay-thau-chi-la-gi
https://techcombank.com/thong-tin/blog/vay-von-doanh-nghiep-khong-the-chap
https://techcombank.com/thong-tin/blog/co-nen-vay-ngan-hang-mua-nha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https://techcombank.com/thong-tin/blog/tra-no-vay-thau-chi-nhu-the-nao
https://techcombank.com/thong-tin/blog/lai-suat-vay-kinh-doanh
https://techcombank.com/thong-tin/blog/lai-suat-ngan-hang-cho-vay-xay-nha
https://techcombank.com/thong-tin/blog/nen-mua-xe-tra-gop-hay-tra-thang
https://techcombank.com/thong-tin/blog/nen-vay-tin-chap-o-dau
https://techcombank.com/thong-tin/blog/vay-the-chap-so-hong
https://techcombank.com/thong-tin/blog/vay-100-trieu
https://techcombank.com/thong-tin/blog/vay-tien-mat
https://techcombank.com/thong-tin/blog/vay-ngan-han
https://techcombank.com/thong-tin/blog/vay-von-doanh-nghiep-nho
https://techcombank.com/thong-tin/blog/cac-hinh-thuc-vay-von-ngan-hang
https://techcombank.com/thong-tin/blog/lai-suat-tha-noi
https://techcombank.com/thong-tin/blog/app-vay-tien-nhanh
https://techcombank.com/thong-tin/blog/vay-200-trieu
https://techcombank.com/thong-tin/blog/quy-trinh-tat-toan-khoan-vay-the-chap
https://techcombank.com/thong-tin/blog/vay-the-chap-hop-dong-mua-ban-can-ho
https://techcombank.com/thong-tin/blog/han-muc-thau-chi-la-gi
https://techcombank.com/thong-tin/blog/vay-kinh-doanh-online
https://techcombank.com/thong-tin/blog/vay-tin-chap-khong-tra-duoc-co-sao-khong
https://techcombank.com/thong-tin/blog/vay-tin-chap-cho-doanh-nghiep-moi-thanh-lap
https://techcombank.com/thong-tin/blog/ho-so-vay-tin-chap
https://techcombank.com/thong-tin/blog/thu-tuc-vay-von-ngan-hang-de-xay-nha
https://techcombank.com/thong-tin/blog/the-chap-la-gi
https://techcombank.com/thong-tin/blog/vay-the-chap-la-gi
https://techcombank.com/thong-tin/blog/vay-ngan-hang-chi-can-cccd
https://techcombank.com/thong-tin/blog/vay-tin-chap-ho-kinh-doanh
https://techcombank.com/thong-tin/blog/an-han-no-goc-la-gi
https://techcombank.com/thong-tin/blog/ca-nhan-hoa
https://techcombank.com/thong-tin/blog/casa-la-gi
https://techcombank.com/thong-tin/blog/chung-chi-tien-gui-co-an-toan-khong
https://techcombank.com/thong-tin/blog/fintech-la-gi
https://techcombank.com/thong-tin/blog/khach-hang-vip-bat-dong-san
https://techcombank.com/thong-tin/blog/pos
https://techcombank.com/thong-tin/blog/san-pham-xanh
https://techcombank.com/thong-tin/blog/thanh-ly-tai-san
https://techcombank.com/thong-tin/blog/thu-tuc-vay-von-doanh-nghiep
https://techcombank.com/thong-tin/blog/ung-dung-big-data-trong-ngan-hang
https://techcombank.com/thong-tin/blog/xep-hang-tin-dung
https://techcombank.com/thong-tin/blog/dac-quyen-khach-hang-vip-ngan-hang
https://techcombank.com/thong-tin/blog/loyalty-la-gi
https://techcombank.com/thong-tin/blog/mo-tai-khoan-ngan-hang-trung-so-dien-thoai
https://techcombank.com/thong-tin/blog/nhu-cau-vay-tieu-dung-cua-nguoi-viet-du-kien-tang-manh-trong-thoi-gian-toi
https://techcombank.com/thong-tin/blog/quan-ly-chi-phi-doanh-nghiep
https://techcombank.com/thong-tin/blog/thanh-toan-online-bang-the-tin-dung
https://techcombank.com/thong-tin/blog/vay-tin-chap-va-vay-the-chap
https://techcombank.com/thong-tin/blog/lai-suat-vay-thau-chi
https://techcombank.com/thong-tin/blog/lai-suat-cho-vay-doanh-nghiep
https://techcombank.com/thong-tin/blog/vay-mua-nha-o-xa-hoi
https://techcombank.com/thong-tin/blog/vay-50-trieu
https://techcombank.com/thong-tin/blog/vay-bo-sung-von-luu-dong
https://techcombank.com/thong-tin/blog/vay-tin-chap-theo-luong
https://techcombank.com/thong-tin/blog/cac-hinh-thuc-cho-vay-tieu-dung
https://techcombank.com/thong-tin/blog/rui-ro-khi-vay-the-chap-ngan-hang
https://techcombank.com/thong-tin/blog/thoi-han-vay-thau-chi
https://techcombank.com/thong-tin/blog/co-nen-mua-o-to-tra-gop
https://techcombank.com/thong-tin/blog/co-50-trieu-nen-mua-vang-hay-gui-tiet-kiem
https://techcombank.com/thong-tin/blog/thanh-khoan-la-gi
https://techcombank.com/thong-tin/blog/vay-thau-chi-bang-so-tiet-kiem
https://techcombank.com/thong-tin/blog/bi-quyet-tiet-kiem-tien-mua-nha
https://techcombank.com/thong-tin/blog/vay-san-xuat-kinh-doanh
https://techcombank.com/thong-tin/blog/vay-mua-chung-cu
https://techcombank.com/thong-tin/blog/vay-mua-nha-tra-gop
https://techcombank.com/thong-tin/blog/no-xau-co-vay-the-chap-duoc-khong
https://techcombank.com/thong-tin/blog/thanh-toan-khoan-vay
https://techcombank.com/thong-tin/blog/vay-the-chap-khong-chung-minh-thu-nhap
https://techcombank.com/thong-tin/blog/vay-the-chap-so-bao-hiem-xa-hoi
https://techcombank.com/thong-tin/blog/app-ngan-hang
https://techcombank.com/thong-tin/blog/cho-vay-hop-von-la-gi
https://techcombank.com/thong-tin/blog/tap-doan-thanh-quang-khoi-sac-kinh-doanh-nho-nguon-von-vay-tin-dung-techcombank-tren-nen-tang-misa-lending</v>
      </c>
    </row>
    <row r="10">
      <c r="A10" s="33">
        <v>3.0</v>
      </c>
      <c r="B10" s="34" t="s">
        <v>122</v>
      </c>
      <c r="C10" s="35" t="s">
        <v>196</v>
      </c>
      <c r="D10" s="36">
        <v>50.0</v>
      </c>
      <c r="E10" s="37">
        <f>COUNTIF('Kế hoạch chèn link (mới)'!$B$3:$B$2944,B10)</f>
        <v>33</v>
      </c>
      <c r="F10" s="38" t="str">
        <f>IFERROR(__xludf.DUMMYFUNCTION("TEXTJOIN(CHAR(10),TRUE,FILTER('Kế hoạch chèn link (mới)'!$F$3:$F$2944,'Kế hoạch chèn link (mới)'!$B$3:$B$2944=B10))"),"https://techcombank.com/thong-tin/blog/lien-ket-tai-khoan-ngan-hang-voi-etax-mobile
https://techcombank.com/thong-tin/blog/ke-khai-thue-ho-kinh-doanh-ca-the-online
https://techcombank.com/thong-tin/blog/quyet-toan-thue-thu-nhap-ca-nhan
https://techcombank"&amp;".com/thong-tin/blog/nop-thue-hai-quan
https://techcombank.com/thong-tin/blog/hoan-thue-thu-nhap-ca-nhan
https://techcombank.com/thong-tin/blog/dang-ky-thue-ho-kinh-doanh-ca-the-online
https://techcombank.com/thong-tin/blog/kiem-tra-thue-ho-kinh-doanh
http"&amp;"s://techcombank.com/thong-tin/blog/thue-thuong-mai-dien-tu
https://techcombank.com/thong-tin/blog/ho-kinh-doanh-dong-thue-nhu-nao
https://techcombank.com/thong-tin/blog/thue-thu-nhap-ca-nhan
https://techcombank.com/thong-tin/blog/tim-hieu-ve-chinh-sach-th"&amp;"ue-moi
https://techcombank.com/thong-tin/blog/hoa-don-dien-tu
https://techcombank.com/thong-tin/blog/tra-cuu-ma-so-thue-ho-kinh-doanh
https://techcombank.com/thong-tin/blog/khai-bao-tai-khoan-ngan-hang-voi-co-quan-thue
https://techcombank.com/thong-tin/bl"&amp;"og/luat-thuong-mai-dien-tu
https://techcombank.com/thong-tin/blog/dang-ky-ma-so-thue-ca-nhan
https://techcombank.com/thong-tin/blog/thue-khoan-ho-kinh-doanh-la-gi
https://techcombank.com/thong-tin/blog/khoi-nghiep-truoc-chinh-sach-thue-moi
https://techcom"&amp;"bank.com/thong-tin/blog/ho-kinh-doanh-la-gi
https://techcombank.com/thong-tin/blog/truy-thu-thue-ho-kinh-doanh
https://techcombank.com/thong-tin/blog/quyet-toan-thue-doanh-nghiep
https://techcombank.com/thong-tin/blog/kinh-doanh-online
https://techcombank"&amp;".com/thong-tin/blog/nop-thue-dat-qua-ngan-hang
https://techcombank.com/thong-tin/blog/dong-ma-so-thue-ho-kinh-doanh
https://techcombank.com/thong-tin/blog/one-stop-shop
https://techcombank.com/thong-tin/blog/top-phan-mem-ban-hang
https://techcombank.com/t"&amp;"hong-tin/blog/doanh-nghiep-moi-thanh-lap-duoc-uu-dai-gi
https://techcombank.com/thong-tin/blog/phat-cham-dang-ky-thue-ho-kinh-doanh
https://techcombank.com/thong-tin/blog/thu-tuc-thanh-lap-doanh-nghiep
https://techcombank.com/thong-tin/blog/tien-chuyen-va"&amp;"o-tai-khoan-co-bi-tinh-thue-khong
https://techcombank.com/thong-tin/blog/tra-cuu-no-thue-hai-quan
https://techcombank.com/thong-tin/blog/cach-tinh-thue-thu-nhap-ca-nhan-2025
https://techcombank.com/thong-tin/blog/thue-doanh-nghiep-2025")</f>
        <v>https://techcombank.com/thong-tin/blog/lien-ket-tai-khoan-ngan-hang-voi-etax-mobile
https://techcombank.com/thong-tin/blog/ke-khai-thue-ho-kinh-doanh-ca-the-online
https://techcombank.com/thong-tin/blog/quyet-toan-thue-thu-nhap-ca-nhan
https://techcombank.com/thong-tin/blog/nop-thue-hai-quan
https://techcombank.com/thong-tin/blog/hoan-thue-thu-nhap-ca-nhan
https://techcombank.com/thong-tin/blog/dang-ky-thue-ho-kinh-doanh-ca-the-online
https://techcombank.com/thong-tin/blog/kiem-tra-thue-ho-kinh-doanh
https://techcombank.com/thong-tin/blog/thue-thuong-mai-dien-tu
https://techcombank.com/thong-tin/blog/ho-kinh-doanh-dong-thue-nhu-nao
https://techcombank.com/thong-tin/blog/thue-thu-nhap-ca-nhan
https://techcombank.com/thong-tin/blog/tim-hieu-ve-chinh-sach-thue-moi
https://techcombank.com/thong-tin/blog/hoa-don-dien-tu
https://techcombank.com/thong-tin/blog/tra-cuu-ma-so-thue-ho-kinh-doanh
https://techcombank.com/thong-tin/blog/khai-bao-tai-khoan-ngan-hang-voi-co-quan-thue
https://techcombank.com/thong-tin/blog/luat-thuong-mai-dien-tu
https://techcombank.com/thong-tin/blog/dang-ky-ma-so-thue-ca-nhan
https://techcombank.com/thong-tin/blog/thue-khoan-ho-kinh-doanh-la-gi
https://techcombank.com/thong-tin/blog/khoi-nghiep-truoc-chinh-sach-thue-moi
https://techcombank.com/thong-tin/blog/ho-kinh-doanh-la-gi
https://techcombank.com/thong-tin/blog/truy-thu-thue-ho-kinh-doanh
https://techcombank.com/thong-tin/blog/quyet-toan-thue-doanh-nghiep
https://techcombank.com/thong-tin/blog/kinh-doanh-online
https://techcombank.com/thong-tin/blog/nop-thue-dat-qua-ngan-hang
https://techcombank.com/thong-tin/blog/dong-ma-so-thue-ho-kinh-doanh
https://techcombank.com/thong-tin/blog/one-stop-shop
https://techcombank.com/thong-tin/blog/top-phan-mem-ban-hang
https://techcombank.com/thong-tin/blog/doanh-nghiep-moi-thanh-lap-duoc-uu-dai-gi
https://techcombank.com/thong-tin/blog/phat-cham-dang-ky-thue-ho-kinh-doanh
https://techcombank.com/thong-tin/blog/thu-tuc-thanh-lap-doanh-nghiep
https://techcombank.com/thong-tin/blog/tien-chuyen-vao-tai-khoan-co-bi-tinh-thue-khong
https://techcombank.com/thong-tin/blog/tra-cuu-no-thue-hai-quan
https://techcombank.com/thong-tin/blog/cach-tinh-thue-thu-nhap-ca-nhan-2025
https://techcombank.com/thong-tin/blog/thue-doanh-nghiep-2025</v>
      </c>
    </row>
    <row r="11">
      <c r="A11" s="33">
        <v>4.0</v>
      </c>
      <c r="B11" s="34" t="s">
        <v>80</v>
      </c>
      <c r="C11" s="35" t="s">
        <v>196</v>
      </c>
      <c r="D11" s="36">
        <v>50.0</v>
      </c>
      <c r="E11" s="37">
        <f>COUNTIF('Kế hoạch chèn link (mới)'!$B$3:$B$2944,B11)</f>
        <v>50</v>
      </c>
      <c r="F11" s="38" t="str">
        <f>IFERROR(__xludf.DUMMYFUNCTION("TEXTJOIN(CHAR(10),TRUE,FILTER('Kế hoạch chèn link (mới)'!$F$3:$F$2944,'Kế hoạch chèn link (mới)'!$B$3:$B$2944=B11))"),"https://techcombank.com/thong-tin/blog/nhung-chi-phi-khong-duoc-tru-khi-tinh-thue-tndn
https://techcombank.com/thong-tin/blog/quyet-toan-thue-doanh-nghiep
https://techcombank.com/thong-tin/blog/doanh-nghiep-moi-thanh-lap-duoc-uu-dai-gi
https://techcombank"&amp;".com/thong-tin/blog/loi-nhuan
https://techcombank.com/thong-tin/blog/tra-luong-tien-mat
https://techcombank.com/thong-tin/blog/ebitda-la-gi
https://techcombank.com/thong-tin/blog/luu-y-khi-chuyen-doi-tu-ho-kinh-doanh-len-doanh-nghiep
https://techcombank.c"&amp;"om/thong-tin/blog/tiem-nang-chuyen-doi-tu-ho-kinh-doanh-len-doanh-nghiep-sme
https://techcombank.com/thong-tin/blog/wacc-la-gi
https://techcombank.com/thong-tin/blog/cach-su-dung-tai-khoan-cong-ty
https://techcombank.com/thong-tin/blog/khau-hao
https://te"&amp;"chcombank.com/thong-tin/blog/hoan-thue-doanh-nghiep
https://techcombank.com/thong-tin/blog/cach-tinh-thue-thu-nhap-doanh-nghiep
https://techcombank.com/thong-tin/blog/giai-dap-ve-thue-doanh-nghiep
https://techcombank.com/thong-tin/blog/loi-nhuan-rong
http"&amp;"s://techcombank.com/thong-tin/blog/thue-doanh-nghiep
https://techcombank.com/thong-tin/blog/tim-hieu-ve-chinh-sach-thue-moi
https://techcombank.com/thong-tin/blog/ke-khai-thue-doanh-nghiep
https://techcombank.com/thong-tin/blog/chuyen-doi-ho-kinh-doanh-le"&amp;"n-doanh-nghiep
https://techcombank.com/thong-tin/blog/nen-thanh-lap-ho-kinh-doanh-ke-khai-hay-doanh-nghiep
https://techcombank.com/thong-tin/blog/thue-phi-co-dinh-khi-chuyen-doi-tu-ho-kinh-doanh-len-doanh-nghiep
https://techcombank.com/thong-tin/blog/cac-"&amp;"sai-lam-pho-bien-khi-chuyen-doi-ho-kinh-doanh-len-sme
https://techcombank.com/thong-tin/blog/luu-y-khi-chuyen-tien-vao-tai-khoan-cong-ty
https://techcombank.com/thong-tin/blog/hieu-hiet-ve-tuan-thu-thue-cho-cac-doanh-nghiep-khoi-nghiep
https://techcombank"&amp;".com/thong-tin/blog/loi-ich-khi-ho-kinh-doanh-chuyen-len-doanh-nghiep
https://techcombank.com/thong-tin/blog/kiem-tra-ma-so-thue-doanh-nghiep
https://techcombank.com/thong-tin/blog/tra-cuu-no-thue-doanh-nghiep
https://techcombank.com/thong-tin/blog/quan-l"&amp;"y-tai-chinh-doanh-nghiep-la-gi
https://techcombank.com/thong-tin/blog/gia-chung-chi-quy-la-gi
https://techcombank.com/thong-tin/blog/khoi-nghiep-truoc-chinh-sach-thue-moi
https://techcombank.com/thong-tin/blog/roa
https://techcombank.com/thong-tin/blog/to"&amp;"i-uu-hoa-chi-phi-trong-doanh-nghiep
https://techcombank.com/thong-tin/blog/top-phan-mem-ban-hang
https://techcombank.com/thong-tin/blog/dong-tai-khoan-ngan-hang-cong-ty
https://techcombank.com/thong-tin/blog/dieu-kien-thanh-lap-doanh-nghiep
https://techco"&amp;"mbank.com/thong-tin/blog/thu-tuc-thanh-lap-doanh-nghiep
https://techcombank.com/thong-tin/blog/chi-phi-mo-tai-khoan-ngan-hang-cho-cong-ty
https://techcombank.com/thong-tin/blog/tien-dai-loan
https://techcombank.com/thong-tin/blog/mo-tai-khoan-doanh-nghiep"&amp;"
https://techcombank.com/thong-tin/blog/bao-lanh-ngan-hang-la-gi
https://techcombank.com/thong-tin/blog/cach-quan-ly-tai-chinh-kinh-doanh
https://techcombank.com/thong-tin/blog/chuan-bi-cho-doanh-nghiep-khoi-nghiep-truoc-nhung-thay-doi-ve-thue
https://tec"&amp;"hcombank.com/thong-tin/blog/chuyen-doi-so-ho-kinh-doanh
https://techcombank.com/thong-tin/blog/cong-ty-xuat-nhap-khau
https://techcombank.com/thong-tin/blog/nhung-ho-kinh-doanh-duoc-mien-thue
https://techcombank.com/thong-tin/blog/ho-kinh-doanh-dong-thue-"&amp;"nhu-nao
https://techcombank.com/thong-tin/blog/cach-nop-thue-dien-tu
https://techcombank.com/thong-tin/blog/luat-thuong-mai-dien-tu
https://techcombank.com/thong-tin/blog/chinh-sach-thue-moi
https://techcombank.com/thong-tin/blog/thue-doanh-nghiep-2025")</f>
        <v>https://techcombank.com/thong-tin/blog/nhung-chi-phi-khong-duoc-tru-khi-tinh-thue-tndn
https://techcombank.com/thong-tin/blog/quyet-toan-thue-doanh-nghiep
https://techcombank.com/thong-tin/blog/doanh-nghiep-moi-thanh-lap-duoc-uu-dai-gi
https://techcombank.com/thong-tin/blog/loi-nhuan
https://techcombank.com/thong-tin/blog/tra-luong-tien-mat
https://techcombank.com/thong-tin/blog/ebitda-la-gi
https://techcombank.com/thong-tin/blog/luu-y-khi-chuyen-doi-tu-ho-kinh-doanh-len-doanh-nghiep
https://techcombank.com/thong-tin/blog/tiem-nang-chuyen-doi-tu-ho-kinh-doanh-len-doanh-nghiep-sme
https://techcombank.com/thong-tin/blog/wacc-la-gi
https://techcombank.com/thong-tin/blog/cach-su-dung-tai-khoan-cong-ty
https://techcombank.com/thong-tin/blog/khau-hao
https://techcombank.com/thong-tin/blog/hoan-thue-doanh-nghiep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https://techcombank.com/thong-tin/blog/chuyen-doi-ho-kinh-doanh-len-doanh-nghiep
https://techcombank.com/thong-tin/blog/nen-thanh-lap-ho-kinh-doanh-ke-khai-hay-doanh-nghiep
https://techcombank.com/thong-tin/blog/thue-phi-co-dinh-khi-chuyen-doi-tu-ho-kinh-doanh-len-doanh-nghiep
https://techcombank.com/thong-tin/blog/cac-sai-lam-pho-bien-khi-chuyen-doi-ho-kinh-doanh-len-sme
https://techcombank.com/thong-tin/blog/luu-y-khi-chuyen-tien-vao-tai-khoan-cong-ty
https://techcombank.com/thong-tin/blog/hieu-hiet-ve-tuan-thu-thue-cho-cac-doanh-nghiep-khoi-nghiep
https://techcombank.com/thong-tin/blog/loi-ich-khi-ho-kinh-doanh-chuyen-len-doanh-nghiep
https://techcombank.com/thong-tin/blog/kiem-tra-ma-so-thue-doanh-nghiep
https://techcombank.com/thong-tin/blog/tra-cuu-no-thue-doanh-nghiep
https://techcombank.com/thong-tin/blog/quan-ly-tai-chinh-doanh-nghiep-la-gi
https://techcombank.com/thong-tin/blog/gia-chung-chi-quy-la-gi
https://techcombank.com/thong-tin/blog/khoi-nghiep-truoc-chinh-sach-thue-moi
https://techcombank.com/thong-tin/blog/roa
https://techcombank.com/thong-tin/blog/toi-uu-hoa-chi-phi-trong-doanh-nghiep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https://techcombank.com/thong-tin/blog/tien-dai-loan
https://techcombank.com/thong-tin/blog/mo-tai-khoan-doanh-nghiep
https://techcombank.com/thong-tin/blog/bao-lanh-ngan-hang-la-gi
https://techcombank.com/thong-tin/blog/cach-quan-ly-tai-chinh-kinh-doanh
https://techcombank.com/thong-tin/blog/chuan-bi-cho-doanh-nghiep-khoi-nghiep-truoc-nhung-thay-doi-ve-thue
https://techcombank.com/thong-tin/blog/chuyen-doi-so-ho-kinh-doanh
https://techcombank.com/thong-tin/blog/cong-ty-xuat-nhap-khau
https://techcombank.com/thong-tin/blog/nhung-ho-kinh-doanh-duoc-mien-thue
https://techcombank.com/thong-tin/blog/ho-kinh-doanh-dong-thue-nhu-nao
https://techcombank.com/thong-tin/blog/cach-nop-thue-dien-tu
https://techcombank.com/thong-tin/blog/luat-thuong-mai-dien-tu
https://techcombank.com/thong-tin/blog/chinh-sach-thue-moi
https://techcombank.com/thong-tin/blog/thue-doanh-nghiep-2025</v>
      </c>
    </row>
    <row r="12">
      <c r="A12" s="33">
        <v>11.0</v>
      </c>
      <c r="B12" s="34" t="s">
        <v>958</v>
      </c>
      <c r="C12" s="35" t="s">
        <v>912</v>
      </c>
      <c r="D12" s="36">
        <v>50.0</v>
      </c>
      <c r="E12" s="37">
        <f>COUNTIF('Kế hoạch chèn link (mới)'!$B$3:$B$2944,B12)</f>
        <v>50</v>
      </c>
      <c r="F12" s="38" t="str">
        <f>IFERROR(__xludf.DUMMYFUNCTION("TEXTJOIN(CHAR(10),TRUE,FILTER('Kế hoạch chèn link (mới)'!$F$3:$F$2944,'Kế hoạch chèn link (mới)'!$B$3:$B$2944=B12))"),"https://techcombank.com/thong-tin/blog/thanh-toan-tien-dien-bang-the-tin-dung
https://techcombank.com/thong-tin/blog/co-loyalty-la-gi
https://techcombank.com/thong-tin/blog/quan-ly-tai-chinh-cho-dan-van-phong
https://techcombank.com/thong-tin/blog/gui-tie"&amp;"n-du-hoc
https://techcombank.com/thong-tin/blog/ebitda-la-gi
https://techcombank.com/thong-tin/blog/remittance-la-gi
https://techcombank.com/thong-tin/blog/sinh-loi-rinh-loc
https://techcombank.com/thong-tin/blog/ty-gia-hoi-doai-la-gi
https://techcombank."&amp;"com/thong-tin/blog/ho-kinh-doanh-can-gi-o-tai-khoan-ngan-hang
https://techcombank.com/thong-tin/blog/gia-chung-chi-quy-la-gi
https://techcombank.com/thong-tin/blog/von-luu-dong-la-gi
https://techcombank.com/thong-tin/blog/bao-hiem-nhan-tho-la-gi
https://t"&amp;"echcombank.com/thong-tin/blog/thoi-gian-hoan-tien-the-tin-dung
https://techcombank.com/thong-tin/blog/techcombank-sinh-loi-tu-dong
https://techcombank.com/thong-tin/blog/chu-ky-so-huong-di-nang-cao-hieu-qua-trong-hoat-dong-ngan-hang
https://techcombank.co"&amp;"m/thong-tin/blog/cach-tiet-kiem-100-trieu-1-nam
https://techcombank.com/thong-tin/blog/ekyc-la-gi
https://techcombank.com/thong-tin/blog/cpi-la-gi
https://techcombank.com/thong-tin/blog/dau-tu-tai-chinh-ca-nhan
https://techcombank.com/thong-tin/blog/hu-ch"&amp;"i-tieu
https://techcombank.com/thong-tin/blog/loi-nhuan
https://techcombank.com/thong-tin/blog/chi-tra-luong-huu
https://techcombank.com/thong-tin/blog/vong-quay-von
https://techcombank.com/thong-tin/blog/kinh-doanh-online
https://techcombank.com/thong-ti"&amp;"n/blog/bung-no-hoat-dong-thanh-toan-truc-tuyen-tai-viet-nam
https://techcombank.com/thong-tin/blog/techcombank-va-cong-cuoc-chuyen-doi-so-nganh-ngan-hang
https://techcombank.com/thong-tin/blog/gia-xang-dau-hom-nay
https://techcombank.com/thong-tin/blog/so"&amp;"-du-tai-khoan-thanh-toan
https://techcombank.com/thong-tin/blog/tra-cuu-hoa-don-tien-dien
https://techcombank.com/thong-tin/blog/app-ngan-hang-co-dung-duoc-o-nuoc-ngoai
https://techcombank.com/thong-tin/blog/cach-dong-tien-dien-qua-tai-khoan-ngan-hang
htt"&amp;"ps://techcombank.com/thong-tin/blog/fintech-la-gi
https://techcombank.com/thong-tin/blog/ngan-hang-dien-tu
https://techcombank.com/thong-tin/blog/ngan-hang-so
https://techcombank.com/thong-tin/blog/thanh-toan-truc-tuyen
https://techcombank.com/thong-tin/b"&amp;"log/the-tin-dung-la-gi
https://techcombank.com/thong-tin/blog/vi-dien-tu
https://techcombank.com/thong-tin/blog/thanh-toan-cuoc-truyen-hinh
https://techcombank.com/thong-tin/blog/thanh-toan-phi-quan-ly-chung-cu
https://techcombank.com/thong-tin/blog/cach-"&amp;"huy-thanh-toan-tien-dien
https://techcombank.com/thong-tin/blog/cach-quan-ly-tai-chinh-kinh-doanh
https://techcombank.com/thong-tin/blog/chuyen-doi-hoa-don-dien-tu
https://techcombank.com/thong-tin/blog/mo-tai-khoan-ngan-hang-bang-so-dien-thoai
https://te"&amp;"chcombank.com/thong-tin/blog/phan-mem-quan-ly-tai-chinh-doanh-nghiep
https://techcombank.com/thong-tin/blog/phan-mem-xuat-hoa-don-dien-tu
https://techcombank.com/thong-tin/blog/app-dong-tien-dien-online
https://techcombank.com/thong-tin/blog/app-mua-truoc"&amp;"-tra-sau
https://techcombank.com/thong-tin/blog/app-ngan-hang
https://techcombank.com/thong-tin/blog/app-quan-ly-chi-tieu
https://techcombank.com/thong-tin/blog/cach-nap-the-viettel")</f>
        <v>https://techcombank.com/thong-tin/blog/thanh-toan-tien-dien-bang-the-tin-dung
https://techcombank.com/thong-tin/blog/co-loyalty-la-gi
https://techcombank.com/thong-tin/blog/quan-ly-tai-chinh-cho-dan-van-phong
https://techcombank.com/thong-tin/blog/gui-tien-du-hoc
https://techcombank.com/thong-tin/blog/ebitda-la-gi
https://techcombank.com/thong-tin/blog/remittance-la-gi
https://techcombank.com/thong-tin/blog/sinh-loi-rinh-loc
https://techcombank.com/thong-tin/blog/ty-gia-hoi-doai-la-gi
https://techcombank.com/thong-tin/blog/ho-kinh-doanh-can-gi-o-tai-khoan-ngan-hang
https://techcombank.com/thong-tin/blog/gia-chung-chi-quy-la-gi
https://techcombank.com/thong-tin/blog/von-luu-dong-la-gi
https://techcombank.com/thong-tin/blog/bao-hiem-nhan-tho-la-gi
https://techcombank.com/thong-tin/blog/thoi-gian-hoan-tien-the-tin-dung
https://techcombank.com/thong-tin/blog/techcombank-sinh-loi-tu-dong
https://techcombank.com/thong-tin/blog/chu-ky-so-huong-di-nang-cao-hieu-qua-trong-hoat-dong-ngan-hang
https://techcombank.com/thong-tin/blog/cach-tiet-kiem-100-trieu-1-nam
https://techcombank.com/thong-tin/blog/ekyc-la-gi
https://techcombank.com/thong-tin/blog/cpi-la-gi
https://techcombank.com/thong-tin/blog/dau-tu-tai-chinh-ca-nhan
https://techcombank.com/thong-tin/blog/hu-chi-tieu
https://techcombank.com/thong-tin/blog/loi-nhuan
https://techcombank.com/thong-tin/blog/chi-tra-luong-huu
https://techcombank.com/thong-tin/blog/vong-quay-von
https://techcombank.com/thong-tin/blog/kinh-doanh-online
https://techcombank.com/thong-tin/blog/bung-no-hoat-dong-thanh-toan-truc-tuyen-tai-viet-nam
https://techcombank.com/thong-tin/blog/techcombank-va-cong-cuoc-chuyen-doi-so-nganh-ngan-hang
https://techcombank.com/thong-tin/blog/gia-xang-dau-hom-nay
https://techcombank.com/thong-tin/blog/so-du-tai-khoan-thanh-toan
https://techcombank.com/thong-tin/blog/tra-cuu-hoa-don-tien-dien
https://techcombank.com/thong-tin/blog/app-ngan-hang-co-dung-duoc-o-nuoc-ngoai
https://techcombank.com/thong-tin/blog/cach-dong-tien-dien-qua-tai-khoan-ngan-hang
https://techcombank.com/thong-tin/blog/fintech-la-gi
https://techcombank.com/thong-tin/blog/ngan-hang-dien-tu
https://techcombank.com/thong-tin/blog/ngan-hang-so
https://techcombank.com/thong-tin/blog/thanh-toan-truc-tuyen
https://techcombank.com/thong-tin/blog/the-tin-dung-la-gi
https://techcombank.com/thong-tin/blog/vi-dien-tu
https://techcombank.com/thong-tin/blog/thanh-toan-cuoc-truyen-hinh
https://techcombank.com/thong-tin/blog/thanh-toan-phi-quan-ly-chung-cu
https://techcombank.com/thong-tin/blog/cach-huy-thanh-toan-tien-dien
https://techcombank.com/thong-tin/blog/cach-quan-ly-tai-chinh-kinh-doanh
https://techcombank.com/thong-tin/blog/chuyen-doi-hoa-don-dien-tu
https://techcombank.com/thong-tin/blog/mo-tai-khoan-ngan-hang-bang-so-dien-thoai
https://techcombank.com/thong-tin/blog/phan-mem-quan-ly-tai-chinh-doanh-nghiep
https://techcombank.com/thong-tin/blog/phan-mem-xuat-hoa-don-dien-tu
https://techcombank.com/thong-tin/blog/app-dong-tien-dien-online
https://techcombank.com/thong-tin/blog/app-mua-truoc-tra-sau
https://techcombank.com/thong-tin/blog/app-ngan-hang
https://techcombank.com/thong-tin/blog/app-quan-ly-chi-tieu
https://techcombank.com/thong-tin/blog/cach-nap-the-viettel</v>
      </c>
    </row>
    <row r="13">
      <c r="A13" s="33">
        <v>12.0</v>
      </c>
      <c r="B13" s="34" t="s">
        <v>417</v>
      </c>
      <c r="C13" s="35" t="s">
        <v>912</v>
      </c>
      <c r="D13" s="36">
        <v>50.0</v>
      </c>
      <c r="E13" s="37">
        <f>COUNTIF('Kế hoạch chèn link (mới)'!$B$3:$B$2944,B13)</f>
        <v>48</v>
      </c>
      <c r="F13" s="38" t="str">
        <f>IFERROR(__xludf.DUMMYFUNCTION("TEXTJOIN(CHAR(10),TRUE,FILTER('Kế hoạch chèn link (mới)'!$F$3:$F$2944,'Kế hoạch chèn link (mới)'!$B$3:$B$2944=B13))"),"https://techcombank.com/thong-tin/blog/quyet-toan-thue-thu-nhap-ca-nhan
https://techcombank.com/thong-tin/blog/hoan-thue-thu-nhap-ca-nhan
https://techcombank.com/thong-tin/blog/tien-chuyen-vao-tai-khoan-co-bi-tinh-thue-khong
https://techcombank.com/thong-"&amp;"tin/blog/kinh-nghiem-chuyen-doi-tu-ho-kinh-doanh-len-doanh-nghiep
https://techcombank.com/thong-tin/blog/thue-khoan-ho-kinh-doanh-la-gi
https://techcombank.com/thong-tin/blog/hieu-hiet-ve-tuan-thu-thue-cho-cac-doanh-nghiep-khoi-nghiep
https://techcombank."&amp;"com/thong-tin/blog/gia-chung-chi-quy-la-gi
https://techcombank.com/thong-tin/blog/ho-kinh-doanh-ca-the
https://techcombank.com/thong-tin/blog/kieu-hoi-la-gi
https://techcombank.com/thong-tin/blog/lai-suat-chung-chi-quy
https://techcombank.com/thong-tin/bl"&amp;"og/tiem-nang-chuyen-doi-tu-ho-kinh-doanh-len-doanh-nghiep-sme
https://techcombank.com/thong-tin/blog/dau-tu-quy-mo
https://techcombank.com/thong-tin/blog/thue-ho-kinh-doanh-2025
https://techcombank.com/thong-tin/blog/luu-y-khi-chuyen-doi-tu-ho-kinh-doanh-"&amp;"len-doanh-nghiep
https://techcombank.com/thong-tin/blog/chuyen-nhuong-chung-chi-tien-gui
https://techcombank.com/thong-tin/blog/cach-nhan-tien-tu-nuoc-ngoai-ve-viet-nam
https://techcombank.com/thong-tin/blog/ho-kinh-doanh-la-gi
https://techcombank.com/tho"&amp;"ng-tin/blog/kinh-doanh-online
https://techcombank.com/thong-tin/blog/thue-doanh-nghiep
https://techcombank.com/thong-tin/blog/sao-ke-luong
https://techcombank.com/thong-tin/blog/dang-ky-ma-so-thue-ca-nhan
https://techcombank.com/thong-tin/blog/cach-tinh-t"&amp;"hue-ho-kinh-doanh-nho-le
https://techcombank.com/thong-tin/blog/tra-cuu-no-thue-ca-nhan
https://techcombank.com/thong-tin/blog/nhung-ho-kinh-doanh-duoc-mien-thue
https://techcombank.com/thong-tin/blog/ho-kinh-doanh-dong-thue-nhu-nao
https://techcombank.co"&amp;"m/thong-tin/blog/kiem-tra-thue-thu-nhap-ca-nhan
https://techcombank.com/thong-tin/blog/ke-khai-thue-doanh-nghiep
https://techcombank.com/thong-tin/blog/giai-dap-ve-thue-doanh-nghiep
https://techcombank.com/thong-tin/blog/chuyen-doi-ho-kinh-doanh-len-doanh"&amp;"-nghiep
https://techcombank.com/thong-tin/blog/bi-quyet-tiet-kiem-tien-mua-nha
https://techcombank.com/thong-tin/blog/thue-phi-co-dinh-khi-chuyen-doi-tu-ho-kinh-doanh-len-doanh-nghiep
https://techcombank.com/thong-tin/blog/app-tra-luong
https://techcomban"&amp;"k.com/thong-tin/blog/chinh-sach-tang-luong-huu
https://techcombank.com/thong-tin/blog/hoc-cach-tiet-kiem-tien-luong
https://techcombank.com/thong-tin/blog/cach-tinh-thue-thu-nhap-doanh-nghiep
https://techcombank.com/thong-tin/blog/tra-cuu-no-thue-doanh-ng"&amp;"hiep
https://techcombank.com/thong-tin/blog/bao-hiem-nhan-tho-bao-nhieu-tien
https://techcombank.com/thong-tin/blog/hu-chi-tieu
https://techcombank.com/thong-tin/blog/nop-thue-dat-qua-ngan-hang
https://techcombank.com/thong-tin/blog/dong-ma-so-thue-ho-kin"&amp;"h-doanh
https://techcombank.com/thong-tin/blog/vay-tien-online
https://techcombank.com/thong-tin/blog/mo-the-tin-dung-khong-can-chung-minh-thu-nhap
https://techcombank.com/thong-tin/blog/hoa-don-dien-tu
https://techcombank.com/thong-tin/blog/kiem-tra-ma-s"&amp;"o-thue-doanh-nghiep
https://techcombank.com/thong-tin/blog/may-tinh-tien
https://techcombank.com/thong-tin/blog/phat-cham-dang-ky-thue-ho-kinh-doanh
https://techcombank.com/thong-tin/blog/thue-vat-la-gi
https://techcombank.com/thong-tin/blog/thue-thuong-m"&amp;"ai-dien-tu")</f>
        <v>https://techcombank.com/thong-tin/blog/quyet-toan-thue-thu-nhap-ca-nhan
https://techcombank.com/thong-tin/blog/hoan-thue-thu-nhap-ca-nhan
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https://techcombank.com/thong-tin/blog/ho-kinh-doanh-ca-the
https://techcombank.com/thong-tin/blog/kieu-hoi-la-gi
https://techcombank.com/thong-tin/blog/lai-suat-chung-chi-quy
https://techcombank.com/thong-tin/blog/tiem-nang-chuyen-doi-tu-ho-kinh-doanh-len-doanh-nghiep-sme
https://techcombank.com/thong-tin/blog/dau-tu-quy-mo
https://techcombank.com/thong-tin/blog/thue-ho-kinh-doanh-2025
https://techcombank.com/thong-tin/blog/luu-y-khi-chuyen-doi-tu-ho-kinh-doanh-len-doanh-nghiep
https://techcombank.com/thong-tin/blog/chuyen-nhuong-chung-chi-tien-gui
https://techcombank.com/thong-tin/blog/cach-nhan-tien-tu-nuoc-ngoai-ve-viet-nam
https://techcombank.com/thong-tin/blog/ho-kinh-doanh-la-gi
https://techcombank.com/thong-tin/blog/kinh-doanh-online
https://techcombank.com/thong-tin/blog/thue-doanh-nghiep
https://techcombank.com/thong-tin/blog/sao-ke-luong
https://techcombank.com/thong-tin/blog/dang-ky-ma-so-thue-ca-nhan
https://techcombank.com/thong-tin/blog/cach-tinh-thue-ho-kinh-doanh-nho-le
https://techcombank.com/thong-tin/blog/tra-cuu-no-thue-ca-nhan
https://techcombank.com/thong-tin/blog/nhung-ho-kinh-doanh-duoc-mien-thue
https://techcombank.com/thong-tin/blog/ho-kinh-doanh-dong-thue-nhu-nao
https://techcombank.com/thong-tin/blog/kiem-tra-thue-thu-nhap-ca-nhan
https://techcombank.com/thong-tin/blog/ke-khai-thue-doanh-nghiep
https://techcombank.com/thong-tin/blog/giai-dap-ve-thue-doanh-nghiep
https://techcombank.com/thong-tin/blog/chuyen-doi-ho-kinh-doanh-len-doanh-nghiep
https://techcombank.com/thong-tin/blog/bi-quyet-tiet-kiem-tien-mua-nha
https://techcombank.com/thong-tin/blog/thue-phi-co-dinh-khi-chuyen-doi-tu-ho-kinh-doanh-len-doanh-nghiep
https://techcombank.com/thong-tin/blog/app-tra-luong
https://techcombank.com/thong-tin/blog/chinh-sach-tang-luong-huu
https://techcombank.com/thong-tin/blog/hoc-cach-tiet-kiem-tien-luong
https://techcombank.com/thong-tin/blog/cach-tinh-thue-thu-nhap-doanh-nghiep
https://techcombank.com/thong-tin/blog/tra-cuu-no-thue-doanh-nghiep
https://techcombank.com/thong-tin/blog/bao-hiem-nhan-tho-bao-nhieu-tien
https://techcombank.com/thong-tin/blog/hu-chi-tieu
https://techcombank.com/thong-tin/blog/nop-thue-dat-qua-ngan-hang
https://techcombank.com/thong-tin/blog/dong-ma-so-thue-ho-kinh-doanh
https://techcombank.com/thong-tin/blog/vay-tien-online
https://techcombank.com/thong-tin/blog/mo-the-tin-dung-khong-can-chung-minh-thu-nhap
https://techcombank.com/thong-tin/blog/hoa-don-dien-tu
https://techcombank.com/thong-tin/blog/kiem-tra-ma-so-thue-doanh-nghiep
https://techcombank.com/thong-tin/blog/may-tinh-tien
https://techcombank.com/thong-tin/blog/phat-cham-dang-ky-thue-ho-kinh-doanh
https://techcombank.com/thong-tin/blog/thue-vat-la-gi
https://techcombank.com/thong-tin/blog/thue-thuong-mai-dien-tu</v>
      </c>
    </row>
    <row r="14">
      <c r="A14" s="33">
        <v>29.0</v>
      </c>
      <c r="B14" s="34" t="s">
        <v>494</v>
      </c>
      <c r="C14" s="35" t="s">
        <v>1481</v>
      </c>
      <c r="D14" s="36">
        <v>50.0</v>
      </c>
      <c r="E14" s="37">
        <f>COUNTIF('Kế hoạch chèn link (mới)'!$B$3:$B$2944,B14)</f>
        <v>50</v>
      </c>
      <c r="F14" s="38" t="str">
        <f>IFERROR(__xludf.DUMMYFUNCTION("TEXTJOIN(CHAR(10),TRUE,FILTER('Kế hoạch chèn link (mới)'!$F$3:$F$2944,'Kế hoạch chèn link (mới)'!$B$3:$B$2944=B14))"),"https://techcombank.com/thong-tin/blog/phi-rut-tien-mat-the-tin-dung
https://techcombank.com/thong-tin/blog/the-visa-co-rut-tien-duoc-khong
https://techcombank.com/thong-tin/blog/the-tin-dung-co-chuyen-khoan-duoc-khong
https://techcombank.com/thong-tin/bl"&amp;"og/in-ma-qr-ngan-hang
https://techcombank.com/thong-tin/blog/ty-le-thanh-toan-khong-dung-tien-mat-trong-linh-vuc-y-te-con-han-che
https://techcombank.com/thong-tin/blog/may-pos-la-gi
https://techcombank.com/thong-tin/blog/qua-han-thanh-toan-the-tin-dung-1"&amp;"-ngay
https://techcombank.com/thong-tin/blog/mo-the-tin-dung-co-loi-ich-gi
https://techcombank.com/thong-tin/blog/vi-dien-tu
https://techcombank.com/thong-tin/blog/mat-the-tin-dung-co-bi-mat-tien-khong
https://techcombank.com/thong-tin/blog/merchant-la-gi"&amp;"
https://techcombank.com/thong-tin/blog/rut-tien-mat-tu-tai-khoan-doanh-nghiep
https://techcombank.com/thong-tin/blog/cdm
https://techcombank.com/thong-tin/blog/rut-tien-bang-ma-qr-khac-ngan-hang-duoc-khong
https://techcombank.com/thong-tin/blog/the-visa-"&amp;"de-lam-gi
https://techcombank.com/thong-tin/blog/the-atm-khong-rut-duoc-tien
https://techcombank.com/thong-tin/blog/rut-tien-bang-ma-qr-la-gi-cach-thuc-hien-nhu-the-nao
https://techcombank.com/thong-tin/blog/thanh-toan-khong-dung-tien-mat-tro-thanh-xu-huo"&amp;"ng-tang-truong-chong-mat
https://techcombank.com/thong-tin/blog/tin-dung-la-gi
https://techcombank.com/thong-tin/blog/the-tin-dung-quoc-te
https://techcombank.com/thong-tin/blog/the-visa-ao-la-gi
https://techcombank.com/thong-tin/blog/cach-su-dung-the-tin"&amp;"-dung
https://techcombank.com/thong-tin/blog/tien-gui-khong-ky-han
https://techcombank.com/thong-tin/blog/xu-huong-thanh-toan-khong-dung-tien-mat-tai-viet-nam
https://techcombank.com/thong-tin/blog/cach-rut-tien-atm
https://techcombank.com/thong-tin/blog/"&amp;"lam-the-tin-dung-co-mat-phi-khong
https://techcombank.com/thong-tin/blog/cach-su-dung-the-visa-techcombank
https://techcombank.com/thong-tin/blog/the-tin-dung-co-ma-pin-khong
https://techcombank.com/thong-tin/blog/the-visa
https://techcombank.com/thong-ti"&amp;"n/blog/cay-atm-gan-day
https://techcombank.com/thong-tin/blog/cach-su-dung-the-ghi-no
https://techcombank.com/thong-tin/blog/the-ghi-no-co-rut-tien-duoc-khong
https://techcombank.com/thong-tin/blog/han-muc-tra-gop-the-tin-dung
https://techcombank.com/thon"&amp;"g-tin/blog/sao-ke-the-tin-dung-la-gi
https://techcombank.com/thong-tin/blog/cach-tiet-kiem-tien-cua-nguoi-nhat
https://techcombank.com/thong-tin/blog/mo-the-tin-dung-han-muc-cao
https://techcombank.com/thong-tin/blog/the-tin-dung-noi-dia
https://techcomba"&amp;"nk.com/thong-tin/blog/tra-gop-qua-the-tin-dung
https://techcombank.com/thong-tin/blog/the-ghi-no-visa-la-gi
https://techcombank.com/thong-tin/blog/lam-ho-so-tra-gop-dien-thoai
https://techcombank.com/thong-tin/blog/tra-gop-shopee
https://techcombank.com/t"&amp;"hong-tin/blog/app-chia-tien
https://techcombank.com/thong-tin/blog/bung-no-hoat-dong-thanh-toan-truc-tuyen-tai-viet-nam
https://techcombank.com/thong-tin/blog/eco-card
https://techcombank.com/thong-tin/blog/lam-the-atm-bao-lau-co
https://techcombank.com/t"&amp;"hong-tin/blog/lam-the-visa-online
https://techcombank.com/thong-tin/blog/mo-tai-khoan-ngan-hang-cho-tre-em
https://techcombank.com/thong-tin/blog/rui-ro-khi-gui-tiet-kiem-online
https://techcombank.com/thong-tin/blog/so-du-kha-dung
https://techcombank.com"&amp;"/thong-tin/blog/so-du-tai-khoan-thanh-toan")</f>
        <v>https://techcombank.com/thong-tin/blog/phi-rut-tien-mat-the-tin-dung
https://techcombank.com/thong-tin/blog/the-visa-co-rut-tien-duoc-khong
https://techcombank.com/thong-tin/blog/the-tin-dung-co-chuyen-khoan-duoc-khong
https://techcombank.com/thong-tin/blog/in-ma-qr-ngan-hang
https://techcombank.com/thong-tin/blog/ty-le-thanh-toan-khong-dung-tien-mat-trong-linh-vuc-y-te-con-han-che
https://techcombank.com/thong-tin/blog/may-pos-la-gi
https://techcombank.com/thong-tin/blog/qua-han-thanh-toan-the-tin-dung-1-ngay
https://techcombank.com/thong-tin/blog/mo-the-tin-dung-co-loi-ich-gi
https://techcombank.com/thong-tin/blog/vi-dien-tu
https://techcombank.com/thong-tin/blog/mat-the-tin-dung-co-bi-mat-tien-khong
https://techcombank.com/thong-tin/blog/merchant-la-gi
https://techcombank.com/thong-tin/blog/rut-tien-mat-tu-tai-khoan-doanh-nghiep
https://techcombank.com/thong-tin/blog/cdm
https://techcombank.com/thong-tin/blog/rut-tien-bang-ma-qr-khac-ngan-hang-duoc-khong
https://techcombank.com/thong-tin/blog/the-visa-de-lam-gi
https://techcombank.com/thong-tin/blog/the-atm-khong-rut-duoc-tien
https://techcombank.com/thong-tin/blog/rut-tien-bang-ma-qr-la-gi-cach-thuc-hien-nhu-the-nao
https://techcombank.com/thong-tin/blog/thanh-toan-khong-dung-tien-mat-tro-thanh-xu-huong-tang-truong-chong-mat
https://techcombank.com/thong-tin/blog/tin-dung-la-gi
https://techcombank.com/thong-tin/blog/the-tin-dung-quoc-te
https://techcombank.com/thong-tin/blog/the-visa-ao-la-gi
https://techcombank.com/thong-tin/blog/cach-su-dung-the-tin-dung
https://techcombank.com/thong-tin/blog/tien-gui-khong-ky-han
https://techcombank.com/thong-tin/blog/xu-huong-thanh-toan-khong-dung-tien-mat-tai-viet-nam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https://techcombank.com/thong-tin/blog/cach-su-dung-the-ghi-no
https://techcombank.com/thong-tin/blog/the-ghi-no-co-rut-tien-duoc-khong
https://techcombank.com/thong-tin/blog/han-muc-tra-gop-the-tin-dung
https://techcombank.com/thong-tin/blog/sao-ke-the-tin-dung-la-gi
https://techcombank.com/thong-tin/blog/cach-tiet-kiem-tien-cua-nguoi-nhat
https://techcombank.com/thong-tin/blog/mo-the-tin-dung-han-muc-cao
https://techcombank.com/thong-tin/blog/the-tin-dung-noi-dia
https://techcombank.com/thong-tin/blog/tra-gop-qua-the-tin-dung
https://techcombank.com/thong-tin/blog/the-ghi-no-visa-la-gi
https://techcombank.com/thong-tin/blog/lam-ho-so-tra-gop-dien-thoai
https://techcombank.com/thong-tin/blog/tra-gop-shopee
https://techcombank.com/thong-tin/blog/app-chia-tien
https://techcombank.com/thong-tin/blog/bung-no-hoat-dong-thanh-toan-truc-tuyen-tai-viet-nam
https://techcombank.com/thong-tin/blog/eco-card
https://techcombank.com/thong-tin/blog/lam-the-atm-bao-lau-co
https://techcombank.com/thong-tin/blog/lam-the-visa-online
https://techcombank.com/thong-tin/blog/mo-tai-khoan-ngan-hang-cho-tre-em
https://techcombank.com/thong-tin/blog/rui-ro-khi-gui-tiet-kiem-online
https://techcombank.com/thong-tin/blog/so-du-kha-dung
https://techcombank.com/thong-tin/blog/so-du-tai-khoan-thanh-toan</v>
      </c>
    </row>
    <row r="15">
      <c r="A15" s="33">
        <v>33.0</v>
      </c>
      <c r="B15" s="34" t="s">
        <v>880</v>
      </c>
      <c r="C15" s="35" t="s">
        <v>1481</v>
      </c>
      <c r="D15" s="36">
        <v>50.0</v>
      </c>
      <c r="E15" s="37">
        <f>COUNTIF('Kế hoạch chèn link (mới)'!$B$3:$B$2944,B15)</f>
        <v>45</v>
      </c>
      <c r="F15" s="38" t="str">
        <f>IFERROR(__xludf.DUMMYFUNCTION("TEXTJOIN(CHAR(10),TRUE,FILTER('Kế hoạch chèn link (mới)'!$F$3:$F$2944,'Kế hoạch chèn link (mới)'!$B$3:$B$2944=B15))"),"https://techcombank.com/thong-tin/blog/phi-thuong-nien-la-gi
https://techcombank.com/thong-tin/blog/khong-su-dung-the-tin-dung-co-mat-phi-khong
https://techcombank.com/thong-tin/blog/cach-khoa-the-ngan-hang
https://techcombank.com/thong-tin/blog/lam-the-t"&amp;"in-dung-co-mat-phi-khong
https://techcombank.com/thong-tin/blog/the-tin-dung-bi-khoa
https://techcombank.com/thong-tin/blog/the-tin-dung-het-han
https://techcombank.com/thong-tin/blog/mat-the-tin-dung-co-bi-mat-tien-khong
https://techcombank.com/thong-tin"&amp;"/blog/tai-khoan-doanh-nghiep-co-the-khong
https://techcombank.com/thong-tin/blog/cac-loai-the-tin-dung
https://techcombank.com/thong-tin/blog/uu-dai-mua-ve-may-bay-bang-the-tin-dung
https://techcombank.com/thong-tin/blog/the-tin-dung-nao-nhieu-uu-dai-nhat"&amp;"
https://techcombank.com/thong-tin/blog/cach-lam-the-ngan-hang-chay-quang-cao-facebook
https://techcombank.com/thong-tin/blog/mua-iphone-17
https://techcombank.com/thong-tin/blog/mua-truoc-tra-sau
https://techcombank.com/thong-tin/blog/tra-cuu-han-muc-the"&amp;"-tin-dung
https://techcombank.com/thong-tin/blog/the-ghi-no-va-the-tin-dung
https://techcombank.com/thong-tin/blog/dao-han-the-tin-dung
https://techcombank.com/thong-tin/blog/thanh-toan-online-bang-the-tin-dung
https://techcombank.com/thong-tin/blog/uu-da"&amp;"i-mo-the-tin-dung
https://techcombank.com/thong-tin/blog/the-tin-dung-co-chuyen-khoan-duoc-khong
https://techcombank.com/thong-tin/blog/the-tin-dung-techcombank-visa-eco
https://techcombank.com/thong-tin/blog/mo-the-tin-dung-han-muc-cao
https://techcomban"&amp;"k.com/thong-tin/blog/uu-dai-the-tin-dung
https://techcombank.com/thong-tin/blog/lai-suat-the-tin-dung
https://techcombank.com/thong-tin/blog/mo-the-tin-dung-co-loi-ich-gi
https://techcombank.com/thong-tin/blog/the-tin-dung-ao
https://techcombank.com/thong"&amp;"-tin/blog/thanh-toan-toi-thieu-the-tin-dung
https://techcombank.com/thong-tin/blog/tra-gop-shopee
https://techcombank.com/thong-tin/blog/thanh-toan-tien-dien-bang-the-tin-dung
https://techcombank.com/thong-tin/blog/thanh-toan-tra-gop-qua-the-tin-dung
http"&amp;"s://techcombank.com/thong-tin/blog/lam-the-tin-dung
https://techcombank.com/thong-tin/blog/sao-ke-the-tin-dung-la-gi
https://techcombank.com/thong-tin/blog/mm-yy-la-gi
https://techcombank.com/thong-tin/blog/the-tin-dung-mien-phi-thuong-nien
https://techco"&amp;"mbank.com/thong-tin/blog/so-cvv-la-gi
https://techcombank.com/thong-tin/blog/the-visa-co-can-mat-khau-khong
https://techcombank.com/thong-tin/blog/ma-buu-chinh-the-tin-dung
https://techcombank.com/thong-tin/blog/the-tin-dung-den
https://techcombank.com/th"&amp;"ong-tin/blog/3d-secure
https://techcombank.com/thong-tin/blog/tra-gop-lazada
https://techcombank.com/thong-tin/blog/the-tin-dung-co-ma-pin-khong
https://techcombank.com/thong-tin/blog/cic-la-gi
https://techcombank.com/thong-tin/blog/the-tin-dung-noi-dia
h"&amp;"ttps://techcombank.com/thong-tin/blog/lam-ho-so-tra-gop-dien-thoai
https://techcombank.com/thong-tin/blog/thanh-toan-quoc-te")</f>
        <v>https://techcombank.com/thong-tin/blog/phi-thuong-nien-la-gi
https://techcombank.com/thong-tin/blog/khong-su-dung-the-tin-dung-co-mat-phi-khong
https://techcombank.com/thong-tin/blog/cach-khoa-the-ngan-hang
https://techcombank.com/thong-tin/blog/lam-the-tin-dung-co-mat-phi-khong
https://techcombank.com/thong-tin/blog/the-tin-dung-bi-khoa
https://techcombank.com/thong-tin/blog/the-tin-dung-het-han
https://techcombank.com/thong-tin/blog/mat-the-tin-dung-co-bi-mat-tien-khong
https://techcombank.com/thong-tin/blog/tai-khoan-doanh-nghiep-co-the-khong
https://techcombank.com/thong-tin/blog/cac-loai-the-tin-dung
https://techcombank.com/thong-tin/blog/uu-dai-mua-ve-may-bay-bang-the-tin-dung
https://techcombank.com/thong-tin/blog/the-tin-dung-nao-nhieu-uu-dai-nhat
https://techcombank.com/thong-tin/blog/cach-lam-the-ngan-hang-chay-quang-cao-facebook
https://techcombank.com/thong-tin/blog/mua-iphone-17
https://techcombank.com/thong-tin/blog/mua-truoc-tra-sau
https://techcombank.com/thong-tin/blog/tra-cuu-han-muc-the-tin-dung
https://techcombank.com/thong-tin/blog/the-ghi-no-va-the-tin-dung
https://techcombank.com/thong-tin/blog/dao-han-the-tin-dung
https://techcombank.com/thong-tin/blog/thanh-toan-online-bang-the-tin-dung
https://techcombank.com/thong-tin/blog/uu-dai-mo-the-tin-dung
https://techcombank.com/thong-tin/blog/the-tin-dung-co-chuyen-khoan-duoc-khong
https://techcombank.com/thong-tin/blog/the-tin-dung-techcombank-visa-eco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https://techcombank.com/thong-tin/blog/tra-gop-shopee
https://techcombank.com/thong-tin/blog/thanh-toan-tien-dien-bang-the-tin-dung
https://techcombank.com/thong-tin/blog/thanh-toan-tra-gop-qua-the-tin-dung
https://techcombank.com/thong-tin/blog/lam-the-tin-dung
https://techcombank.com/thong-tin/blog/sao-ke-the-tin-dung-la-gi
https://techcombank.com/thong-tin/blog/mm-yy-la-gi
https://techcombank.com/thong-tin/blog/the-tin-dung-mien-phi-thuong-nien
https://techcombank.com/thong-tin/blog/so-cvv-la-gi
https://techcombank.com/thong-tin/blog/the-visa-co-can-mat-khau-khong
https://techcombank.com/thong-tin/blog/ma-buu-chinh-the-tin-dung
https://techcombank.com/thong-tin/blog/the-tin-dung-den
https://techcombank.com/thong-tin/blog/3d-secure
https://techcombank.com/thong-tin/blog/tra-gop-lazada
https://techcombank.com/thong-tin/blog/the-tin-dung-co-ma-pin-khong
https://techcombank.com/thong-tin/blog/cic-la-gi
https://techcombank.com/thong-tin/blog/the-tin-dung-noi-dia
https://techcombank.com/thong-tin/blog/lam-ho-so-tra-gop-dien-thoai
https://techcombank.com/thong-tin/blog/thanh-toan-quoc-te</v>
      </c>
    </row>
    <row r="16">
      <c r="A16" s="33">
        <v>52.0</v>
      </c>
      <c r="B16" s="34" t="s">
        <v>610</v>
      </c>
      <c r="C16" s="35" t="s">
        <v>1589</v>
      </c>
      <c r="D16" s="36">
        <v>50.0</v>
      </c>
      <c r="E16" s="37">
        <f>COUNTIF('Kế hoạch chèn link (mới)'!$B$3:$B$2944,B16)</f>
        <v>50</v>
      </c>
      <c r="F16" s="38" t="str">
        <f>IFERROR(__xludf.DUMMYFUNCTION("TEXTJOIN(CHAR(10),TRUE,FILTER('Kế hoạch chèn link (mới)'!$F$3:$F$2944,'Kế hoạch chèn link (mới)'!$B$3:$B$2944=B16))"),"https://techcombank.com/thong-tin/blog/thue-khoan-ho-kinh-doanh-la-gi
https://techcombank.com/thong-tin/blog/truy-thu-thue-ho-kinh-doanh
https://techcombank.com/thong-tin/blog/dong-ma-so-thue-ho-kinh-doanh
https://techcombank.com/thong-tin/blog/phat-cham-"&amp;"dang-ky-thue-ho-kinh-doanh
https://techcombank.com/thong-tin/blog/cach-nop-thue-dien-tu
https://techcombank.com/thong-tin/blog/tra-cuu-no-thue-ho-kinh-doanh
https://techcombank.com/thong-tin/blog/kiem-tra-thue-ho-kinh-doanh
https://techcombank.com/thong-t"&amp;"in/blog/cach-dang-ky-ma-so-thue-ho-kinh-doanh-online
https://techcombank.com/thong-tin/blog/tra-cuu-ma-so-thue-ho-kinh-doanh
https://techcombank.com/thong-tin/blog/dang-ky-thue-ho-kinh-doanh-ca-the-online
https://techcombank.com/thong-tin/blog/ke-khai-thu"&amp;"e-ho-kinh-doanh-ca-the-online
https://techcombank.com/thong-tin/blog/barcode-la-gi
https://techcombank.com/thong-tin/blog/chinh-sach-thue-moi
https://techcombank.com/thong-tin/blog/hoa-don-dien-tu
https://techcombank.com/thong-tin/blog/hoan-thue-doanh-ngh"&amp;"iep
https://techcombank.com/thong-tin/blog/thanh-lap-ho-kinh-doanh-ca-the
https://techcombank.com/thong-tin/blog/cach-tao-ma-qr
https://techcombank.com/thong-tin/blog/kiem-tra-thue-thu-nhap-ca-nhan
https://techcombank.com/thong-tin/blog/loi-ich-khi-ho-kin"&amp;"h-doanh-chuyen-len-doanh-nghiep
https://techcombank.com/thong-tin/blog/tiem-nang-chuyen-doi-tu-ho-kinh-doanh-len-doanh-nghiep-sme
https://techcombank.com/thong-tin/blog/khoi-nghiep-truoc-chinh-sach-thue-moi
https://techcombank.com/thong-tin/blog/cach-tra-"&amp;"cuu-hoa-don-dien-tu
https://techcombank.com/thong-tin/blog/thanh-toan-khong-dung-tien-mat
https://techcombank.com/thong-tin/blog/mo-tai-khoan-ho-kinh-doanh
https://techcombank.com/thong-tin/blog/nop-thue-dat-qua-ngan-hang
https://techcombank.com/thong-tin"&amp;"/blog/vay-tin-chap-ho-kinh-doanh
https://techcombank.com/thong-tin/blog/lien-ket-tai-khoan-ngan-hang-voi-etax-mobile
https://techcombank.com/thong-tin/blog/cac-sai-lam-pho-bien-khi-chuyen-doi-ho-kinh-doanh-len-sme
https://techcombank.com/thong-tin/blog/gi"&amp;"ay-phep-kinh-doanh
https://techcombank.com/thong-tin/blog/tra-cuu-no-thue-ca-nhan
https://techcombank.com/thong-tin/blog/chuyen-doi-hoa-don-dien-tu
https://techcombank.com/thong-tin/blog/khai-bao-tai-khoan-ngan-hang-voi-co-quan-thue
https://techcombank.co"&amp;"m/thong-tin/blog/dang-ky-kinh-doanh-la-gi
https://techcombank.com/thong-tin/blog/thay-doi-dia-chi-ho-kinh-doanh
https://techcombank.com/thong-tin/blog/luu-y-khi-chuyen-doi-tu-ho-kinh-doanh-len-doanh-nghiep
https://techcombank.com/thong-tin/blog/merchant-l"&amp;"a-gi
https://techcombank.com/thong-tin/blog/chuyen-doi-so-ho-kinh-doanh
https://techcombank.com/thong-tin/blog/luat-thuong-mai-dien-tu
https://techcombank.com/thong-tin/blog/hoa-don-dien-tu-ho-kinh-doanh
https://techcombank.com/thong-tin/blog/may-pos-la-g"&amp;"i
https://techcombank.com/thong-tin/blog/may-tinh-tien
https://techcombank.com/thong-tin/blog/phan-mem-xuat-hoa-don-dien-tu
https://techcombank.com/thong-tin/blog/thue-vat-la-gi
https://techcombank.com/thong-tin/blog/top-phan-mem-ban-hang
https://techcomb"&amp;"ank.com/thong-tin/blog/dieu-kien-thanh-lap-doanh-nghiep
https://techcombank.com/thong-tin/blog/khau-hao-la-gi
https://techcombank.com/thong-tin/blog/loi-nhuan-rong
https://techcombank.com/thong-tin/blog/quan-ly-tai-chinh-doanh-nghiep-nho
https://techcomba"&amp;"nk.com/thong-tin/blog/thue-doanh-nghiep-2025
https://techcombank.com/thong-tin/blog/tra-cuu-no-thue-hai-quan")</f>
        <v>https://techcombank.com/thong-tin/blog/thue-khoan-ho-kinh-doanh-la-gi
https://techcombank.com/thong-tin/blog/truy-thu-thue-ho-kinh-doanh
https://techcombank.com/thong-tin/blog/dong-ma-so-thue-ho-kinh-doanh
https://techcombank.com/thong-tin/blog/phat-cham-dang-ky-thue-ho-kinh-doanh
https://techcombank.com/thong-tin/blog/cach-nop-thue-dien-tu
https://techcombank.com/thong-tin/blog/tra-cuu-no-thue-ho-kinh-doanh
https://techcombank.com/thong-tin/blog/kiem-tra-thue-ho-kinh-doanh
https://techcombank.com/thong-tin/blog/cach-dang-ky-ma-so-thue-ho-kinh-doanh-online
https://techcombank.com/thong-tin/blog/tra-cuu-ma-so-thue-ho-kinh-doanh
https://techcombank.com/thong-tin/blog/dang-ky-thue-ho-kinh-doanh-ca-the-online
https://techcombank.com/thong-tin/blog/ke-khai-thue-ho-kinh-doanh-ca-the-online
https://techcombank.com/thong-tin/blog/barcode-la-gi
https://techcombank.com/thong-tin/blog/chinh-sach-thue-moi
https://techcombank.com/thong-tin/blog/hoa-don-dien-tu
https://techcombank.com/thong-tin/blog/hoan-thue-doanh-nghiep
https://techcombank.com/thong-tin/blog/thanh-lap-ho-kinh-doanh-ca-the
https://techcombank.com/thong-tin/blog/cach-tao-ma-qr
https://techcombank.com/thong-tin/blog/kiem-tra-thue-thu-nhap-ca-nhan
https://techcombank.com/thong-tin/blog/loi-ich-khi-ho-kinh-doanh-chuyen-len-doanh-nghiep
https://techcombank.com/thong-tin/blog/tiem-nang-chuyen-doi-tu-ho-kinh-doanh-len-doanh-nghiep-sme
https://techcombank.com/thong-tin/blog/khoi-nghiep-truoc-chinh-sach-thue-moi
https://techcombank.com/thong-tin/blog/cach-tra-cuu-hoa-don-dien-tu
https://techcombank.com/thong-tin/blog/thanh-toan-khong-dung-tien-mat
https://techcombank.com/thong-tin/blog/mo-tai-khoan-ho-kinh-doanh
https://techcombank.com/thong-tin/blog/nop-thue-dat-qua-ngan-hang
https://techcombank.com/thong-tin/blog/vay-tin-chap-ho-kinh-doanh
https://techcombank.com/thong-tin/blog/lien-ket-tai-khoan-ngan-hang-voi-etax-mobile
https://techcombank.com/thong-tin/blog/cac-sai-lam-pho-bien-khi-chuyen-doi-ho-kinh-doanh-len-sme
https://techcombank.com/thong-tin/blog/giay-phep-kinh-doanh
https://techcombank.com/thong-tin/blog/tra-cuu-no-thue-ca-nhan
https://techcombank.com/thong-tin/blog/chuyen-doi-hoa-don-dien-tu
https://techcombank.com/thong-tin/blog/khai-bao-tai-khoan-ngan-hang-voi-co-quan-thue
https://techcombank.com/thong-tin/blog/dang-ky-kinh-doanh-la-gi
https://techcombank.com/thong-tin/blog/thay-doi-dia-chi-ho-kinh-doanh
https://techcombank.com/thong-tin/blog/luu-y-khi-chuyen-doi-tu-ho-kinh-doanh-len-doanh-nghiep
https://techcombank.com/thong-tin/blog/merchant-la-gi
https://techcombank.com/thong-tin/blog/chuyen-doi-so-ho-kinh-doanh
https://techcombank.com/thong-tin/blog/luat-thuong-mai-dien-tu
https://techcombank.com/thong-tin/blog/hoa-don-dien-tu-ho-kinh-doanh
https://techcombank.com/thong-tin/blog/may-pos-la-gi
https://techcombank.com/thong-tin/blog/may-tinh-tien
https://techcombank.com/thong-tin/blog/phan-mem-xuat-hoa-don-dien-tu
https://techcombank.com/thong-tin/blog/thue-vat-la-gi
https://techcombank.com/thong-tin/blog/top-phan-mem-ban-hang
https://techcombank.com/thong-tin/blog/dieu-kien-thanh-lap-doanh-nghiep
https://techcombank.com/thong-tin/blog/khau-hao-la-gi
https://techcombank.com/thong-tin/blog/loi-nhuan-rong
https://techcombank.com/thong-tin/blog/quan-ly-tai-chinh-doanh-nghiep-nho
https://techcombank.com/thong-tin/blog/thue-doanh-nghiep-2025
https://techcombank.com/thong-tin/blog/tra-cuu-no-thue-hai-quan</v>
      </c>
    </row>
    <row r="17">
      <c r="A17" s="33">
        <v>57.0</v>
      </c>
      <c r="B17" s="34" t="s">
        <v>367</v>
      </c>
      <c r="C17" s="35" t="s">
        <v>1598</v>
      </c>
      <c r="D17" s="36">
        <v>50.0</v>
      </c>
      <c r="E17" s="37">
        <f>COUNTIF('Kế hoạch chèn link (mới)'!$B$3:$B$2944,B17)</f>
        <v>45</v>
      </c>
      <c r="F17" s="38" t="str">
        <f>IFERROR(__xludf.DUMMYFUNCTION("TEXTJOIN(CHAR(10),TRUE,FILTER('Kế hoạch chèn link (mới)'!$F$3:$F$2944,'Kế hoạch chèn link (mới)'!$B$3:$B$2944=B17))"),"https://techcombank.com/thong-tin/blog/du-no-la-gi
https://techcombank.com/thong-tin/blog/lai-suat-tha-noi
https://techcombank.com/thong-tin/blog/an-han-no-goc-la-gi
https://techcombank.com/thong-tin/blog/cong-thuc-tinh-lai-suat-thuc
https://techcombank.c"&amp;"om/thong-tin/blog/phi-vay-the-chap
https://techcombank.com/thong-tin/blog/uu-dai-the-tin-dung-techcombank-signature
https://techcombank.com/thong-tin/blog/nen-gui-tiet-kiem-6-thang-hay-1-nam
https://techcombank.com/thong-tin/blog/the-tin-dung-phu-la-gi
ht"&amp;"tps://techcombank.com/thong-tin/blog/vay-ngan-hang-1-ty-moi-thang-tra-bao-nhieu
https://techcombank.com/thong-tin/blog/lai-suat-tiet-kiem
https://techcombank.com/thong-tin/blog/vay-tra-gop
https://techcombank.com/thong-tin/blog/vay-mua-nha-o-xa-hoi
https:"&amp;"//techcombank.com/thong-tin/blog/lai-suat-vay-ngan-hang
https://techcombank.com/thong-tin/blog/cac-hinh-thuc-vay-von-ngan-hang
https://techcombank.com/thong-tin/blog/loi-nhuan
https://techcombank.com/thong-tin/blog/vay-300-trieu
https://techcombank.com/th"&amp;"ong-tin/blog/lai-suat-vay-thau-chi
https://techcombank.com/thong-tin/blog/vay-mua-nha-tra-gop
https://techcombank.com/thong-tin/blog/vay-40-trieu
https://techcombank.com/thong-tin/blog/vay-100-trieu
https://techcombank.com/thong-tin/blog/tra-gop-hoc-phi
h"&amp;"ttps://techcombank.com/thong-tin/blog/lai-suat-la-gi
https://techcombank.com/thong-tin/blog/vay-15-trieu
https://techcombank.com/thong-tin/blog/vay-30-trieu
https://techcombank.com/thong-tin/blog/lai-suat-ngan-hang-cho-vay-xay-nha
https://techcombank.com/"&amp;"thong-tin/blog/dieu-kien-vay-von-ngan-hang
https://techcombank.com/thong-tin/blog/vay-200-trieu
https://techcombank.com/thong-tin/blog/lai-suat-vay-tin-chap
https://techcombank.com/thong-tin/blog/hoc-sinh-sinh-vien-nen-lam-the-ngan-hang-nao
https://techco"&amp;"mbank.com/thong-tin/blog/loi-ich-cua-ngan-hang-so-voi-sme
https://techcombank.com/thong-tin/blog/tin-dung-tieu-dung
https://techcombank.com/thong-tin/blog/vay-sieu-toc
https://techcombank.com/thong-tin/blog/vay-tien-online
https://techcombank.com/thong-ti"&amp;"n/blog/co-nen-mua-o-to-tra-gop
https://techcombank.com/thong-tin/blog/rui-ro-khi-vay-the-chap-ngan-hang
https://techcombank.com/thong-tin/blog/lai-suat-vay-the-chap
https://techcombank.com/thong-tin/blog/lai-suat-vay-the-chap-so-do
https://techcombank.com"&amp;"/thong-tin/blog/sao-ke-the-tin-dung-la-gi
https://techcombank.com/thong-tin/blog/lai-suat-vay-tieu-dung
https://techcombank.com/thong-tin/blog/thu-tuc-vay-von-ngan-hang-de-xay-nha
https://techcombank.com/thong-tin/blog/kinh-nghiem-vay-tien-ngan-hang-xay-n"&amp;"ha
https://techcombank.com/thong-tin/blog/tra-gop-qua-the-tin-dung
https://techcombank.com/thong-tin/blog/the-tin-dung-hoan-tien
https://techcombank.com/thong-tin/blog/lai-kep-ngan-hang
https://techcombank.com/thong-tin/blog/nang-han-muc-tin-dung")</f>
        <v>https://techcombank.com/thong-tin/blog/du-no-la-gi
https://techcombank.com/thong-tin/blog/lai-suat-tha-noi
https://techcombank.com/thong-tin/blog/an-han-no-goc-la-gi
https://techcombank.com/thong-tin/blog/cong-thuc-tinh-lai-suat-thuc
https://techcombank.com/thong-tin/blog/phi-vay-the-chap
https://techcombank.com/thong-tin/blog/uu-dai-the-tin-dung-techcombank-signature
https://techcombank.com/thong-tin/blog/nen-gui-tiet-kiem-6-thang-hay-1-nam
https://techcombank.com/thong-tin/blog/the-tin-dung-phu-la-gi
https://techcombank.com/thong-tin/blog/vay-ngan-hang-1-ty-moi-thang-tra-bao-nhieu
https://techcombank.com/thong-tin/blog/lai-suat-tiet-kiem
https://techcombank.com/thong-tin/blog/vay-tra-gop
https://techcombank.com/thong-tin/blog/vay-mua-nha-o-xa-hoi
https://techcombank.com/thong-tin/blog/lai-suat-vay-ngan-hang
https://techcombank.com/thong-tin/blog/cac-hinh-thuc-vay-von-ngan-hang
https://techcombank.com/thong-tin/blog/loi-nhuan
https://techcombank.com/thong-tin/blog/vay-300-trieu
https://techcombank.com/thong-tin/blog/lai-suat-vay-thau-chi
https://techcombank.com/thong-tin/blog/vay-mua-nha-tra-gop
https://techcombank.com/thong-tin/blog/vay-40-trieu
https://techcombank.com/thong-tin/blog/vay-100-trieu
https://techcombank.com/thong-tin/blog/tra-gop-hoc-phi
https://techcombank.com/thong-tin/blog/lai-suat-la-gi
https://techcombank.com/thong-tin/blog/vay-15-trieu
https://techcombank.com/thong-tin/blog/vay-30-trieu
https://techcombank.com/thong-tin/blog/lai-suat-ngan-hang-cho-vay-xay-nha
https://techcombank.com/thong-tin/blog/dieu-kien-vay-von-ngan-hang
https://techcombank.com/thong-tin/blog/vay-200-trieu
https://techcombank.com/thong-tin/blog/lai-suat-vay-tin-chap
https://techcombank.com/thong-tin/blog/hoc-sinh-sinh-vien-nen-lam-the-ngan-hang-nao
https://techcombank.com/thong-tin/blog/loi-ich-cua-ngan-hang-so-voi-sme
https://techcombank.com/thong-tin/blog/tin-dung-tieu-dung
https://techcombank.com/thong-tin/blog/vay-sieu-toc
https://techcombank.com/thong-tin/blog/vay-tien-online
https://techcombank.com/thong-tin/blog/co-nen-mua-o-to-tra-gop
https://techcombank.com/thong-tin/blog/rui-ro-khi-vay-the-chap-ngan-hang
https://techcombank.com/thong-tin/blog/lai-suat-vay-the-chap
https://techcombank.com/thong-tin/blog/lai-suat-vay-the-chap-so-do
https://techcombank.com/thong-tin/blog/sao-ke-the-tin-dung-la-gi
https://techcombank.com/thong-tin/blog/lai-suat-vay-tieu-dung
https://techcombank.com/thong-tin/blog/thu-tuc-vay-von-ngan-hang-de-xay-nha
https://techcombank.com/thong-tin/blog/kinh-nghiem-vay-tien-ngan-hang-xay-nha
https://techcombank.com/thong-tin/blog/tra-gop-qua-the-tin-dung
https://techcombank.com/thong-tin/blog/the-tin-dung-hoan-tien
https://techcombank.com/thong-tin/blog/lai-kep-ngan-hang
https://techcombank.com/thong-tin/blog/nang-han-muc-tin-dung</v>
      </c>
    </row>
    <row r="18">
      <c r="A18" s="33">
        <v>70.0</v>
      </c>
      <c r="B18" s="34" t="s">
        <v>918</v>
      </c>
      <c r="C18" s="35" t="s">
        <v>1503</v>
      </c>
      <c r="D18" s="36">
        <v>50.0</v>
      </c>
      <c r="E18" s="37">
        <f>COUNTIF('Kế hoạch chèn link (mới)'!$B$3:$B$2944,B18)</f>
        <v>50</v>
      </c>
      <c r="F18" s="38" t="str">
        <f>IFERROR(__xludf.DUMMYFUNCTION("TEXTJOIN(CHAR(10),TRUE,FILTER('Kế hoạch chèn link (mới)'!$F$3:$F$2944,'Kế hoạch chèn link (mới)'!$B$3:$B$2944=B18))"),"https://techcombank.com/thong-tin/blog/tra-no-vay-thau-chi-nhu-the-nao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https://techcombank.com/thong-tin/blog/gui-tiet-kiem-online-co-r"&amp;"ut-truoc-han-duoc-khong
https://techcombank.com/thong-tin/blog/no-chu-y-la-gi
https://techcombank.com/thong-tin/blog/thanh-toan-bang-ma-qr
https://techcombank.com/thong-tin/blog/tap-doan-thanh-quang-khoi-sac-kinh-doanh-nho-nguon-von-vay-tin-dung-techcomba"&amp;"nk-tren-nen-tang-misa-lending
https://techcombank.com/thong-tin/blog/phi-thuong-nien-la-gi
https://techcombank.com/thong-tin/blog/cach-gui-tiet-kiem-online
https://techcombank.com/thong-tin/blog/cach-khoa-the-ngan-hang
https://techcombank.com/thong-tin/bl"&amp;"og/gui-them-tien-vao-so-tiet-kiem
https://techcombank.com/thong-tin/blog/lam-the-visa-o-dau
https://techcombank.com/thong-tin/blog/quy-gia-dinh
https://techcombank.com/thong-tin/blog/san-pham-xanh
https://techcombank.com/thong-tin/blog/vay-sieu-toc
https:"&amp;"//techcombank.com/thong-tin/blog/cac-hinh-thuc-vay-von-ngan-hang
https://techcombank.com/thong-tin/blog/vay-san-xuat-kinh-doanh
https://techcombank.com/thong-tin/blog/tin-chap-doanh-nghiep
https://techcombank.com/thong-tin/blog/lai-suat-vay-the-chap-so-do"&amp;"
https://techcombank.com/thong-tin/blog/vay-tin-chap-toi-da-duoc-bao-nhieu
https://techcombank.com/thong-tin/blog/vay-tin-chap-va-vay-the-chap
https://techcombank.com/thong-tin/blog/nen-vay-tin-chap-o-dau
https://techcombank.com/thong-tin/blog/vay-the-cha"&amp;"p-hop-dong-mua-ban-can-ho
https://techcombank.com/thong-tin/blog/vay-tin-chap-theo-luong
https://techcombank.com/thong-tin/blog/vay-mua-dien-thoai
https://techcombank.com/thong-tin/blog/vay-the-chap-toi-da-duoc-bao-nhieu
https://techcombank.com/thong-tin/"&amp;"blog/vay-30-trieu
https://techcombank.com/thong-tin/blog/kiem-tra-no-xau
https://techcombank.com/thong-tin/blog/cac-hinh-thuc-cho-vay-tieu-dung
https://techcombank.com/thong-tin/blog/no-xau-nhom-2
https://techcombank.com/thong-tin/blog/vay-ngan-han
https:"&amp;"//techcombank.com/thong-tin/blog/app-ngan-hang
https://techcombank.com/thong-tin/blog/bao-hiem-phi-nhan-tho-la-gi
https://techcombank.com/thong-tin/blog/cach-bao-ve-tai-khoan
https://techcombank.com/thong-tin/blog/dau-tu-tai-chinh-ca-nhan
https://techcomb"&amp;"ank.com/thong-tin/blog/gia-dien-sinh-hoat
https://techcombank.com/thong-tin/blog/gui-tiet-kiem-online-quay-vong-ca-goc-va-lai
https://techcombank.com/thong-tin/blog/hu-chi-tieu
https://techcombank.com/thong-tin/blog/loi-ich-cua-tri-tue-nhan-tao
https://te"&amp;"chcombank.com/thong-tin/blog/ngan-hang-so
https://techcombank.com/thong-tin/blog/sinh-loi-rinh-loc
https://techcombank.com/thong-tin/blog/thu-tuc-mua-xe-tra-gop
https://techcombank.com/thong-tin/blog/kinh-nghiem-vay-tien-mua-nha
https://techcombank.com/th"&amp;"ong-tin/blog/cam-ket-tin-dung
https://techcombank.com/thong-tin/blog/ho-so-thu-tuc-xoa-the-chap
https://techcombank.com/thong-tin/blog/ngan-hang-dien-tu
https://techcombank.com/thong-tin/blog/quan-ly-tai-chinh-doanh-nghiep-nho")</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https://techcombank.com/thong-tin/blog/gui-tiet-kiem-online-co-rut-truoc-han-duoc-khong
https://techcombank.com/thong-tin/blog/no-chu-y-la-gi
https://techcombank.com/thong-tin/blog/thanh-toan-bang-ma-qr
https://techcombank.com/thong-tin/blog/tap-doan-thanh-quang-khoi-sac-kinh-doanh-nho-nguon-von-vay-tin-dung-techcombank-tren-nen-tang-misa-lending
https://techcombank.com/thong-tin/blog/phi-thuong-nien-la-gi
https://techcombank.com/thong-tin/blog/cach-gui-tiet-kiem-online
https://techcombank.com/thong-tin/blog/cach-khoa-the-ngan-hang
https://techcombank.com/thong-tin/blog/gui-them-tien-vao-so-tiet-kiem
https://techcombank.com/thong-tin/blog/lam-the-visa-o-dau
https://techcombank.com/thong-tin/blog/quy-gia-dinh
https://techcombank.com/thong-tin/blog/san-pham-xanh
https://techcombank.com/thong-tin/blog/vay-sieu-toc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https://techcombank.com/thong-tin/blog/vay-tin-chap-theo-luong
https://techcombank.com/thong-tin/blog/vay-mua-dien-thoai
https://techcombank.com/thong-tin/blog/vay-the-chap-toi-da-duoc-bao-nhieu
https://techcombank.com/thong-tin/blog/vay-30-trieu
https://techcombank.com/thong-tin/blog/kiem-tra-no-xau
https://techcombank.com/thong-tin/blog/cac-hinh-thuc-cho-vay-tieu-dung
https://techcombank.com/thong-tin/blog/no-xau-nhom-2
https://techcombank.com/thong-tin/blog/vay-ngan-han
https://techcombank.com/thong-tin/blog/app-ngan-hang
https://techcombank.com/thong-tin/blog/bao-hiem-phi-nhan-tho-la-gi
https://techcombank.com/thong-tin/blog/cach-bao-ve-tai-khoan
https://techcombank.com/thong-tin/blog/dau-tu-tai-chinh-ca-nhan
https://techcombank.com/thong-tin/blog/gia-dien-sinh-hoat
https://techcombank.com/thong-tin/blog/gui-tiet-kiem-online-quay-vong-ca-goc-va-lai
https://techcombank.com/thong-tin/blog/hu-chi-tieu
https://techcombank.com/thong-tin/blog/loi-ich-cua-tri-tue-nhan-tao
https://techcombank.com/thong-tin/blog/ngan-hang-so
https://techcombank.com/thong-tin/blog/sinh-loi-rinh-loc
https://techcombank.com/thong-tin/blog/thu-tuc-mua-xe-tra-gop
https://techcombank.com/thong-tin/blog/kinh-nghiem-vay-tien-mua-nha
https://techcombank.com/thong-tin/blog/cam-ket-tin-dung
https://techcombank.com/thong-tin/blog/ho-so-thu-tuc-xoa-the-chap
https://techcombank.com/thong-tin/blog/ngan-hang-dien-tu
https://techcombank.com/thong-tin/blog/quan-ly-tai-chinh-doanh-nghiep-nho</v>
      </c>
    </row>
    <row r="19">
      <c r="A19" s="33">
        <v>1.0</v>
      </c>
      <c r="B19" s="34" t="s">
        <v>72</v>
      </c>
      <c r="C19" s="35" t="s">
        <v>68</v>
      </c>
      <c r="D19" s="36">
        <v>30.0</v>
      </c>
      <c r="E19" s="37">
        <f>COUNTIF('Kế hoạch chèn link (mới)'!$B$3:$B$2944,B19)</f>
        <v>16</v>
      </c>
      <c r="F19" s="38" t="str">
        <f>IFERROR(__xludf.DUMMYFUNCTION("TEXTJOIN(CHAR(10),TRUE,FILTER('Kế hoạch chèn link (mới)'!$F$3:$F$2944,'Kế hoạch chèn link (mới)'!$B$3:$B$2944=B19))"),"https://techcombank.com/thong-tin/blog/nen-mua-xe-tra-gop-hay-tra-thang
https://techcombank.com/thong-tin/blog/thu-tuc-mua-xe-tra-gop
https://techcombank.com/thong-tin/blog/vay-the-chap-xe-o-to-cu
https://techcombank.com/thong-tin/blog/lai-suat-vay-the-ch"&amp;"ap-so-do
https://techcombank.com/thong-tin/blog/doi-xe-xang-lay-xe-dien
https://techcombank.com/thong-tin/blog/co-100-trieu-co-mua-nen-mua-tra-gop
https://techcombank.com/thong-tin/blog/tai-khoan-ngan-hang-la-gi
https://techcombank.com/thong-tin/blog/mua-"&amp;"bao-hiem-o-to-dien
https://techcombank.com/thong-tin/blog/lam-the-thanh-toan-quoc-te
https://techcombank.com/thong-tin/blog/cho-vay-tung-lan
https://techcombank.com/thong-tin/blog/lam-ho-so-tra-gop-dien-thoai
https://techcombank.com/thong-tin/blog/nen-mua"&amp;"-xe-o-to-dien-hay-xe-xang
https://techcombank.com/thong-tin/blog/mo-the-tin-dung-co-loi-ich-gi
https://techcombank.com/thong-tin/blog/mua-nha-tra-gop-dua-truoc-100-trieu
https://techcombank.com/thong-tin/blog/vay-30-trieu
https://techcombank.com/thong-tin"&amp;"/blog/cach-su-dung-the-tin-dung")</f>
        <v>https://techcombank.com/thong-tin/blog/nen-mua-xe-tra-gop-hay-tra-thang
https://techcombank.com/thong-tin/blog/thu-tuc-mua-xe-tra-gop
https://techcombank.com/thong-tin/blog/vay-the-chap-xe-o-to-cu
https://techcombank.com/thong-tin/blog/lai-suat-vay-the-chap-so-do
https://techcombank.com/thong-tin/blog/doi-xe-xang-lay-xe-dien
https://techcombank.com/thong-tin/blog/co-100-trieu-co-mua-nen-mua-tra-gop
https://techcombank.com/thong-tin/blog/tai-khoan-ngan-hang-la-gi
https://techcombank.com/thong-tin/blog/mua-bao-hiem-o-to-dien
https://techcombank.com/thong-tin/blog/lam-the-thanh-toan-quoc-te
https://techcombank.com/thong-tin/blog/cho-vay-tung-lan
https://techcombank.com/thong-tin/blog/lam-ho-so-tra-gop-dien-thoai
https://techcombank.com/thong-tin/blog/nen-mua-xe-o-to-dien-hay-xe-xang
https://techcombank.com/thong-tin/blog/mo-the-tin-dung-co-loi-ich-gi
https://techcombank.com/thong-tin/blog/mua-nha-tra-gop-dua-truoc-100-trieu
https://techcombank.com/thong-tin/blog/vay-30-trieu
https://techcombank.com/thong-tin/blog/cach-su-dung-the-tin-dung</v>
      </c>
    </row>
    <row r="20">
      <c r="A20" s="33">
        <v>5.0</v>
      </c>
      <c r="B20" s="34" t="s">
        <v>461</v>
      </c>
      <c r="C20" s="35" t="s">
        <v>196</v>
      </c>
      <c r="D20" s="36">
        <v>30.0</v>
      </c>
      <c r="E20" s="37">
        <f>COUNTIF('Kế hoạch chèn link (mới)'!$B$3:$B$2944,B20)</f>
        <v>30</v>
      </c>
      <c r="F20" s="38" t="str">
        <f>IFERROR(__xludf.DUMMYFUNCTION("TEXTJOIN(CHAR(10),TRUE,FILTER('Kế hoạch chèn link (mới)'!$F$3:$F$2944,'Kế hoạch chèn link (mới)'!$B$3:$B$2944=B20))"),"https://techcombank.com/thong-tin/blog/ke-khai-thue-doanh-nghiep
https://techcombank.com/thong-tin/blog/hoan-thue-doanh-nghiep
https://techcombank.com/thong-tin/blog/thue-thu-nhap-doanh-nghiep
https://techcombank.com/thong-tin/blog/thue-thuong-mai-dien-tu"&amp;"
https://techcombank.com/thong-tin/blog/nhung-chi-phi-khong-duoc-tru-khi-tinh-thue-tndn
https://techcombank.com/thong-tin/blog/kinh-nghiem-chuyen-doi-tu-ho-kinh-doanh-len-doanh-nghiep
https://techcombank.com/thong-tin/blog/thue-khoan-ho-kinh-doanh-la-gi
h"&amp;"ttps://techcombank.com/thong-tin/blog/cach-su-dung-tai-khoan-cong-ty
https://techcombank.com/thong-tin/blog/gia-dien-sinh-hoat
https://techcombank.com/thong-tin/blog/tra-luong-tien-mat
https://techcombank.com/thong-tin/blog/cong-ty-su-dung-tai-khoan-ca-nh"&amp;"an
https://techcombank.com/thong-tin/blog/vi-dien-tu
https://techcombank.com/thong-tin/blog/hieu-hiet-ve-tuan-thu-thue-cho-cac-doanh-nghiep-khoi-nghiep
https://techcombank.com/thong-tin/blog/thue-ho-kinh-doanh-2025
https://techcombank.com/thong-tin/blog/h"&amp;"o-kinh-doanh-ca-the
https://techcombank.com/thong-tin/blog/thue-phi-co-dinh-khi-chuyen-doi-tu-ho-kinh-doanh-len-doanh-nghiep
https://techcombank.com/thong-tin/blog/cach-tinh-tien-dien-sinh-hoat
https://techcombank.com/thong-tin/blog/thanh-toan-khi-du-lich"&amp;"-thai-lan
https://techcombank.com/thong-tin/blog/nhung-ho-kinh-doanh-duoc-mien-thue
https://techcombank.com/thong-tin/blog/thue-doanh-nghiep
https://techcombank.com/thong-tin/blog/cach-nop-thue-dien-tu
https://techcombank.com/thong-tin/blog/tra-cuu-no-thu"&amp;"e-doanh-nghiep
https://techcombank.com/thong-tin/blog/chuyen-doi-ho-kinh-doanh-len-doanh-nghiep
https://techcombank.com/thong-tin/blog/nen-thanh-lap-ho-kinh-doanh-ke-khai-hay-doanh-nghiep
https://techcombank.com/thong-tin/blog/giai-dap-ve-thue-doanh-nghie"&amp;"p
https://techcombank.com/thong-tin/blog/one-stop-shop
https://techcombank.com/thong-tin/blog/app-chia-tien
https://techcombank.com/thong-tin/blog/hoa-don-dien-tu
https://techcombank.com/thong-tin/blog/ke-khai-thue-ho-kinh-doanh-ca-the-online
https://tech"&amp;"combank.com/thong-tin/blog/may-tinh-tien")</f>
        <v>https://techcombank.com/thong-tin/blog/ke-khai-thue-doanh-nghiep
https://techcombank.com/thong-tin/blog/hoan-thue-doanh-nghiep
https://techcombank.com/thong-tin/blog/thue-thu-nhap-doanh-nghiep
https://techcombank.com/thong-tin/blog/thue-thuong-mai-dien-tu
https://techcombank.com/thong-tin/blog/nhung-chi-phi-khong-duoc-tru-khi-tinh-thue-tndn
https://techcombank.com/thong-tin/blog/kinh-nghiem-chuyen-doi-tu-ho-kinh-doanh-len-doanh-nghiep
https://techcombank.com/thong-tin/blog/thue-khoan-ho-kinh-doanh-la-gi
https://techcombank.com/thong-tin/blog/cach-su-dung-tai-khoan-cong-ty
https://techcombank.com/thong-tin/blog/gia-dien-sinh-hoat
https://techcombank.com/thong-tin/blog/tra-luong-tien-mat
https://techcombank.com/thong-tin/blog/cong-ty-su-dung-tai-khoan-ca-nhan
https://techcombank.com/thong-tin/blog/vi-dien-tu
https://techcombank.com/thong-tin/blog/hieu-hiet-ve-tuan-thu-thue-cho-cac-doanh-nghiep-khoi-nghiep
https://techcombank.com/thong-tin/blog/thue-ho-kinh-doanh-2025
https://techcombank.com/thong-tin/blog/ho-kinh-doanh-ca-the
https://techcombank.com/thong-tin/blog/thue-phi-co-dinh-khi-chuyen-doi-tu-ho-kinh-doanh-len-doanh-nghiep
https://techcombank.com/thong-tin/blog/cach-tinh-tien-dien-sinh-hoat
https://techcombank.com/thong-tin/blog/thanh-toan-khi-du-lich-thai-lan
https://techcombank.com/thong-tin/blog/nhung-ho-kinh-doanh-duoc-mien-thue
https://techcombank.com/thong-tin/blog/thue-doanh-nghiep
https://techcombank.com/thong-tin/blog/cach-nop-thue-dien-tu
https://techcombank.com/thong-tin/blog/tra-cuu-no-thue-doanh-nghiep
https://techcombank.com/thong-tin/blog/chuyen-doi-ho-kinh-doanh-len-doanh-nghiep
https://techcombank.com/thong-tin/blog/nen-thanh-lap-ho-kinh-doanh-ke-khai-hay-doanh-nghiep
https://techcombank.com/thong-tin/blog/giai-dap-ve-thue-doanh-nghiep
https://techcombank.com/thong-tin/blog/one-stop-shop
https://techcombank.com/thong-tin/blog/app-chia-tien
https://techcombank.com/thong-tin/blog/hoa-don-dien-tu
https://techcombank.com/thong-tin/blog/ke-khai-thue-ho-kinh-doanh-ca-the-online
https://techcombank.com/thong-tin/blog/may-tinh-tien</v>
      </c>
    </row>
    <row r="21">
      <c r="A21" s="33">
        <v>6.0</v>
      </c>
      <c r="B21" s="34" t="s">
        <v>236</v>
      </c>
      <c r="C21" s="35" t="s">
        <v>196</v>
      </c>
      <c r="D21" s="36">
        <v>30.0</v>
      </c>
      <c r="E21" s="37">
        <f>COUNTIF('Kế hoạch chèn link (mới)'!$B$3:$B$2944,B21)</f>
        <v>22</v>
      </c>
      <c r="F21" s="38" t="str">
        <f>IFERROR(__xludf.DUMMYFUNCTION("TEXTJOIN(CHAR(10),TRUE,FILTER('Kế hoạch chèn link (mới)'!$F$3:$F$2944,'Kế hoạch chèn link (mới)'!$B$3:$B$2944=B21))"),"https://techcombank.com/thong-tin/blog/kiem-tra-ma-so-thue-doanh-nghiep
https://techcombank.com/thong-tin/blog/tra-cuu-no-thue-hai-quan
https://techcombank.com/thong-tin/blog/quyet-toan-thue-doanh-nghiep
https://techcombank.com/thong-tin/blog/tra-cuu-no-t"&amp;"hue-ho-kinh-doanh
https://techcombank.com/thong-tin/blog/hoan-thue-doanh-nghiep
https://techcombank.com/thong-tin/blog/cach-tra-cuu-hoa-don-dien-tu
https://techcombank.com/thong-tin/blog/tra-luong-tien-mat
https://techcombank.com/thong-tin/blog/sao-ke-tai"&amp;"-khoan-doanh-nghiep
https://techcombank.com/thong-tin/blog/quan-ly-tai-chinh-doanh-nghiep-la-gi
https://techcombank.com/thong-tin/blog/cong-ty-xuat-nhap-khau
https://techcombank.com/thong-tin/blog/thue-doanh-nghiep
https://techcombank.com/thong-tin/blog/n"&amp;"op-thue-hai-quan
https://techcombank.com/thong-tin/blog/cach-kiem-tra-tai-khoan-ngan-hang-cua-cong-ty
https://techcombank.com/thong-tin/blog/mo-them-tai-khoan-ngan-hang-cho-cong-ty
https://techcombank.com/thong-tin/blog/tra-cuu-no-thue-ca-nhan
https://tec"&amp;"hcombank.com/thong-tin/blog/tra-cuu-ma-so-thue-ho-kinh-doanh
https://techcombank.com/thong-tin/blog/dong-ma-so-thue-ho-kinh-doanh
https://techcombank.com/thong-tin/blog/kiem-tra-thue-thu-nhap-ca-nhan
https://techcombank.com/thong-tin/blog/tra-cuu-hoa-don-"&amp;"tien-dien
https://techcombank.com/thong-tin/blog/dang-ky-ma-so-thue-ca-nhan
https://techcombank.com/thong-tin/blog/quyet-toan-thue-thu-nhap-ca-nhan
https://techcombank.com/thong-tin/blog/hoan-thue-thu-nhap-ca-nhan")</f>
        <v>https://techcombank.com/thong-tin/blog/kiem-tra-ma-so-thue-doanh-nghiep
https://techcombank.com/thong-tin/blog/tra-cuu-no-thue-hai-quan
https://techcombank.com/thong-tin/blog/quyet-toan-thue-doanh-nghiep
https://techcombank.com/thong-tin/blog/tra-cuu-no-thue-ho-kinh-doanh
https://techcombank.com/thong-tin/blog/hoan-thue-doanh-nghiep
https://techcombank.com/thong-tin/blog/cach-tra-cuu-hoa-don-dien-tu
https://techcombank.com/thong-tin/blog/tra-luong-tien-mat
https://techcombank.com/thong-tin/blog/sao-ke-tai-khoan-doanh-nghiep
https://techcombank.com/thong-tin/blog/quan-ly-tai-chinh-doanh-nghiep-la-gi
https://techcombank.com/thong-tin/blog/cong-ty-xuat-nhap-khau
https://techcombank.com/thong-tin/blog/thue-doanh-nghiep
https://techcombank.com/thong-tin/blog/nop-thue-hai-quan
https://techcombank.com/thong-tin/blog/cach-kiem-tra-tai-khoan-ngan-hang-cua-cong-ty
https://techcombank.com/thong-tin/blog/mo-them-tai-khoan-ngan-hang-cho-cong-ty
https://techcombank.com/thong-tin/blog/tra-cuu-no-thue-ca-nhan
https://techcombank.com/thong-tin/blog/tra-cuu-ma-so-thue-ho-kinh-doanh
https://techcombank.com/thong-tin/blog/dong-ma-so-thue-ho-kinh-doanh
https://techcombank.com/thong-tin/blog/kiem-tra-thue-thu-nhap-ca-nhan
https://techcombank.com/thong-tin/blog/tra-cuu-hoa-don-tien-dien
https://techcombank.com/thong-tin/blog/dang-ky-ma-so-thue-ca-nhan
https://techcombank.com/thong-tin/blog/quyet-toan-thue-thu-nhap-ca-nhan
https://techcombank.com/thong-tin/blog/hoan-thue-thu-nhap-ca-nhan</v>
      </c>
    </row>
    <row r="22">
      <c r="A22" s="33">
        <v>7.0</v>
      </c>
      <c r="B22" s="34" t="s">
        <v>658</v>
      </c>
      <c r="C22" s="35" t="s">
        <v>196</v>
      </c>
      <c r="D22" s="36">
        <v>30.0</v>
      </c>
      <c r="E22" s="37">
        <f>COUNTIF('Kế hoạch chèn link (mới)'!$B$3:$B$2944,B22)</f>
        <v>30</v>
      </c>
      <c r="F22" s="38" t="str">
        <f>IFERROR(__xludf.DUMMYFUNCTION("TEXTJOIN(CHAR(10),TRUE,FILTER('Kế hoạch chèn link (mới)'!$F$3:$F$2944,'Kế hoạch chèn link (mới)'!$B$3:$B$2944=B22))"),"https://techcombank.com/thong-tin/blog/giai-dap-ve-thue-doanh-nghiep
https://techcombank.com/thong-tin/blog/hieu-hiet-ve-tuan-thu-thue-cho-cac-doanh-nghiep-khoi-nghiep
https://techcombank.com/thong-tin/blog/thue-phi-co-dinh-khi-chuyen-doi-tu-ho-kinh-doanh"&amp;"-len-doanh-nghiep
https://techcombank.com/thong-tin/blog/dieu-kien-thanh-lap-doanh-nghiep
https://techcombank.com/thong-tin/blog/thue-doanh-nghiep-2025
https://techcombank.com/thong-tin/blog/hoan-thue-doanh-nghiep
https://techcombank.com/thong-tin/blog/ki"&amp;"em-tra-ma-so-thue-doanh-nghiep
https://techcombank.com/thong-tin/blog/quyet-toan-thue-doanh-nghiep
https://techcombank.com/thong-tin/blog/ke-khai-thue-doanh-nghiep
https://techcombank.com/thong-tin/blog/tra-cuu-no-thue-doanh-nghiep
https://techcombank.com"&amp;"/thong-tin/blog/thue-thu-nhap-doanh-nghiep
https://techcombank.com/thong-tin/blog/nhung-chi-phi-khong-duoc-tru-khi-tinh-thue-tndn
https://techcombank.com/thong-tin/blog/huong-dan-dang-ky-thanh-lap-doanh-nghiep
https://techcombank.com/thong-tin/blog/dang-k"&amp;"y-thanh-lap-doanh-nghiep
https://techcombank.com/thong-tin/blog/cach-tinh-thue-thu-nhap-doanh-nghiep
https://techcombank.com/thong-tin/blog/chinh-sach-thue-moi
https://techcombank.com/thong-tin/blog/ho-so-dang-ky-thanh-lap-doanh-nghiep
https://techcombank"&amp;".com/thong-tin/blog/chuan-bi-cho-doanh-nghiep-khoi-nghiep-truoc-nhung-thay-doi-ve-thue
https://techcombank.com/thong-tin/blog/tim-hieu-ve-chinh-sach-thue-moi
https://techcombank.com/thong-tin/blog/dang-ky-thanh-lap-doanh-nghiep-online
https://techcombank."&amp;"com/thong-tin/blog/thu-tuc-thanh-lap-doanh-nghiep
https://techcombank.com/thong-tin/blog/chuyen-doi-ho-kinh-doanh-len-doanh-nghiep
https://techcombank.com/thong-tin/blog/nen-thanh-lap-ho-kinh-doanh-ke-khai-hay-doanh-nghiep
https://techcombank.com/thong-ti"&amp;"n/blog/cac-sai-lam-pho-bien-khi-chuyen-doi-ho-kinh-doanh-len-sme
https://techcombank.com/thong-tin/blog/cong-ty-su-dung-tai-khoan-ca-nhan
https://techcombank.com/thong-tin/blog/doanh-nghiep-moi-thanh-lap-duoc-uu-dai-gi
https://techcombank.com/thong-tin/bl"&amp;"og/bao-lanh-ngan-hang-la-gi
https://techcombank.com/thong-tin/blog/cac-loai-hinh-doanh-nghiep
https://techcombank.com/thong-tin/blog/cach-quan-ly-tai-chinh-kinh-doanh
https://techcombank.com/thong-tin/blog/tra-cuu-no-thue-hai-quan")</f>
        <v>https://techcombank.com/thong-tin/blog/giai-dap-ve-thue-doanh-nghiep
https://techcombank.com/thong-tin/blog/hieu-hiet-ve-tuan-thu-thue-cho-cac-doanh-nghiep-khoi-nghiep
https://techcombank.com/thong-tin/blog/thue-phi-co-dinh-khi-chuyen-doi-tu-ho-kinh-doanh-len-doanh-nghiep
https://techcombank.com/thong-tin/blog/dieu-kien-thanh-lap-doanh-nghiep
https://techcombank.com/thong-tin/blog/thue-doanh-nghiep-2025
https://techcombank.com/thong-tin/blog/hoan-thue-doanh-nghiep
https://techcombank.com/thong-tin/blog/kiem-tra-ma-so-thue-doanh-nghiep
https://techcombank.com/thong-tin/blog/quyet-toan-thue-doanh-nghiep
https://techcombank.com/thong-tin/blog/ke-khai-thue-doanh-nghiep
https://techcombank.com/thong-tin/blog/tra-cuu-no-thue-doanh-nghiep
https://techcombank.com/thong-tin/blog/thue-thu-nhap-doanh-nghiep
https://techcombank.com/thong-tin/blog/nhung-chi-phi-khong-duoc-tru-khi-tinh-thue-tndn
https://techcombank.com/thong-tin/blog/huong-dan-dang-ky-thanh-lap-doanh-nghiep
https://techcombank.com/thong-tin/blog/dang-ky-thanh-lap-doanh-nghiep
https://techcombank.com/thong-tin/blog/cach-tinh-thue-thu-nhap-doanh-nghiep
https://techcombank.com/thong-tin/blog/chinh-sach-thue-moi
https://techcombank.com/thong-tin/blog/ho-so-dang-ky-thanh-lap-doanh-nghiep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https://techcombank.com/thong-tin/blog/chuyen-doi-ho-kinh-doanh-len-doanh-nghiep
https://techcombank.com/thong-tin/blog/nen-thanh-lap-ho-kinh-doanh-ke-khai-hay-doanh-nghiep
https://techcombank.com/thong-tin/blog/cac-sai-lam-pho-bien-khi-chuyen-doi-ho-kinh-doanh-len-sme
https://techcombank.com/thong-tin/blog/cong-ty-su-dung-tai-khoan-ca-nhan
https://techcombank.com/thong-tin/blog/doanh-nghiep-moi-thanh-lap-duoc-uu-dai-gi
https://techcombank.com/thong-tin/blog/bao-lanh-ngan-hang-la-gi
https://techcombank.com/thong-tin/blog/cac-loai-hinh-doanh-nghiep
https://techcombank.com/thong-tin/blog/cach-quan-ly-tai-chinh-kinh-doanh
https://techcombank.com/thong-tin/blog/tra-cuu-no-thue-hai-quan</v>
      </c>
    </row>
    <row r="23">
      <c r="A23" s="33">
        <v>8.0</v>
      </c>
      <c r="B23" s="34" t="s">
        <v>429</v>
      </c>
      <c r="C23" s="35" t="s">
        <v>196</v>
      </c>
      <c r="D23" s="36">
        <v>30.0</v>
      </c>
      <c r="E23" s="37">
        <f>COUNTIF('Kế hoạch chèn link (mới)'!$B$3:$B$2944,B23)</f>
        <v>29</v>
      </c>
      <c r="F23" s="38" t="str">
        <f>IFERROR(__xludf.DUMMYFUNCTION("TEXTJOIN(CHAR(10),TRUE,FILTER('Kế hoạch chèn link (mới)'!$F$3:$F$2944,'Kế hoạch chèn link (mới)'!$B$3:$B$2944=B23))"),"https://techcombank.com/thong-tin/blog/luu-y-khi-chuyen-tien-vao-tai-khoan-cong-ty
https://techcombank.com/thong-tin/blog/mo-tai-khoan-doanh-nghiep
https://techcombank.com/thong-tin/blog/cach-su-dung-tai-khoan-cong-ty
https://techcombank.com/thong-tin/blo"&amp;"g/tien-chuyen-vao-tai-khoan-co-bi-tinh-thue-khong
https://techcombank.com/thong-tin/blog/vay-tin-chap-la-gi
https://techcombank.com/thong-tin/blog/nop-tien-mat-vao-tai-khoan-cong-ty
https://techcombank.com/thong-tin/blog/tai-khoan-cong-ty-co-chuyen-online"&amp;"-duoc-khong
https://techcombank.com/thong-tin/blog/thu-tuc-thanh-lap-doanh-nghiep
https://techcombank.com/thong-tin/blog/cach-kiem-tra-tai-khoan-ngan-hang-cua-cong-ty
https://techcombank.com/thong-tin/blog/dang-ky-nhieu-tai-khoan-ngan-hang-co-sao-khong
ht"&amp;"tps://techcombank.com/thong-tin/blog/app-theo-doi-chung-chi-quy
https://techcombank.com/thong-tin/blog/cac-loai-bao-hiem-hien-nay
https://techcombank.com/thong-tin/blog/tin-dung-tieu-dung
https://techcombank.com/thong-tin/blog/dong-tai-khoan-ngan-hang-con"&amp;"g-ty
https://techcombank.com/thong-tin/blog/cach-tinh-thue-thu-nhap-doanh-nghiep
https://techcombank.com/thong-tin/blog/thanh-toan-tien-dien-bang-the-tin-dung
https://techcombank.com/thong-tin/blog/mau-mo-tai-khoan-doanh-nghiep-techcombank
https://techcom"&amp;"bank.com/thong-tin/blog/chi-phi-mo-tai-khoan-ngan-hang-cho-cong-ty
https://techcombank.com/thong-tin/blog/loi-ich-cua-tri-tue-nhan-tao
https://techcombank.com/thong-tin/blog/cac-loai-hinh-doanh-nghiep
https://techcombank.com/thong-tin/blog/cach-dang-ky-ma"&amp;"-so-thue-ho-kinh-doanh-online
https://techcombank.com/thong-tin/blog/vay-tin-chap-toi-da-duoc-bao-nhieu
https://techcombank.com/thong-tin/blog/co-nen-gui-tiet-kiem-ngan-hang
https://techcombank.com/thong-tin/blog/mat-so-dien-thoai-dang-ky-tai-khoan-ngan-h"&amp;"ang
https://techcombank.com/thong-tin/blog/ghi-chep-chi-tieu
https://techcombank.com/thong-tin/blog/bao-lanh-ngan-hang-la-gi
https://techcombank.com/thong-tin/blog/dao-han-the-tin-dung
https://techcombank.com/thong-tin/blog/lich-su-tin-dung
https://techco"&amp;"mbank.com/thong-tin/blog/phuong-phap-dau-tu-chung-chi-quy")</f>
        <v>https://techcombank.com/thong-tin/blog/luu-y-khi-chuyen-tien-vao-tai-khoan-cong-ty
https://techcombank.com/thong-tin/blog/mo-tai-khoan-doanh-nghiep
https://techcombank.com/thong-tin/blog/cach-su-dung-tai-khoan-cong-ty
https://techcombank.com/thong-tin/blog/tien-chuyen-vao-tai-khoan-co-bi-tinh-thue-khong
https://techcombank.com/thong-tin/blog/vay-tin-chap-la-gi
https://techcombank.com/thong-tin/blog/nop-tien-mat-vao-tai-khoan-cong-ty
https://techcombank.com/thong-tin/blog/tai-khoan-cong-ty-co-chuyen-online-duoc-khong
https://techcombank.com/thong-tin/blog/thu-tuc-thanh-lap-doanh-nghiep
https://techcombank.com/thong-tin/blog/cach-kiem-tra-tai-khoan-ngan-hang-cua-cong-ty
https://techcombank.com/thong-tin/blog/dang-ky-nhieu-tai-khoan-ngan-hang-co-sao-khong
https://techcombank.com/thong-tin/blog/app-theo-doi-chung-chi-quy
https://techcombank.com/thong-tin/blog/cac-loai-bao-hiem-hien-nay
https://techcombank.com/thong-tin/blog/tin-dung-tieu-dung
https://techcombank.com/thong-tin/blog/dong-tai-khoan-ngan-hang-cong-ty
https://techcombank.com/thong-tin/blog/cach-tinh-thue-thu-nhap-doanh-nghiep
https://techcombank.com/thong-tin/blog/thanh-toan-tien-dien-bang-the-tin-dung
https://techcombank.com/thong-tin/blog/mau-mo-tai-khoan-doanh-nghiep-techcombank
https://techcombank.com/thong-tin/blog/chi-phi-mo-tai-khoan-ngan-hang-cho-cong-ty
https://techcombank.com/thong-tin/blog/loi-ich-cua-tri-tue-nhan-tao
https://techcombank.com/thong-tin/blog/cac-loai-hinh-doanh-nghiep
https://techcombank.com/thong-tin/blog/cach-dang-ky-ma-so-thue-ho-kinh-doanh-online
https://techcombank.com/thong-tin/blog/vay-tin-chap-toi-da-duoc-bao-nhieu
https://techcombank.com/thong-tin/blog/co-nen-gui-tiet-kiem-ngan-hang
https://techcombank.com/thong-tin/blog/mat-so-dien-thoai-dang-ky-tai-khoan-ngan-hang
https://techcombank.com/thong-tin/blog/ghi-chep-chi-tieu
https://techcombank.com/thong-tin/blog/bao-lanh-ngan-hang-la-gi
https://techcombank.com/thong-tin/blog/dao-han-the-tin-dung
https://techcombank.com/thong-tin/blog/lich-su-tin-dung
https://techcombank.com/thong-tin/blog/phuong-phap-dau-tu-chung-chi-quy</v>
      </c>
    </row>
    <row r="24">
      <c r="A24" s="33">
        <v>9.0</v>
      </c>
      <c r="B24" s="34" t="s">
        <v>127</v>
      </c>
      <c r="C24" s="35" t="s">
        <v>196</v>
      </c>
      <c r="D24" s="36">
        <v>30.0</v>
      </c>
      <c r="E24" s="37">
        <f>COUNTIF('Kế hoạch chèn link (mới)'!$B$3:$B$2944,B24)</f>
        <v>22</v>
      </c>
      <c r="F24" s="38" t="str">
        <f>IFERROR(__xludf.DUMMYFUNCTION("TEXTJOIN(CHAR(10),TRUE,FILTER('Kế hoạch chèn link (mới)'!$F$3:$F$2944,'Kế hoạch chèn link (mới)'!$B$3:$B$2944=B24))"),"https://techcombank.com/thong-tin/blog/nhung-chi-phi-khong-duoc-tru-khi-tinh-thue-tndn
https://techcombank.com/thong-tin/blog/khau-hao
https://techcombank.com/thong-tin/blog/loi-nhuan-rong
https://techcombank.com/thong-tin/blog/chuan-bi-cho-doanh-nghiep-k"&amp;"hoi-nghiep-truoc-nhung-thay-doi-ve-thue
https://techcombank.com/thong-tin/blog/tra-luong-tien-mat
https://techcombank.com/thong-tin/blog/tim-hieu-ve-chinh-sach-thue-moi
https://techcombank.com/thong-tin/blog/ebitda-la-gi
https://techcombank.com/thong-tin/"&amp;"blog/cach-su-dung-tai-khoan-cong-ty
https://techcombank.com/thong-tin/blog/luu-y-khi-chuyen-tien-vao-tai-khoan-cong-ty
https://techcombank.com/thong-tin/blog/doanh-nghiep-moi-thanh-lap-duoc-uu-dai-gi
https://techcombank.com/thong-tin/blog/thue-doanh-nghie"&amp;"p-2025
https://techcombank.com/thong-tin/blog/khoi-nghiep-truoc-chinh-sach-thue-moi
https://techcombank.com/thong-tin/blog/thue-thu-nhap-doanh-nghiep
https://techcombank.com/thong-tin/blog/quyet-toan-thue-doanh-nghiep
https://techcombank.com/thong-tin/blo"&amp;"g/thue-vat-la-gi
https://techcombank.com/thong-tin/blog/cach-tra-cuu-hoa-don-dien-tu
https://techcombank.com/thong-tin/blog/loi-nhuan
https://techcombank.com/thong-tin/blog/thue-doanh-nghiep
https://techcombank.com/thong-tin/blog/cach-tinh-thue-thu-nhap-c"&amp;"a-nhan-2025
https://techcombank.com/thong-tin/blog/co-50-trieu-nen-mua-vang-hay-gui-tiet-kiem
https://techcombank.com/thong-tin/blog/wacc-la-gi
https://techcombank.com/thong-tin/blog/thue-thu-nhap-ca-nhan")</f>
        <v>https://techcombank.com/thong-tin/blog/nhung-chi-phi-khong-duoc-tru-khi-tinh-thue-tndn
https://techcombank.com/thong-tin/blog/khau-hao
https://techcombank.com/thong-tin/blog/loi-nhuan-rong
https://techcombank.com/thong-tin/blog/chuan-bi-cho-doanh-nghiep-khoi-nghiep-truoc-nhung-thay-doi-ve-thue
https://techcombank.com/thong-tin/blog/tra-luong-tien-mat
https://techcombank.com/thong-tin/blog/tim-hieu-ve-chinh-sach-thue-moi
https://techcombank.com/thong-tin/blog/ebitda-la-gi
https://techcombank.com/thong-tin/blog/cach-su-dung-tai-khoan-cong-ty
https://techcombank.com/thong-tin/blog/luu-y-khi-chuyen-tien-vao-tai-khoan-cong-ty
https://techcombank.com/thong-tin/blog/doanh-nghiep-moi-thanh-lap-duoc-uu-dai-gi
https://techcombank.com/thong-tin/blog/thue-doanh-nghiep-2025
https://techcombank.com/thong-tin/blog/khoi-nghiep-truoc-chinh-sach-thue-moi
https://techcombank.com/thong-tin/blog/thue-thu-nhap-doanh-nghiep
https://techcombank.com/thong-tin/blog/quyet-toan-thue-doanh-nghiep
https://techcombank.com/thong-tin/blog/thue-vat-la-gi
https://techcombank.com/thong-tin/blog/cach-tra-cuu-hoa-don-dien-tu
https://techcombank.com/thong-tin/blog/loi-nhuan
https://techcombank.com/thong-tin/blog/thue-doanh-nghiep
https://techcombank.com/thong-tin/blog/cach-tinh-thue-thu-nhap-ca-nhan-2025
https://techcombank.com/thong-tin/blog/co-50-trieu-nen-mua-vang-hay-gui-tiet-kiem
https://techcombank.com/thong-tin/blog/wacc-la-gi
https://techcombank.com/thong-tin/blog/thue-thu-nhap-ca-nhan</v>
      </c>
    </row>
    <row r="25">
      <c r="A25" s="33">
        <v>10.0</v>
      </c>
      <c r="B25" s="34" t="s">
        <v>914</v>
      </c>
      <c r="C25" s="35" t="s">
        <v>912</v>
      </c>
      <c r="D25" s="36">
        <v>30.0</v>
      </c>
      <c r="E25" s="37">
        <f>COUNTIF('Kế hoạch chèn link (mới)'!$B$3:$B$2944,B25)</f>
        <v>26</v>
      </c>
      <c r="F25" s="38" t="str">
        <f>IFERROR(__xludf.DUMMYFUNCTION("TEXTJOIN(CHAR(10),TRUE,FILTER('Kế hoạch chèn link (mới)'!$F$3:$F$2944,'Kế hoạch chèn link (mới)'!$B$3:$B$2944=B25))"),"https://techcombank.com/thong-tin/blog/nap-tien-dien-thoai-online
https://techcombank.com/thong-tin/blog/thanh-toan-tra-sau-viettel-bang-tai-khoan-ngan-hang
https://techcombank.com/thong-tin/blog/cach-nap-the
https://techcombank.com/thong-tin/blog/cach-na"&amp;"p-the-vina
https://techcombank.com/thong-tin/blog/cach-nap-the-mobi
https://techcombank.com/thong-tin/blog/the-visa-ao-la-gi
https://techcombank.com/thong-tin/blog/cach-nap-tien-vao-the-ghi-no
https://techcombank.com/thong-tin/blog/vi-dien-tu-la-gi
https:"&amp;"//techcombank.com/thong-tin/blog/cach-chuyen-khoan-bang-dien-thoai
https://techcombank.com/thong-tin/blog/shopeepay-la-gi
https://techcombank.com/thong-tin/blog/cach-dong-tien-dien-qua-tai-khoan-ngan-hang
https://techcombank.com/thong-tin/blog/thanh-toan-"&amp;"cuoc-truyen-hinh
https://techcombank.com/thong-tin/blog/thanh-toan-truc-tuyen
https://techcombank.com/thong-tin/blog/voucher-golden-gate
https://techcombank.com/thong-tin/blog/voucher-the-pizza-company
https://techcombank.com/thong-tin/blog/app-dong-tien-"&amp;"dien-online
https://techcombank.com/thong-tin/blog/nap-xu-tiktok
https://techcombank.com/thong-tin/blog/nhung-kho-khan-khi-tiet-kiem-tien
https://techcombank.com/thong-tin/blog/app-vay-tien-nhanh
https://techcombank.com/thong-tin/blog/so-du-tien-gui-la-gi"&amp;"
https://techcombank.com/thong-tin/blog/cach-su-dung-the-visa-techcombank
https://techcombank.com/thong-tin/blog/mat-so-dien-thoai-dang-ky-tai-khoan-ngan-hang
https://techcombank.com/thong-tin/blog/the-tin-dung-la-gi
https://techcombank.com/thong-tin/blog"&amp;"/the-visa-co-may-loai
https://techcombank.com/thong-tin/blog/nen-lam-the-visa-hay-noi-dia
https://techcombank.com/thong-tin/blog/the-visa-khong-thanh-toan-duoc")</f>
        <v>https://techcombank.com/thong-tin/blog/nap-tien-dien-thoai-online
https://techcombank.com/thong-tin/blog/thanh-toan-tra-sau-viettel-bang-tai-khoan-ngan-hang
https://techcombank.com/thong-tin/blog/cach-nap-the
https://techcombank.com/thong-tin/blog/cach-nap-the-vina
https://techcombank.com/thong-tin/blog/cach-nap-the-mobi
https://techcombank.com/thong-tin/blog/the-visa-ao-la-gi
https://techcombank.com/thong-tin/blog/cach-nap-tien-vao-the-ghi-no
https://techcombank.com/thong-tin/blog/vi-dien-tu-la-gi
https://techcombank.com/thong-tin/blog/cach-chuyen-khoan-bang-dien-thoai
https://techcombank.com/thong-tin/blog/shopeepay-la-gi
https://techcombank.com/thong-tin/blog/cach-dong-tien-dien-qua-tai-khoan-ngan-hang
https://techcombank.com/thong-tin/blog/thanh-toan-cuoc-truyen-hinh
https://techcombank.com/thong-tin/blog/thanh-toan-truc-tuyen
https://techcombank.com/thong-tin/blog/voucher-golden-gate
https://techcombank.com/thong-tin/blog/voucher-the-pizza-company
https://techcombank.com/thong-tin/blog/app-dong-tien-dien-online
https://techcombank.com/thong-tin/blog/nap-xu-tiktok
https://techcombank.com/thong-tin/blog/nhung-kho-khan-khi-tiet-kiem-tien
https://techcombank.com/thong-tin/blog/app-vay-tien-nhanh
https://techcombank.com/thong-tin/blog/so-du-tien-gui-la-gi
https://techcombank.com/thong-tin/blog/cach-su-dung-the-visa-techcombank
https://techcombank.com/thong-tin/blog/mat-so-dien-thoai-dang-ky-tai-khoan-ngan-hang
https://techcombank.com/thong-tin/blog/the-tin-dung-la-gi
https://techcombank.com/thong-tin/blog/the-visa-co-may-loai
https://techcombank.com/thong-tin/blog/nen-lam-the-visa-hay-noi-dia
https://techcombank.com/thong-tin/blog/the-visa-khong-thanh-toan-duoc</v>
      </c>
    </row>
    <row r="26">
      <c r="A26" s="33">
        <v>13.0</v>
      </c>
      <c r="B26" s="34" t="s">
        <v>1127</v>
      </c>
      <c r="C26" s="35" t="s">
        <v>912</v>
      </c>
      <c r="D26" s="36">
        <v>30.0</v>
      </c>
      <c r="E26" s="37">
        <f>COUNTIF('Kế hoạch chèn link (mới)'!$B$3:$B$2944,B26)</f>
        <v>30</v>
      </c>
      <c r="F26" s="38" t="str">
        <f>IFERROR(__xludf.DUMMYFUNCTION("TEXTJOIN(CHAR(10),TRUE,FILTER('Kế hoạch chèn link (mới)'!$F$3:$F$2944,'Kế hoạch chèn link (mới)'!$B$3:$B$2944=B26))"),"https://techcombank.com/thong-tin/blog/so-tai-khoan-ngan-hang
https://techcombank.com/thong-tin/blog/so-du-kha-dung
https://techcombank.com/thong-tin/blog/cach-kiem-tra-tai-khoan-ngan-hang-cua-cong-ty
https://techcombank.com/thong-tin/blog/sms-banking
htt"&amp;"ps://techcombank.com/thong-tin/blog/ma-giao-dich-la-gi
https://techcombank.com/thong-tin/blog/co-nen-mua-so-tai-khoan-ngan-hang-dep
https://techcombank.com/thong-tin/blog/cdm
https://techcombank.com/thong-tin/blog/lo-so-tai-khoan-ngan-hang-co-sao-khong
ht"&amp;"tps://techcombank.com/thong-tin/blog/8868
https://techcombank.com/thong-tin/blog/day-so-phat-tai-phat-loc
https://techcombank.com/thong-tin/blog/66666-co-y-nghia-gi
https://techcombank.com/thong-tin/blog/so-8386
https://techcombank.com/thong-tin/blog/so-t"&amp;"he-ngan-hang
https://techcombank.com/thong-tin/blog/so-tai-khoan-dep
https://techcombank.com/thong-tin/blog/99999-co-y-nghia-gi
https://techcombank.com/thong-tin/blog/so-6868
https://techcombank.com/thong-tin/blog/y-nghia-so-68
https://techcombank.com/tho"&amp;"ng-tin/blog/cach-chuyen-tien
https://techcombank.com/thong-tin/blog/vip-ngan-hang
https://techcombank.com/thong-tin/blog/nap-tien-vao-tai-khoan-ngan-hang
https://techcombank.com/thong-tin/blog/1-cmnd-dang-ky-duoc-may-tai-khoan-ngan-hang
https://techcomban"&amp;"k.com/thong-tin/blog/cach-doi-mat-khau-tai-khoan-ngan-hang
https://techcombank.com/thong-tin/blog/mo-tai-khoan-ngan-hang-online-co-an-toan-khong
https://techcombank.com/thong-tin/blog/mo-tai-khoan-ngan-hang-co-mat-phi-khong
https://techcombank.com/thong-t"&amp;"in/blog/cach-chon-so-tai-khoan-dep
https://techcombank.com/thong-tin/blog/so-du-tai-khoan-thanh-toan
https://techcombank.com/thong-tin/blog/so-du-tien-gui-la-gi
https://techcombank.com/thong-tin/blog/cach-chuyen-khoan-bang-dien-thoai
https://techcombank.c"&amp;"om/thong-tin/blog/cach-lay-lai-tien-da-chuyen-khoan-khi-bi-lua
https://techcombank.com/thong-tin/blog/lo-ma-qr-ngan-hang-co-sao-khong")</f>
        <v>https://techcombank.com/thong-tin/blog/so-tai-khoan-ngan-hang
https://techcombank.com/thong-tin/blog/so-du-kha-dung
https://techcombank.com/thong-tin/blog/cach-kiem-tra-tai-khoan-ngan-hang-cua-cong-ty
https://techcombank.com/thong-tin/blog/sms-banking
https://techcombank.com/thong-tin/blog/ma-giao-dich-la-gi
https://techcombank.com/thong-tin/blog/co-nen-mua-so-tai-khoan-ngan-hang-dep
https://techcombank.com/thong-tin/blog/cdm
https://techcombank.com/thong-tin/blog/lo-so-tai-khoan-ngan-hang-co-sao-khong
https://techcombank.com/thong-tin/blog/8868
https://techcombank.com/thong-tin/blog/day-so-phat-tai-phat-loc
https://techcombank.com/thong-tin/blog/66666-co-y-nghia-gi
https://techcombank.com/thong-tin/blog/so-8386
https://techcombank.com/thong-tin/blog/so-the-ngan-hang
https://techcombank.com/thong-tin/blog/so-tai-khoan-dep
https://techcombank.com/thong-tin/blog/99999-co-y-nghia-gi
https://techcombank.com/thong-tin/blog/so-6868
https://techcombank.com/thong-tin/blog/y-nghia-so-68
https://techcombank.com/thong-tin/blog/cach-chuyen-tien
https://techcombank.com/thong-tin/blog/vip-ngan-hang
https://techcombank.com/thong-tin/blog/nap-tien-vao-tai-khoan-ngan-hang
https://techcombank.com/thong-tin/blog/1-cmnd-dang-ky-duoc-may-tai-khoan-ngan-hang
https://techcombank.com/thong-tin/blog/cach-doi-mat-khau-tai-khoan-ngan-hang
https://techcombank.com/thong-tin/blog/mo-tai-khoan-ngan-hang-online-co-an-toan-khong
https://techcombank.com/thong-tin/blog/mo-tai-khoan-ngan-hang-co-mat-phi-khong
https://techcombank.com/thong-tin/blog/cach-chon-so-tai-khoan-dep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v>
      </c>
    </row>
    <row r="27">
      <c r="A27" s="33">
        <v>14.0</v>
      </c>
      <c r="B27" s="34" t="s">
        <v>1087</v>
      </c>
      <c r="C27" s="35" t="s">
        <v>912</v>
      </c>
      <c r="D27" s="36">
        <v>30.0</v>
      </c>
      <c r="E27" s="37">
        <f>COUNTIF('Kế hoạch chèn link (mới)'!$B$3:$B$2944,B27)</f>
        <v>30</v>
      </c>
      <c r="F27" s="38" t="str">
        <f>IFERROR(__xludf.DUMMYFUNCTION("TEXTJOIN(CHAR(10),TRUE,FILTER('Kế hoạch chèn link (mới)'!$F$3:$F$2944,'Kế hoạch chèn link (mới)'!$B$3:$B$2944=B27))"),"https://techcombank.com/thong-tin/blog/mo-tai-khoan-ngan-hang-online-co-an-toan-khong
https://techcombank.com/thong-tin/blog/mo-tai-khoan-ngan-hang-co-mat-phi-khong
https://techcombank.com/thong-tin/blog/tai-khoan-ngan-hang-la-gi
https://techcombank.com/t"&amp;"hong-tin/blog/nho-nguoi-than-mo-tai-khoan-ngan-hang
https://techcombank.com/thong-tin/blog/bao-nhieu-tuoi-duoc-mo-tai-khoan-ngan-hang
https://techcombank.com/thong-tin/blog/xac-thuc-sinh-trac-hoc-khi-chuyen-tien
https://techcombank.com/thong-tin/blog/1-cm"&amp;"nd-dang-ky-duoc-may-tai-khoan-ngan-hang
https://techcombank.com/thong-tin/blog/nap-tien-vao-tai-khoan-ngan-hang
https://techcombank.com/thong-tin/blog/mo-tai-khoan-ngan-hang-duoi-18-tuoi
https://techcombank.com/thong-tin/blog/lien-ket-tai-khoan-ngan-hang-"&amp;"voi-etax-mobile
https://techcombank.com/thong-tin/blog/cach-kiem-tra-tai-khoan-ngan-hang-cua-cong-ty
https://techcombank.com/thong-tin/blog/cach-lien-ket-epass-voi-tai-khoan-ngan-hang
https://techcombank.com/thong-tin/blog/khai-bao-tai-khoan-ngan-hang-voi"&amp;"-co-quan-thue
https://techcombank.com/thong-tin/blog/techcombank-sinh-loi-tu-dong
https://techcombank.com/thong-tin/blog/cach-doi-mat-khau-tai-khoan-ngan-hang
https://techcombank.com/thong-tin/blog/cach-lien-ket-tai-khoan-ngan-hang-voi-vneid
https://techc"&amp;"ombank.com/thong-tin/blog/lo-so-tai-khoan-ngan-hang-co-sao-khong
https://techcombank.com/thong-tin/blog/thue-thu-nhap-ca-nhan
https://techcombank.com/thong-tin/blog/cach-dong-tien-dien-qua-tai-khoan-ngan-hang
https://techcombank.com/thong-tin/blog/mat-so-"&amp;"dien-thoai-dang-ky-tai-khoan-ngan-hang
https://techcombank.com/thong-tin/blog/mo-tai-khoan-doanh-nghiep
https://techcombank.com/thong-tin/blog/dong-tai-khoan-ngan-hang-cong-ty
https://techcombank.com/thong-tin/blog/mo-tai-khoan-ho-kinh-doanh
https://techc"&amp;"ombank.com/thong-tin/blog/co-nen-mua-so-tai-khoan-ngan-hang-dep
https://techcombank.com/thong-tin/blog/nen-mo-tai-khoan-ngan-hang-nao-cho-doanh-nghiep
https://techcombank.com/thong-tin/blog/mo-them-tai-khoan-ngan-hang-cho-cong-ty
https://techcombank.com/t"&amp;"hong-tin/blog/tai-khoan-ngan-hang-chua-toi-da-bao-nhieu-tien
https://techcombank.com/thong-tin/blog/88-la-gi
https://techcombank.com/thong-tin/blog/dang-ky-nhieu-tai-khoan-ngan-hang-co-sao-khong
https://techcombank.com/thong-tin/blog/mau-mo-tai-khoan-doan"&amp;"h-nghiep-techcombank")</f>
        <v>https://techcombank.com/thong-tin/blog/mo-tai-khoan-ngan-hang-online-co-an-toan-khong
https://techcombank.com/thong-tin/blog/mo-tai-khoan-ngan-hang-co-mat-phi-khong
https://techcombank.com/thong-tin/blog/tai-khoan-ngan-hang-la-gi
https://techcombank.com/thong-tin/blog/nho-nguoi-than-mo-tai-khoan-ngan-hang
https://techcombank.com/thong-tin/blog/bao-nhieu-tuoi-duoc-mo-tai-khoan-ngan-hang
https://techcombank.com/thong-tin/blog/xac-thuc-sinh-trac-hoc-khi-chuyen-tien
https://techcombank.com/thong-tin/blog/1-cmnd-dang-ky-duoc-may-tai-khoan-ngan-hang
https://techcombank.com/thong-tin/blog/nap-tien-vao-tai-khoan-ngan-hang
https://techcombank.com/thong-tin/blog/mo-tai-khoan-ngan-hang-duoi-18-tuoi
https://techcombank.com/thong-tin/blog/lien-ket-tai-khoan-ngan-hang-voi-etax-mobile
https://techcombank.com/thong-tin/blog/cach-kiem-tra-tai-khoan-ngan-hang-cua-cong-ty
https://techcombank.com/thong-tin/blog/cach-lien-ket-epass-voi-tai-khoan-ngan-hang
https://techcombank.com/thong-tin/blog/khai-bao-tai-khoan-ngan-hang-voi-co-quan-thue
https://techcombank.com/thong-tin/blog/techcombank-sinh-loi-tu-dong
https://techcombank.com/thong-tin/blog/cach-doi-mat-khau-tai-khoan-ngan-hang
https://techcombank.com/thong-tin/blog/cach-lien-ket-tai-khoan-ngan-hang-voi-vneid
https://techcombank.com/thong-tin/blog/lo-so-tai-khoan-ngan-hang-co-sao-khong
https://techcombank.com/thong-tin/blog/thue-thu-nhap-ca-nhan
https://techcombank.com/thong-tin/blog/cach-dong-tien-dien-qua-tai-khoan-ngan-hang
https://techcombank.com/thong-tin/blog/mat-so-dien-thoai-dang-ky-tai-khoan-ngan-hang
https://techcombank.com/thong-tin/blog/mo-tai-khoan-doanh-nghiep
https://techcombank.com/thong-tin/blog/dong-tai-khoan-ngan-hang-cong-ty
https://techcombank.com/thong-tin/blog/mo-tai-khoan-ho-kinh-doanh
https://techcombank.com/thong-tin/blog/co-nen-mua-so-tai-khoan-ngan-hang-dep
https://techcombank.com/thong-tin/blog/nen-mo-tai-khoan-ngan-hang-nao-cho-doanh-nghiep
https://techcombank.com/thong-tin/blog/mo-them-tai-khoan-ngan-hang-cho-cong-ty
https://techcombank.com/thong-tin/blog/tai-khoan-ngan-hang-chua-toi-da-bao-nhieu-tien
https://techcombank.com/thong-tin/blog/88-la-gi
https://techcombank.com/thong-tin/blog/dang-ky-nhieu-tai-khoan-ngan-hang-co-sao-khong
https://techcombank.com/thong-tin/blog/mau-mo-tai-khoan-doanh-nghiep-techcombank</v>
      </c>
    </row>
    <row r="28">
      <c r="A28" s="33">
        <v>15.0</v>
      </c>
      <c r="B28" s="34" t="s">
        <v>1241</v>
      </c>
      <c r="C28" s="35" t="s">
        <v>912</v>
      </c>
      <c r="D28" s="36">
        <v>30.0</v>
      </c>
      <c r="E28" s="37">
        <f>COUNTIF('Kế hoạch chèn link (mới)'!$B$3:$B$2944,B28)</f>
        <v>30</v>
      </c>
      <c r="F28" s="38" t="str">
        <f>IFERROR(__xludf.DUMMYFUNCTION("TEXTJOIN(CHAR(10),TRUE,FILTER('Kế hoạch chèn link (mới)'!$F$3:$F$2944,'Kế hoạch chèn link (mới)'!$B$3:$B$2944=B28))"),"https://techcombank.com/thong-tin/blog/gui-tien-ngan-hang-co-an-toan-khong
https://techcombank.com/thong-tin/blog/app-ngan-hang-uy-tin
https://techcombank.com/thong-tin/blog/rui-ro-khi-gui-tiet-kiem-ngan-hang
https://techcombank.com/thong-tin/blog/tin-cha"&amp;"p-doanh-nghiep
https://techcombank.com/thong-tin/blog/quy-dinh-ve-mua-ban-ngoai-te-cua-doanh-nghiep
https://techcombank.com/thong-tin/blog/chuyen-tien-tro-cap-than-nhan-o-nuoc-ngoai
https://techcombank.com/thong-tin/blog/nop-tien-mat-vao-tai-khoan-cong-ty"&amp;"
https://techcombank.com/thong-tin/blog/quy-du-phong-tai-chinh-la-gi
https://techcombank.com/thong-tin/blog/nen-mo-tai-khoan-ngan-hang-nao-cho-doanh-nghiep
https://techcombank.com/thong-tin/blog/kinh-nghiem-gui-tiet-kiem-online
https://techcombank.com/tho"&amp;"ng-tin/blog/co-nen-gui-tiet-kiem-ngan-hang
https://techcombank.com/thong-tin/blog/bao-lanh-vay-von
https://techcombank.com/thong-tin/blog/gia-tri-thuong-hieu
https://techcombank.com/thong-tin/blog/lai-suat-vay-mua-o-to
https://techcombank.com/thong-tin/bl"&amp;"og/nen-vay-tin-chap-o-dau
https://techcombank.com/thong-tin/blog/nen-vay-the-chap-ngan-hang-nao
https://techcombank.com/thong-tin/blog/vay-mua-xe-tra-gop-ngan-hang-nao-tot-nhat
https://techcombank.com/thong-tin/blog/uu-dai-mo-the-tin-dung
https://techcomb"&amp;"ank.com/thong-tin/blog/app-ngan-hang
https://techcombank.com/thong-tin/blog/hoc-sinh-sinh-vien-nen-lam-the-ngan-hang-nao
https://techcombank.com/thong-tin/blog/gui-tiet-kiem-ngoai-te
https://techcombank.com/thong-tin/blog/viet-kieu-co-mo-duoc-tai-khoan-ng"&amp;"an-hang-khong
https://techcombank.com/thong-tin/blog/ty-gia-cac-ngan-hang
https://techcombank.com/thong-tin/blog/lam-the-visa-o-dau
https://techcombank.com/thong-tin/blog/mat-the-tin-dung-co-lam-lai-duoc-khong
https://techcombank.com/thong-tin/blog/lai-su"&amp;"at-chung-chi-tien-gui-cac-ngan-hang
https://techcombank.com/thong-tin/blog/ty-gia-la-gi
https://techcombank.com/thong-tin/blog/dieu-kien-vay-von-ngan-hang
https://techcombank.com/thong-tin/blog/vay-sinh-vien
https://techcombank.com/thong-tin/blog/the-tin-"&amp;"dung-mien-lai-55-ngay")</f>
        <v>https://techcombank.com/thong-tin/blog/gui-tien-ngan-hang-co-an-toan-khong
https://techcombank.com/thong-tin/blog/app-ngan-hang-uy-tin
https://techcombank.com/thong-tin/blog/rui-ro-khi-gui-tiet-kiem-ngan-hang
https://techcombank.com/thong-tin/blog/tin-chap-doanh-nghiep
https://techcombank.com/thong-tin/blog/quy-dinh-ve-mua-ban-ngoai-te-cua-doanh-nghiep
https://techcombank.com/thong-tin/blog/chuyen-tien-tro-cap-than-nhan-o-nuoc-ngoai
https://techcombank.com/thong-tin/blog/nop-tien-mat-vao-tai-khoan-cong-ty
https://techcombank.com/thong-tin/blog/quy-du-phong-tai-chinh-la-gi
https://techcombank.com/thong-tin/blog/nen-mo-tai-khoan-ngan-hang-nao-cho-doanh-nghiep
https://techcombank.com/thong-tin/blog/kinh-nghiem-gui-tiet-kiem-online
https://techcombank.com/thong-tin/blog/co-nen-gui-tiet-kiem-ngan-hang
https://techcombank.com/thong-tin/blog/bao-lanh-vay-von
https://techcombank.com/thong-tin/blog/gia-tri-thuong-hieu
https://techcombank.com/thong-tin/blog/lai-suat-vay-mua-o-to
https://techcombank.com/thong-tin/blog/nen-vay-tin-chap-o-dau
https://techcombank.com/thong-tin/blog/nen-vay-the-chap-ngan-hang-nao
https://techcombank.com/thong-tin/blog/vay-mua-xe-tra-gop-ngan-hang-nao-tot-nhat
https://techcombank.com/thong-tin/blog/uu-dai-mo-the-tin-dung
https://techcombank.com/thong-tin/blog/app-ngan-hang
https://techcombank.com/thong-tin/blog/hoc-sinh-sinh-vien-nen-lam-the-ngan-hang-nao
https://techcombank.com/thong-tin/blog/gui-tiet-kiem-ngoai-te
https://techcombank.com/thong-tin/blog/viet-kieu-co-mo-duoc-tai-khoan-ngan-hang-khong
https://techcombank.com/thong-tin/blog/ty-gia-cac-ngan-hang
https://techcombank.com/thong-tin/blog/lam-the-visa-o-dau
https://techcombank.com/thong-tin/blog/mat-the-tin-dung-co-lam-lai-duoc-khong
https://techcombank.com/thong-tin/blog/lai-suat-chung-chi-tien-gui-cac-ngan-hang
https://techcombank.com/thong-tin/blog/ty-gia-la-gi
https://techcombank.com/thong-tin/blog/dieu-kien-vay-von-ngan-hang
https://techcombank.com/thong-tin/blog/vay-sinh-vien
https://techcombank.com/thong-tin/blog/the-tin-dung-mien-lai-55-ngay</v>
      </c>
    </row>
    <row r="29">
      <c r="A29" s="33">
        <v>16.0</v>
      </c>
      <c r="B29" s="34" t="s">
        <v>1323</v>
      </c>
      <c r="C29" s="35" t="s">
        <v>912</v>
      </c>
      <c r="D29" s="36">
        <v>30.0</v>
      </c>
      <c r="E29" s="37">
        <f>COUNTIF('Kế hoạch chèn link (mới)'!$B$3:$B$2944,B29)</f>
        <v>28</v>
      </c>
      <c r="F29" s="38" t="str">
        <f>IFERROR(__xludf.DUMMYFUNCTION("TEXTJOIN(CHAR(10),TRUE,FILTER('Kế hoạch chèn link (mới)'!$F$3:$F$2944,'Kế hoạch chèn link (mới)'!$B$3:$B$2944=B29))"),"https://techcombank.com/thong-tin/blog/ma-giao-dich-la-gi
https://techcombank.com/thong-tin/blog/cach-chuyen-tien
https://techcombank.com/thong-tin/blog/chuyen-nham-tien-co-lay-lai-duoc-khong
https://techcombank.com/thong-tin/blog/ngan-hang-thu-huong-la-g"&amp;"i
https://techcombank.com/thong-tin/blog/ho-kinh-doanh-can-gi-o-tai-khoan-ngan-hang
https://techcombank.com/thong-tin/blog/ma-qr-ngan-hang-khong-hop-le
https://techcombank.com/thong-tin/blog/luu-y-khi-chuyen-tien-vao-tai-khoan-cong-ty
https://techcombank."&amp;"com/thong-tin/blog/loa-ting-ting
https://techcombank.com/thong-tin/blog/cach-nap-tien-vao-the-ghi-no
https://techcombank.com/thong-tin/blog/cach-chuyen-tien-qua-ma-qr-techcombank
https://techcombank.com/thong-tin/blog/cach-chuyen-khoan-bang-dien-thoai
htt"&amp;"ps://techcombank.com/thong-tin/blog/loa-thong-bao-chuyen-khoan
https://techcombank.com/thong-tin/blog/remittance-la-gi
https://techcombank.com/thong-tin/blog/cdm
https://techcombank.com/thong-tin/blog/cach-tao-ma-qr-code-mien-phi
https://techcombank.com/t"&amp;"hong-tin/blog/cach-lay-lai-tien-da-chuyen-khoan-khi-bi-lua
https://techcombank.com/thong-tin/blog/gui-tien-du-hoc
https://techcombank.com/thong-tin/blog/iban-la-gi
https://techcombank.com/thong-tin/blog/tai-khoan-ngan-hang-bi-khoa
https://techcombank.com/"&amp;"thong-tin/blog/tai-khoan-ngan-hang-con-0-dong-co-sao-khong
https://techcombank.com/thong-tin/blog/vi-dien-tu-la-gi
https://techcombank.com/thong-tin/blog/token-la-gi
https://techcombank.com/thong-tin/blog/xac-thuc-sinh-trac-hoc-khi-chuyen-tien
https://tec"&amp;"hcombank.com/thong-tin/blog/casa-la-gi
https://techcombank.com/thong-tin/blog/the-ghi-no-co-chuyen-khoan-duoc-khong
https://techcombank.com/thong-tin/blog/chuyen-tien-dinh-cu
https://techcombank.com/thong-tin/blog/dinh-cu-chau-au
https://techcombank.com/t"&amp;"hong-tin/blog/cam-nang-dinh-cu-my")</f>
        <v>https://techcombank.com/thong-tin/blog/ma-giao-dich-la-gi
https://techcombank.com/thong-tin/blog/cach-chuyen-tien
https://techcombank.com/thong-tin/blog/chuyen-nham-tien-co-lay-lai-duoc-khong
https://techcombank.com/thong-tin/blog/ngan-hang-thu-huong-la-gi
https://techcombank.com/thong-tin/blog/ho-kinh-doanh-can-gi-o-tai-khoan-ngan-hang
https://techcombank.com/thong-tin/blog/ma-qr-ngan-hang-khong-hop-le
https://techcombank.com/thong-tin/blog/luu-y-khi-chuyen-tien-vao-tai-khoan-cong-ty
https://techcombank.com/thong-tin/blog/loa-ting-ting
https://techcombank.com/thong-tin/blog/cach-nap-tien-vao-the-ghi-no
https://techcombank.com/thong-tin/blog/cach-chuyen-tien-qua-ma-qr-techcombank
https://techcombank.com/thong-tin/blog/cach-chuyen-khoan-bang-dien-thoai
https://techcombank.com/thong-tin/blog/loa-thong-bao-chuyen-khoan
https://techcombank.com/thong-tin/blog/remittance-la-gi
https://techcombank.com/thong-tin/blog/cdm
https://techcombank.com/thong-tin/blog/cach-tao-ma-qr-code-mien-phi
https://techcombank.com/thong-tin/blog/cach-lay-lai-tien-da-chuyen-khoan-khi-bi-lua
https://techcombank.com/thong-tin/blog/gui-tien-du-hoc
https://techcombank.com/thong-tin/blog/iban-la-gi
https://techcombank.com/thong-tin/blog/tai-khoan-ngan-hang-bi-khoa
https://techcombank.com/thong-tin/blog/tai-khoan-ngan-hang-con-0-dong-co-sao-khong
https://techcombank.com/thong-tin/blog/vi-dien-tu-la-gi
https://techcombank.com/thong-tin/blog/token-la-gi
https://techcombank.com/thong-tin/blog/xac-thuc-sinh-trac-hoc-khi-chuyen-tien
https://techcombank.com/thong-tin/blog/casa-la-gi
https://techcombank.com/thong-tin/blog/the-ghi-no-co-chuyen-khoan-duoc-khong
https://techcombank.com/thong-tin/blog/chuyen-tien-dinh-cu
https://techcombank.com/thong-tin/blog/dinh-cu-chau-au
https://techcombank.com/thong-tin/blog/cam-nang-dinh-cu-my</v>
      </c>
    </row>
    <row r="30">
      <c r="A30" s="33">
        <v>17.0</v>
      </c>
      <c r="B30" s="34" t="s">
        <v>1188</v>
      </c>
      <c r="C30" s="35" t="s">
        <v>912</v>
      </c>
      <c r="D30" s="36">
        <v>30.0</v>
      </c>
      <c r="E30" s="37">
        <f>COUNTIF('Kế hoạch chèn link (mới)'!$B$3:$B$2944,B30)</f>
        <v>28</v>
      </c>
      <c r="F30" s="38" t="str">
        <f>IFERROR(__xludf.DUMMYFUNCTION("TEXTJOIN(CHAR(10),TRUE,FILTER('Kế hoạch chèn link (mới)'!$F$3:$F$2944,'Kế hoạch chèn link (mới)'!$B$3:$B$2944=B30))"),"https://techcombank.com/thong-tin/blog/mo-tai-khoan-ngan-hang-cho-tre-em
https://techcombank.com/thong-tin/blog/hoc-sinh-sinh-vien-nen-lam-the-ngan-hang-nao
https://techcombank.com/thong-tin/blog/cach-lam-the-atm
https://techcombank.com/thong-tin/blog/1-n"&amp;"guoi-co-the-lam-duoc-bao-nhieu-the-atm
https://techcombank.com/thong-tin/blog/lam-the-atm-bao-lau-co
https://techcombank.com/thong-tin/blog/quan-ly-chuoi-cua-hang
https://techcombank.com/thong-tin/blog/cach-chuyen-tien-qua-ma-qr-techcombank
https://techco"&amp;"mbank.com/thong-tin/blog/nho-nguoi-than-mo-tai-khoan-ngan-hang
https://techcombank.com/thong-tin/blog/lam-the-atm-co-mat-phi-khong
https://techcombank.com/thong-tin/blog/ma-otp-la-gi
https://techcombank.com/thong-tin/blog/ngan-hang-so-cho-doanh-nghiep
htt"&amp;"ps://techcombank.com/thong-tin/blog/cach-chon-so-tai-khoan-dep
https://techcombank.com/thong-tin/blog/lam-the-visa-o-dau
https://techcombank.com/thong-tin/blog/mo-tai-khoan-ngan-hang-duoi-18-tuoi
https://techcombank.com/thong-tin/blog/mat-so-dien-thoai-da"&amp;"ng-ky-tai-khoan-ngan-hang
https://techcombank.com/thong-tin/blog/vay-tin-chap-cho-doanh-nghiep-moi-thanh-lap
https://techcombank.com/thong-tin/blog/vi-du-ve-ca-nhan-hoa
https://techcombank.com/thong-tin/blog/lam-the-tin-dung
https://techcombank.com/thong-"&amp;"tin/blog/shopeepay-la-gi
https://techcombank.com/thong-tin/blog/mo-tai-khoan-ho-kinh-doanh
https://techcombank.com/thong-tin/blog/lam-the-visa-online
https://techcombank.com/thong-tin/blog/ty-le-khach-hang-su-dung-chu-ky-so-trong-linh-vuc-ngan-hang-dang-o"&amp;"-muc-5
https://techcombank.com/thong-tin/blog/the-debit-cho-con
https://techcombank.com/thong-tin/blog/lam-the-thanh-toan-quoc-te
https://techcombank.com/thong-tin/blog/vay-thau-chi-bang-so-tiet-kiem
https://techcombank.com/thong-tin/blog/thanh-toan-hoc-p"&amp;"hi-online
https://techcombank.com/thong-tin/blog/tai-khoan-ngan-hang-con-0-dong-co-sao-khong
https://techcombank.com/thong-tin/blog/qr-code-phuong-thuc-thanh-toan-toi-uu-trong-ky-nguyen-so")</f>
        <v>https://techcombank.com/thong-tin/blog/mo-tai-khoan-ngan-hang-cho-tre-em
https://techcombank.com/thong-tin/blog/hoc-sinh-sinh-vien-nen-lam-the-ngan-hang-nao
https://techcombank.com/thong-tin/blog/cach-lam-the-atm
https://techcombank.com/thong-tin/blog/1-nguoi-co-the-lam-duoc-bao-nhieu-the-atm
https://techcombank.com/thong-tin/blog/lam-the-atm-bao-lau-co
https://techcombank.com/thong-tin/blog/quan-ly-chuoi-cua-hang
https://techcombank.com/thong-tin/blog/cach-chuyen-tien-qua-ma-qr-techcombank
https://techcombank.com/thong-tin/blog/nho-nguoi-than-mo-tai-khoan-ngan-hang
https://techcombank.com/thong-tin/blog/lam-the-atm-co-mat-phi-khong
https://techcombank.com/thong-tin/blog/ma-otp-la-gi
https://techcombank.com/thong-tin/blog/ngan-hang-so-cho-doanh-nghiep
https://techcombank.com/thong-tin/blog/cach-chon-so-tai-khoan-dep
https://techcombank.com/thong-tin/blog/lam-the-visa-o-dau
https://techcombank.com/thong-tin/blog/mo-tai-khoan-ngan-hang-duoi-18-tuoi
https://techcombank.com/thong-tin/blog/mat-so-dien-thoai-dang-ky-tai-khoan-ngan-hang
https://techcombank.com/thong-tin/blog/vay-tin-chap-cho-doanh-nghiep-moi-thanh-lap
https://techcombank.com/thong-tin/blog/vi-du-ve-ca-nhan-hoa
https://techcombank.com/thong-tin/blog/lam-the-tin-dung
https://techcombank.com/thong-tin/blog/shopeepay-la-gi
https://techcombank.com/thong-tin/blog/mo-tai-khoan-ho-kinh-doanh
https://techcombank.com/thong-tin/blog/lam-the-visa-online
https://techcombank.com/thong-tin/blog/ty-le-khach-hang-su-dung-chu-ky-so-trong-linh-vuc-ngan-hang-dang-o-muc-5
https://techcombank.com/thong-tin/blog/the-debit-cho-con
https://techcombank.com/thong-tin/blog/lam-the-thanh-toan-quoc-te
https://techcombank.com/thong-tin/blog/vay-thau-chi-bang-so-tiet-kiem
https://techcombank.com/thong-tin/blog/thanh-toan-hoc-phi-online
https://techcombank.com/thong-tin/blog/tai-khoan-ngan-hang-con-0-dong-co-sao-khong
https://techcombank.com/thong-tin/blog/qr-code-phuong-thuc-thanh-toan-toi-uu-trong-ky-nguyen-so</v>
      </c>
    </row>
    <row r="31">
      <c r="A31" s="33">
        <v>18.0</v>
      </c>
      <c r="B31" s="34" t="s">
        <v>1190</v>
      </c>
      <c r="C31" s="35" t="s">
        <v>912</v>
      </c>
      <c r="D31" s="36">
        <v>30.0</v>
      </c>
      <c r="E31" s="37">
        <f>COUNTIF('Kế hoạch chèn link (mới)'!$B$3:$B$2944,B31)</f>
        <v>30</v>
      </c>
      <c r="F31" s="38" t="str">
        <f>IFERROR(__xludf.DUMMYFUNCTION("TEXTJOIN(CHAR(10),TRUE,FILTER('Kế hoạch chèn link (mới)'!$F$3:$F$2944,'Kế hoạch chèn link (mới)'!$B$3:$B$2944=B31))"),"https://techcombank.com/thong-tin/blog/the-debit-cho-con
https://techcombank.com/thong-tin/blog/mo-tai-khoan-ngan-hang-bang-so-dien-thoai
https://techcombank.com/thong-tin/blog/quy-gia-dinh
https://techcombank.com/thong-tin/blog/ma-otp-la-gi
https://techc"&amp;"ombank.com/thong-tin/blog/mo-tai-khoan-ngan-hang-online-co-an-toan-khong
https://techcombank.com/thong-tin/blog/cach-bao-ve-tai-khoan
https://techcombank.com/thong-tin/blog/xac-thuc-sinh-trac-hoc-khi-chuyen-tien
https://techcombank.com/thong-tin/blog/cach"&amp;"-quet-nfc-cccd-tren-iphone
https://techcombank.com/thong-tin/blog/ngan-hang-so-cho-doanh-nghiep
https://techcombank.com/thong-tin/blog/mo-tai-khoan-ho-kinh-doanh
https://techcombank.com/thong-tin/blog/nap-xu-tiktok
https://techcombank.com/thong-tin/blog/h"&amp;"oc-sinh-sinh-vien-nen-lam-the-ngan-hang-nao
https://techcombank.com/thong-tin/blog/so-tai-khoan-ngan-hang
https://techcombank.com/thong-tin/blog/thanh-toan-hoc-phi-online
https://techcombank.com/thong-tin/blog/cach-chon-so-tai-khoan-dep
https://techcomban"&amp;"k.com/thong-tin/blog/dang-ky-nhieu-tai-khoan-ngan-hang-co-sao-khong
https://techcombank.com/thong-tin/blog/cach-chuyen-tien
https://techcombank.com/thong-tin/blog/8868
https://techcombank.com/thong-tin/blog/tai-khoan-ngan-hang-con-0-dong-co-sao-khong
http"&amp;"s://techcombank.com/thong-tin/blog/so-tai-khoan-dep
https://techcombank.com/thong-tin/blog/the-ghi-no-co-chuyen-khoan-duoc-khong
https://techcombank.com/thong-tin/blog/mo-tai-khoan-ngan-hang-trung-so-dien-thoai
https://techcombank.com/thong-tin/blog/shope"&amp;"epay-la-gi
https://techcombank.com/thong-tin/blog/viet-kieu-co-mo-duoc-tai-khoan-ngan-hang-khong
https://techcombank.com/thong-tin/blog/mobile-banking-la-gi
https://techcombank.com/thong-tin/blog/ngan-hang-thu-huong-la-gi
https://techcombank.com/thong-tin"&amp;"/blog/thanh-toan-khong-tien-mat-trong-nganh-giao-duc-co-hoi-va-thach-thuc
https://techcombank.com/thong-tin/blog/ekyc-la-gi
https://techcombank.com/thong-tin/blog/mo-tai-khoan-ngan-hang-cho-tre-em
https://techcombank.com/thong-tin/blog/bao-nhieu-tuoi-duoc"&amp;"-mo-tai-khoan-ngan-hang")</f>
        <v>https://techcombank.com/thong-tin/blog/the-debit-cho-con
https://techcombank.com/thong-tin/blog/mo-tai-khoan-ngan-hang-bang-so-dien-thoai
https://techcombank.com/thong-tin/blog/quy-gia-dinh
https://techcombank.com/thong-tin/blog/ma-otp-la-gi
https://techcombank.com/thong-tin/blog/mo-tai-khoan-ngan-hang-online-co-an-toan-khong
https://techcombank.com/thong-tin/blog/cach-bao-ve-tai-khoan
https://techcombank.com/thong-tin/blog/xac-thuc-sinh-trac-hoc-khi-chuyen-tien
https://techcombank.com/thong-tin/blog/cach-quet-nfc-cccd-tren-iphone
https://techcombank.com/thong-tin/blog/ngan-hang-so-cho-doanh-nghiep
https://techcombank.com/thong-tin/blog/mo-tai-khoan-ho-kinh-doanh
https://techcombank.com/thong-tin/blog/nap-xu-tiktok
https://techcombank.com/thong-tin/blog/hoc-sinh-sinh-vien-nen-lam-the-ngan-hang-nao
https://techcombank.com/thong-tin/blog/so-tai-khoan-ngan-hang
https://techcombank.com/thong-tin/blog/thanh-toan-hoc-phi-online
https://techcombank.com/thong-tin/blog/cach-chon-so-tai-khoan-dep
https://techcombank.com/thong-tin/blog/dang-ky-nhieu-tai-khoan-ngan-hang-co-sao-khong
https://techcombank.com/thong-tin/blog/cach-chuyen-tien
https://techcombank.com/thong-tin/blog/8868
https://techcombank.com/thong-tin/blog/tai-khoan-ngan-hang-con-0-dong-co-sao-khong
https://techcombank.com/thong-tin/blog/so-tai-khoan-dep
https://techcombank.com/thong-tin/blog/the-ghi-no-co-chuyen-khoan-duoc-khong
https://techcombank.com/thong-tin/blog/mo-tai-khoan-ngan-hang-trung-so-dien-thoai
https://techcombank.com/thong-tin/blog/shopeepay-la-gi
https://techcombank.com/thong-tin/blog/viet-kieu-co-mo-duoc-tai-khoan-ngan-hang-khong
https://techcombank.com/thong-tin/blog/mobile-banking-la-gi
https://techcombank.com/thong-tin/blog/ngan-hang-thu-huong-la-gi
https://techcombank.com/thong-tin/blog/thanh-toan-khong-tien-mat-trong-nganh-giao-duc-co-hoi-va-thach-thuc
https://techcombank.com/thong-tin/blog/ekyc-la-gi
https://techcombank.com/thong-tin/blog/mo-tai-khoan-ngan-hang-cho-tre-em
https://techcombank.com/thong-tin/blog/bao-nhieu-tuoi-duoc-mo-tai-khoan-ngan-hang</v>
      </c>
    </row>
    <row r="32">
      <c r="A32" s="33">
        <v>19.0</v>
      </c>
      <c r="B32" s="34" t="s">
        <v>86</v>
      </c>
      <c r="C32" s="35" t="s">
        <v>912</v>
      </c>
      <c r="D32" s="36">
        <v>30.0</v>
      </c>
      <c r="E32" s="37">
        <f>COUNTIF('Kế hoạch chèn link (mới)'!$B$3:$B$2944,B32)</f>
        <v>30</v>
      </c>
      <c r="F32" s="38" t="str">
        <f>IFERROR(__xludf.DUMMYFUNCTION("TEXTJOIN(CHAR(10),TRUE,FILTER('Kế hoạch chèn link (mới)'!$F$3:$F$2944,'Kế hoạch chèn link (mới)'!$B$3:$B$2944=B32))"),"https://techcombank.com/thong-tin/blog/cdm
https://techcombank.com/thong-tin/blog/cach-nap-tien-vao-the-ghi-no
https://techcombank.com/thong-tin/blog/the-ghi-no-visa-la-gi
https://techcombank.com/thong-tin/blog/cach-su-dung-the-visa-techcombank
https://te"&amp;"chcombank.com/thong-tin/blog/nop-tien-mat-vao-tai-khoan-cong-ty
https://techcombank.com/thong-tin/blog/cong-ty-su-dung-tai-khoan-ca-nhan
https://techcombank.com/thong-tin/blog/gui-tiet-kiem-tich-luy-la-gi
https://techcombank.com/thong-tin/blog/tin-chap-do"&amp;"anh-nghiep
https://techcombank.com/thong-tin/blog/tai-khoan-ngan-hang-con-0-dong-co-sao-khong
https://techcombank.com/thong-tin/blog/cach-su-dung-tai-khoan-cong-ty
https://techcombank.com/thong-tin/blog/cach-nap-the
https://techcombank.com/thong-tin/blog/"&amp;"nap-tien-dien-thoai-online
https://techcombank.com/thong-tin/blog/rut-tien-bang-ma-qr-la-gi-cach-thuc-hien-nhu-the-nao
https://techcombank.com/thong-tin/blog/ma-pin-the-atm
https://techcombank.com/thong-tin/blog/cach-rut-tien-atm
https://techcombank.com/t"&amp;"hong-tin/blog/cach-kich-hoat-the-atm
https://techcombank.com/thong-tin/blog/1-cmnd-dang-ky-duoc-may-tai-khoan-ngan-hang
https://techcombank.com/thong-tin/blog/the-visa-ao-la-gi
https://techcombank.com/thong-tin/blog/cac-loai-the-ngan-hang
https://techcomb"&amp;"ank.com/thong-tin/blog/cach-dong-tien-dien-qua-tai-khoan-ngan-hang
https://techcombank.com/thong-tin/blog/lam-the-atm-co-mat-phi-khong
https://techcombank.com/thong-tin/blog/rut-tien-bang-ma-qr-khac-ngan-hang-duoc-khong
https://techcombank.com/thong-tin/b"&amp;"log/cach-lam-the-atm
https://techcombank.com/thong-tin/blog/the-visa-de-lam-gi
https://techcombank.com/thong-tin/blog/the-atm-khong-rut-duoc-tien
https://techcombank.com/thong-tin/blog/lam-the-atm-bao-lau-co
https://techcombank.com/thong-tin/blog/the-atm-"&amp;"gan-chip
https://techcombank.com/thong-tin/blog/bi-nuot-the-atm-phai-lam-sao
https://techcombank.com/thong-tin/blog/1-nguoi-co-the-lam-duoc-bao-nhieu-the-atm
https://techcombank.com/thong-tin/blog/atm-la-gi")</f>
        <v>https://techcombank.com/thong-tin/blog/cdm
https://techcombank.com/thong-tin/blog/cach-nap-tien-vao-the-ghi-no
https://techcombank.com/thong-tin/blog/the-ghi-no-visa-la-gi
https://techcombank.com/thong-tin/blog/cach-su-dung-the-visa-techcombank
https://techcombank.com/thong-tin/blog/nop-tien-mat-vao-tai-khoan-cong-ty
https://techcombank.com/thong-tin/blog/cong-ty-su-dung-tai-khoan-ca-nhan
https://techcombank.com/thong-tin/blog/gui-tiet-kiem-tich-luy-la-gi
https://techcombank.com/thong-tin/blog/tin-chap-doanh-nghiep
https://techcombank.com/thong-tin/blog/tai-khoan-ngan-hang-con-0-dong-co-sao-khong
https://techcombank.com/thong-tin/blog/cach-su-dung-tai-khoan-cong-ty
https://techcombank.com/thong-tin/blog/cach-nap-the
https://techcombank.com/thong-tin/blog/nap-tien-dien-thoai-online
https://techcombank.com/thong-tin/blog/rut-tien-bang-ma-qr-la-gi-cach-thuc-hien-nhu-the-nao
https://techcombank.com/thong-tin/blog/ma-pin-the-atm
https://techcombank.com/thong-tin/blog/cach-rut-tien-atm
https://techcombank.com/thong-tin/blog/cach-kich-hoat-the-atm
https://techcombank.com/thong-tin/blog/1-cmnd-dang-ky-duoc-may-tai-khoan-ngan-hang
https://techcombank.com/thong-tin/blog/the-visa-ao-la-gi
https://techcombank.com/thong-tin/blog/cac-loai-the-ngan-hang
https://techcombank.com/thong-tin/blog/cach-dong-tien-dien-qua-tai-khoan-ngan-hang
https://techcombank.com/thong-tin/blog/lam-the-atm-co-mat-phi-khong
https://techcombank.com/thong-tin/blog/rut-tien-bang-ma-qr-khac-ngan-hang-duoc-khong
https://techcombank.com/thong-tin/blog/cach-lam-the-atm
https://techcombank.com/thong-tin/blog/the-visa-de-lam-gi
https://techcombank.com/thong-tin/blog/the-atm-khong-rut-duoc-tien
https://techcombank.com/thong-tin/blog/lam-the-atm-bao-lau-co
https://techcombank.com/thong-tin/blog/the-atm-gan-chip
https://techcombank.com/thong-tin/blog/bi-nuot-the-atm-phai-lam-sao
https://techcombank.com/thong-tin/blog/1-nguoi-co-the-lam-duoc-bao-nhieu-the-atm
https://techcombank.com/thong-tin/blog/atm-la-gi</v>
      </c>
    </row>
    <row r="33">
      <c r="A33" s="33">
        <v>20.0</v>
      </c>
      <c r="B33" s="34" t="s">
        <v>1347</v>
      </c>
      <c r="C33" s="35" t="s">
        <v>912</v>
      </c>
      <c r="D33" s="36">
        <v>30.0</v>
      </c>
      <c r="E33" s="37">
        <f>COUNTIF('Kế hoạch chèn link (mới)'!$B$3:$B$2944,B33)</f>
        <v>30</v>
      </c>
      <c r="F33" s="38" t="str">
        <f>IFERROR(__xludf.DUMMYFUNCTION("TEXTJOIN(CHAR(10),TRUE,FILTER('Kế hoạch chèn link (mới)'!$F$3:$F$2944,'Kế hoạch chèn link (mới)'!$B$3:$B$2944=B33))"),"https://techcombank.com/thong-tin/blog/sao-ke-luong
https://techcombank.com/thong-tin/blog/sao-ke-tai-khoan-doanh-nghiep
https://techcombank.com/thong-tin/blog/giai-ngan-la-gi
https://techcombank.com/thong-tin/blog/the-tin-dung-quoc-te
https://techcombank"&amp;".com/thong-tin/blog/han-muc-thau-chi-la-gi
https://techcombank.com/thong-tin/blog/gui-tien-ngan-hang-co-an-toan-khong
https://techcombank.com/thong-tin/blog/vay-the-chap-qua-luong
https://techcombank.com/thong-tin/blog/tien-chuyen-vao-tai-khoan-co-bi-tinh"&amp;"-thue-khong
https://techcombank.com/thong-tin/blog/ghi-chep-chi-tieu
https://techcombank.com/thong-tin/blog/nang-han-muc-tin-dung
https://techcombank.com/thong-tin/blog/the-debit-cho-con
https://techcombank.com/thong-tin/blog/vi-tra-sau
https://techcomban"&amp;"k.com/thong-tin/blog/loi-ich-cua-viec-tiet-kiem-tien
https://techcombank.com/thong-tin/blog/cach-tiet-kiem-tien-hieu-qua-cho-gia-dinh
https://techcombank.com/thong-tin/blog/app-mua-truoc-tra-sau
https://techcombank.com/thong-tin/blog/phan-mem-lap-ke-hoach"&amp;"-tai-chinh-ca-nhan
https://techcombank.com/thong-tin/blog/so-tai-khoan-ngan-hang
https://techcombank.com/thong-tin/blog/the-tin-dung-den
https://techcombank.com/thong-tin/blog/app-quan-ly-chi-tieu
https://techcombank.com/thong-tin/blog/sao-ke-the-tin-dung"&amp;"-la-gi
https://techcombank.com/thong-tin/blog/cashback-the-thanh-toan
https://techcombank.com/thong-tin/blog/cach-tiet-kiem-tien
https://techcombank.com/thong-tin/blog/mo-the-tin-dung-chi-can-cccd
https://techcombank.com/thong-tin/blog/thoi-gian-hoan-tien"&amp;"-the-tin-dung
https://techcombank.com/thong-tin/blog/the-ghi-no-co-rut-tien-duoc-khong
https://techcombank.com/thong-tin/blog/vay-tien-online
https://techcombank.com/thong-tin/blog/the-visa-co-may-loai
https://techcombank.com/thong-tin/blog/cic-la-gi
http"&amp;"s://techcombank.com/thong-tin/blog/6-chiec-lo-tai-chinh-ca-nhan
https://techcombank.com/thong-tin/blog/the-tin-dung-mien-lai-55-ngay")</f>
        <v>https://techcombank.com/thong-tin/blog/sao-ke-luong
https://techcombank.com/thong-tin/blog/sao-ke-tai-khoan-doanh-nghiep
https://techcombank.com/thong-tin/blog/giai-ngan-la-gi
https://techcombank.com/thong-tin/blog/the-tin-dung-quoc-te
https://techcombank.com/thong-tin/blog/han-muc-thau-chi-la-gi
https://techcombank.com/thong-tin/blog/gui-tien-ngan-hang-co-an-toan-khong
https://techcombank.com/thong-tin/blog/vay-the-chap-qua-luong
https://techcombank.com/thong-tin/blog/tien-chuyen-vao-tai-khoan-co-bi-tinh-thue-khong
https://techcombank.com/thong-tin/blog/ghi-chep-chi-tieu
https://techcombank.com/thong-tin/blog/nang-han-muc-tin-dung
https://techcombank.com/thong-tin/blog/the-debit-cho-con
https://techcombank.com/thong-tin/blog/vi-tra-sau
https://techcombank.com/thong-tin/blog/loi-ich-cua-viec-tiet-kiem-tien
https://techcombank.com/thong-tin/blog/cach-tiet-kiem-tien-hieu-qua-cho-gia-dinh
https://techcombank.com/thong-tin/blog/app-mua-truoc-tra-sau
https://techcombank.com/thong-tin/blog/phan-mem-lap-ke-hoach-tai-chinh-ca-nhan
https://techcombank.com/thong-tin/blog/so-tai-khoan-ngan-hang
https://techcombank.com/thong-tin/blog/the-tin-dung-den
https://techcombank.com/thong-tin/blog/app-quan-ly-chi-tieu
https://techcombank.com/thong-tin/blog/sao-ke-the-tin-dung-la-gi
https://techcombank.com/thong-tin/blog/cashback-the-thanh-toan
https://techcombank.com/thong-tin/blog/cach-tiet-kiem-tien
https://techcombank.com/thong-tin/blog/mo-the-tin-dung-chi-can-cccd
https://techcombank.com/thong-tin/blog/thoi-gian-hoan-tien-the-tin-dung
https://techcombank.com/thong-tin/blog/the-ghi-no-co-rut-tien-duoc-khong
https://techcombank.com/thong-tin/blog/vay-tien-online
https://techcombank.com/thong-tin/blog/the-visa-co-may-loai
https://techcombank.com/thong-tin/blog/cic-la-gi
https://techcombank.com/thong-tin/blog/6-chiec-lo-tai-chinh-ca-nhan
https://techcombank.com/thong-tin/blog/the-tin-dung-mien-lai-55-ngay</v>
      </c>
    </row>
    <row r="34">
      <c r="A34" s="33">
        <v>21.0</v>
      </c>
      <c r="B34" s="34" t="s">
        <v>1304</v>
      </c>
      <c r="C34" s="35" t="s">
        <v>912</v>
      </c>
      <c r="D34" s="36">
        <v>30.0</v>
      </c>
      <c r="E34" s="37">
        <f>COUNTIF('Kế hoạch chèn link (mới)'!$B$3:$B$2944,B34)</f>
        <v>30</v>
      </c>
      <c r="F34" s="38" t="str">
        <f>IFERROR(__xludf.DUMMYFUNCTION("TEXTJOIN(CHAR(10),TRUE,FILTER('Kế hoạch chèn link (mới)'!$F$3:$F$2944,'Kế hoạch chèn link (mới)'!$B$3:$B$2944=B34))"),"https://techcombank.com/thong-tin/blog/so-tai-khoan-dep
https://techcombank.com/thong-tin/blog/88-la-gi
https://techcombank.com/thong-tin/blog/so-6868
https://techcombank.com/thong-tin/blog/cach-chon-so-tai-khoan-dep
https://techcombank.com/thong-tin/blog"&amp;"/li-xi-so-dep
https://techcombank.com/thong-tin/blog/8868
https://techcombank.com/thong-tin/blog/66666-co-y-nghia-gi
https://techcombank.com/thong-tin/blog/so-8386
https://techcombank.com/thong-tin/blog/y-nghia-so-68
https://techcombank.com/thong-tin/blog"&amp;"/99999-co-y-nghia-gi
https://techcombank.com/thong-tin/blog/so-the-visa-hop-le
https://techcombank.com/thong-tin/blog/co-nen-mua-so-tai-khoan-ngan-hang-dep
https://techcombank.com/thong-tin/blog/li-xi-tet
https://techcombank.com/thong-tin/blog/vi-du-ve-ca"&amp;"-nhan-hoa
https://techcombank.com/thong-tin/blog/cach-chuyen-tien
https://techcombank.com/thong-tin/blog/the-ghi-no-co-chuyen-khoan-duoc-khong
https://techcombank.com/thong-tin/blog/nen-mo-tai-khoan-ngan-hang-nao-cho-doanh-nghiep
https://techcombank.com/t"&amp;"hong-tin/blog/mo-tai-khoan-doanh-nghiep
https://techcombank.com/thong-tin/blog/tin-dung-tieu-dung
https://techcombank.com/thong-tin/blog/tai-khoan-doanh-nghiep-co-the-khong
https://techcombank.com/thong-tin/blog/chi-phi-mo-tai-khoan-ngan-hang-cho-cong-ty
"&amp;"https://techcombank.com/thong-tin/blog/mo-them-tai-khoan-ngan-hang-cho-cong-ty
https://techcombank.com/thong-tin/blog/chuyen-khoan-lien-ngan-hang
https://techcombank.com/thong-tin/blog/cach-kiem-tra-tai-khoan-ngan-hang
https://techcombank.com/thong-tin/bl"&amp;"og/ngan-hang-so-cho-doanh-nghiep
https://techcombank.com/thong-tin/blog/mo-tai-khoan-ho-kinh-doanh
https://techcombank.com/thong-tin/blog/cach-tinh-thue-thu-nhap-doanh-nghiep
https://techcombank.com/thong-tin/blog/nop-thue-hai-quan
https://techcombank.com"&amp;"/thong-tin/blog/tai-khoan-ngan-hang-bi-khoa
https://techcombank.com/thong-tin/blog/thue-thu-nhap-doanh-nghiep")</f>
        <v>https://techcombank.com/thong-tin/blog/so-tai-khoan-dep
https://techcombank.com/thong-tin/blog/88-la-gi
https://techcombank.com/thong-tin/blog/so-6868
https://techcombank.com/thong-tin/blog/cach-chon-so-tai-khoan-dep
https://techcombank.com/thong-tin/blog/li-xi-so-dep
https://techcombank.com/thong-tin/blog/8868
https://techcombank.com/thong-tin/blog/66666-co-y-nghia-gi
https://techcombank.com/thong-tin/blog/so-8386
https://techcombank.com/thong-tin/blog/y-nghia-so-68
https://techcombank.com/thong-tin/blog/99999-co-y-nghia-gi
https://techcombank.com/thong-tin/blog/so-the-visa-hop-le
https://techcombank.com/thong-tin/blog/co-nen-mua-so-tai-khoan-ngan-hang-dep
https://techcombank.com/thong-tin/blog/li-xi-tet
https://techcombank.com/thong-tin/blog/vi-du-ve-ca-nhan-hoa
https://techcombank.com/thong-tin/blog/cach-chuyen-tien
https://techcombank.com/thong-tin/blog/the-ghi-no-co-chuyen-khoan-duoc-khong
https://techcombank.com/thong-tin/blog/nen-mo-tai-khoan-ngan-hang-nao-cho-doanh-nghiep
https://techcombank.com/thong-tin/blog/mo-tai-khoan-doanh-nghiep
https://techcombank.com/thong-tin/blog/tin-dung-tieu-dung
https://techcombank.com/thong-tin/blog/tai-khoan-doanh-nghiep-co-the-khong
https://techcombank.com/thong-tin/blog/chi-phi-mo-tai-khoan-ngan-hang-cho-cong-ty
https://techcombank.com/thong-tin/blog/mo-them-tai-khoan-ngan-hang-cho-cong-ty
https://techcombank.com/thong-tin/blog/chuyen-khoan-lien-ngan-hang
https://techcombank.com/thong-tin/blog/cach-kiem-tra-tai-khoan-ngan-hang
https://techcombank.com/thong-tin/blog/ngan-hang-so-cho-doanh-nghiep
https://techcombank.com/thong-tin/blog/mo-tai-khoan-ho-kinh-doanh
https://techcombank.com/thong-tin/blog/cach-tinh-thue-thu-nhap-doanh-nghiep
https://techcombank.com/thong-tin/blog/nop-thue-hai-quan
https://techcombank.com/thong-tin/blog/tai-khoan-ngan-hang-bi-khoa
https://techcombank.com/thong-tin/blog/thue-thu-nhap-doanh-nghiep</v>
      </c>
    </row>
    <row r="35">
      <c r="A35" s="33">
        <v>22.0</v>
      </c>
      <c r="B35" s="34" t="s">
        <v>403</v>
      </c>
      <c r="C35" s="35" t="s">
        <v>912</v>
      </c>
      <c r="D35" s="36">
        <v>30.0</v>
      </c>
      <c r="E35" s="37">
        <f>COUNTIF('Kế hoạch chèn link (mới)'!$B$3:$B$2944,B35)</f>
        <v>17</v>
      </c>
      <c r="F35" s="38" t="str">
        <f>IFERROR(__xludf.DUMMYFUNCTION("TEXTJOIN(CHAR(10),TRUE,FILTER('Kế hoạch chèn link (mới)'!$F$3:$F$2944,'Kế hoạch chèn link (mới)'!$B$3:$B$2944=B35))"),"https://techcombank.com/thong-tin/blog/tra-cuu-no-thue-ca-nhan
https://techcombank.com/thong-tin/blog/dang-ky-ma-so-thue-ca-nhan
https://techcombank.com/thong-tin/blog/lien-ket-tai-khoan-ngan-hang-voi-etax-mobile
https://techcombank.com/thong-tin/blog/hoa"&amp;"n-thue-thu-nhap-ca-nhan
https://techcombank.com/thong-tin/blog/quyet-toan-thue-thu-nhap-ca-nhan
https://techcombank.com/thong-tin/blog/phan-mem-lap-ke-hoach-tai-chinh-ca-nhan
https://techcombank.com/thong-tin/blog/tra-luong-tien-mat
https://techcombank.co"&amp;"m/thong-tin/blog/tra-cuu-ma-so-thue-ho-kinh-doanh
https://techcombank.com/thong-tin/blog/cach-tinh-thue-ho-kinh-doanh-nho-le
https://techcombank.com/thong-tin/blog/ho-kinh-doanh-dong-thue-nhu-nao
https://techcombank.com/thong-tin/blog/thue-thu-nhap-ca-nha"&amp;"n
https://techcombank.com/thong-tin/blog/nop-thue-dat-qua-ngan-hang
https://techcombank.com/thong-tin/blog/thay-doi-dia-chi-ho-kinh-doanh
https://techcombank.com/thong-tin/blog/cach-tra-cuu-hoa-don-dien-tu
https://techcombank.com/thong-tin/blog/thanh-toan"&amp;"-khi-du-lich-thai-lan
https://techcombank.com/thong-tin/blog/cach-tinh-thue-thu-nhap-ca-nhan-2025
https://techcombank.com/thong-tin/blog/tra-cuu-no-thue-hai-quan")</f>
        <v>https://techcombank.com/thong-tin/blog/tra-cuu-no-thue-ca-nhan
https://techcombank.com/thong-tin/blog/dang-ky-ma-so-thue-ca-nhan
https://techcombank.com/thong-tin/blog/lien-ket-tai-khoan-ngan-hang-voi-etax-mobile
https://techcombank.com/thong-tin/blog/hoan-thue-thu-nhap-ca-nhan
https://techcombank.com/thong-tin/blog/quyet-toan-thue-thu-nhap-ca-nhan
https://techcombank.com/thong-tin/blog/phan-mem-lap-ke-hoach-tai-chinh-ca-nhan
https://techcombank.com/thong-tin/blog/tra-luong-tien-mat
https://techcombank.com/thong-tin/blog/tra-cuu-ma-so-thue-ho-kinh-doanh
https://techcombank.com/thong-tin/blog/cach-tinh-thue-ho-kinh-doanh-nho-le
https://techcombank.com/thong-tin/blog/ho-kinh-doanh-dong-thue-nhu-nao
https://techcombank.com/thong-tin/blog/thue-thu-nhap-ca-nhan
https://techcombank.com/thong-tin/blog/nop-thue-dat-qua-ngan-hang
https://techcombank.com/thong-tin/blog/thay-doi-dia-chi-ho-kinh-doanh
https://techcombank.com/thong-tin/blog/cach-tra-cuu-hoa-don-dien-tu
https://techcombank.com/thong-tin/blog/thanh-toan-khi-du-lich-thai-lan
https://techcombank.com/thong-tin/blog/cach-tinh-thue-thu-nhap-ca-nhan-2025
https://techcombank.com/thong-tin/blog/tra-cuu-no-thue-hai-quan</v>
      </c>
    </row>
    <row r="36">
      <c r="A36" s="33">
        <v>23.0</v>
      </c>
      <c r="B36" s="34" t="s">
        <v>1359</v>
      </c>
      <c r="C36" s="35" t="s">
        <v>912</v>
      </c>
      <c r="D36" s="36">
        <v>30.0</v>
      </c>
      <c r="E36" s="37">
        <f>COUNTIF('Kế hoạch chèn link (mới)'!$B$3:$B$2944,B36)</f>
        <v>30</v>
      </c>
      <c r="F36" s="38" t="str">
        <f>IFERROR(__xludf.DUMMYFUNCTION("TEXTJOIN(CHAR(10),TRUE,FILTER('Kế hoạch chèn link (mới)'!$F$3:$F$2944,'Kế hoạch chèn link (mới)'!$B$3:$B$2944=B36))"),"https://techcombank.com/thong-tin/blog/cach-doi-mat-khau-tai-khoan-ngan-hang
https://techcombank.com/thong-tin/blog/cach-bao-ve-tai-khoan
https://techcombank.com/thong-tin/blog/mau-mo-tai-khoan-doanh-nghiep-techcombank
https://techcombank.com/thong-tin/bl"&amp;"og/smart-otp-la-gi
https://techcombank.com/thong-tin/blog/cach-mo-tai-khoan
https://techcombank.com/thong-tin/blog/merchant-portal
https://techcombank.com/thong-tin/blog/softpos
https://techcombank.com/thong-tin/blog/mo-tai-khoan-ngan-hang-bang-so-dien-th"&amp;"oai
https://techcombank.com/thong-tin/blog/cach-sao-ke-tai-khoan-ngan-hang
https://techcombank.com/thong-tin/blog/ekyc-la-gi
https://techcombank.com/thong-tin/blog/ma-qr-lam-gia-duoc-khong
https://techcombank.com/thong-tin/blog/mat-so-dien-thoai-dang-ky-t"&amp;"ai-khoan-ngan-hang
https://techcombank.com/thong-tin/blog/cach-kiem-tra-tai-khoan-ngan-hang-cua-cong-ty
https://techcombank.com/thong-tin/blog/lo-so-tai-khoan-ngan-hang-co-sao-khong
https://techcombank.com/thong-tin/blog/lo-ma-qr-ngan-hang-co-sao-khong
ht"&amp;"tps://techcombank.com/thong-tin/blog/mobile-banking-la-gi
https://techcombank.com/thong-tin/blog/rui-ro-khi-gui-tiet-kiem-ngan-hang
https://techcombank.com/thong-tin/blog/cach-kich-hoat-the-atm
https://techcombank.com/thong-tin/blog/gui-ma-qr-ngan-hang
ht"&amp;"tps://techcombank.com/thong-tin/blog/thanh-toan-ve-may-bay-online
https://techcombank.com/thong-tin/blog/ma-otp-la-gi
https://techcombank.com/thong-tin/blog/cach-khoa-the-ngan-hang
https://techcombank.com/thong-tin/blog/thanh-toan-tien-nuoc-online
https:/"&amp;"/techcombank.com/thong-tin/blog/thanh-toan-tra-sau-viettel-bang-tai-khoan-ngan-hang
https://techcombank.com/thong-tin/blog/thanh-toan-hoa-don-tieu-dung
https://techcombank.com/thong-tin/blog/cach-lam-the-atm
https://techcombank.com/thong-tin/blog/ngan-han"&amp;"g-thu-huong-la-gi
https://techcombank.com/thong-tin/blog/cach-gui-tiet-kiem-online
https://techcombank.com/thong-tin/blog/cach-nap-tien-vao-the-ghi-no
https://techcombank.com/thong-tin/blog/tai-khoan-ngan-hang-bi-khoa")</f>
        <v>https://techcombank.com/thong-tin/blog/cach-doi-mat-khau-tai-khoan-ngan-hang
https://techcombank.com/thong-tin/blog/cach-bao-ve-tai-khoan
https://techcombank.com/thong-tin/blog/mau-mo-tai-khoan-doanh-nghiep-techcombank
https://techcombank.com/thong-tin/blog/smart-otp-la-gi
https://techcombank.com/thong-tin/blog/cach-mo-tai-khoan
https://techcombank.com/thong-tin/blog/merchant-portal
https://techcombank.com/thong-tin/blog/softpos
https://techcombank.com/thong-tin/blog/mo-tai-khoan-ngan-hang-bang-so-dien-thoai
https://techcombank.com/thong-tin/blog/cach-sao-ke-tai-khoan-ngan-hang
https://techcombank.com/thong-tin/blog/ekyc-la-gi
https://techcombank.com/thong-tin/blog/ma-qr-lam-gia-duoc-khong
https://techcombank.com/thong-tin/blog/mat-so-dien-thoai-dang-ky-tai-khoan-ngan-hang
https://techcombank.com/thong-tin/blog/cach-kiem-tra-tai-khoan-ngan-hang-cua-cong-ty
https://techcombank.com/thong-tin/blog/lo-so-tai-khoan-ngan-hang-co-sao-khong
https://techcombank.com/thong-tin/blog/lo-ma-qr-ngan-hang-co-sao-khong
https://techcombank.com/thong-tin/blog/mobile-banking-la-gi
https://techcombank.com/thong-tin/blog/rui-ro-khi-gui-tiet-kiem-ngan-hang
https://techcombank.com/thong-tin/blog/cach-kich-hoat-the-atm
https://techcombank.com/thong-tin/blog/gui-ma-qr-ngan-hang
https://techcombank.com/thong-tin/blog/thanh-toan-ve-may-bay-online
https://techcombank.com/thong-tin/blog/ma-otp-la-gi
https://techcombank.com/thong-tin/blog/cach-khoa-the-ngan-hang
https://techcombank.com/thong-tin/blog/thanh-toan-tien-nuoc-online
https://techcombank.com/thong-tin/blog/thanh-toan-tra-sau-viettel-bang-tai-khoan-ngan-hang
https://techcombank.com/thong-tin/blog/thanh-toan-hoa-don-tieu-dung
https://techcombank.com/thong-tin/blog/cach-lam-the-atm
https://techcombank.com/thong-tin/blog/ngan-hang-thu-huong-la-gi
https://techcombank.com/thong-tin/blog/cach-gui-tiet-kiem-online
https://techcombank.com/thong-tin/blog/cach-nap-tien-vao-the-ghi-no
https://techcombank.com/thong-tin/blog/tai-khoan-ngan-hang-bi-khoa</v>
      </c>
    </row>
    <row r="37">
      <c r="A37" s="33">
        <v>24.0</v>
      </c>
      <c r="B37" s="34" t="s">
        <v>551</v>
      </c>
      <c r="C37" s="35" t="s">
        <v>912</v>
      </c>
      <c r="D37" s="36">
        <v>30.0</v>
      </c>
      <c r="E37" s="37">
        <f>COUNTIF('Kế hoạch chèn link (mới)'!$B$3:$B$2944,B37)</f>
        <v>30</v>
      </c>
      <c r="F37" s="38" t="str">
        <f>IFERROR(__xludf.DUMMYFUNCTION("TEXTJOIN(CHAR(10),TRUE,FILTER('Kế hoạch chèn link (mới)'!$F$3:$F$2944,'Kế hoạch chèn link (mới)'!$B$3:$B$2944=B37))"),"https://techcombank.com/thong-tin/blog/tien-chuyen-vao-tai-khoan-co-bi-tinh-thue-khong
https://techcombank.com/thong-tin/blog/kinh-nghiem-chuyen-doi-tu-ho-kinh-doanh-len-doanh-nghiep
https://techcombank.com/thong-tin/blog/thue-khoan-ho-kinh-doanh-la-gi
ht"&amp;"tps://techcombank.com/thong-tin/blog/hieu-hiet-ve-tuan-thu-thue-cho-cac-doanh-nghiep-khoi-nghiep
https://techcombank.com/thong-tin/blog/gia-chung-chi-quy-la-gi
https://techcombank.com/thong-tin/blog/kieu-hoi-la-gi
https://techcombank.com/thong-tin/blog/ca"&amp;"ch-nhan-tien-tu-nuoc-ngoai-ve-viet-nam
https://techcombank.com/thong-tin/blog/chuyen-nhuong-chung-chi-tien-gui
https://techcombank.com/thong-tin/blog/dau-tu-quy-mo
https://techcombank.com/thong-tin/blog/tra-cuu-no-thue-ca-nhan
https://techcombank.com/thon"&amp;"g-tin/blog/thue-ho-kinh-doanh-2025
https://techcombank.com/thong-tin/blog/khoi-nghiep-truoc-chinh-sach-thue-moi
https://techcombank.com/thong-tin/blog/sao-ke-luong
https://techcombank.com/thong-tin/blog/cach-nop-thue-dien-tu
https://techcombank.com/thong-"&amp;"tin/blog/giai-dap-ve-thue-doanh-nghiep
https://techcombank.com/thong-tin/blog/chuyen-doi-ho-kinh-doanh-len-doanh-nghiep
https://techcombank.com/thong-tin/blog/cach-tinh-thue-ho-kinh-doanh-nho-le
https://techcombank.com/thong-tin/blog/nhung-ho-kinh-doanh-d"&amp;"uoc-mien-thue
https://techcombank.com/thong-tin/blog/app-tra-luong
https://techcombank.com/thong-tin/blog/ke-khai-thue-doanh-nghiep
https://techcombank.com/thong-tin/blog/chinh-sach-tang-luong-huu
https://techcombank.com/thong-tin/blog/hoc-cach-tiet-kiem-"&amp;"tien-luong
https://techcombank.com/thong-tin/blog/tra-cuu-no-thue-doanh-nghiep
https://techcombank.com/thong-tin/blog/may-tinh-tien
https://techcombank.com/thong-tin/blog/thue-thuong-mai-dien-tu
https://techcombank.com/thong-tin/blog/ke-khai-thue-ho-kinh-"&amp;"doanh-ca-the-online
https://techcombank.com/thong-tin/blog/hoan-thue-thu-nhap-ca-nhan
https://techcombank.com/thong-tin/blog/cach-tinh-thue-thu-nhap-ca-nhan-2025
https://techcombank.com/thong-tin/blog/quyet-toan-thue-thu-nhap-ca-nhan
https://techcombank.c"&amp;"om/thong-tin/blog/dang-ky-ma-so-thue-ca-nhan")</f>
        <v>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https://techcombank.com/thong-tin/blog/kieu-hoi-la-gi
https://techcombank.com/thong-tin/blog/cach-nhan-tien-tu-nuoc-ngoai-ve-viet-nam
https://techcombank.com/thong-tin/blog/chuyen-nhuong-chung-chi-tien-gui
https://techcombank.com/thong-tin/blog/dau-tu-quy-mo
https://techcombank.com/thong-tin/blog/tra-cuu-no-thue-ca-nhan
https://techcombank.com/thong-tin/blog/thue-ho-kinh-doanh-2025
https://techcombank.com/thong-tin/blog/khoi-nghiep-truoc-chinh-sach-thue-moi
https://techcombank.com/thong-tin/blog/sao-ke-luong
https://techcombank.com/thong-tin/blog/cach-nop-thue-dien-tu
https://techcombank.com/thong-tin/blog/giai-dap-ve-thue-doanh-nghiep
https://techcombank.com/thong-tin/blog/chuyen-doi-ho-kinh-doanh-len-doanh-nghiep
https://techcombank.com/thong-tin/blog/cach-tinh-thue-ho-kinh-doanh-nho-le
https://techcombank.com/thong-tin/blog/nhung-ho-kinh-doanh-duoc-mien-thue
https://techcombank.com/thong-tin/blog/app-tra-luong
https://techcombank.com/thong-tin/blog/ke-khai-thue-doanh-nghiep
https://techcombank.com/thong-tin/blog/chinh-sach-tang-luong-huu
https://techcombank.com/thong-tin/blog/hoc-cach-tiet-kiem-tien-luong
https://techcombank.com/thong-tin/blog/tra-cuu-no-thue-doanh-nghiep
https://techcombank.com/thong-tin/blog/may-tinh-tien
https://techcombank.com/thong-tin/blog/thue-thuong-mai-dien-tu
https://techcombank.com/thong-tin/blog/ke-khai-thue-ho-kinh-doanh-ca-the-online
https://techcombank.com/thong-tin/blog/hoan-thue-thu-nhap-ca-nhan
https://techcombank.com/thong-tin/blog/cach-tinh-thue-thu-nhap-ca-nhan-2025
https://techcombank.com/thong-tin/blog/quyet-toan-thue-thu-nhap-ca-nhan
https://techcombank.com/thong-tin/blog/dang-ky-ma-so-thue-ca-nhan</v>
      </c>
    </row>
    <row r="38">
      <c r="A38" s="33">
        <v>25.0</v>
      </c>
      <c r="B38" s="34" t="s">
        <v>1079</v>
      </c>
      <c r="C38" s="35" t="s">
        <v>912</v>
      </c>
      <c r="D38" s="36">
        <v>30.0</v>
      </c>
      <c r="E38" s="37">
        <f>COUNTIF('Kế hoạch chèn link (mới)'!$B$3:$B$2944,B38)</f>
        <v>30</v>
      </c>
      <c r="F38" s="38" t="str">
        <f>IFERROR(__xludf.DUMMYFUNCTION("TEXTJOIN(CHAR(10),TRUE,FILTER('Kế hoạch chèn link (mới)'!$F$3:$F$2944,'Kế hoạch chèn link (mới)'!$B$3:$B$2944=B38))"),"https://techcombank.com/thong-tin/blog/the-atm-khong-rut-duoc-tien
https://techcombank.com/thong-tin/blog/thue-ho-kinh-doanh-2025
https://techcombank.com/thong-tin/blog/app-ngan-hang-uy-tin
https://techcombank.com/thong-tin/blog/cach-su-dung-the-ghi-no
ht"&amp;"tps://techcombank.com/thong-tin/blog/the-ghi-no-co-rut-tien-duoc-khong
https://techcombank.com/thong-tin/blog/cach-kich-hoat-the-atm
https://techcombank.com/thong-tin/blog/so-tai-khoan-ngan-hang
https://techcombank.com/thong-tin/blog/cac-loai-the-ngan-han"&amp;"g
https://techcombank.com/thong-tin/blog/lam-the-visa-online
https://techcombank.com/thong-tin/blog/quet-ma-qr-techcombank
https://techcombank.com/thong-tin/blog/gui-ma-qr-ngan-hang
https://techcombank.com/thong-tin/blog/cach-tao-ma-qr
https://techcombank"&amp;".com/thong-tin/blog/ma-qr-ngan-hang-khong-hop-le
https://techcombank.com/thong-tin/blog/ma-qr-lam-gia-duoc-khong
https://techcombank.com/thong-tin/blog/ma-qr-techcombank
https://techcombank.com/thong-tin/blog/thanh-toan-bang-ma-qr
https://techcombank.com/"&amp;"thong-tin/blog/lam-ma-qr-ngan-hang-co-mat-phi-khong
https://techcombank.com/thong-tin/blog/cach-tao-ma-qr-code-mien-phi
https://techcombank.com/thong-tin/blog/tao-ma-qr-thanh-toan-cho-cua-hang
https://techcombank.com/thong-tin/blog/pos
https://techcombank"&amp;".com/thong-tin/blog/qr-code-doanh-nghiep
https://techcombank.com/thong-tin/blog/qr-dong
https://techcombank.com/thong-tin/blog/thanh-toan-ma-qr-tro-thanh-phuong-thuc-duoc-ua-chuong-va-trien-khai-manh-me
https://techcombank.com/thong-tin/blog/softpos
https"&amp;"://techcombank.com/thong-tin/blog/rut-tien-mat-tu-tai-khoan-doanh-nghiep
https://techcombank.com/thong-tin/blog/in-ma-qr-ngan-hang
https://techcombank.com/thong-tin/blog/mm-yy-la-gi
https://techcombank.com/thong-tin/blog/cdm
https://techcombank.com/thong-"&amp;"tin/blog/lam-the-atm-co-mat-phi-khong
https://techcombank.com/thong-tin/blog/tra-cuu-han-muc-the-tin-dung")</f>
        <v>https://techcombank.com/thong-tin/blog/the-atm-khong-rut-duoc-tien
https://techcombank.com/thong-tin/blog/thue-ho-kinh-doanh-2025
https://techcombank.com/thong-tin/blog/app-ngan-hang-uy-tin
https://techcombank.com/thong-tin/blog/cach-su-dung-the-ghi-no
https://techcombank.com/thong-tin/blog/the-ghi-no-co-rut-tien-duoc-khong
https://techcombank.com/thong-tin/blog/cach-kich-hoat-the-atm
https://techcombank.com/thong-tin/blog/so-tai-khoan-ngan-hang
https://techcombank.com/thong-tin/blog/cac-loai-the-ngan-hang
https://techcombank.com/thong-tin/blog/lam-the-visa-online
https://techcombank.com/thong-tin/blog/quet-ma-qr-techcombank
https://techcombank.com/thong-tin/blog/gui-ma-qr-ngan-hang
https://techcombank.com/thong-tin/blog/cach-tao-ma-qr
https://techcombank.com/thong-tin/blog/ma-qr-ngan-hang-khong-hop-le
https://techcombank.com/thong-tin/blog/ma-qr-lam-gia-duoc-khong
https://techcombank.com/thong-tin/blog/ma-qr-techcombank
https://techcombank.com/thong-tin/blog/thanh-toan-bang-ma-qr
https://techcombank.com/thong-tin/blog/lam-ma-qr-ngan-hang-co-mat-phi-khong
https://techcombank.com/thong-tin/blog/cach-tao-ma-qr-code-mien-phi
https://techcombank.com/thong-tin/blog/tao-ma-qr-thanh-toan-cho-cua-hang
https://techcombank.com/thong-tin/blog/pos
https://techcombank.com/thong-tin/blog/qr-code-doanh-nghiep
https://techcombank.com/thong-tin/blog/qr-dong
https://techcombank.com/thong-tin/blog/thanh-toan-ma-qr-tro-thanh-phuong-thuc-duoc-ua-chuong-va-trien-khai-manh-me
https://techcombank.com/thong-tin/blog/softpos
https://techcombank.com/thong-tin/blog/rut-tien-mat-tu-tai-khoan-doanh-nghiep
https://techcombank.com/thong-tin/blog/in-ma-qr-ngan-hang
https://techcombank.com/thong-tin/blog/mm-yy-la-gi
https://techcombank.com/thong-tin/blog/cdm
https://techcombank.com/thong-tin/blog/lam-the-atm-co-mat-phi-khong
https://techcombank.com/thong-tin/blog/tra-cuu-han-muc-the-tin-dung</v>
      </c>
    </row>
    <row r="39">
      <c r="A39" s="33">
        <v>26.0</v>
      </c>
      <c r="B39" s="34" t="s">
        <v>1314</v>
      </c>
      <c r="C39" s="35" t="s">
        <v>912</v>
      </c>
      <c r="D39" s="36">
        <v>30.0</v>
      </c>
      <c r="E39" s="37">
        <f>COUNTIF('Kế hoạch chèn link (mới)'!$B$3:$B$2944,B39)</f>
        <v>30</v>
      </c>
      <c r="F39" s="38" t="str">
        <f>IFERROR(__xludf.DUMMYFUNCTION("TEXTJOIN(CHAR(10),TRUE,FILTER('Kế hoạch chèn link (mới)'!$F$3:$F$2944,'Kế hoạch chèn link (mới)'!$B$3:$B$2944=B39))"),"https://techcombank.com/thong-tin/blog/cach-dang-ky-dinh-danh-muc-2
https://techcombank.com/thong-tin/blog/xac-thuc-sinh-trac-hoc-khi-chuyen-tien
https://techcombank.com/thong-tin/blog/ekyc-la-gi
https://techcombank.com/thong-tin/blog/mo-tai-khoan-ngan-ha"&amp;"ng-bang-so-dien-thoai
https://techcombank.com/thong-tin/blog/the-mastercard-la-gi
https://techcombank.com/thong-tin/blog/cach-khoa-the-ngan-hang
https://techcombank.com/thong-tin/blog/app-vay-tien-nhanh
https://techcombank.com/thong-tin/blog/cach-chon-so-"&amp;"tai-khoan-dep
https://techcombank.com/thong-tin/blog/bao-nhieu-tuoi-duoc-mo-tai-khoan-ngan-hang
https://techcombank.com/thong-tin/blog/lam-the-thanh-toan-quoc-te
https://techcombank.com/thong-tin/blog/phong-cho-san-bay-noi-bai
https://techcombank.com/thon"&amp;"g-tin/blog/sang-ngang-the-tin-dung
https://techcombank.com/thong-tin/blog/bib-techcombank
https://techcombank.com/thong-tin/blog/mo-tai-khoan-ngan-hang-online-co-an-toan-khong
https://techcombank.com/thong-tin/blog/cach-mo-tai-khoan
https://techcombank.co"&amp;"m/thong-tin/blog/spaylater
https://techcombank.com/thong-tin/blog/thanh-toan-khong-cham-tuong-lai-cua-thanh-toan-so-tai-viet-nam
https://techcombank.com/thong-tin/blog/the-debit
https://techcombank.com/thong-tin/blog/mo-tai-khoan-ngan-hang-cho-tre-em
http"&amp;"s://techcombank.com/thong-tin/blog/viet-kieu-co-mo-duoc-tai-khoan-ngan-hang-khong
https://techcombank.com/thong-tin/blog/vay-ngan-hang-chi-can-cccd
https://techcombank.com/thong-tin/blog/chuyen-doi-so-ho-kinh-doanh
https://techcombank.com/thong-tin/blog/m"&amp;"a-pin-the-atm
https://techcombank.com/thong-tin/blog/mua-ve-xem-phim
https://techcombank.com/thong-tin/blog/cach-lien-ket-tai-khoan-ngan-hang-voi-vneid
https://techcombank.com/thong-tin/blog/smart-otp-la-gi
https://techcombank.com/thong-tin/blog/cach-dang"&amp;"-ky-the-visa
https://techcombank.com/thong-tin/blog/lam-the-visa-online
https://techcombank.com/thong-tin/blog/phong-cho-san-bay-tan-son-nhat
https://techcombank.com/thong-tin/blog/the-atm-gan-chip")</f>
        <v>https://techcombank.com/thong-tin/blog/cach-dang-ky-dinh-danh-muc-2
https://techcombank.com/thong-tin/blog/xac-thuc-sinh-trac-hoc-khi-chuyen-tien
https://techcombank.com/thong-tin/blog/ekyc-la-gi
https://techcombank.com/thong-tin/blog/mo-tai-khoan-ngan-hang-bang-so-dien-thoai
https://techcombank.com/thong-tin/blog/the-mastercard-la-gi
https://techcombank.com/thong-tin/blog/cach-khoa-the-ngan-hang
https://techcombank.com/thong-tin/blog/app-vay-tien-nhanh
https://techcombank.com/thong-tin/blog/cach-chon-so-tai-khoan-dep
https://techcombank.com/thong-tin/blog/bao-nhieu-tuoi-duoc-mo-tai-khoan-ngan-hang
https://techcombank.com/thong-tin/blog/lam-the-thanh-toan-quoc-te
https://techcombank.com/thong-tin/blog/phong-cho-san-bay-noi-bai
https://techcombank.com/thong-tin/blog/sang-ngang-the-tin-dung
https://techcombank.com/thong-tin/blog/bib-techcombank
https://techcombank.com/thong-tin/blog/mo-tai-khoan-ngan-hang-online-co-an-toan-khong
https://techcombank.com/thong-tin/blog/cach-mo-tai-khoan
https://techcombank.com/thong-tin/blog/spaylater
https://techcombank.com/thong-tin/blog/thanh-toan-khong-cham-tuong-lai-cua-thanh-toan-so-tai-viet-nam
https://techcombank.com/thong-tin/blog/the-debit
https://techcombank.com/thong-tin/blog/mo-tai-khoan-ngan-hang-cho-tre-em
https://techcombank.com/thong-tin/blog/viet-kieu-co-mo-duoc-tai-khoan-ngan-hang-khong
https://techcombank.com/thong-tin/blog/vay-ngan-hang-chi-can-cccd
https://techcombank.com/thong-tin/blog/chuyen-doi-so-ho-kinh-doanh
https://techcombank.com/thong-tin/blog/ma-pin-the-atm
https://techcombank.com/thong-tin/blog/mua-ve-xem-phim
https://techcombank.com/thong-tin/blog/cach-lien-ket-tai-khoan-ngan-hang-voi-vneid
https://techcombank.com/thong-tin/blog/smart-otp-la-gi
https://techcombank.com/thong-tin/blog/cach-dang-ky-the-visa
https://techcombank.com/thong-tin/blog/lam-the-visa-online
https://techcombank.com/thong-tin/blog/phong-cho-san-bay-tan-son-nhat
https://techcombank.com/thong-tin/blog/the-atm-gan-chip</v>
      </c>
    </row>
    <row r="40">
      <c r="A40" s="33">
        <v>27.0</v>
      </c>
      <c r="B40" s="34" t="s">
        <v>1369</v>
      </c>
      <c r="C40" s="35" t="s">
        <v>912</v>
      </c>
      <c r="D40" s="36">
        <v>30.0</v>
      </c>
      <c r="E40" s="37">
        <f>COUNTIF('Kế hoạch chèn link (mới)'!$B$3:$B$2944,B40)</f>
        <v>30</v>
      </c>
      <c r="F40" s="38" t="str">
        <f>IFERROR(__xludf.DUMMYFUNCTION("TEXTJOIN(CHAR(10),TRUE,FILTER('Kế hoạch chèn link (mới)'!$F$3:$F$2944,'Kế hoạch chèn link (mới)'!$B$3:$B$2944=B40))"),"https://techcombank.com/thong-tin/blog/san-pham-xanh
https://techcombank.com/thong-tin/blog/dau-chan-carbon
https://techcombank.com/thong-tin/blog/phi-rut-tien-mat-the-tin-dung
https://techcombank.com/thong-tin/blog/qr-code-doanh-nghiep
https://techcomban"&amp;"k.com/thong-tin/blog/han-muc-thau-chi-la-gi
https://techcombank.com/thong-tin/blog/rut-tien-tiet-kiem-truoc-thoi-han
https://techcombank.com/thong-tin/blog/the-tin-dung-mien-phi-thuong-nien
https://techcombank.com/thong-tin/blog/voucher-starbucks
https://"&amp;"techcombank.com/thong-tin/blog/esg
https://techcombank.com/thong-tin/blog/the-tin-dung-techcombank-visa-eco
https://techcombank.com/thong-tin/blog/lam-the-visa-o-dau
https://techcombank.com/thong-tin/blog/lam-the-atm-bao-lau-co
https://techcombank.com/tho"&amp;"ng-tin/blog/lam-the-atm-co-mat-phi-khong
https://techcombank.com/thong-tin/blog/lam-the-thanh-toan-quoc-te
https://techcombank.com/thong-tin/blog/the-ghi-no-la-gi
https://techcombank.com/thong-tin/blog/the-tin-dung-nao-nhieu-uu-dai-nhat
https://techcomban"&amp;"k.com/thong-tin/blog/mr-eco
https://techcombank.com/thong-tin/blog/tra-gop-hoc-phi
https://techcombank.com/thong-tin/blog/uu-dai-the-tin-dung
https://techcombank.com/thong-tin/blog/cac-loai-the-tin-dung
https://techcombank.com/thong-tin/blog/oneu
https://"&amp;"techcombank.com/thong-tin/blog/cach-lam-the-atm
https://techcombank.com/thong-tin/blog/mo-the-ghi-no
https://techcombank.com/thong-tin/blog/tieu-dung-ben-vung
https://techcombank.com/thong-tin/blog/phi-thuong-nien-la-gi
https://techcombank.com/thong-tin/b"&amp;"log/the-tin-dung-quoc-te
https://techcombank.com/thong-tin/blog/the-tin-dung-hoan-tien
https://techcombank.com/thong-tin/blog/xu-huong-tieu-dung
https://techcombank.com/thong-tin/blog/giao-thong-xanh
https://techcombank.com/thong-tin/blog/lam-the-visa-mat"&amp;"-bao-lau")</f>
        <v>https://techcombank.com/thong-tin/blog/san-pham-xanh
https://techcombank.com/thong-tin/blog/dau-chan-carbon
https://techcombank.com/thong-tin/blog/phi-rut-tien-mat-the-tin-dung
https://techcombank.com/thong-tin/blog/qr-code-doanh-nghiep
https://techcombank.com/thong-tin/blog/han-muc-thau-chi-la-gi
https://techcombank.com/thong-tin/blog/rut-tien-tiet-kiem-truoc-thoi-han
https://techcombank.com/thong-tin/blog/the-tin-dung-mien-phi-thuong-nien
https://techcombank.com/thong-tin/blog/voucher-starbucks
https://techcombank.com/thong-tin/blog/esg
https://techcombank.com/thong-tin/blog/the-tin-dung-techcombank-visa-eco
https://techcombank.com/thong-tin/blog/lam-the-visa-o-dau
https://techcombank.com/thong-tin/blog/lam-the-atm-bao-lau-co
https://techcombank.com/thong-tin/blog/lam-the-atm-co-mat-phi-khong
https://techcombank.com/thong-tin/blog/lam-the-thanh-toan-quoc-te
https://techcombank.com/thong-tin/blog/the-ghi-no-la-gi
https://techcombank.com/thong-tin/blog/the-tin-dung-nao-nhieu-uu-dai-nhat
https://techcombank.com/thong-tin/blog/mr-eco
https://techcombank.com/thong-tin/blog/tra-gop-hoc-phi
https://techcombank.com/thong-tin/blog/uu-dai-the-tin-dung
https://techcombank.com/thong-tin/blog/cac-loai-the-tin-dung
https://techcombank.com/thong-tin/blog/oneu
https://techcombank.com/thong-tin/blog/cach-lam-the-atm
https://techcombank.com/thong-tin/blog/mo-the-ghi-no
https://techcombank.com/thong-tin/blog/tieu-dung-ben-vung
https://techcombank.com/thong-tin/blog/phi-thuong-nien-la-gi
https://techcombank.com/thong-tin/blog/the-tin-dung-quoc-te
https://techcombank.com/thong-tin/blog/the-tin-dung-hoan-tien
https://techcombank.com/thong-tin/blog/xu-huong-tieu-dung
https://techcombank.com/thong-tin/blog/giao-thong-xanh
https://techcombank.com/thong-tin/blog/lam-the-visa-mat-bao-lau</v>
      </c>
    </row>
    <row r="41">
      <c r="A41" s="33">
        <v>30.0</v>
      </c>
      <c r="B41" s="34" t="s">
        <v>861</v>
      </c>
      <c r="C41" s="35" t="s">
        <v>1481</v>
      </c>
      <c r="D41" s="36">
        <v>30.0</v>
      </c>
      <c r="E41" s="37">
        <f>COUNTIF('Kế hoạch chèn link (mới)'!$B$3:$B$2944,B41)</f>
        <v>30</v>
      </c>
      <c r="F41" s="38" t="str">
        <f>IFERROR(__xludf.DUMMYFUNCTION("TEXTJOIN(CHAR(10),TRUE,FILTER('Kế hoạch chèn link (mới)'!$F$3:$F$2944,'Kế hoạch chèn link (mới)'!$B$3:$B$2944=B41))"),"https://techcombank.com/thong-tin/blog/lam-the-tin-dung-co-mat-phi-khong
https://techcombank.com/thong-tin/blog/no-xau-mo-the-tin-dung-duoc-khong
https://techcombank.com/thong-tin/blog/the-tin-dung-ao
https://techcombank.com/thong-tin/blog/mo-the-tin-dung"&amp;"-han-muc-cao
https://techcombank.com/thong-tin/blog/the-tin-dung-phu-la-gi
https://techcombank.com/thong-tin/blog/co-nen-dung-the-tin-dung-khong
https://techcombank.com/thong-tin/blog/no-xau-co-lam-the-visa-duoc-khong
https://techcombank.com/thong-tin/blo"&amp;"g/uu-dai-mo-the-tin-dung
https://techcombank.com/thong-tin/blog/khong-su-dung-the-tin-dung-co-mat-phi-khong
https://techcombank.com/thong-tin/blog/mua-iphone-17
https://techcombank.com/thong-tin/blog/the-visa-de-lam-gi
https://techcombank.com/thong-tin/bl"&amp;"og/tai-khoan-doanh-nghiep-co-the-khong
https://techcombank.com/thong-tin/blog/uu-dai-the-tin-dung-techcombank-signature
https://techcombank.com/thong-tin/blog/the-tin-dung-mien-phi-thuong-nien
https://techcombank.com/thong-tin/blog/mat-the-tin-dung-co-bi-"&amp;"mat-tien-khong
https://techcombank.com/thong-tin/blog/the-tin-dung-nao-nhieu-uu-dai-nhat
https://techcombank.com/thong-tin/blog/tra-cuu-han-muc-the-tin-dung
https://techcombank.com/thong-tin/blog/ma-buu-chinh-the-tin-dung
https://techcombank.com/thong-tin"&amp;"/blog/the-tin-dung-quoc-te
https://techcombank.com/thong-tin/blog/mm-yy-la-gi
https://techcombank.com/thong-tin/blog/uu-dai-mua-ve-may-bay-bang-the-tin-dung
https://techcombank.com/thong-tin/blog/lam-the-atm-co-mat-phi-khong
https://techcombank.com/thong-"&amp;"tin/blog/cach-lam-the-ngan-hang-chay-quang-cao-facebook
https://techcombank.com/thong-tin/blog/eco-card
https://techcombank.com/thong-tin/blog/cach-lam-the-atm
https://techcombank.com/thong-tin/blog/the-visa-co-can-mat-khau-khong
https://techcombank.com/t"&amp;"hong-tin/blog/mua-truoc-tra-sau
https://techcombank.com/thong-tin/blog/the-tin-dung-het-han
https://techcombank.com/thong-tin/blog/the-napas-la-gi
https://techcombank.com/thong-tin/blog/lam-the-atm-bao-lau-co")</f>
        <v>https://techcombank.com/thong-tin/blog/lam-the-tin-dung-co-mat-phi-khong
https://techcombank.com/thong-tin/blog/no-xau-mo-the-tin-dung-duoc-khong
https://techcombank.com/thong-tin/blog/the-tin-dung-ao
https://techcombank.com/thong-tin/blog/mo-the-tin-dung-han-muc-cao
https://techcombank.com/thong-tin/blog/the-tin-dung-phu-la-gi
https://techcombank.com/thong-tin/blog/co-nen-dung-the-tin-dung-khong
https://techcombank.com/thong-tin/blog/no-xau-co-lam-the-visa-duoc-khong
https://techcombank.com/thong-tin/blog/uu-dai-mo-the-tin-dung
https://techcombank.com/thong-tin/blog/khong-su-dung-the-tin-dung-co-mat-phi-khong
https://techcombank.com/thong-tin/blog/mua-iphone-17
https://techcombank.com/thong-tin/blog/the-visa-de-lam-gi
https://techcombank.com/thong-tin/blog/tai-khoan-doanh-nghiep-co-the-khong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https://techcombank.com/thong-tin/blog/tra-cuu-han-muc-the-tin-dung
https://techcombank.com/thong-tin/blog/ma-buu-chinh-the-tin-dung
https://techcombank.com/thong-tin/blog/the-tin-dung-quoc-te
https://techcombank.com/thong-tin/blog/mm-yy-la-gi
https://techcombank.com/thong-tin/blog/uu-dai-mua-ve-may-bay-bang-the-tin-dung
https://techcombank.com/thong-tin/blog/lam-the-atm-co-mat-phi-khong
https://techcombank.com/thong-tin/blog/cach-lam-the-ngan-hang-chay-quang-cao-facebook
https://techcombank.com/thong-tin/blog/eco-card
https://techcombank.com/thong-tin/blog/cach-lam-the-atm
https://techcombank.com/thong-tin/blog/the-visa-co-can-mat-khau-khong
https://techcombank.com/thong-tin/blog/mua-truoc-tra-sau
https://techcombank.com/thong-tin/blog/the-tin-dung-het-han
https://techcombank.com/thong-tin/blog/the-napas-la-gi
https://techcombank.com/thong-tin/blog/lam-the-atm-bao-lau-co</v>
      </c>
    </row>
    <row r="42">
      <c r="A42" s="33">
        <v>31.0</v>
      </c>
      <c r="B42" s="34" t="s">
        <v>1595</v>
      </c>
      <c r="C42" s="35" t="s">
        <v>1481</v>
      </c>
      <c r="D42" s="36">
        <v>30.0</v>
      </c>
      <c r="E42" s="37">
        <f>COUNTIF('Kế hoạch chèn link (mới)'!$B$3:$B$2944,B42)</f>
        <v>21</v>
      </c>
      <c r="F42" s="38" t="str">
        <f>IFERROR(__xludf.DUMMYFUNCTION("TEXTJOIN(CHAR(10),TRUE,FILTER('Kế hoạch chèn link (mới)'!$F$3:$F$2944,'Kế hoạch chèn link (mới)'!$B$3:$B$2944=B42))"),"https://techcombank.com/thong-tin/blog/anh-trai-vuot-ngan-chong-gai-mua-2
https://techcombank.com/thong-tin/blog/mo-the-tin-dung-co-loi-ich-gi
https://techcombank.com/thong-tin/blog/lam-ho-so-tra-gop-dien-thoai
https://techcombank.com/thong-tin/blog/loyal"&amp;"ty-la-gi
https://techcombank.com/thong-tin/blog/rut-tien-mat-tu-the-tin-dung
https://techcombank.com/thong-tin/blog/uu-dai-mua-ve-may-bay-bang-the-tin-dung
https://techcombank.com/thong-tin/blog/mat-the-tin-dung-co-bi-mat-tien-khong
https://techcombank.co"&amp;"m/thong-tin/blog/so-cvv-la-gi
https://techcombank.com/thong-tin/blog/mua-iphone-17
https://techcombank.com/thong-tin/blog/mua-truoc-tra-sau
https://techcombank.com/thong-tin/blog/tra-cuu-han-muc-the-tin-dung
https://techcombank.com/thong-tin/blog/the-ghi-"&amp;"no-va-the-tin-dung
https://techcombank.com/thong-tin/blog/the-tin-dung-het-han
https://techcombank.com/thong-tin/blog/cach-huy-the-tin-dung
https://techcombank.com/thong-tin/blog/ma-buu-chinh-the-tin-dung
https://techcombank.com/thong-tin/blog/thanh-toan-"&amp;"tra-gop-qua-the-tin-dung
https://techcombank.com/thong-tin/blog/qua-han-thanh-toan-the-tin-dung-1-ngay
https://techcombank.com/thong-tin/blog/thanh-toan-truc-tuyen
https://techcombank.com/thong-tin/blog/cach-thanh-toan-the-tin-dung
https://techcombank.com"&amp;"/thong-tin/blog/the-tin-dung-den
https://techcombank.com/thong-tin/blog/dao-han-the-tin-dung")</f>
        <v>https://techcombank.com/thong-tin/blog/anh-trai-vuot-ngan-chong-gai-mua-2
https://techcombank.com/thong-tin/blog/mo-the-tin-dung-co-loi-ich-gi
https://techcombank.com/thong-tin/blog/lam-ho-so-tra-gop-dien-thoai
https://techcombank.com/thong-tin/blog/loyalty-la-gi
https://techcombank.com/thong-tin/blog/rut-tien-mat-tu-the-tin-dung
https://techcombank.com/thong-tin/blog/uu-dai-mua-ve-may-bay-bang-the-tin-dung
https://techcombank.com/thong-tin/blog/mat-the-tin-dung-co-bi-mat-tien-khong
https://techcombank.com/thong-tin/blog/so-cvv-la-gi
https://techcombank.com/thong-tin/blog/mua-iphone-17
https://techcombank.com/thong-tin/blog/mua-truoc-tra-sau
https://techcombank.com/thong-tin/blog/tra-cuu-han-muc-the-tin-dung
https://techcombank.com/thong-tin/blog/the-ghi-no-va-the-tin-dung
https://techcombank.com/thong-tin/blog/the-tin-dung-het-han
https://techcombank.com/thong-tin/blog/cach-huy-the-tin-dung
https://techcombank.com/thong-tin/blog/ma-buu-chinh-the-tin-dung
https://techcombank.com/thong-tin/blog/thanh-toan-tra-gop-qua-the-tin-dung
https://techcombank.com/thong-tin/blog/qua-han-thanh-toan-the-tin-dung-1-ngay
https://techcombank.com/thong-tin/blog/thanh-toan-truc-tuyen
https://techcombank.com/thong-tin/blog/cach-thanh-toan-the-tin-dung
https://techcombank.com/thong-tin/blog/the-tin-dung-den
https://techcombank.com/thong-tin/blog/dao-han-the-tin-dung</v>
      </c>
    </row>
    <row r="43">
      <c r="A43" s="33">
        <v>32.0</v>
      </c>
      <c r="B43" s="34" t="s">
        <v>990</v>
      </c>
      <c r="C43" s="35" t="s">
        <v>1481</v>
      </c>
      <c r="D43" s="36">
        <v>30.0</v>
      </c>
      <c r="E43" s="37">
        <f>COUNTIF('Kế hoạch chèn link (mới)'!$B$3:$B$2944,B43)</f>
        <v>30</v>
      </c>
      <c r="F43" s="38" t="str">
        <f>IFERROR(__xludf.DUMMYFUNCTION("TEXTJOIN(CHAR(10),TRUE,FILTER('Kế hoạch chèn link (mới)'!$F$3:$F$2944,'Kế hoạch chèn link (mới)'!$B$3:$B$2944=B43))"),"https://techcombank.com/thong-tin/blog/thanh-toan-tien-dien-bang-the-tin-dung
https://techcombank.com/thong-tin/blog/cashback-the-thanh-toan
https://techcombank.com/thong-tin/blog/the-tin-dung-mien-phi-thuong-nien
https://techcombank.com/thong-tin/blog/uu"&amp;"-dai-mo-the-tin-dung
https://techcombank.com/thong-tin/blog/cach-su-dung-the-tin-dung
https://techcombank.com/thong-tin/blog/tai-khoan-doanh-nghiep-co-the-khong
https://techcombank.com/thong-tin/blog/mm-yy-la-gi
https://techcombank.com/thong-tin/blog/uu-d"&amp;"ai-mua-ve-may-bay-bang-the-tin-dung
https://techcombank.com/thong-tin/blog/so-cvv-la-gi
https://techcombank.com/thong-tin/blog/cach-lam-the-ngan-hang-chay-quang-cao-facebook
https://techcombank.com/thong-tin/blog/the-visa-co-can-mat-khau-khong
https://tec"&amp;"hcombank.com/thong-tin/blog/the-ghi-no-va-the-tin-dung
https://techcombank.com/thong-tin/blog/cach-huy-the-tin-dung
https://techcombank.com/thong-tin/blog/co-nen-dung-the-tin-dung-khong
https://techcombank.com/thong-tin/blog/the-tin-dung-quoc-te
https://t"&amp;"echcombank.com/thong-tin/blog/phi-rut-tien-mat-the-tin-dung
https://techcombank.com/thong-tin/blog/tiet-kiem-khi-di-du-lich
https://techcombank.com/thong-tin/blog/the-tin-dung-den
https://techcombank.com/thong-tin/blog/4p-pizza
https://techcombank.com/tho"&amp;"ng-tin/blog/cach-nap-the-mobi
https://techcombank.com/thong-tin/blog/cach-nap-the-vina
https://techcombank.com/thong-tin/blog/uu-dai-the-tin-dung-techcombank-signature
https://techcombank.com/thong-tin/blog/cac-loai-the-tin-dung
https://techcombank.com/th"&amp;"ong-tin/blog/the-tin-dung-nao-nhieu-uu-dai-nhat
https://techcombank.com/thong-tin/blog/mua-iphone-17
https://techcombank.com/thong-tin/blog/mua-truoc-tra-sau
https://techcombank.com/thong-tin/blog/the-tin-dung-het-han
https://techcombank.com/thong-tin/blo"&amp;"g/ma-buu-chinh-the-tin-dung
https://techcombank.com/thong-tin/blog/cach-thanh-toan-the-tin-dung
https://techcombank.com/thong-tin/blog/cac-loai-the-ngan-hang")</f>
        <v>https://techcombank.com/thong-tin/blog/thanh-toan-tien-dien-bang-the-tin-dung
https://techcombank.com/thong-tin/blog/cashback-the-thanh-toan
https://techcombank.com/thong-tin/blog/the-tin-dung-mien-phi-thuong-nien
https://techcombank.com/thong-tin/blog/uu-dai-mo-the-tin-dung
https://techcombank.com/thong-tin/blog/cach-su-dung-the-tin-dung
https://techcombank.com/thong-tin/blog/tai-khoan-doanh-nghiep-co-the-khong
https://techcombank.com/thong-tin/blog/mm-yy-la-gi
https://techcombank.com/thong-tin/blog/uu-dai-mua-ve-may-bay-bang-the-tin-dung
https://techcombank.com/thong-tin/blog/so-cvv-la-gi
https://techcombank.com/thong-tin/blog/cach-lam-the-ngan-hang-chay-quang-cao-facebook
https://techcombank.com/thong-tin/blog/the-visa-co-can-mat-khau-khong
https://techcombank.com/thong-tin/blog/the-ghi-no-va-the-tin-dung
https://techcombank.com/thong-tin/blog/cach-huy-the-tin-dung
https://techcombank.com/thong-tin/blog/co-nen-dung-the-tin-dung-khong
https://techcombank.com/thong-tin/blog/the-tin-dung-quoc-te
https://techcombank.com/thong-tin/blog/phi-rut-tien-mat-the-tin-dung
https://techcombank.com/thong-tin/blog/tiet-kiem-khi-di-du-lich
https://techcombank.com/thong-tin/blog/the-tin-dung-den
https://techcombank.com/thong-tin/blog/4p-pizza
https://techcombank.com/thong-tin/blog/cach-nap-the-mobi
https://techcombank.com/thong-tin/blog/cach-nap-the-vina
https://techcombank.com/thong-tin/blog/uu-dai-the-tin-dung-techcombank-signature
https://techcombank.com/thong-tin/blog/cac-loai-the-tin-dung
https://techcombank.com/thong-tin/blog/the-tin-dung-nao-nhieu-uu-dai-nhat
https://techcombank.com/thong-tin/blog/mua-iphone-17
https://techcombank.com/thong-tin/blog/mua-truoc-tra-sau
https://techcombank.com/thong-tin/blog/the-tin-dung-het-han
https://techcombank.com/thong-tin/blog/ma-buu-chinh-the-tin-dung
https://techcombank.com/thong-tin/blog/cach-thanh-toan-the-tin-dung
https://techcombank.com/thong-tin/blog/cac-loai-the-ngan-hang</v>
      </c>
    </row>
    <row r="44">
      <c r="A44" s="33">
        <v>34.0</v>
      </c>
      <c r="B44" s="34" t="s">
        <v>1225</v>
      </c>
      <c r="C44" s="35" t="s">
        <v>1481</v>
      </c>
      <c r="D44" s="36">
        <v>30.0</v>
      </c>
      <c r="E44" s="37">
        <f>COUNTIF('Kế hoạch chèn link (mới)'!$B$3:$B$2944,B44)</f>
        <v>30</v>
      </c>
      <c r="F44" s="38" t="str">
        <f>IFERROR(__xludf.DUMMYFUNCTION("TEXTJOIN(CHAR(10),TRUE,FILTER('Kế hoạch chèn link (mới)'!$F$3:$F$2944,'Kế hoạch chèn link (mới)'!$B$3:$B$2944=B44))"),"https://techcombank.com/thong-tin/blog/lich-su-tin-dung
https://techcombank.com/thong-tin/blog/cach-su-dung-the-tin-dung
https://techcombank.com/thong-tin/blog/du-no-tin-dung-la-gi
https://techcombank.com/thong-tin/blog/dao-han-la-gi
https://techcombank.c"&amp;"om/thong-tin/blog/vay-tin-chap-ho-kinh-doanh
https://techcombank.com/thong-tin/blog/no-xau-co-vay-the-chap-duoc-khong
https://techcombank.com/thong-tin/blog/tin-dung-la-gi
https://techcombank.com/thong-tin/blog/no-xau
https://techcombank.com/thong-tin/blo"&amp;"g/no-xau-la-gi
https://techcombank.com/thong-tin/blog/thi-truong-trai-phieu-co-hoi-dau-tu-trai-phieu-vang-du-lai-suat-thap
https://techcombank.com/thong-tin/blog/kinh-nghiem-vay-tien-mua-nha
https://techcombank.com/thong-tin/blog/no-xau-nhom-2
https://tec"&amp;"hcombank.com/thong-tin/blog/no-the-tin-dung-qua-han
https://techcombank.com/thong-tin/blog/nghich-ly-nha-dau-tu-che-trai-phieu-lai-suat-cao-ua-ma-an-toan-du-lai-suat-thap-hon-05-1
https://techcombank.com/thong-tin/blog/bi-quyet-lua-chon-trai-phieu-an-toan"&amp;"-cho-nha-dau-tu
https://techcombank.com/thong-tin/blog/cho-vay-hop-von-la-gi
https://techcombank.com/thong-tin/blog/co-nen-mua-bao-hiem-nhan-tho
https://techcombank.com/thong-tin/blog/dao-tao-the-he-ke-can
https://techcombank.com/thong-tin/blog/khau-vi-nh"&amp;"a-dau-tu-tpdn-thay-doi-the-nao-sau-nhung-bien-dong-vua-qua
https://techcombank.com/thong-tin/blog/mat-the-tin-dung-co-lam-lai-duoc-khong
https://techcombank.com/thong-tin/blog/nen-mo-tai-khoan-ngan-hang-nao-cho-doanh-nghiep
https://techcombank.com/thong-t"&amp;"in/blog/ngan-hang-uy-tin
https://techcombank.com/thong-tin/blog/nha-dau-tu-giao-dich-trai-phieu-truc-tuyen-tang-manh-tro-lai
https://techcombank.com/thong-tin/blog/vay-the-chap-khong-tra-duoc
https://techcombank.com/thong-tin/blog/kiem-tra-no-xau
https://"&amp;"techcombank.com/thong-tin/blog/thanh-toan-khoan-vay
https://techcombank.com/thong-tin/blog/nang-han-muc-tin-dung
https://techcombank.com/thong-tin/blog/spaylater
https://techcombank.com/thong-tin/blog/luu-y-khi-su-dung-the-tin-dung
https://techcombank.com"&amp;"/thong-tin/blog/vay-tin-chap-no-xau")</f>
        <v>https://techcombank.com/thong-tin/blog/lich-su-tin-dung
https://techcombank.com/thong-tin/blog/cach-su-dung-the-tin-dung
https://techcombank.com/thong-tin/blog/du-no-tin-dung-la-gi
https://techcombank.com/thong-tin/blog/dao-han-la-gi
https://techcombank.com/thong-tin/blog/vay-tin-chap-ho-kinh-doanh
https://techcombank.com/thong-tin/blog/no-xau-co-vay-the-chap-duoc-khong
https://techcombank.com/thong-tin/blog/tin-dung-la-gi
https://techcombank.com/thong-tin/blog/no-xau
https://techcombank.com/thong-tin/blog/no-xau-la-gi
https://techcombank.com/thong-tin/blog/thi-truong-trai-phieu-co-hoi-dau-tu-trai-phieu-vang-du-lai-suat-thap
https://techcombank.com/thong-tin/blog/kinh-nghiem-vay-tien-mua-nha
https://techcombank.com/thong-tin/blog/no-xau-nhom-2
https://techcombank.com/thong-tin/blog/no-the-tin-dung-qua-han
https://techcombank.com/thong-tin/blog/nghich-ly-nha-dau-tu-che-trai-phieu-lai-suat-cao-ua-ma-an-toan-du-lai-suat-thap-hon-05-1
https://techcombank.com/thong-tin/blog/bi-quyet-lua-chon-trai-phieu-an-toan-cho-nha-dau-tu
https://techcombank.com/thong-tin/blog/cho-vay-hop-von-la-gi
https://techcombank.com/thong-tin/blog/co-nen-mua-bao-hiem-nhan-tho
https://techcombank.com/thong-tin/blog/dao-tao-the-he-ke-can
https://techcombank.com/thong-tin/blog/khau-vi-nha-dau-tu-tpdn-thay-doi-the-nao-sau-nhung-bien-dong-vua-qua
https://techcombank.com/thong-tin/blog/mat-the-tin-dung-co-lam-lai-duoc-khong
https://techcombank.com/thong-tin/blog/nen-mo-tai-khoan-ngan-hang-nao-cho-doanh-nghiep
https://techcombank.com/thong-tin/blog/ngan-hang-uy-tin
https://techcombank.com/thong-tin/blog/nha-dau-tu-giao-dich-trai-phieu-truc-tuyen-tang-manh-tro-lai
https://techcombank.com/thong-tin/blog/vay-the-chap-khong-tra-duoc
https://techcombank.com/thong-tin/blog/kiem-tra-no-xau
https://techcombank.com/thong-tin/blog/thanh-toan-khoan-vay
https://techcombank.com/thong-tin/blog/nang-han-muc-tin-dung
https://techcombank.com/thong-tin/blog/spaylater
https://techcombank.com/thong-tin/blog/luu-y-khi-su-dung-the-tin-dung
https://techcombank.com/thong-tin/blog/vay-tin-chap-no-xau</v>
      </c>
    </row>
    <row r="45">
      <c r="A45" s="33">
        <v>35.0</v>
      </c>
      <c r="B45" s="34" t="s">
        <v>51</v>
      </c>
      <c r="C45" s="35" t="s">
        <v>1481</v>
      </c>
      <c r="D45" s="36">
        <v>30.0</v>
      </c>
      <c r="E45" s="37">
        <f>COUNTIF('Kế hoạch chèn link (mới)'!$B$3:$B$2944,B45)</f>
        <v>30</v>
      </c>
      <c r="F45" s="38" t="str">
        <f>IFERROR(__xludf.DUMMYFUNCTION("TEXTJOIN(CHAR(10),TRUE,FILTER('Kế hoạch chèn link (mới)'!$F$3:$F$2944,'Kế hoạch chèn link (mới)'!$B$3:$B$2944=B45))"),"https://techcombank.com/thong-tin/blog/the-tin-dung-mien-lai-55-ngay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https://techcombank.com/thong-tin/blog/sao-ke-tai-khoan-doanh-nghiep
https://techcombank.com/thong-tin/"&amp;"blog/cac-loai-the-tin-dung
https://techcombank.com/thong-tin/blog/the-tin-dung-mien-phi-thuong-nien
https://techcombank.com/thong-tin/blog/uu-dai-mua-ve-may-bay-bang-the-tin-dung
https://techcombank.com/thong-tin/blog/mat-the-tin-dung-co-bi-mat-tien-khong"&amp;"
https://techcombank.com/thong-tin/blog/the-tin-dung-nao-nhieu-uu-dai-nhat
https://techcombank.com/thong-tin/blog/cach-lam-the-ngan-hang-chay-quang-cao-facebook
https://techcombank.com/thong-tin/blog/mua-iphone-17
https://techcombank.com/thong-tin/blog/th"&amp;"e-visa-co-can-mat-khau-khong
https://techcombank.com/thong-tin/blog/mua-truoc-tra-sau
https://techcombank.com/thong-tin/blog/ma-buu-chinh-the-tin-dung
https://techcombank.com/thong-tin/blog/loyalty-la-gi
https://techcombank.com/thong-tin/blog/the-tin-dung"&amp;"-den
https://techcombank.com/thong-tin/blog/cac-loai-the-ngan-hang
https://techcombank.com/thong-tin/blog/cach-doi-mat-khau-tai-khoan-ngan-hang
https://techcombank.com/thong-tin/blog/uu-dai-the-tin-dung-techcombank-signature
https://techcombank.com/thong-"&amp;"tin/blog/so-cvv-la-gi
https://techcombank.com/thong-tin/blog/the-ghi-no-va-the-tin-dung
https://techcombank.com/thong-tin/blog/du-no-la-gi
https://techcombank.com/thong-tin/blog/tai-khoan-doanh-nghiep-co-the-khong
https://techcombank.com/thong-tin/blog/th"&amp;"e-tin-dung-het-han
https://techcombank.com/thong-tin/blog/co-nen-dung-the-tin-dung-khong
https://techcombank.com/thong-tin/blog/han-muc-the-tin-dung")</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https://techcombank.com/thong-tin/blog/sao-ke-tai-khoan-doanh-nghiep
https://techcombank.com/thong-tin/blog/cac-loai-the-tin-dung
https://techcombank.com/thong-tin/blog/the-tin-dung-mien-phi-thuong-nien
https://techcombank.com/thong-tin/blog/uu-dai-mua-ve-may-bay-bang-the-tin-dung
https://techcombank.com/thong-tin/blog/mat-the-tin-dung-co-bi-mat-tien-khong
https://techcombank.com/thong-tin/blog/the-tin-dung-nao-nhieu-uu-dai-nhat
https://techcombank.com/thong-tin/blog/cach-lam-the-ngan-hang-chay-quang-cao-facebook
https://techcombank.com/thong-tin/blog/mua-iphone-17
https://techcombank.com/thong-tin/blog/the-visa-co-can-mat-khau-khong
https://techcombank.com/thong-tin/blog/mua-truoc-tra-sau
https://techcombank.com/thong-tin/blog/ma-buu-chinh-the-tin-dung
https://techcombank.com/thong-tin/blog/loyalty-la-gi
https://techcombank.com/thong-tin/blog/the-tin-dung-den
https://techcombank.com/thong-tin/blog/cac-loai-the-ngan-hang
https://techcombank.com/thong-tin/blog/cach-doi-mat-khau-tai-khoan-ngan-hang
https://techcombank.com/thong-tin/blog/uu-dai-the-tin-dung-techcombank-signature
https://techcombank.com/thong-tin/blog/so-cvv-la-gi
https://techcombank.com/thong-tin/blog/the-ghi-no-va-the-tin-dung
https://techcombank.com/thong-tin/blog/du-no-la-gi
https://techcombank.com/thong-tin/blog/tai-khoan-doanh-nghiep-co-the-khong
https://techcombank.com/thong-tin/blog/the-tin-dung-het-han
https://techcombank.com/thong-tin/blog/co-nen-dung-the-tin-dung-khong
https://techcombank.com/thong-tin/blog/han-muc-the-tin-dung</v>
      </c>
    </row>
    <row r="46">
      <c r="A46" s="33">
        <v>36.0</v>
      </c>
      <c r="B46" s="34" t="s">
        <v>1126</v>
      </c>
      <c r="C46" s="35" t="s">
        <v>1634</v>
      </c>
      <c r="D46" s="36">
        <v>30.0</v>
      </c>
      <c r="E46" s="37">
        <f>COUNTIF('Kế hoạch chèn link (mới)'!$B$3:$B$2944,B46)</f>
        <v>30</v>
      </c>
      <c r="F46" s="38" t="str">
        <f>IFERROR(__xludf.DUMMYFUNCTION("TEXTJOIN(CHAR(10),TRUE,FILTER('Kế hoạch chèn link (mới)'!$F$3:$F$2944,'Kế hoạch chèn link (mới)'!$B$3:$B$2944=B46))"),"https://techcombank.com/thong-tin/blog/chung-chi-tien-gui-khac-gi-so-tiet-kiem
https://techcombank.com/thong-tin/blog/co-nen-gui-chung-chi-tien-gui
https://techcombank.com/thong-tin/blog/cach-tinh-loi-nhuan-chung-chi-tien-gui
https://techcombank.com/thong"&amp;"-tin/blog/lai-suat-chung-chi-tien-gui-cac-ngan-hang
https://techcombank.com/thong-tin/blog/tien-nhan-roi-nen-lam-gi
https://techcombank.com/thong-tin/blog/nguyen-tac-quan-ly-tai-chinh-ca-nhan
https://techcombank.com/thong-tin/blog/thanh-khoan-la-gi
https:"&amp;"//techcombank.com/thong-tin/blog/tat-toan
https://techcombank.com/thong-tin/blog/dau-tu-quy-mo
https://techcombank.com/thong-tin/blog/dau-tu-tai-chinh-ca-nhan
https://techcombank.com/thong-tin/blog/mo-so-tiet-kiem-can-bao-nhieu-tien
https://techcombank.co"&amp;"m/thong-tin/blog/6-chiec-lo-tai-chinh-ca-nhan
https://techcombank.com/thong-tin/blog/lam-phat-la-gi
https://techcombank.com/thong-tin/blog/cac-chung-chi-quy-o-viet-nam
https://techcombank.com/thong-tin/blog/the-napas-la-gi
https://techcombank.com/thong-ti"&amp;"n/blog/kinh-nghiem-gui-tiet-kiem-online
https://techcombank.com/thong-tin/blog/vay-the-chap-toi-da-duoc-bao-nhieu
https://techcombank.com/thong-tin/blog/app-ngan-hang-uy-tin
https://techcombank.com/thong-tin/blog/gui-tiet-kiem-hang-thang
https://techcomba"&amp;"nk.com/thong-tin/blog/app-ngan-hang
https://techcombank.com/thong-tin/blog/ca-nhan-hoa
https://techcombank.com/thong-tin/blog/tai-sao-gui-tiet-kiem-online-lai-suat-cao-hon
https://techcombank.com/thong-tin/blog/chung-chi-tien-gui-co-duoc-bao-hiem-khong
ht"&amp;"tps://techcombank.com/thong-tin/blog/quan-ly-tai-chinh-cho-dan-van-phong
https://techcombank.com/thong-tin/blog/gui-tien-ngan-hang-co-an-toan-khong
https://techcombank.com/thong-tin/blog/tat-toan-chung-chi-tien-gui
https://techcombank.com/thong-tin/blog/g"&amp;"ui-tiet-kiem-vang
https://techcombank.com/thong-tin/blog/nen-gui-tiet-kiem-thong-thuong-hay-tich-luy
https://techcombank.com/thong-tin/blog/gui-tiet-kiem-ngan-hang-van-la-lua-chon-an-toan-trong-thoi-ky-kinh-te-con-nhieu-bien-dong
https://techcombank.com/t"&amp;"hong-tin/blog/dau-tu-trai-phieu-doanh-nghiep-dung-ham-lai-suat-cao")</f>
        <v>https://techcombank.com/thong-tin/blog/chung-chi-tien-gui-khac-gi-so-tiet-kiem
https://techcombank.com/thong-tin/blog/co-nen-gui-chung-chi-tien-gui
https://techcombank.com/thong-tin/blog/cach-tinh-loi-nhuan-chung-chi-tien-gui
https://techcombank.com/thong-tin/blog/lai-suat-chung-chi-tien-gui-cac-ngan-hang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https://techcombank.com/thong-tin/blog/the-napas-la-gi
https://techcombank.com/thong-tin/blog/kinh-nghiem-gui-tiet-kiem-online
https://techcombank.com/thong-tin/blog/vay-the-chap-toi-da-duoc-bao-nhieu
https://techcombank.com/thong-tin/blog/app-ngan-hang-uy-tin
https://techcombank.com/thong-tin/blog/gui-tiet-kiem-hang-thang
https://techcombank.com/thong-tin/blog/app-ngan-hang
https://techcombank.com/thong-tin/blog/ca-nhan-hoa
https://techcombank.com/thong-tin/blog/tai-sao-gui-tiet-kiem-online-lai-suat-cao-hon
https://techcombank.com/thong-tin/blog/chung-chi-tien-gui-co-duoc-bao-hiem-khong
https://techcombank.com/thong-tin/blog/quan-ly-tai-chinh-cho-dan-van-phong
https://techcombank.com/thong-tin/blog/gui-tien-ngan-hang-co-an-toan-khong
https://techcombank.com/thong-tin/blog/tat-toan-chung-chi-tien-gui
https://techcombank.com/thong-tin/blog/gui-tiet-kiem-vang
https://techcombank.com/thong-tin/blog/nen-gui-tiet-kiem-thong-thuong-hay-tich-luy
https://techcombank.com/thong-tin/blog/gui-tiet-kiem-ngan-hang-van-la-lua-chon-an-toan-trong-thoi-ky-kinh-te-con-nhieu-bien-dong
https://techcombank.com/thong-tin/blog/dau-tu-trai-phieu-doanh-nghiep-dung-ham-lai-suat-cao</v>
      </c>
    </row>
    <row r="47">
      <c r="A47" s="33">
        <v>37.0</v>
      </c>
      <c r="B47" s="34" t="s">
        <v>855</v>
      </c>
      <c r="C47" s="35" t="s">
        <v>1634</v>
      </c>
      <c r="D47" s="36">
        <v>30.0</v>
      </c>
      <c r="E47" s="37">
        <f>COUNTIF('Kế hoạch chèn link (mới)'!$B$3:$B$2944,B47)</f>
        <v>28</v>
      </c>
      <c r="F47" s="38" t="str">
        <f>IFERROR(__xludf.DUMMYFUNCTION("TEXTJOIN(CHAR(10),TRUE,FILTER('Kế hoạch chèn link (mới)'!$F$3:$F$2944,'Kế hoạch chèn link (mới)'!$B$3:$B$2944=B47))"),"https://techcombank.com/thong-tin/blog/cach-tinh-loi-nhuan-chung-chi-tien-gui
https://techcombank.com/thong-tin/blog/tat-toan-chung-chi-tien-gui
https://techcombank.com/thong-tin/blog/chung-chi-tien-gui-co-duoc-rut-truoc-han
https://techcombank.com/thong-"&amp;"tin/blog/chuyen-nhuong-chung-chi-tien-gui
https://techcombank.com/thong-tin/blog/chung-chi-tien-gui-co-duoc-bao-hiem-khong
https://techcombank.com/thong-tin/blog/co-nen-gui-chung-chi-tien-gui
https://techcombank.com/thong-tin/blog/dau-tu-trai-phieu-doanh-"&amp;"nghiep-dung-ham-lai-suat-cao
https://techcombank.com/thong-tin/blog/quan-ly-tai-chinh-doanh-nghiep-nho
https://techcombank.com/thong-tin/blog/so-tiet-kiem-ngan-hang
https://techcombank.com/thong-tin/blog/gui-tiet-kiem-theo-ngay
https://techcombank.com/tho"&amp;"ng-tin/blog/lai-kep-ngan-hang
https://techcombank.com/thong-tin/blog/tat-toan-so-tiet-kiem
https://techcombank.com/thong-tin/blog/lai-suat-chung-chi-quy
https://techcombank.com/thong-tin/blog/quan-ly-tai-chinh-doanh-nghiep-la-gi
https://techcombank.com/th"&amp;"ong-tin/blog/the-tin-dung-ao
https://techcombank.com/thong-tin/blog/chung-chi-tien-gui-la-gi
https://techcombank.com/thong-tin/blog/chon-kenh-dau-tu-an-toan-trong-boi-canh-thi-truong-bien-dong
https://techcombank.com/thong-tin/blog/chung-chi-tien-gui-co-p"&amp;"hai-la-trai-phieu-khong
https://techcombank.com/thong-tin/blog/tien-gui-co-ky-han
https://techcombank.com/thong-tin/blog/thi-truong-trai-phieu-co-hoi-dau-tu-trai-phieu-vang-du-lai-suat-thap
https://techcombank.com/thong-tin/blog/cach-quan-ly-tai-san
https"&amp;"://techcombank.com/thong-tin/blog/esg
https://techcombank.com/thong-tin/blog/nim-la-gi
https://techcombank.com/thong-tin/blog/tinh-thanh-khoan-la-gi
https://techcombank.com/thong-tin/blog/tien-nhan-roi-nen-lam-gi
https://techcombank.com/thong-tin/blog/ngu"&amp;"yen-tac-quan-ly-tai-chinh-ca-nhan
https://techcombank.com/thong-tin/blog/thanh-khoan-la-gi
https://techcombank.com/thong-tin/blog/hoc-sinh-sinh-vien-nen-lam-the-ngan-hang-nao")</f>
        <v>https://techcombank.com/thong-tin/blog/cach-tinh-loi-nhuan-chung-chi-tien-gui
https://techcombank.com/thong-tin/blog/tat-toan-chung-chi-tien-gui
https://techcombank.com/thong-tin/blog/chung-chi-tien-gui-co-duoc-rut-truoc-han
https://techcombank.com/thong-tin/blog/chuyen-nhuong-chung-chi-tien-gui
https://techcombank.com/thong-tin/blog/chung-chi-tien-gui-co-duoc-bao-hiem-khong
https://techcombank.com/thong-tin/blog/co-nen-gui-chung-chi-tien-gui
https://techcombank.com/thong-tin/blog/dau-tu-trai-phieu-doanh-nghiep-dung-ham-lai-suat-cao
https://techcombank.com/thong-tin/blog/quan-ly-tai-chinh-doanh-nghiep-nho
https://techcombank.com/thong-tin/blog/so-tiet-kiem-ngan-hang
https://techcombank.com/thong-tin/blog/gui-tiet-kiem-theo-ngay
https://techcombank.com/thong-tin/blog/lai-kep-ngan-hang
https://techcombank.com/thong-tin/blog/tat-toan-so-tiet-kiem
https://techcombank.com/thong-tin/blog/lai-suat-chung-chi-quy
https://techcombank.com/thong-tin/blog/quan-ly-tai-chinh-doanh-nghiep-la-gi
https://techcombank.com/thong-tin/blog/the-tin-dung-ao
https://techcombank.com/thong-tin/blog/chung-chi-tien-gui-la-gi
https://techcombank.com/thong-tin/blog/chon-kenh-dau-tu-an-toan-trong-boi-canh-thi-truong-bien-dong
https://techcombank.com/thong-tin/blog/chung-chi-tien-gui-co-phai-la-trai-phieu-khong
https://techcombank.com/thong-tin/blog/tien-gui-co-ky-han
https://techcombank.com/thong-tin/blog/thi-truong-trai-phieu-co-hoi-dau-tu-trai-phieu-vang-du-lai-suat-thap
https://techcombank.com/thong-tin/blog/cach-quan-ly-tai-san
https://techcombank.com/thong-tin/blog/esg
https://techcombank.com/thong-tin/blog/nim-la-gi
https://techcombank.com/thong-tin/blog/tinh-thanh-khoan-la-gi
https://techcombank.com/thong-tin/blog/tien-nhan-roi-nen-lam-gi
https://techcombank.com/thong-tin/blog/nguyen-tac-quan-ly-tai-chinh-ca-nhan
https://techcombank.com/thong-tin/blog/thanh-khoan-la-gi
https://techcombank.com/thong-tin/blog/hoc-sinh-sinh-vien-nen-lam-the-ngan-hang-nao</v>
      </c>
    </row>
    <row r="48">
      <c r="A48" s="33">
        <v>38.0</v>
      </c>
      <c r="B48" s="34" t="s">
        <v>95</v>
      </c>
      <c r="C48" s="35" t="s">
        <v>1662</v>
      </c>
      <c r="D48" s="36">
        <v>30.0</v>
      </c>
      <c r="E48" s="37">
        <f>COUNTIF('Kế hoạch chèn link (mới)'!$B$3:$B$2944,B48)</f>
        <v>30</v>
      </c>
      <c r="F48" s="38" t="str">
        <f>IFERROR(__xludf.DUMMYFUNCTION("TEXTJOIN(CHAR(10),TRUE,FILTER('Kế hoạch chèn link (mới)'!$F$3:$F$2944,'Kế hoạch chèn link (mới)'!$B$3:$B$2944=B48))"),"https://techcombank.com/thong-tin/blog/tien-trung-quoc
https://techcombank.com/thong-tin/blog/1000-te-bang-bao-nhieu-tien-viet
https://techcombank.com/thong-tin/blog/1-van-te-bang-bao-nhieu-tien-viet
https://techcombank.com/thong-tin/blog/thanh-toan-khi-d"&amp;"u-lich-trung-quoc
https://techcombank.com/thong-tin/blog/1-man-bang-bao-nhieu-tien-viet
https://techcombank.com/thong-tin/blog/han-muc-mua-ngoai-te-khi-di-du-lich
https://techcombank.com/thong-tin/blog/tai-khoan-ngan-hang-la-gi
https://techcombank.com/tho"&amp;"ng-tin/blog/chuyen-tien-tu-duc-ve-viet-nam
https://techcombank.com/thong-tin/blog/cach-nhan-tien-tu-nuoc-ngoai-ve-viet-nam
https://techcombank.com/thong-tin/blog/phi-chuyen-doi-ngoai-te
https://techcombank.com/thong-tin/blog/1000-won-bang-bao-nhieu-tien-v"&amp;"iet
https://techcombank.com/thong-tin/blog/tien-dai-loan
https://techcombank.com/thong-tin/blog/1-dong-do-la-my-bang-bao-nhieu-tien-viet-nam
https://techcombank.com/thong-tin/blog/1000-yen-bang-bao-nhieu-tien-viet
https://techcombank.com/thong-tin/blog/1-"&amp;"won-bang-bao-nhieu-tien-viet
https://techcombank.com/thong-tin/blog/1-do-uc-bang-bao-nhieu-tien-viet
https://techcombank.com/thong-tin/blog/1-cent-bang-bao-nhieu-tien-viet
https://techcombank.com/thong-tin/blog/1-euro-bang-bao-nhieu-tien-viet
https://tech"&amp;"combank.com/thong-tin/blog/1-trieu-won-bang-bao-nhieu-tien-viet
https://techcombank.com/thong-tin/blog/tien-lao
https://techcombank.com/thong-tin/blog/thanh-toan-bang-the-quoc-te
https://techcombank.com/thong-tin/blog/ngoai-te-la-gi
https://techcombank.co"&amp;"m/thong-tin/blog/di-du-lich-nuoc-ngoai-can-chuan-bi-gi
https://techcombank.com/thong-tin/blog/quy-dinh-ve-mua-ban-ngoai-te-cua-doanh-nghiep
https://techcombank.com/thong-tin/blog/ngoai-hoi-la-gi
https://techcombank.com/thong-tin/blog/ty-gia-cac-ngan-hang
"&amp;"https://techcombank.com/thong-tin/blog/ty-gia-la-gi
https://techcombank.com/thong-tin/blog/doi-tien-do-o-dau
https://techcombank.com/thong-tin/blog/cach-tinh-ty-gia-ky-han
https://techcombank.com/thong-tin/blog/chuyen-tien-tro-cap-than-nhan-o-nuoc-ngoai")</f>
        <v>https://techcombank.com/thong-tin/blog/tien-trung-quoc
https://techcombank.com/thong-tin/blog/1000-te-bang-bao-nhieu-tien-viet
https://techcombank.com/thong-tin/blog/1-van-te-bang-bao-nhieu-tien-viet
https://techcombank.com/thong-tin/blog/thanh-toan-khi-du-lich-trung-quoc
https://techcombank.com/thong-tin/blog/1-man-bang-bao-nhieu-tien-viet
https://techcombank.com/thong-tin/blog/han-muc-mua-ngoai-te-khi-di-du-lich
https://techcombank.com/thong-tin/blog/tai-khoan-ngan-hang-la-gi
https://techcombank.com/thong-tin/blog/chuyen-tien-tu-duc-ve-viet-nam
https://techcombank.com/thong-tin/blog/cach-nhan-tien-tu-nuoc-ngoai-ve-viet-nam
https://techcombank.com/thong-tin/blog/phi-chuyen-doi-ngoai-te
https://techcombank.com/thong-tin/blog/1000-won-bang-bao-nhieu-tien-viet
https://techcombank.com/thong-tin/blog/tien-dai-loan
https://techcombank.com/thong-tin/blog/1-dong-do-la-my-bang-bao-nhieu-tien-viet-nam
https://techcombank.com/thong-tin/blog/1000-yen-bang-bao-nhieu-tien-viet
https://techcombank.com/thong-tin/blog/1-won-bang-bao-nhieu-tien-viet
https://techcombank.com/thong-tin/blog/1-do-uc-bang-bao-nhieu-tien-viet
https://techcombank.com/thong-tin/blog/1-cent-bang-bao-nhieu-tien-viet
https://techcombank.com/thong-tin/blog/1-euro-bang-bao-nhieu-tien-viet
https://techcombank.com/thong-tin/blog/1-trieu-won-bang-bao-nhieu-tien-viet
https://techcombank.com/thong-tin/blog/tien-lao
https://techcombank.com/thong-tin/blog/thanh-toan-bang-the-quoc-te
https://techcombank.com/thong-tin/blog/ngoai-te-la-gi
https://techcombank.com/thong-tin/blog/di-du-lich-nuoc-ngoai-can-chuan-bi-gi
https://techcombank.com/thong-tin/blog/quy-dinh-ve-mua-ban-ngoai-te-cua-doanh-nghiep
https://techcombank.com/thong-tin/blog/ngoai-hoi-la-gi
https://techcombank.com/thong-tin/blog/ty-gia-cac-ngan-hang
https://techcombank.com/thong-tin/blog/ty-gia-la-gi
https://techcombank.com/thong-tin/blog/doi-tien-do-o-dau
https://techcombank.com/thong-tin/blog/cach-tinh-ty-gia-ky-han
https://techcombank.com/thong-tin/blog/chuyen-tien-tro-cap-than-nhan-o-nuoc-ngoai</v>
      </c>
    </row>
    <row r="49">
      <c r="A49" s="33">
        <v>39.0</v>
      </c>
      <c r="B49" s="34" t="s">
        <v>173</v>
      </c>
      <c r="C49" s="35" t="s">
        <v>1662</v>
      </c>
      <c r="D49" s="36">
        <v>30.0</v>
      </c>
      <c r="E49" s="37">
        <f>COUNTIF('Kế hoạch chèn link (mới)'!$B$3:$B$2944,B49)</f>
        <v>30</v>
      </c>
      <c r="F49" s="38" t="str">
        <f>IFERROR(__xludf.DUMMYFUNCTION("TEXTJOIN(CHAR(10),TRUE,FILTER('Kế hoạch chèn link (mới)'!$F$3:$F$2944,'Kế hoạch chèn link (mới)'!$B$3:$B$2944=B49))"),"https://techcombank.com/thong-tin/blog/xu-huong-ty-gia-usd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https://"&amp;"techcombank.com/thong-tin/blog/lai-suat-gui-tiet-kiem-usd
https://techcombank.com/thong-tin/blog/gui-tiet-kiem-usd
https://techcombank.com/thong-tin/blog/1-trieu-do-bang-bao-nhieu-tien-viet
https://techcombank.com/thong-tin/blog/1-te-bang-bao-nhieu-tien-v"&amp;"iet-nam
https://techcombank.com/thong-tin/blog/tien-trung-quoc
https://techcombank.com/thong-tin/blog/1-van-te-bang-bao-nhieu-tien-viet
https://techcombank.com/thong-tin/blog/tien-dai-loan
https://techcombank.com/thong-tin/blog/1-won-bang-bao-nhieu-tien-v"&amp;"iet
https://techcombank.com/thong-tin/blog/chuyen-tien-di-uc
https://techcombank.com/thong-tin/blog/tien-singapore
https://techcombank.com/thong-tin/blog/1000-won-bang-bao-nhieu-tien-viet
https://techcombank.com/thong-tin/blog/chuyen-tien-tu-nhat-ve-viet-"&amp;"nam
https://techcombank.com/thong-tin/blog/1000-te-bang-bao-nhieu-tien-viet
https://techcombank.com/thong-tin/blog/100-riel-bang-bao-nhieu-tien-viet-nam
https://techcombank.com/thong-tin/blog/tien-indonesia
https://techcombank.com/thong-tin/blog/gui-tien-"&amp;"du-hoc
https://techcombank.com/thong-tin/blog/tien-nhat
https://techcombank.com/thong-tin/blog/vay-du-hoc
https://techcombank.com/thong-tin/blog/tien-malaysia
https://techcombank.com/thong-tin/blog/1-chi-vang-bao-nhieu-tien
https://techcombank.com/thong-t"&amp;"in/blog/tien-lao
https://techcombank.com/thong-tin/blog/ty-gia-hoi-doai-la-gi")</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https://techcombank.com/thong-tin/blog/lai-suat-gui-tiet-kiem-usd
https://techcombank.com/thong-tin/blog/gui-tiet-kiem-usd
https://techcombank.com/thong-tin/blog/1-trieu-do-bang-bao-nhieu-tien-viet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https://techcombank.com/thong-tin/blog/chuyen-tien-di-uc
https://techcombank.com/thong-tin/blog/tien-singapore
https://techcombank.com/thong-tin/blog/1000-won-bang-bao-nhieu-tien-viet
https://techcombank.com/thong-tin/blog/chuyen-tien-tu-nhat-ve-viet-nam
https://techcombank.com/thong-tin/blog/1000-te-bang-bao-nhieu-tien-viet
https://techcombank.com/thong-tin/blog/100-riel-bang-bao-nhieu-tien-viet-nam
https://techcombank.com/thong-tin/blog/tien-indonesia
https://techcombank.com/thong-tin/blog/gui-tien-du-hoc
https://techcombank.com/thong-tin/blog/tien-nhat
https://techcombank.com/thong-tin/blog/vay-du-hoc
https://techcombank.com/thong-tin/blog/tien-malaysia
https://techcombank.com/thong-tin/blog/1-chi-vang-bao-nhieu-tien
https://techcombank.com/thong-tin/blog/tien-lao
https://techcombank.com/thong-tin/blog/ty-gia-hoi-doai-la-gi</v>
      </c>
    </row>
    <row r="50">
      <c r="A50" s="33">
        <v>40.0</v>
      </c>
      <c r="B50" s="34" t="s">
        <v>783</v>
      </c>
      <c r="C50" s="35" t="s">
        <v>1662</v>
      </c>
      <c r="D50" s="36">
        <v>30.0</v>
      </c>
      <c r="E50" s="37">
        <f>COUNTIF('Kế hoạch chèn link (mới)'!$B$3:$B$2944,B50)</f>
        <v>30</v>
      </c>
      <c r="F50" s="38" t="str">
        <f>IFERROR(__xludf.DUMMYFUNCTION("TEXTJOIN(CHAR(10),TRUE,FILTER('Kế hoạch chèn link (mới)'!$F$3:$F$2944,'Kế hoạch chèn link (mới)'!$B$3:$B$2944=B50))"),"https://techcombank.com/thong-tin/blog/1-man-bang-bao-nhieu-tien-viet
https://techcombank.com/thong-tin/blog/chuyen-tien-tu-nhat-ve-viet-nam
https://techcombank.com/thong-tin/blog/thanh-toan-khi-du-lich-nhat-ban
https://techcombank.com/thong-tin/blog/cach"&amp;"-tiet-kiem-tien-cua-nguoi-nhat
https://techcombank.com/thong-tin/blog/1000-yen-bang-bao-nhieu-tien-viet
https://techcombank.com/thong-tin/blog/cach-tinh-lai-suat-tien-gui-tiet-kiem
https://techcombank.com/thong-tin/blog/han-muc-mua-ngoai-te-khi-di-du-lich"&amp;"
https://techcombank.com/thong-tin/blog/1-dong-do-la-my-bang-bao-nhieu-tien-viet-nam
https://techcombank.com/thong-tin/blog/1-te-bang-bao-nhieu-tien-viet-nam
https://techcombank.com/thong-tin/blog/tien-trung-quoc
https://techcombank.com/thong-tin/blog/gui"&amp;"-tiet-kiem-lay-lai-hang-thang
https://techcombank.com/thong-tin/blog/tien-singapore
https://techcombank.com/thong-tin/blog/1000-won-bang-bao-nhieu-tien-viet
https://techcombank.com/thong-tin/blog/chuyen-tien-tu-han-sang-viet-nam
https://techcombank.com/th"&amp;"ong-tin/blog/1-van-te-bang-bao-nhieu-tien-viet
https://techcombank.com/thong-tin/blog/1000-te-bang-bao-nhieu-tien-viet
https://techcombank.com/thong-tin/blog/100-riel-bang-bao-nhieu-tien-viet-nam
https://techcombank.com/thong-tin/blog/tien-indonesia
https"&amp;"://techcombank.com/thong-tin/blog/nop-thue-hai-quan
https://techcombank.com/thong-tin/blog/chuyen-tien-di-uc
https://techcombank.com/thong-tin/blog/tien-dai-loan
https://techcombank.com/thong-tin/blog/nen-de-tien-trong-the-hay-gui-tiet-kiem
https://techco"&amp;"mbank.com/thong-tin/blog/1-won-bang-bao-nhieu-tien-viet
https://techcombank.com/thong-tin/blog/1-do-uc-bang-bao-nhieu-tien-viet
https://techcombank.com/thong-tin/blog/ma-swift-ngan-hang
https://techcombank.com/thong-tin/blog/co-nen-gui-tiet-kiem-online
ht"&amp;"tps://techcombank.com/thong-tin/blog/vnd-to-myr
https://techcombank.com/thong-tin/blog/thu-tuc-chuyen-tien-ra-nuoc-ngoai
https://techcombank.com/thong-tin/blog/cach-nhan-tien-tu-nuoc-ngoai-ve-viet-nam
https://techcombank.com/thong-tin/blog/1-chi-vang-bao-"&amp;"nhieu-tien")</f>
        <v>https://techcombank.com/thong-tin/blog/1-man-bang-bao-nhieu-tien-viet
https://techcombank.com/thong-tin/blog/chuyen-tien-tu-nhat-ve-viet-nam
https://techcombank.com/thong-tin/blog/thanh-toan-khi-du-lich-nhat-ban
https://techcombank.com/thong-tin/blog/cach-tiet-kiem-tien-cua-nguoi-nhat
https://techcombank.com/thong-tin/blog/1000-yen-bang-bao-nhieu-tien-viet
https://techcombank.com/thong-tin/blog/cach-tinh-lai-suat-tien-gui-tiet-kiem
https://techcombank.com/thong-tin/blog/han-muc-mua-ngoai-te-khi-di-du-lich
https://techcombank.com/thong-tin/blog/1-dong-do-la-my-bang-bao-nhieu-tien-viet-nam
https://techcombank.com/thong-tin/blog/1-te-bang-bao-nhieu-tien-viet-nam
https://techcombank.com/thong-tin/blog/tien-trung-quoc
https://techcombank.com/thong-tin/blog/gui-tiet-kiem-lay-lai-hang-thang
https://techcombank.com/thong-tin/blog/tien-singapore
https://techcombank.com/thong-tin/blog/1000-won-bang-bao-nhieu-tien-viet
https://techcombank.com/thong-tin/blog/chuyen-tien-tu-han-sang-viet-nam
https://techcombank.com/thong-tin/blog/1-van-te-bang-bao-nhieu-tien-viet
https://techcombank.com/thong-tin/blog/1000-te-bang-bao-nhieu-tien-viet
https://techcombank.com/thong-tin/blog/100-riel-bang-bao-nhieu-tien-viet-nam
https://techcombank.com/thong-tin/blog/tien-indonesia
https://techcombank.com/thong-tin/blog/nop-thue-hai-quan
https://techcombank.com/thong-tin/blog/chuyen-tien-di-uc
https://techcombank.com/thong-tin/blog/tien-dai-loan
https://techcombank.com/thong-tin/blog/nen-de-tien-trong-the-hay-gui-tiet-kiem
https://techcombank.com/thong-tin/blog/1-won-bang-bao-nhieu-tien-viet
https://techcombank.com/thong-tin/blog/1-do-uc-bang-bao-nhieu-tien-viet
https://techcombank.com/thong-tin/blog/ma-swift-ngan-hang
https://techcombank.com/thong-tin/blog/co-nen-gui-tiet-kiem-online
https://techcombank.com/thong-tin/blog/vnd-to-myr
https://techcombank.com/thong-tin/blog/thu-tuc-chuyen-tien-ra-nuoc-ngoai
https://techcombank.com/thong-tin/blog/cach-nhan-tien-tu-nuoc-ngoai-ve-viet-nam
https://techcombank.com/thong-tin/blog/1-chi-vang-bao-nhieu-tien</v>
      </c>
    </row>
    <row r="51">
      <c r="A51" s="33">
        <v>41.0</v>
      </c>
      <c r="B51" s="34" t="s">
        <v>1115</v>
      </c>
      <c r="C51" s="35" t="s">
        <v>1662</v>
      </c>
      <c r="D51" s="36">
        <v>30.0</v>
      </c>
      <c r="E51" s="37">
        <f>COUNTIF('Kế hoạch chèn link (mới)'!$B$3:$B$2944,B51)</f>
        <v>27</v>
      </c>
      <c r="F51" s="38" t="str">
        <f>IFERROR(__xludf.DUMMYFUNCTION("TEXTJOIN(CHAR(10),TRUE,FILTER('Kế hoạch chèn link (mới)'!$F$3:$F$2944,'Kế hoạch chèn link (mới)'!$B$3:$B$2944=B51))"),"https://techcombank.com/thong-tin/blog/tien-nhat
https://techcombank.com/thong-tin/blog/1-man-bang-bao-nhieu-tien-viet
https://techcombank.com/thong-tin/blog/1000-yen-bang-bao-nhieu-tien-viet
https://techcombank.com/thong-tin/blog/chuyen-tien-tu-nhat-ve-v"&amp;"iet-nam
https://techcombank.com/thong-tin/blog/cach-rut-tien-atm
https://techcombank.com/thong-tin/blog/1-dong-do-la-my-bang-bao-nhieu-tien-viet-nam
https://techcombank.com/thong-tin/blog/1-te-bang-bao-nhieu-tien-viet-nam
https://techcombank.com/thong-tin"&amp;"/blog/tien-trung-quoc
https://techcombank.com/thong-tin/blog/1-van-tien-dai-loan-bang-bao-nhieu-tien-viet
https://techcombank.com/thong-tin/blog/1-van-te-bang-bao-nhieu-tien-viet
https://techcombank.com/thong-tin/blog/1-trieu-do-bang-bao-nhieu-tien-viet
h"&amp;"ttps://techcombank.com/thong-tin/blog/tien-dai-loan
https://techcombank.com/thong-tin/blog/1-cent-bang-bao-nhieu-tien-viet
https://techcombank.com/thong-tin/blog/1-won-bang-bao-nhieu-tien-viet
https://techcombank.com/thong-tin/blog/1-do-uc-bang-bao-nhieu-"&amp;"tien-viet
https://techcombank.com/thong-tin/blog/vi-dien-tu-la-gi
https://techcombank.com/thong-tin/blog/shopeepay-la-gi
https://techcombank.com/thong-tin/blog/tien-lao
https://techcombank.com/thong-tin/blog/thanh-toan-khi-du-lich-nhat-ban
https://techcom"&amp;"bank.com/thong-tin/blog/doi-tien-do-o-dau
https://techcombank.com/thong-tin/blog/1000-won-bang-bao-nhieu-tien-viet
https://techcombank.com/thong-tin/blog/100-riel-bang-bao-nhieu-tien-viet-nam
https://techcombank.com/thong-tin/blog/tien-indonesia
https://t"&amp;"echcombank.com/thong-tin/blog/chuyen-tien-di-uc
https://techcombank.com/thong-tin/blog/tien-thai-lan
https://techcombank.com/thong-tin/blog/tien-malaysia
https://techcombank.com/thong-tin/blog/vnd-to-myr")</f>
        <v>https://techcombank.com/thong-tin/blog/tien-nhat
https://techcombank.com/thong-tin/blog/1-man-bang-bao-nhieu-tien-viet
https://techcombank.com/thong-tin/blog/1000-yen-bang-bao-nhieu-tien-viet
https://techcombank.com/thong-tin/blog/chuyen-tien-tu-nhat-ve-viet-nam
https://techcombank.com/thong-tin/blog/cach-rut-tien-atm
https://techcombank.com/thong-tin/blog/1-dong-do-la-my-bang-bao-nhieu-tien-viet-nam
https://techcombank.com/thong-tin/blog/1-te-bang-bao-nhieu-tien-viet-nam
https://techcombank.com/thong-tin/blog/tien-trung-quoc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https://techcombank.com/thong-tin/blog/vi-dien-tu-la-gi
https://techcombank.com/thong-tin/blog/shopeepay-la-gi
https://techcombank.com/thong-tin/blog/tien-lao
https://techcombank.com/thong-tin/blog/thanh-toan-khi-du-lich-nhat-ban
https://techcombank.com/thong-tin/blog/doi-tien-do-o-dau
https://techcombank.com/thong-tin/blog/1000-won-bang-bao-nhieu-tien-viet
https://techcombank.com/thong-tin/blog/100-riel-bang-bao-nhieu-tien-viet-nam
https://techcombank.com/thong-tin/blog/tien-indonesia
https://techcombank.com/thong-tin/blog/chuyen-tien-di-uc
https://techcombank.com/thong-tin/blog/tien-thai-lan
https://techcombank.com/thong-tin/blog/tien-malaysia
https://techcombank.com/thong-tin/blog/vnd-to-myr</v>
      </c>
    </row>
    <row r="52">
      <c r="A52" s="33">
        <v>42.0</v>
      </c>
      <c r="B52" s="34" t="s">
        <v>340</v>
      </c>
      <c r="C52" s="35" t="s">
        <v>1662</v>
      </c>
      <c r="D52" s="36">
        <v>30.0</v>
      </c>
      <c r="E52" s="37">
        <f>COUNTIF('Kế hoạch chèn link (mới)'!$B$3:$B$2944,B52)</f>
        <v>21</v>
      </c>
      <c r="F52" s="38" t="str">
        <f>IFERROR(__xludf.DUMMYFUNCTION("TEXTJOIN(CHAR(10),TRUE,FILTER('Kế hoạch chèn link (mới)'!$F$3:$F$2944,'Kế hoạch chèn link (mới)'!$B$3:$B$2944=B52))"),"https://techcombank.com/thong-tin/blog/1-trieu-won-bang-bao-nhieu-tien-viet
https://techcombank.com/thong-tin/blog/1000-won-bang-bao-nhieu-tien-viet
https://techcombank.com/thong-tin/blog/thanh-toan-khi-du-lich-han-quoc
https://techcombank.com/thong-tin/b"&amp;"log/chuyen-tien-tu-han-sang-viet-nam
https://techcombank.com/thong-tin/blog/ty-gia-cac-ngan-hang
https://techcombank.com/thong-tin/blog/1-dong-do-la-my-bang-bao-nhieu-tien-viet-nam
https://techcombank.com/thong-tin/blog/1-te-bang-bao-nhieu-tien-viet-nam
h"&amp;"ttps://techcombank.com/thong-tin/blog/1-cent-bang-bao-nhieu-tien-viet
https://techcombank.com/thong-tin/blog/1-van-tien-dai-loan-bang-bao-nhieu-tien-viet
https://techcombank.com/thong-tin/blog/1-man-bang-bao-nhieu-tien-viet
https://techcombank.com/thong-t"&amp;"in/blog/doi-tien-do-o-dau
https://techcombank.com/thong-tin/blog/di-du-lich-nuoc-ngoai-can-chuan-bi-gi
https://techcombank.com/thong-tin/blog/tien-nhat
https://techcombank.com/thong-tin/blog/100-riel-bang-bao-nhieu-tien-viet-nam
https://techcombank.com/th"&amp;"ong-tin/blog/tien-indonesia
https://techcombank.com/thong-tin/blog/dieu-kien-mua-usd-tu-ngan-hang
https://techcombank.com/thong-tin/blog/chuyen-tien-di-uc
https://techcombank.com/thong-tin/blog/chuyen-tien-dinh-cu
https://techcombank.com/thong-tin/blog/ha"&amp;"n-muc-mua-ngoai-te-khi-di-du-lich
https://techcombank.com/thong-tin/blog/thanh-toan-bang-the-quoc-te
https://techcombank.com/thong-tin/blog/vay-du-hoc")</f>
        <v>https://techcombank.com/thong-tin/blog/1-trieu-won-bang-bao-nhieu-tien-viet
https://techcombank.com/thong-tin/blog/1000-won-bang-bao-nhieu-tien-viet
https://techcombank.com/thong-tin/blog/thanh-toan-khi-du-lich-han-quoc
https://techcombank.com/thong-tin/blog/chuyen-tien-tu-han-sang-viet-nam
https://techcombank.com/thong-tin/blog/ty-gia-cac-ngan-hang
https://techcombank.com/thong-tin/blog/1-dong-do-la-my-bang-bao-nhieu-tien-viet-nam
https://techcombank.com/thong-tin/blog/1-te-bang-bao-nhieu-tien-viet-nam
https://techcombank.com/thong-tin/blog/1-cent-bang-bao-nhieu-tien-viet
https://techcombank.com/thong-tin/blog/1-van-tien-dai-loan-bang-bao-nhieu-tien-viet
https://techcombank.com/thong-tin/blog/1-man-bang-bao-nhieu-tien-viet
https://techcombank.com/thong-tin/blog/doi-tien-do-o-dau
https://techcombank.com/thong-tin/blog/di-du-lich-nuoc-ngoai-can-chuan-bi-gi
https://techcombank.com/thong-tin/blog/tien-nhat
https://techcombank.com/thong-tin/blog/100-riel-bang-bao-nhieu-tien-viet-nam
https://techcombank.com/thong-tin/blog/tien-indonesia
https://techcombank.com/thong-tin/blog/dieu-kien-mua-usd-tu-ngan-hang
https://techcombank.com/thong-tin/blog/chuyen-tien-di-uc
https://techcombank.com/thong-tin/blog/chuyen-tien-dinh-cu
https://techcombank.com/thong-tin/blog/han-muc-mua-ngoai-te-khi-di-du-lich
https://techcombank.com/thong-tin/blog/thanh-toan-bang-the-quoc-te
https://techcombank.com/thong-tin/blog/vay-du-hoc</v>
      </c>
    </row>
    <row r="53">
      <c r="A53" s="33">
        <v>43.0</v>
      </c>
      <c r="B53" s="34" t="s">
        <v>143</v>
      </c>
      <c r="C53" s="35" t="s">
        <v>1662</v>
      </c>
      <c r="D53" s="36">
        <v>30.0</v>
      </c>
      <c r="E53" s="37">
        <f>COUNTIF('Kế hoạch chèn link (mới)'!$B$3:$B$2944,B53)</f>
        <v>19</v>
      </c>
      <c r="F53" s="38" t="str">
        <f>IFERROR(__xludf.DUMMYFUNCTION("TEXTJOIN(CHAR(10),TRUE,FILTER('Kế hoạch chèn link (mới)'!$F$3:$F$2944,'Kế hoạch chèn link (mới)'!$B$3:$B$2944=B53))"),"https://techcombank.com/thong-tin/blog/1-van-tien-dai-loan-bang-bao-nhieu-tien-viet
https://techcombank.com/thong-tin/blog/ngoai-te-la-gi
https://techcombank.com/thong-tin/blog/ty-gia-cac-ngan-hang
https://techcombank.com/thong-tin/blog/han-muc-mua-ngoai-"&amp;"te-khi-di-du-lich
https://techcombank.com/thong-tin/blog/shang-chi
https://techcombank.com/thong-tin/blog/doi-tien-do-o-dau
https://techcombank.com/thong-tin/blog/chuyen-tien-tu-nhat-ve-viet-nam
https://techcombank.com/thong-tin/blog/di-du-lich-nuoc-ngoai"&amp;"-can-chuan-bi-gi
https://techcombank.com/thong-tin/blog/tien-nhat
https://techcombank.com/thong-tin/blog/100-riel-bang-bao-nhieu-tien-viet-nam
https://techcombank.com/thong-tin/blog/tien-indonesia
https://techcombank.com/thong-tin/blog/dieu-kien-mua-usd-t"&amp;"u-ngan-hang
https://techcombank.com/thong-tin/blog/chuyen-tien-di-uc
https://techcombank.com/thong-tin/blog/gui-tien-du-hoc
https://techcombank.com/thong-tin/blog/vay-the-chap-hop-dong-mua-ban-can-ho
https://techcombank.com/thong-tin/blog/thu-tuc-chuyen-t"&amp;"ien-ra-nuoc-ngoai
https://techcombank.com/thong-tin/blog/gui-tien-sang-nuoc-ngoai
https://techcombank.com/thong-tin/blog/chuyen-tien-tu-duc-ve-viet-nam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https://techcombank.com/thong-tin/blog/shang-chi
https://techcombank.com/thong-tin/blog/doi-tien-do-o-dau
https://techcombank.com/thong-tin/blog/chuyen-tien-tu-nhat-ve-viet-nam
https://techcombank.com/thong-tin/blog/di-du-lich-nuoc-ngoai-can-chuan-bi-gi
https://techcombank.com/thong-tin/blog/tien-nhat
https://techcombank.com/thong-tin/blog/100-riel-bang-bao-nhieu-tien-viet-nam
https://techcombank.com/thong-tin/blog/tien-indonesia
https://techcombank.com/thong-tin/blog/dieu-kien-mua-usd-tu-ngan-hang
https://techcombank.com/thong-tin/blog/chuyen-tien-di-uc
https://techcombank.com/thong-tin/blog/gui-tien-du-hoc
https://techcombank.com/thong-tin/blog/vay-the-chap-hop-dong-mua-ban-can-ho
https://techcombank.com/thong-tin/blog/thu-tuc-chuyen-tien-ra-nuoc-ngoai
https://techcombank.com/thong-tin/blog/gui-tien-sang-nuoc-ngoai
https://techcombank.com/thong-tin/blog/chuyen-tien-tu-duc-ve-viet-nam
https://techcombank.com/thong-tin/blog/cach-nhan-tien-tu-nuoc-ngoai-ve-viet-nam</v>
      </c>
    </row>
    <row r="54">
      <c r="A54" s="33">
        <v>44.0</v>
      </c>
      <c r="B54" s="34" t="s">
        <v>779</v>
      </c>
      <c r="C54" s="35" t="s">
        <v>1662</v>
      </c>
      <c r="D54" s="36">
        <v>30.0</v>
      </c>
      <c r="E54" s="37">
        <f>COUNTIF('Kế hoạch chèn link (mới)'!$B$3:$B$2944,B54)</f>
        <v>14</v>
      </c>
      <c r="F54" s="38" t="str">
        <f>IFERROR(__xludf.DUMMYFUNCTION("TEXTJOIN(CHAR(10),TRUE,FILTER('Kế hoạch chèn link (mới)'!$F$3:$F$2944,'Kế hoạch chèn link (mới)'!$B$3:$B$2944=B54))"),"https://techcombank.com/thong-tin/blog/1000-yen-bang-bao-nhieu-tien-viet
https://techcombank.com/thong-tin/blog/tien-nhat
https://techcombank.com/thong-tin/blog/1-yen-bang-bao-nhieu-tien-viet-nam
https://techcombank.com/thong-tin/blog/chuyen-tien-tu-nhat-"&amp;"ve-viet-nam
https://techcombank.com/thong-tin/blog/cach-rut-tien-atm
https://techcombank.com/thong-tin/blog/1-van-tien-dai-loan-bang-bao-nhieu-tien-viet
https://techcombank.com/thong-tin/blog/vi-dien-tu-la-gi
https://techcombank.com/thong-tin/blog/shopeep"&amp;"ay-la-gi
https://techcombank.com/thong-tin/blog/1-euro-bang-bao-nhieu-tien-viet
https://techcombank.com/thong-tin/blog/1-trieu-won-bang-bao-nhieu-tien-viet
https://techcombank.com/thong-tin/blog/1-cent-bang-bao-nhieu-tien-viet
https://techcombank.com/thon"&amp;"g-tin/blog/tien-thai-lan
https://techcombank.com/thong-tin/blog/tien-lao
https://techcombank.com/thong-tin/blog/atm-la-gi")</f>
        <v>https://techcombank.com/thong-tin/blog/1000-yen-bang-bao-nhieu-tien-viet
https://techcombank.com/thong-tin/blog/tien-nhat
https://techcombank.com/thong-tin/blog/1-yen-bang-bao-nhieu-tien-viet-nam
https://techcombank.com/thong-tin/blog/chuyen-tien-tu-nhat-ve-viet-nam
https://techcombank.com/thong-tin/blog/cach-rut-tien-atm
https://techcombank.com/thong-tin/blog/1-van-tien-dai-loan-bang-bao-nhieu-tien-viet
https://techcombank.com/thong-tin/blog/vi-dien-tu-la-gi
https://techcombank.com/thong-tin/blog/shopeepay-la-gi
https://techcombank.com/thong-tin/blog/1-euro-bang-bao-nhieu-tien-viet
https://techcombank.com/thong-tin/blog/1-trieu-won-bang-bao-nhieu-tien-viet
https://techcombank.com/thong-tin/blog/1-cent-bang-bao-nhieu-tien-viet
https://techcombank.com/thong-tin/blog/tien-thai-lan
https://techcombank.com/thong-tin/blog/tien-lao
https://techcombank.com/thong-tin/blog/atm-la-gi</v>
      </c>
    </row>
    <row r="55">
      <c r="A55" s="33">
        <v>45.0</v>
      </c>
      <c r="B55" s="34" t="s">
        <v>1130</v>
      </c>
      <c r="C55" s="35" t="s">
        <v>1662</v>
      </c>
      <c r="D55" s="36">
        <v>30.0</v>
      </c>
      <c r="E55" s="37">
        <f>COUNTIF('Kế hoạch chèn link (mới)'!$B$3:$B$2944,B55)</f>
        <v>21</v>
      </c>
      <c r="F55" s="38" t="str">
        <f>IFERROR(__xludf.DUMMYFUNCTION("TEXTJOIN(CHAR(10),TRUE,FILTER('Kế hoạch chèn link (mới)'!$F$3:$F$2944,'Kế hoạch chèn link (mới)'!$B$3:$B$2944=B55))"),"https://techcombank.com/thong-tin/blog/thanh-toan-khi-du-lich-thai-lan
https://techcombank.com/thong-tin/blog/thanh-toan-qr-thai-lan
https://techcombank.com/thong-tin/blog/tai-tro-fifa-world-cup
https://techcombank.com/thong-tin/blog/ebitda-la-gi
https://"&amp;"techcombank.com/thong-tin/blog/cach-tiet-kiem-tien-hieu-qua-cho-gia-dinh
https://techcombank.com/thong-tin/blog/dieu-kien-thanh-lap-doanh-nghiep
https://techcombank.com/thong-tin/blog/chuyen-doi-so-nganh-ngan-hang-thach-thuc-va-co-hoi
https://techcombank."&amp;"com/thong-tin/blog/gia-tri-thuong-hieu
https://techcombank.com/thong-tin/blog/phan-mem-quan-ly-tai-chinh-doanh-nghiep
https://techcombank.com/thong-tin/blog/techcombank-va-cong-cuoc-chuyen-doi-so-nganh-ngan-hang
https://techcombank.com/thong-tin/blog/gui-"&amp;"tien-sang-nuoc-ngoai
https://techcombank.com/thong-tin/blog/vay-sieu-toc
https://techcombank.com/thong-tin/blog/1-trieu-do-bang-bao-nhieu-tien-viet
https://techcombank.com/thong-tin/blog/the-tin-dung-noi-dia
https://techcombank.com/thong-tin/blog/cach-tha"&amp;"nh-toan-quang-cao-tiktok
https://techcombank.com/thong-tin/blog/atm-la-gi
https://techcombank.com/thong-tin/blog/cac-loai-bao-hiem-suc-khoe
https://techcombank.com/thong-tin/blog/nhan-tien-western-union
https://techcombank.com/thong-tin/blog/chuyen-khoan-"&amp;"lien-ngan-hang
https://techcombank.com/thong-tin/blog/the-debit
https://techcombank.com/thong-tin/blog/li-xi-tet")</f>
        <v>https://techcombank.com/thong-tin/blog/thanh-toan-khi-du-lich-thai-lan
https://techcombank.com/thong-tin/blog/thanh-toan-qr-thai-lan
https://techcombank.com/thong-tin/blog/tai-tro-fifa-world-cup
https://techcombank.com/thong-tin/blog/ebitda-la-gi
https://techcombank.com/thong-tin/blog/cach-tiet-kiem-tien-hieu-qua-cho-gia-dinh
https://techcombank.com/thong-tin/blog/dieu-kien-thanh-lap-doanh-nghiep
https://techcombank.com/thong-tin/blog/chuyen-doi-so-nganh-ngan-hang-thach-thuc-va-co-hoi
https://techcombank.com/thong-tin/blog/gia-tri-thuong-hieu
https://techcombank.com/thong-tin/blog/phan-mem-quan-ly-tai-chinh-doanh-nghiep
https://techcombank.com/thong-tin/blog/techcombank-va-cong-cuoc-chuyen-doi-so-nganh-ngan-hang
https://techcombank.com/thong-tin/blog/gui-tien-sang-nuoc-ngoai
https://techcombank.com/thong-tin/blog/vay-sieu-toc
https://techcombank.com/thong-tin/blog/1-trieu-do-bang-bao-nhieu-tien-viet
https://techcombank.com/thong-tin/blog/the-tin-dung-noi-dia
https://techcombank.com/thong-tin/blog/cach-thanh-toan-quang-cao-tiktok
https://techcombank.com/thong-tin/blog/atm-la-gi
https://techcombank.com/thong-tin/blog/cac-loai-bao-hiem-suc-khoe
https://techcombank.com/thong-tin/blog/nhan-tien-western-union
https://techcombank.com/thong-tin/blog/chuyen-khoan-lien-ngan-hang
https://techcombank.com/thong-tin/blog/the-debit
https://techcombank.com/thong-tin/blog/li-xi-tet</v>
      </c>
    </row>
    <row r="56">
      <c r="A56" s="33">
        <v>46.0</v>
      </c>
      <c r="B56" s="34" t="s">
        <v>576</v>
      </c>
      <c r="C56" s="35" t="s">
        <v>1662</v>
      </c>
      <c r="D56" s="36">
        <v>30.0</v>
      </c>
      <c r="E56" s="37">
        <f>COUNTIF('Kế hoạch chèn link (mới)'!$B$3:$B$2944,B56)</f>
        <v>30</v>
      </c>
      <c r="F56" s="38" t="str">
        <f>IFERROR(__xludf.DUMMYFUNCTION("TEXTJOIN(CHAR(10),TRUE,FILTER('Kế hoạch chèn link (mới)'!$F$3:$F$2944,'Kế hoạch chèn link (mới)'!$B$3:$B$2944=B56))"),"https://techcombank.com/thong-tin/blog/1-dong-do-la-my-bang-bao-nhieu-tien-viet-nam
https://techcombank.com/thong-tin/blog/tien-lao
https://techcombank.com/thong-tin/blog/1-trieu-won-bang-bao-nhieu-tien-viet
https://techcombank.com/thong-tin/blog/1-yen-ba"&amp;"ng-bao-nhieu-tien-viet-nam
https://techcombank.com/thong-tin/blog/1-van-tien-dai-loan-bang-bao-nhieu-tien-viet
https://techcombank.com/thong-tin/blog/ma-pin-the-atm
https://techcombank.com/thong-tin/blog/vi-dien-tu-la-gi
https://techcombank.com/thong-tin/"&amp;"blog/1-euro-bang-bao-nhieu-tien-viet
https://techcombank.com/thong-tin/blog/1-do-uc-bang-bao-nhieu-tien-viet
https://techcombank.com/thong-tin/blog/doi-tien-do-o-dau
https://techcombank.com/thong-tin/blog/vnd-to-myr
https://techcombank.com/thong-tin/blog/"&amp;"dinar-kuwait
https://techcombank.com/thong-tin/blog/ngoai-hoi-la-gi
https://techcombank.com/thong-tin/blog/ty-gia-hoi-doai-la-gi
https://techcombank.com/thong-tin/blog/ngoai-te-la-gi
https://techcombank.com/thong-tin/blog/chuyen-tien-tu-my-ve-viet-nam
htt"&amp;"ps://techcombank.com/thong-tin/blog/tien-malaysia
https://techcombank.com/thong-tin/blog/xu-huong-ty-gia-usd
https://techcombank.com/thong-tin/blog/chuyen-tien-tro-cap-than-nhan-o-nuoc-ngoai
https://techcombank.com/thong-tin/blog/gui-tiet-kiem-usd
https:/"&amp;"/techcombank.com/thong-tin/blog/thanh-toan-bang-the-quoc-te
https://techcombank.com/thong-tin/blog/1-chi-vang-bao-nhieu-tien
https://techcombank.com/thong-tin/blog/cach-tinh-gia-vang
https://techcombank.com/thong-tin/blog/dieu-kien-mua-usd-tu-ngan-hang
ht"&amp;"tps://techcombank.com/thong-tin/blog/dinh-cu-chau-au
https://techcombank.com/thong-tin/blog/du-bao-gia-vang
https://techcombank.com/thong-tin/blog/gia-ca-phe-hom-nay
https://techcombank.com/thong-tin/blog/kieu-hoi-la-gi
https://techcombank.com/thong-tin/b"&amp;"log/phi-chuyen-doi-ngoai-te
https://techcombank.com/thong-tin/blog/tien-thai-lan")</f>
        <v>https://techcombank.com/thong-tin/blog/1-dong-do-la-my-bang-bao-nhieu-tien-viet-nam
https://techcombank.com/thong-tin/blog/tien-lao
https://techcombank.com/thong-tin/blog/1-trieu-won-bang-bao-nhieu-tien-viet
https://techcombank.com/thong-tin/blog/1-yen-bang-bao-nhieu-tien-viet-nam
https://techcombank.com/thong-tin/blog/1-van-tien-dai-loan-bang-bao-nhieu-tien-viet
https://techcombank.com/thong-tin/blog/ma-pin-the-atm
https://techcombank.com/thong-tin/blog/vi-dien-tu-la-gi
https://techcombank.com/thong-tin/blog/1-euro-bang-bao-nhieu-tien-viet
https://techcombank.com/thong-tin/blog/1-do-uc-bang-bao-nhieu-tien-viet
https://techcombank.com/thong-tin/blog/doi-tien-do-o-dau
https://techcombank.com/thong-tin/blog/vnd-to-myr
https://techcombank.com/thong-tin/blog/dinar-kuwait
https://techcombank.com/thong-tin/blog/ngoai-hoi-la-gi
https://techcombank.com/thong-tin/blog/ty-gia-hoi-doai-la-gi
https://techcombank.com/thong-tin/blog/ngoai-te-la-gi
https://techcombank.com/thong-tin/blog/chuyen-tien-tu-my-ve-viet-nam
https://techcombank.com/thong-tin/blog/tien-malaysia
https://techcombank.com/thong-tin/blog/xu-huong-ty-gia-usd
https://techcombank.com/thong-tin/blog/chuyen-tien-tro-cap-than-nhan-o-nuoc-ngoai
https://techcombank.com/thong-tin/blog/gui-tiet-kiem-usd
https://techcombank.com/thong-tin/blog/thanh-toan-bang-the-quoc-te
https://techcombank.com/thong-tin/blog/1-chi-vang-bao-nhieu-tien
https://techcombank.com/thong-tin/blog/cach-tinh-gia-vang
https://techcombank.com/thong-tin/blog/dieu-kien-mua-usd-tu-ngan-hang
https://techcombank.com/thong-tin/blog/dinh-cu-chau-au
https://techcombank.com/thong-tin/blog/du-bao-gia-vang
https://techcombank.com/thong-tin/blog/gia-ca-phe-hom-nay
https://techcombank.com/thong-tin/blog/kieu-hoi-la-gi
https://techcombank.com/thong-tin/blog/phi-chuyen-doi-ngoai-te
https://techcombank.com/thong-tin/blog/tien-thai-lan</v>
      </c>
    </row>
    <row r="57">
      <c r="A57" s="33">
        <v>47.0</v>
      </c>
      <c r="B57" s="34" t="s">
        <v>337</v>
      </c>
      <c r="C57" s="35" t="s">
        <v>1662</v>
      </c>
      <c r="D57" s="36">
        <v>30.0</v>
      </c>
      <c r="E57" s="37">
        <f>COUNTIF('Kế hoạch chèn link (mới)'!$B$3:$B$2944,B57)</f>
        <v>9</v>
      </c>
      <c r="F57" s="38" t="str">
        <f>IFERROR(__xludf.DUMMYFUNCTION("TEXTJOIN(CHAR(10),TRUE,FILTER('Kế hoạch chèn link (mới)'!$F$3:$F$2944,'Kế hoạch chèn link (mới)'!$B$3:$B$2944=B57))"),"https://techcombank.com/thong-tin/blog/1-won-bang-bao-nhieu-tien-viet
https://techcombank.com/thong-tin/blog/1-trieu-won-bang-bao-nhieu-tien-viet
https://techcombank.com/thong-tin/blog/thanh-toan-khi-du-lich-han-quoc
https://techcombank.com/thong-tin/blog"&amp;"/chuyen-tien-tu-han-sang-viet-nam
https://techcombank.com/thong-tin/blog/tous-les-jours
https://techcombank.com/thong-tin/blog/voucher-highland
https://techcombank.com/thong-tin/blog/tien-thai-lan
https://techcombank.com/thong-tin/blog/1000-te-bang-bao-nh"&amp;"ieu-tien-viet
https://techcombank.com/thong-tin/blog/thanh-toan-bang-the-quoc-te")</f>
        <v>https://techcombank.com/thong-tin/blog/1-won-bang-bao-nhieu-tien-viet
https://techcombank.com/thong-tin/blog/1-trieu-won-bang-bao-nhieu-tien-viet
https://techcombank.com/thong-tin/blog/thanh-toan-khi-du-lich-han-quoc
https://techcombank.com/thong-tin/blog/chuyen-tien-tu-han-sang-viet-nam
https://techcombank.com/thong-tin/blog/tous-les-jours
https://techcombank.com/thong-tin/blog/voucher-highland
https://techcombank.com/thong-tin/blog/tien-thai-lan
https://techcombank.com/thong-tin/blog/1000-te-bang-bao-nhieu-tien-viet
https://techcombank.com/thong-tin/blog/thanh-toan-bang-the-quoc-te</v>
      </c>
    </row>
    <row r="58">
      <c r="A58" s="33">
        <v>48.0</v>
      </c>
      <c r="B58" s="34" t="s">
        <v>1128</v>
      </c>
      <c r="C58" s="35" t="s">
        <v>1662</v>
      </c>
      <c r="D58" s="36">
        <v>30.0</v>
      </c>
      <c r="E58" s="37">
        <f>COUNTIF('Kế hoạch chèn link (mới)'!$B$3:$B$2944,B58)</f>
        <v>30</v>
      </c>
      <c r="F58" s="38" t="str">
        <f>IFERROR(__xludf.DUMMYFUNCTION("TEXTJOIN(CHAR(10),TRUE,FILTER('Kế hoạch chèn link (mới)'!$F$3:$F$2944,'Kế hoạch chèn link (mới)'!$B$3:$B$2944=B58))"),"https://techcombank.com/thong-tin/blog/remittance-la-gi
https://techcombank.com/thong-tin/blog/nhan-tien-western-union
https://techcombank.com/thong-tin/blog/ma-swift-ngan-hang
https://techcombank.com/thong-tin/blog/1-euro-bang-bao-nhieu-tien-viet
https:/"&amp;"/techcombank.com/thong-tin/blog/tien-singapore
https://techcombank.com/thong-tin/blog/1000-te-bang-bao-nhieu-tien-viet
https://techcombank.com/thong-tin/blog/1-do-uc-bang-bao-nhieu-tien-viet
https://techcombank.com/thong-tin/blog/tien-thai-lan
https://tec"&amp;"hcombank.com/thong-tin/blog/ty-gia-hoi-doai-la-gi
https://techcombank.com/thong-tin/blog/ty-gia-la-gi
https://techcombank.com/thong-tin/blog/xu-huong-ty-gia-usd
https://techcombank.com/thong-tin/blog/1-trieu-do-bang-bao-nhieu-tien-viet
https://techcombank"&amp;".com/thong-tin/blog/1-man-bang-bao-nhieu-tien-viet
https://techcombank.com/thong-tin/blog/tien-trung-quoc
https://techcombank.com/thong-tin/blog/1-van-te-bang-bao-nhieu-tien-viet
https://techcombank.com/thong-tin/blog/chi-phi-mo-tai-khoan-ngan-hang-cho-co"&amp;"ng-ty
https://techcombank.com/thong-tin/blog/tien-malaysia
https://techcombank.com/thong-tin/blog/iban-la-gi
https://techcombank.com/thong-tin/blog/han-muc-mua-ngoai-te-khi-di-du-lich
https://techcombank.com/thong-tin/blog/thanh-toan-quoc-te
https://techc"&amp;"ombank.com/thong-tin/blog/the-ghi-no-noi-dia
https://techcombank.com/thong-tin/blog/lam-the-thanh-toan-quoc-te
https://techcombank.com/thong-tin/blog/the-visa-co-thanh-toan-quoc-te-duoc-khong
https://techcombank.com/thong-tin/blog/chuyen-tien-dinh-cu
http"&amp;"s://techcombank.com/thong-tin/blog/thanh-toan-bang-the-quoc-te
https://techcombank.com/thong-tin/blog/ngoai-te-la-gi
https://techcombank.com/thong-tin/blog/nen-lam-the-visa-hay-noi-dia
https://techcombank.com/thong-tin/blog/dinh-cu-chau-au
https://techcom"&amp;"bank.com/thong-tin/blog/thu-tuc-chuyen-tien-ra-nuoc-ngoai
https://techcombank.com/thong-tin/blog/gui-tien-sang-nuoc-ngoai")</f>
        <v>https://techcombank.com/thong-tin/blog/remittance-la-gi
https://techcombank.com/thong-tin/blog/nhan-tien-western-union
https://techcombank.com/thong-tin/blog/ma-swift-ngan-hang
https://techcombank.com/thong-tin/blog/1-euro-bang-bao-nhieu-tien-viet
https://techcombank.com/thong-tin/blog/tien-singapore
https://techcombank.com/thong-tin/blog/1000-te-bang-bao-nhieu-tien-viet
https://techcombank.com/thong-tin/blog/1-do-uc-bang-bao-nhieu-tien-viet
https://techcombank.com/thong-tin/blog/tien-thai-lan
https://techcombank.com/thong-tin/blog/ty-gia-hoi-doai-la-gi
https://techcombank.com/thong-tin/blog/ty-gia-la-gi
https://techcombank.com/thong-tin/blog/xu-huong-ty-gia-usd
https://techcombank.com/thong-tin/blog/1-trieu-do-bang-bao-nhieu-tien-viet
https://techcombank.com/thong-tin/blog/1-man-bang-bao-nhieu-tien-viet
https://techcombank.com/thong-tin/blog/tien-trung-quoc
https://techcombank.com/thong-tin/blog/1-van-te-bang-bao-nhieu-tien-viet
https://techcombank.com/thong-tin/blog/chi-phi-mo-tai-khoan-ngan-hang-cho-cong-ty
https://techcombank.com/thong-tin/blog/tien-malaysia
https://techcombank.com/thong-tin/blog/iban-la-gi
https://techcombank.com/thong-tin/blog/han-muc-mua-ngoai-te-khi-di-du-lich
https://techcombank.com/thong-tin/blog/thanh-toan-quoc-te
https://techcombank.com/thong-tin/blog/the-ghi-no-noi-dia
https://techcombank.com/thong-tin/blog/lam-the-thanh-toan-quoc-te
https://techcombank.com/thong-tin/blog/the-visa-co-thanh-toan-quoc-te-duoc-khong
https://techcombank.com/thong-tin/blog/chuyen-tien-dinh-cu
https://techcombank.com/thong-tin/blog/thanh-toan-bang-the-quoc-te
https://techcombank.com/thong-tin/blog/ngoai-te-la-gi
https://techcombank.com/thong-tin/blog/nen-lam-the-visa-hay-noi-dia
https://techcombank.com/thong-tin/blog/dinh-cu-chau-au
https://techcombank.com/thong-tin/blog/thu-tuc-chuyen-tien-ra-nuoc-ngoai
https://techcombank.com/thong-tin/blog/gui-tien-sang-nuoc-ngoai</v>
      </c>
    </row>
    <row r="59">
      <c r="A59" s="33">
        <v>49.0</v>
      </c>
      <c r="B59" s="34" t="s">
        <v>897</v>
      </c>
      <c r="C59" s="35" t="s">
        <v>1662</v>
      </c>
      <c r="D59" s="36">
        <v>30.0</v>
      </c>
      <c r="E59" s="37">
        <f>COUNTIF('Kế hoạch chèn link (mới)'!$B$3:$B$2944,B59)</f>
        <v>18</v>
      </c>
      <c r="F59" s="38" t="str">
        <f>IFERROR(__xludf.DUMMYFUNCTION("TEXTJOIN(CHAR(10),TRUE,FILTER('Kế hoạch chèn link (mới)'!$F$3:$F$2944,'Kế hoạch chèn link (mới)'!$B$3:$B$2944=B59))"),"https://techcombank.com/thong-tin/blog/di-du-lich-nuoc-ngoai-can-chuan-bi-gi
https://techcombank.com/thong-tin/blog/1-trieu-do-bang-bao-nhieu-tien-viet
https://techcombank.com/thong-tin/blog/tien-malaysia
https://techcombank.com/thong-tin/blog/rut-tien-ma"&amp;"t-tu-tai-khoan-doanh-nghiep
https://techcombank.com/thong-tin/blog/chuyen-tien-tro-cap-than-nhan-o-nuoc-ngoai
https://techcombank.com/thong-tin/blog/bao-hiem-suc-khoe-la-gi
https://techcombank.com/thong-tin/blog/ho-kinh-doanh-can-gi-o-tai-khoan-ngan-hang
"&amp;"https://techcombank.com/thong-tin/blog/nhan-tien-western-union
https://techcombank.com/thong-tin/blog/vang-24k
https://techcombank.com/thong-tin/blog/bao-hiem-sinh-ky-la-gi
https://techcombank.com/thong-tin/blog/techcombank-sinh-loi-tu-dong
https://techco"&amp;"mbank.com/thong-tin/blog/phi-chuyen-doi-ngoai-te
https://techcombank.com/thong-tin/blog/cach-tiet-kiem-tien-theo-tuan
https://techcombank.com/thong-tin/blog/tien-singapore
https://techcombank.com/thong-tin/blog/thanh-toan-qr-thai-lan
https://techcombank.c"&amp;"om/thong-tin/blog/chuyen-tien-tu-my-ve-viet-nam
https://techcombank.com/thong-tin/blog/npv-la-gi
https://techcombank.com/thong-tin/blog/vnd-to-myr")</f>
        <v>https://techcombank.com/thong-tin/blog/di-du-lich-nuoc-ngoai-can-chuan-bi-gi
https://techcombank.com/thong-tin/blog/1-trieu-do-bang-bao-nhieu-tien-viet
https://techcombank.com/thong-tin/blog/tien-malaysia
https://techcombank.com/thong-tin/blog/rut-tien-mat-tu-tai-khoan-doanh-nghiep
https://techcombank.com/thong-tin/blog/chuyen-tien-tro-cap-than-nhan-o-nuoc-ngoai
https://techcombank.com/thong-tin/blog/bao-hiem-suc-khoe-la-gi
https://techcombank.com/thong-tin/blog/ho-kinh-doanh-can-gi-o-tai-khoan-ngan-hang
https://techcombank.com/thong-tin/blog/nhan-tien-western-union
https://techcombank.com/thong-tin/blog/vang-24k
https://techcombank.com/thong-tin/blog/bao-hiem-sinh-ky-la-gi
https://techcombank.com/thong-tin/blog/techcombank-sinh-loi-tu-dong
https://techcombank.com/thong-tin/blog/phi-chuyen-doi-ngoai-te
https://techcombank.com/thong-tin/blog/cach-tiet-kiem-tien-theo-tuan
https://techcombank.com/thong-tin/blog/tien-singapore
https://techcombank.com/thong-tin/blog/thanh-toan-qr-thai-lan
https://techcombank.com/thong-tin/blog/chuyen-tien-tu-my-ve-viet-nam
https://techcombank.com/thong-tin/blog/npv-la-gi
https://techcombank.com/thong-tin/blog/vnd-to-myr</v>
      </c>
    </row>
    <row r="60">
      <c r="A60" s="33">
        <v>50.0</v>
      </c>
      <c r="B60" s="34" t="s">
        <v>165</v>
      </c>
      <c r="C60" s="35" t="s">
        <v>1765</v>
      </c>
      <c r="D60" s="36">
        <v>30.0</v>
      </c>
      <c r="E60" s="37">
        <f>COUNTIF('Kế hoạch chèn link (mới)'!$B$3:$B$2944,B60)</f>
        <v>11</v>
      </c>
      <c r="F60" s="38" t="str">
        <f>IFERROR(__xludf.DUMMYFUNCTION("TEXTJOIN(CHAR(10),TRUE,FILTER('Kế hoạch chèn link (mới)'!$F$3:$F$2944,'Kế hoạch chèn link (mới)'!$B$3:$B$2944=B60))"),"https://techcombank.com/thong-tin/blog/co-nen-vay-ngan-hang-mua-nha
https://techcombank.com/thong-tin/blog/lai-suat-vay-the-chap
https://techcombank.com/thong-tin/blog/vay-20-trieu
https://techcombank.com/thong-tin/blog/nhu-cau-vay-tieu-dung-cua-nguoi-vie"&amp;"t-du-kien-tang-manh-trong-thoi-gian-toi
https://techcombank.com/thong-tin/blog/cho-vay-tung-lan
https://techcombank.com/thong-tin/blog/bao-hiem-trung
https://techcombank.com/thong-tin/blog/vay-40-trieu
https://techcombank.com/thong-tin/blog/luong-huu
http"&amp;"s://techcombank.com/thong-tin/blog/dang-vay-tra-gop-co-vay-them-duoc-khong
https://techcombank.com/thong-tin/blog/tra-gop-qua-the-tin-dung
https://techcombank.com/thong-tin/blog/thu-tuc-mua-xe-tra-gop")</f>
        <v>https://techcombank.com/thong-tin/blog/co-nen-vay-ngan-hang-mua-nha
https://techcombank.com/thong-tin/blog/lai-suat-vay-the-chap
https://techcombank.com/thong-tin/blog/vay-20-trieu
https://techcombank.com/thong-tin/blog/nhu-cau-vay-tieu-dung-cua-nguoi-viet-du-kien-tang-manh-trong-thoi-gian-toi
https://techcombank.com/thong-tin/blog/cho-vay-tung-lan
https://techcombank.com/thong-tin/blog/bao-hiem-trung
https://techcombank.com/thong-tin/blog/vay-40-trieu
https://techcombank.com/thong-tin/blog/luong-huu
https://techcombank.com/thong-tin/blog/dang-vay-tra-gop-co-vay-them-duoc-khong
https://techcombank.com/thong-tin/blog/tra-gop-qua-the-tin-dung
https://techcombank.com/thong-tin/blog/thu-tuc-mua-xe-tra-gop</v>
      </c>
    </row>
    <row r="61">
      <c r="A61" s="33">
        <v>51.0</v>
      </c>
      <c r="B61" s="34" t="s">
        <v>1770</v>
      </c>
      <c r="C61" s="35" t="s">
        <v>1771</v>
      </c>
      <c r="D61" s="36">
        <v>30.0</v>
      </c>
      <c r="E61" s="37">
        <f>COUNTIF('Kế hoạch chèn link (mới)'!$B$3:$B$2944,B61)</f>
        <v>30</v>
      </c>
      <c r="F61" s="38" t="str">
        <f>IFERROR(__xludf.DUMMYFUNCTION("TEXTJOIN(CHAR(10),TRUE,FILTER('Kế hoạch chèn link (mới)'!$F$3:$F$2944,'Kế hoạch chèn link (mới)'!$B$3:$B$2944=B61))"),"https://techcombank.com/thong-tin/blog/voucher-the-pizza-company
https://techcombank.com/thong-tin/blog/ma-giam-gia-al-frescos
https://techcombank.com/thong-tin/blog/voucher-coopmart
https://techcombank.com/thong-tin/blog/voucher-jollibee
https://techcomb"&amp;"ank.com/thong-tin/blog/giam-gia-be
https://techcombank.com/thong-tin/blog/voucher-katinat
https://techcombank.com/thong-tin/blog/ma-giam-gia-phela
https://techcombank.com/thong-tin/blog/kichi-kichi
https://techcombank.com/thong-tin/blog/ma-giam-gia-shopee"&amp;"
https://techcombank.com/thong-tin/blog/voucher-starbucks
https://techcombank.com/thong-tin/blog/cua-hang-tien-loi
https://techcombank.com/thong-tin/blog/ma-giam-xanh-sm
https://techcombank.com/thong-tin/blog/voucher-kfc
https://techcombank.com/thong-tin/"&amp;"blog/mr-eco
https://techcombank.com/thong-tin/blog/voucher-phuc-long
https://techcombank.com/thong-tin/blog/voucher-grab
https://techcombank.com/thong-tin/blog/dat-xe-xanh-sm
https://techcombank.com/thong-tin/blog/tous-les-jours
https://techcombank.com/th"&amp;"ong-tin/blog/voucher-xanh-sm
https://techcombank.com/thong-tin/blog/quy-gia-dinh
https://techcombank.com/thong-tin/blog/dat-ve-may-bay
https://techcombank.com/thong-tin/blog/mua-ve-may-bay-gia-re
https://techcombank.com/thong-tin/blog/thanh-toan-khi-du-li"&amp;"ch-thai-lan
https://techcombank.com/thong-tin/blog/mua-ve-xem-phim
https://techcombank.com/thong-tin/blog/ban-do-du-lich
https://techcombank.com/thong-tin/blog/cach-thanh-toan-quang-cao-tiktok
https://techcombank.com/thong-tin/blog/chuong-trinh-khach-hang"&amp;"-than-thiet
https://techcombank.com/thong-tin/blog/dac-san-hai-phong
https://techcombank.com/thong-tin/blog/shang-chi
https://techcombank.com/thong-tin/blog/voucher-golden-gate")</f>
        <v>https://techcombank.com/thong-tin/blog/voucher-the-pizza-company
https://techcombank.com/thong-tin/blog/ma-giam-gia-al-frescos
https://techcombank.com/thong-tin/blog/voucher-coopmart
https://techcombank.com/thong-tin/blog/voucher-jollibee
https://techcombank.com/thong-tin/blog/giam-gia-be
https://techcombank.com/thong-tin/blog/voucher-katinat
https://techcombank.com/thong-tin/blog/ma-giam-gia-phela
https://techcombank.com/thong-tin/blog/kichi-kichi
https://techcombank.com/thong-tin/blog/ma-giam-gia-shopee
https://techcombank.com/thong-tin/blog/voucher-starbucks
https://techcombank.com/thong-tin/blog/cua-hang-tien-loi
https://techcombank.com/thong-tin/blog/ma-giam-xanh-sm
https://techcombank.com/thong-tin/blog/voucher-kfc
https://techcombank.com/thong-tin/blog/mr-eco
https://techcombank.com/thong-tin/blog/voucher-phuc-long
https://techcombank.com/thong-tin/blog/voucher-grab
https://techcombank.com/thong-tin/blog/dat-xe-xanh-sm
https://techcombank.com/thong-tin/blog/tous-les-jours
https://techcombank.com/thong-tin/blog/voucher-xanh-sm
https://techcombank.com/thong-tin/blog/quy-gia-dinh
https://techcombank.com/thong-tin/blog/dat-ve-may-bay
https://techcombank.com/thong-tin/blog/mua-ve-may-bay-gia-re
https://techcombank.com/thong-tin/blog/thanh-toan-khi-du-lich-thai-lan
https://techcombank.com/thong-tin/blog/mua-ve-xem-phim
https://techcombank.com/thong-tin/blog/ban-do-du-lich
https://techcombank.com/thong-tin/blog/cach-thanh-toan-quang-cao-tiktok
https://techcombank.com/thong-tin/blog/chuong-trinh-khach-hang-than-thiet
https://techcombank.com/thong-tin/blog/dac-san-hai-phong
https://techcombank.com/thong-tin/blog/shang-chi
https://techcombank.com/thong-tin/blog/voucher-golden-gate</v>
      </c>
    </row>
    <row r="62">
      <c r="A62" s="33">
        <v>53.0</v>
      </c>
      <c r="B62" s="34" t="s">
        <v>1778</v>
      </c>
      <c r="C62" s="35" t="s">
        <v>1589</v>
      </c>
      <c r="D62" s="36">
        <v>30.0</v>
      </c>
      <c r="E62" s="37">
        <f>COUNTIF('Kế hoạch chèn link (mới)'!$B$3:$B$2944,B62)</f>
        <v>30</v>
      </c>
      <c r="F62" s="38" t="str">
        <f>IFERROR(__xludf.DUMMYFUNCTION("TEXTJOIN(CHAR(10),TRUE,FILTER('Kế hoạch chèn link (mới)'!$F$3:$F$2944,'Kế hoạch chèn link (mới)'!$B$3:$B$2944=B62))"),"https://techcombank.com/thong-tin/blog/nhuong-quyen-la-gi
https://techcombank.com/thong-tin/blog/kinh-doanh-online
https://techcombank.com/thong-tin/blog/dao-tao-the-he-ke-can
https://techcombank.com/thong-tin/blog/roa
https://techcombank.com/thong-tin/bl"&amp;"og/softpos
https://techcombank.com/thong-tin/blog/pos
https://techcombank.com/thong-tin/blog/nim-la-gi
https://techcombank.com/thong-tin/blog/kinh-nghiem-chuyen-doi-tu-ho-kinh-doanh-len-doanh-nghiep
https://techcombank.com/thong-tin/blog/thanh-toan-bang-m"&amp;"a-qr
https://techcombank.com/thong-tin/blog/vay-ngan-han
https://techcombank.com/thong-tin/blog/chuyen-doi-xanh
https://techcombank.com/thong-tin/blog/gia-cao-su
https://techcombank.com/thong-tin/blog/dang-ky-thue-ho-kinh-doanh-ca-the-online
https://techc"&amp;"ombank.com/thong-tin/blog/barcode-la-gi
https://techcombank.com/thong-tin/blog/gia-ca-phe-hom-nay
https://techcombank.com/thong-tin/blog/loa-thong-bao-chuyen-khoan
https://techcombank.com/thong-tin/blog/loa-ting-ting
https://techcombank.com/thong-tin/blog"&amp;"/one-stop-shop
https://techcombank.com/thong-tin/blog/cac-loai-hinh-doanh-nghiep
https://techcombank.com/thong-tin/blog/top-phan-mem-ban-hang
https://techcombank.com/thong-tin/blog/ho-kinh-doanh-ca-the
https://techcombank.com/thong-tin/blog/nen-thanh-lap-"&amp;"ho-kinh-doanh-ke-khai-hay-doanh-nghiep
https://techcombank.com/thong-tin/blog/huong-dan-dang-ky-thanh-lap-doanh-nghiep
https://techcombank.com/thong-tin/blog/quan-ly-chuoi-cua-hang
https://techcombank.com/thong-tin/blog/tieu-dung-ben-vung
https://techcomb"&amp;"ank.com/thong-tin/blog/thue-phi-co-dinh-khi-chuyen-doi-tu-ho-kinh-doanh-len-doanh-nghiep
https://techcombank.com/thong-tin/blog/tim-hieu-ve-chinh-sach-thue-moi
https://techcombank.com/thong-tin/blog/tiem-nang-chuyen-doi-tu-ho-kinh-doanh-len-doanh-nghiep-s"&amp;"me
https://techcombank.com/thong-tin/blog/giay-phep-kinh-doanh
https://techcombank.com/thong-tin/blog/dang-ky-kinh-doanh-la-gi")</f>
        <v>https://techcombank.com/thong-tin/blog/nhuong-quyen-la-gi
https://techcombank.com/thong-tin/blog/kinh-doanh-online
https://techcombank.com/thong-tin/blog/dao-tao-the-he-ke-can
https://techcombank.com/thong-tin/blog/roa
https://techcombank.com/thong-tin/blog/softpos
https://techcombank.com/thong-tin/blog/pos
https://techcombank.com/thong-tin/blog/nim-la-gi
https://techcombank.com/thong-tin/blog/kinh-nghiem-chuyen-doi-tu-ho-kinh-doanh-len-doanh-nghiep
https://techcombank.com/thong-tin/blog/thanh-toan-bang-ma-qr
https://techcombank.com/thong-tin/blog/vay-ngan-han
https://techcombank.com/thong-tin/blog/chuyen-doi-xanh
https://techcombank.com/thong-tin/blog/gia-cao-su
https://techcombank.com/thong-tin/blog/dang-ky-thue-ho-kinh-doanh-ca-the-online
https://techcombank.com/thong-tin/blog/barcode-la-gi
https://techcombank.com/thong-tin/blog/gia-ca-phe-hom-nay
https://techcombank.com/thong-tin/blog/loa-thong-bao-chuyen-khoan
https://techcombank.com/thong-tin/blog/loa-ting-ting
https://techcombank.com/thong-tin/blog/one-stop-shop
https://techcombank.com/thong-tin/blog/cac-loai-hinh-doanh-nghiep
https://techcombank.com/thong-tin/blog/top-phan-mem-ban-hang
https://techcombank.com/thong-tin/blog/ho-kinh-doanh-ca-the
https://techcombank.com/thong-tin/blog/nen-thanh-lap-ho-kinh-doanh-ke-khai-hay-doanh-nghiep
https://techcombank.com/thong-tin/blog/huong-dan-dang-ky-thanh-lap-doanh-nghiep
https://techcombank.com/thong-tin/blog/quan-ly-chuoi-cua-hang
https://techcombank.com/thong-tin/blog/tieu-dung-ben-vung
https://techcombank.com/thong-tin/blog/thue-phi-co-dinh-khi-chuyen-doi-tu-ho-kinh-doanh-len-doanh-nghiep
https://techcombank.com/thong-tin/blog/tim-hieu-ve-chinh-sach-thue-moi
https://techcombank.com/thong-tin/blog/tiem-nang-chuyen-doi-tu-ho-kinh-doanh-len-doanh-nghiep-sme
https://techcombank.com/thong-tin/blog/giay-phep-kinh-doanh
https://techcombank.com/thong-tin/blog/dang-ky-kinh-doanh-la-gi</v>
      </c>
    </row>
    <row r="63">
      <c r="A63" s="33">
        <v>54.0</v>
      </c>
      <c r="B63" s="34" t="s">
        <v>1214</v>
      </c>
      <c r="C63" s="35" t="s">
        <v>1589</v>
      </c>
      <c r="D63" s="36">
        <v>30.0</v>
      </c>
      <c r="E63" s="37">
        <f>COUNTIF('Kế hoạch chèn link (mới)'!$B$3:$B$2944,B63)</f>
        <v>30</v>
      </c>
      <c r="F63" s="38" t="str">
        <f>IFERROR(__xludf.DUMMYFUNCTION("TEXTJOIN(CHAR(10),TRUE,FILTER('Kế hoạch chèn link (mới)'!$F$3:$F$2944,'Kế hoạch chèn link (mới)'!$B$3:$B$2944=B63))"),"https://techcombank.com/thong-tin/blog/cach-tao-ma-qr
https://techcombank.com/thong-tin/blog/in-ma-qr-ngan-hang
https://techcombank.com/thong-tin/blog/lo-ma-qr-ngan-hang-co-sao-khong
https://techcombank.com/thong-tin/blog/lam-ma-qr-ngan-hang-co-mat-phi-kh"&amp;"ong
https://techcombank.com/thong-tin/blog/ma-qr-ngan-hang-khong-hop-le
https://techcombank.com/thong-tin/blog/quet-ma-qr-techcombank
https://techcombank.com/thong-tin/blog/tao-ma-qr-thanh-toan-cho-cua-hang
https://techcombank.com/thong-tin/blog/thanh-toa"&amp;"n-bang-ma-qr
https://techcombank.com/thong-tin/blog/thanh-toan-truc-tuyen
https://techcombank.com/thong-tin/blog/rut-tien-bang-ma-qr-la-gi-cach-thuc-hien-nhu-the-nao
https://techcombank.com/thong-tin/blog/cach-rut-tien-atm
https://techcombank.com/thong-ti"&amp;"n/blog/cach-chuyen-tien
https://techcombank.com/thong-tin/blog/thanh-toan-qr-thai-lan
https://techcombank.com/thong-tin/blog/one-stop-shop
https://techcombank.com/thong-tin/blog/loa-thong-bao-chuyen-khoan
https://techcombank.com/thong-tin/blog/app-chia-ti"&amp;"en
https://techcombank.com/thong-tin/blog/chuyen-doi-so-ho-kinh-doanh
https://techcombank.com/thong-tin/blog/pos
https://techcombank.com/thong-tin/blog/merchant-la-gi
https://techcombank.com/thong-tin/blog/ma-qr-techcombank
https://techcombank.com/thong-t"&amp;"in/blog/so-sanh-ma-qr-va-ma-vach
https://techcombank.com/thong-tin/blog/qr-code-doanh-nghiep
https://techcombank.com/thong-tin/blog/qr-dong
https://techcombank.com/thong-tin/blog/rut-tien-bang-ma-qr-khac-ngan-hang-duoc-khong
https://techcombank.com/thong-"&amp;"tin/blog/thanh-toan-ma-qr-tro-thanh-phuong-thuc-duoc-ua-chuong-va-trien-khai-manh-me
https://techcombank.com/thong-tin/blog/qr-code-phuong-thuc-thanh-toan-toi-uu-trong-ky-nguyen-so
https://techcombank.com/thong-tin/blog/cach-chuyen-khoan-bang-dien-thoai
h"&amp;"ttps://techcombank.com/thong-tin/blog/cach-chuyen-tien-qua-ma-qr-techcombank
https://techcombank.com/thong-tin/blog/top-phan-mem-ban-hang
https://techcombank.com/thong-tin/blog/loa-ting-ting")</f>
        <v>https://techcombank.com/thong-tin/blog/cach-tao-ma-qr
https://techcombank.com/thong-tin/blog/in-ma-qr-ngan-hang
https://techcombank.com/thong-tin/blog/lo-ma-qr-ngan-hang-co-sao-khong
https://techcombank.com/thong-tin/blog/lam-ma-qr-ngan-hang-co-mat-phi-khong
https://techcombank.com/thong-tin/blog/ma-qr-ngan-hang-khong-hop-le
https://techcombank.com/thong-tin/blog/quet-ma-qr-techcombank
https://techcombank.com/thong-tin/blog/tao-ma-qr-thanh-toan-cho-cua-hang
https://techcombank.com/thong-tin/blog/thanh-toan-bang-ma-qr
https://techcombank.com/thong-tin/blog/thanh-toan-truc-tuyen
https://techcombank.com/thong-tin/blog/rut-tien-bang-ma-qr-la-gi-cach-thuc-hien-nhu-the-nao
https://techcombank.com/thong-tin/blog/cach-rut-tien-atm
https://techcombank.com/thong-tin/blog/cach-chuyen-tien
https://techcombank.com/thong-tin/blog/thanh-toan-qr-thai-lan
https://techcombank.com/thong-tin/blog/one-stop-shop
https://techcombank.com/thong-tin/blog/loa-thong-bao-chuyen-khoan
https://techcombank.com/thong-tin/blog/app-chia-tien
https://techcombank.com/thong-tin/blog/chuyen-doi-so-ho-kinh-doanh
https://techcombank.com/thong-tin/blog/pos
https://techcombank.com/thong-tin/blog/merchant-la-gi
https://techcombank.com/thong-tin/blog/ma-qr-techcombank
https://techcombank.com/thong-tin/blog/so-sanh-ma-qr-va-ma-vach
https://techcombank.com/thong-tin/blog/qr-code-doanh-nghiep
https://techcombank.com/thong-tin/blog/qr-dong
https://techcombank.com/thong-tin/blog/rut-tien-bang-ma-qr-khac-ngan-hang-duoc-khong
https://techcombank.com/thong-tin/blog/thanh-toan-ma-qr-tro-thanh-phuong-thuc-duoc-ua-chuong-va-trien-khai-manh-me
https://techcombank.com/thong-tin/blog/qr-code-phuong-thuc-thanh-toan-toi-uu-trong-ky-nguyen-so
https://techcombank.com/thong-tin/blog/cach-chuyen-khoan-bang-dien-thoai
https://techcombank.com/thong-tin/blog/cach-chuyen-tien-qua-ma-qr-techcombank
https://techcombank.com/thong-tin/blog/top-phan-mem-ban-hang
https://techcombank.com/thong-tin/blog/loa-ting-ting</v>
      </c>
    </row>
    <row r="64">
      <c r="A64" s="33">
        <v>55.0</v>
      </c>
      <c r="B64" s="34" t="s">
        <v>1</v>
      </c>
      <c r="C64" s="35" t="s">
        <v>1589</v>
      </c>
      <c r="D64" s="36">
        <v>30.0</v>
      </c>
      <c r="E64" s="37">
        <f>COUNTIF('Kế hoạch chèn link (mới)'!$B$3:$B$2944,B64)</f>
        <v>30</v>
      </c>
      <c r="F64" s="38" t="str">
        <f>IFERROR(__xludf.DUMMYFUNCTION("TEXTJOIN(CHAR(10),TRUE,FILTER('Kế hoạch chèn link (mới)'!$F$3:$F$2944,'Kế hoạch chèn link (mới)'!$B$3:$B$2944=B64))"),"https://techcombank.com/thong-tin/blog/thanh-lap-ho-kinh-doanh-ca-the
https://techcombank.com/thong-tin/blog/khai-bao-tai-khoan-ngan-hang-voi-co-quan-thue
https://techcombank.com/thong-tin/blog/ho-kinh-doanh-can-gi-o-tai-khoan-ngan-hang
https://techcomban"&amp;"k.com/thong-tin/blog/ho-kinh-doanh-ca-the
https://techcombank.com/thong-tin/blog/cach-dang-ky-ma-so-thue-ho-kinh-doanh-online
https://techcombank.com/thong-tin/blog/may-pos-la-gi
https://techcombank.com/thong-tin/blog/quan-ly-chuoi-cua-hang
https://techco"&amp;"mbank.com/thong-tin/blog/phan-mem-xuat-hoa-don-dien-tu
https://techcombank.com/thong-tin/blog/cach-tinh-thue-ho-kinh-doanh-nho-le
https://techcombank.com/thong-tin/blog/tra-cuu-no-thue-ho-kinh-doanh
https://techcombank.com/thong-tin/blog/kiem-tra-thue-ho-"&amp;"kinh-doanh
https://techcombank.com/thong-tin/blog/ho-kinh-doanh-la-gi
https://techcombank.com/thong-tin/blog/nen-thanh-lap-ho-kinh-doanh-ke-khai-hay-doanh-nghiep
https://techcombank.com/thong-tin/blog/thu-tuc-vay-von-kinh-doanh-nho
https://techcombank.com"&amp;"/thong-tin/blog/truy-thu-thue-ho-kinh-doanh
https://techcombank.com/thong-tin/blog/thay-doi-dia-chi-ho-kinh-doanh
https://techcombank.com/thong-tin/blog/nhung-ho-kinh-doanh-duoc-mien-thue
https://techcombank.com/thong-tin/blog/barcode-la-gi
https://techco"&amp;"mbank.com/thong-tin/blog/tra-cuu-ma-so-thue-ho-kinh-doanh
https://techcombank.com/thong-tin/blog/loi-ich-khi-ho-kinh-doanh-chuyen-len-doanh-nghiep
https://techcombank.com/thong-tin/blog/cac-sai-lam-pho-bien-khi-chuyen-doi-ho-kinh-doanh-len-sme
https://tec"&amp;"hcombank.com/thong-tin/blog/giay-phep-kinh-doanh
https://techcombank.com/thong-tin/blog/cach-tao-ma-qr
https://techcombank.com/thong-tin/blog/lai-suat-vay-kinh-doanh
https://techcombank.com/thong-tin/blog/thanh-toan-khong-dung-tien-mat
https://techcombank"&amp;".com/thong-tin/blog/vay-tin-chap-ho-kinh-doanh
https://techcombank.com/thong-tin/blog/chuyen-doi-hoa-don-dien-tu
https://techcombank.com/thong-tin/blog/dang-ky-kinh-doanh-la-gi
https://techcombank.com/thong-tin/blog/luu-y-khi-chuyen-doi-tu-ho-kinh-doanh-l"&amp;"en-doanh-nghiep
https://techcombank.com/thong-tin/blog/thue-ho-kinh-doanh-2025")</f>
        <v>https://techcombank.com/thong-tin/blog/thanh-lap-ho-kinh-doanh-ca-the
https://techcombank.com/thong-tin/blog/khai-bao-tai-khoan-ngan-hang-voi-co-quan-thue
https://techcombank.com/thong-tin/blog/ho-kinh-doanh-can-gi-o-tai-khoan-ngan-hang
https://techcombank.com/thong-tin/blog/ho-kinh-doanh-ca-the
https://techcombank.com/thong-tin/blog/cach-dang-ky-ma-so-thue-ho-kinh-doanh-online
https://techcombank.com/thong-tin/blog/may-pos-la-gi
https://techcombank.com/thong-tin/blog/quan-ly-chuoi-cua-hang
https://techcombank.com/thong-tin/blog/phan-mem-xuat-hoa-don-dien-tu
https://techcombank.com/thong-tin/blog/cach-tinh-thue-ho-kinh-doanh-nho-le
https://techcombank.com/thong-tin/blog/tra-cuu-no-thue-ho-kinh-doanh
https://techcombank.com/thong-tin/blog/kiem-tra-thue-ho-kinh-doanh
https://techcombank.com/thong-tin/blog/ho-kinh-doanh-la-gi
https://techcombank.com/thong-tin/blog/nen-thanh-lap-ho-kinh-doanh-ke-khai-hay-doanh-nghiep
https://techcombank.com/thong-tin/blog/thu-tuc-vay-von-kinh-doanh-nho
https://techcombank.com/thong-tin/blog/truy-thu-thue-ho-kinh-doanh
https://techcombank.com/thong-tin/blog/thay-doi-dia-chi-ho-kinh-doanh
https://techcombank.com/thong-tin/blog/nhung-ho-kinh-doanh-duoc-mien-thue
https://techcombank.com/thong-tin/blog/barcode-la-gi
https://techcombank.com/thong-tin/blog/tra-cuu-ma-so-thue-ho-kinh-doanh
https://techcombank.com/thong-tin/blog/loi-ich-khi-ho-kinh-doanh-chuyen-len-doanh-nghiep
https://techcombank.com/thong-tin/blog/cac-sai-lam-pho-bien-khi-chuyen-doi-ho-kinh-doanh-len-sme
https://techcombank.com/thong-tin/blog/giay-phep-kinh-doanh
https://techcombank.com/thong-tin/blog/cach-tao-ma-qr
https://techcombank.com/thong-tin/blog/lai-suat-vay-kinh-doanh
https://techcombank.com/thong-tin/blog/thanh-toan-khong-dung-tien-mat
https://techcombank.com/thong-tin/blog/vay-tin-chap-ho-kinh-doanh
https://techcombank.com/thong-tin/blog/chuyen-doi-hoa-don-dien-tu
https://techcombank.com/thong-tin/blog/dang-ky-kinh-doanh-la-gi
https://techcombank.com/thong-tin/blog/luu-y-khi-chuyen-doi-tu-ho-kinh-doanh-len-doanh-nghiep
https://techcombank.com/thong-tin/blog/thue-ho-kinh-doanh-2025</v>
      </c>
    </row>
    <row r="65">
      <c r="A65" s="33">
        <v>56.0</v>
      </c>
      <c r="B65" s="34" t="s">
        <v>392</v>
      </c>
      <c r="C65" s="35" t="s">
        <v>1589</v>
      </c>
      <c r="D65" s="36">
        <v>30.0</v>
      </c>
      <c r="E65" s="37">
        <f>COUNTIF('Kế hoạch chèn link (mới)'!$B$3:$B$2944,B65)</f>
        <v>23</v>
      </c>
      <c r="F65" s="38" t="str">
        <f>IFERROR(__xludf.DUMMYFUNCTION("TEXTJOIN(CHAR(10),TRUE,FILTER('Kế hoạch chèn link (mới)'!$F$3:$F$2944,'Kế hoạch chèn link (mới)'!$B$3:$B$2944=B65))"),"https://techcombank.com/thong-tin/blog/ke-khai-thue-ho-kinh-doanh-ca-the-online
https://techcombank.com/thong-tin/blog/kiem-tra-thue-ho-kinh-doanh
https://techcombank.com/thong-tin/blog/thue-thuong-mai-dien-tu
https://techcombank.com/thong-tin/blog/chinh-"&amp;"sach-thue-moi
https://techcombank.com/thong-tin/blog/ho-kinh-doanh-ca-the
https://techcombank.com/thong-tin/blog/ho-kinh-doanh-la-gi
https://techcombank.com/thong-tin/blog/thanh-lap-ho-kinh-doanh-ca-the
https://techcombank.com/thong-tin/blog/loi-ich-khi-h"&amp;"o-kinh-doanh-chuyen-len-doanh-nghiep
https://techcombank.com/thong-tin/blog/thanh-toan-khong-dung-tien-mat
https://techcombank.com/thong-tin/blog/tra-cuu-no-thue-ho-kinh-doanh
https://techcombank.com/thong-tin/blog/lien-ket-tai-khoan-ngan-hang-voi-etax-mo"&amp;"bile
https://techcombank.com/thong-tin/blog/hoa-don-dien-tu
https://techcombank.com/thong-tin/blog/truy-thu-thue-ho-kinh-doanh
https://techcombank.com/thong-tin/blog/chuyen-doi-hoa-don-dien-tu
https://techcombank.com/thong-tin/blog/dang-ky-kinh-doanh-la-g"&amp;"i
https://techcombank.com/thong-tin/blog/thay-doi-dia-chi-ho-kinh-doanh
https://techcombank.com/thong-tin/blog/cach-dang-ky-ma-so-thue-ho-kinh-doanh-online
https://techcombank.com/thong-tin/blog/luu-y-khi-chuyen-doi-tu-ho-kinh-doanh-len-doanh-nghiep
https"&amp;"://techcombank.com/thong-tin/blog/barcode-la-gi
https://techcombank.com/thong-tin/blog/phat-cham-dang-ky-thue-ho-kinh-doanh
https://techcombank.com/thong-tin/blog/thue-vat-la-gi
https://techcombank.com/thong-tin/blog/ho-kinh-doanh-dong-thue-nhu-nao
https:"&amp;"//techcombank.com/thong-tin/blog/khau-hao-la-gi")</f>
        <v>https://techcombank.com/thong-tin/blog/ke-khai-thue-ho-kinh-doanh-ca-the-online
https://techcombank.com/thong-tin/blog/kiem-tra-thue-ho-kinh-doanh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https://techcombank.com/thong-tin/blog/loi-ich-khi-ho-kinh-doanh-chuyen-len-doanh-nghiep
https://techcombank.com/thong-tin/blog/thanh-toan-khong-dung-tien-mat
https://techcombank.com/thong-tin/blog/tra-cuu-no-thue-ho-kinh-doanh
https://techcombank.com/thong-tin/blog/lien-ket-tai-khoan-ngan-hang-voi-etax-mobile
https://techcombank.com/thong-tin/blog/hoa-don-dien-tu
https://techcombank.com/thong-tin/blog/truy-thu-thue-ho-kinh-doanh
https://techcombank.com/thong-tin/blog/chuyen-doi-hoa-don-dien-tu
https://techcombank.com/thong-tin/blog/dang-ky-kinh-doanh-la-gi
https://techcombank.com/thong-tin/blog/thay-doi-dia-chi-ho-kinh-doanh
https://techcombank.com/thong-tin/blog/cach-dang-ky-ma-so-thue-ho-kinh-doanh-online
https://techcombank.com/thong-tin/blog/luu-y-khi-chuyen-doi-tu-ho-kinh-doanh-len-doanh-nghiep
https://techcombank.com/thong-tin/blog/barcode-la-gi
https://techcombank.com/thong-tin/blog/phat-cham-dang-ky-thue-ho-kinh-doanh
https://techcombank.com/thong-tin/blog/thue-vat-la-gi
https://techcombank.com/thong-tin/blog/ho-kinh-doanh-dong-thue-nhu-nao
https://techcombank.com/thong-tin/blog/khau-hao-la-gi</v>
      </c>
    </row>
    <row r="66">
      <c r="A66" s="33">
        <v>58.0</v>
      </c>
      <c r="B66" s="34" t="s">
        <v>109</v>
      </c>
      <c r="C66" s="35" t="s">
        <v>1598</v>
      </c>
      <c r="D66" s="36">
        <v>30.0</v>
      </c>
      <c r="E66" s="37">
        <f>COUNTIF('Kế hoạch chèn link (mới)'!$B$3:$B$2944,B66)</f>
        <v>19</v>
      </c>
      <c r="F66" s="38" t="str">
        <f>IFERROR(__xludf.DUMMYFUNCTION("TEXTJOIN(CHAR(10),TRUE,FILTER('Kế hoạch chèn link (mới)'!$F$3:$F$2944,'Kế hoạch chèn link (mới)'!$B$3:$B$2944=B66))"),"https://techcombank.com/thong-tin/blog/han-muc-vay-the-chap-so-do
https://techcombank.com/thong-tin/blog/kinh-nghiem-vay-the-chap-ngan-hang
https://techcombank.com/thong-tin/blog/vay-the-chap-so-hong
https://techcombank.com/thong-tin/blog/nen-vay-the-chap"&amp;"-ngan-hang-nao
https://techcombank.com/thong-tin/blog/so-tai-khoan-ngan-hang
https://techcombank.com/thong-tin/blog/vay-the-chap-la-gi
https://techcombank.com/thong-tin/blog/vay-the-chap-so-bao-hiem-xa-hoi
https://techcombank.com/thong-tin/blog/vay-von-do"&amp;"anh-nghiep-khong-the-chap
https://techcombank.com/thong-tin/blog/phi-vay-the-chap
https://techcombank.com/thong-tin/blog/dieu-kien-vay-the-chap
https://techcombank.com/thong-tin/blog/the-chap-la-gi
https://techcombank.com/thong-tin/blog/rui-ro-khi-vay-the"&amp;"-chap-ngan-hang
https://techcombank.com/thong-tin/blog/ho-so-thu-tuc-xoa-the-chap
https://techcombank.com/thong-tin/blog/vay-the-chap-toi-da-duoc-bao-nhieu
https://techcombank.com/thong-tin/blog/thanh-ly-tai-san
https://techcombank.com/thong-tin/blog/vay-"&amp;"san-xuat-kinh-doanh
https://techcombank.com/thong-tin/blog/vay-the-chap-qua-luong
https://techcombank.com/thong-tin/blog/giai-ngan-vay-the-chap
https://techcombank.com/thong-tin/blog/vay-the-chap-khong-chung-minh-thu-nhap")</f>
        <v>https://techcombank.com/thong-tin/blog/han-muc-vay-the-chap-so-do
https://techcombank.com/thong-tin/blog/kinh-nghiem-vay-the-chap-ngan-hang
https://techcombank.com/thong-tin/blog/vay-the-chap-so-hong
https://techcombank.com/thong-tin/blog/nen-vay-the-chap-ngan-hang-nao
https://techcombank.com/thong-tin/blog/so-tai-khoan-ngan-hang
https://techcombank.com/thong-tin/blog/vay-the-chap-la-gi
https://techcombank.com/thong-tin/blog/vay-the-chap-so-bao-hiem-xa-hoi
https://techcombank.com/thong-tin/blog/vay-von-doanh-nghiep-khong-the-chap
https://techcombank.com/thong-tin/blog/phi-vay-the-chap
https://techcombank.com/thong-tin/blog/dieu-kien-vay-the-chap
https://techcombank.com/thong-tin/blog/the-chap-la-gi
https://techcombank.com/thong-tin/blog/rui-ro-khi-vay-the-chap-ngan-hang
https://techcombank.com/thong-tin/blog/ho-so-thu-tuc-xoa-the-chap
https://techcombank.com/thong-tin/blog/vay-the-chap-toi-da-duoc-bao-nhieu
https://techcombank.com/thong-tin/blog/thanh-ly-tai-san
https://techcombank.com/thong-tin/blog/vay-san-xuat-kinh-doanh
https://techcombank.com/thong-tin/blog/vay-the-chap-qua-luong
https://techcombank.com/thong-tin/blog/giai-ngan-vay-the-chap
https://techcombank.com/thong-tin/blog/vay-the-chap-khong-chung-minh-thu-nhap</v>
      </c>
    </row>
    <row r="67">
      <c r="A67" s="33">
        <v>59.0</v>
      </c>
      <c r="B67" s="34" t="s">
        <v>969</v>
      </c>
      <c r="C67" s="35" t="s">
        <v>1598</v>
      </c>
      <c r="D67" s="36">
        <v>30.0</v>
      </c>
      <c r="E67" s="37">
        <f>COUNTIF('Kế hoạch chèn link (mới)'!$B$3:$B$2944,B67)</f>
        <v>20</v>
      </c>
      <c r="F67" s="38" t="str">
        <f>IFERROR(__xludf.DUMMYFUNCTION("TEXTJOIN(CHAR(10),TRUE,FILTER('Kế hoạch chèn link (mới)'!$F$3:$F$2944,'Kế hoạch chèn link (mới)'!$B$3:$B$2944=B67))"),"https://techcombank.com/thong-tin/blog/tat-toan
https://techcombank.com/thong-tin/blog/quy-trinh-tat-toan-khoan-vay-the-chap
https://techcombank.com/thong-tin/blog/giai-ngan-vay-the-chap
https://techcombank.com/thong-tin/blog/the-chap-la-gi
https://techco"&amp;"mbank.com/thong-tin/blog/vay-tien-mat
https://techcombank.com/thong-tin/blog/vay-von-doanh-nghiep-khong-the-chap
https://techcombank.com/thong-tin/blog/thu-tuc-mua-xe-tra-gop
https://techcombank.com/thong-tin/blog/vay-san-xuat-kinh-doanh
https://techcomba"&amp;"nk.com/thong-tin/blog/vay-300-trieu
https://techcombank.com/thong-tin/blog/vay-the-chap-la-gi
https://techcombank.com/thong-tin/blog/viet-kieu-co-mo-duoc-tai-khoan-ngan-hang-khong
https://techcombank.com/thong-tin/blog/kich-hoat-the-tin-dung-techcombank
h"&amp;"ttps://techcombank.com/thong-tin/blog/vay-200-trieu
https://techcombank.com/thong-tin/blog/vay-tin-chap-theo-luong
https://techcombank.com/thong-tin/blog/cac-hinh-thuc-cho-vay-tieu-dung
https://techcombank.com/thong-tin/blog/ho-so-vay-tin-chap
https://tec"&amp;"hcombank.com/thong-tin/blog/merchant-la-gi
https://techcombank.com/thong-tin/blog/vay-the-chap-so-bao-hiem-xa-hoi
https://techcombank.com/thong-tin/blog/vay-the-chap-toi-da-duoc-bao-nhieu
https://techcombank.com/thong-tin/blog/han-muc-vay-the-chap-so-do")</f>
        <v>https://techcombank.com/thong-tin/blog/tat-toan
https://techcombank.com/thong-tin/blog/quy-trinh-tat-toan-khoan-vay-the-chap
https://techcombank.com/thong-tin/blog/giai-ngan-vay-the-chap
https://techcombank.com/thong-tin/blog/the-chap-la-gi
https://techcombank.com/thong-tin/blog/vay-tien-mat
https://techcombank.com/thong-tin/blog/vay-von-doanh-nghiep-khong-the-chap
https://techcombank.com/thong-tin/blog/thu-tuc-mua-xe-tra-gop
https://techcombank.com/thong-tin/blog/vay-san-xuat-kinh-doanh
https://techcombank.com/thong-tin/blog/vay-300-trieu
https://techcombank.com/thong-tin/blog/vay-the-chap-la-gi
https://techcombank.com/thong-tin/blog/viet-kieu-co-mo-duoc-tai-khoan-ngan-hang-khong
https://techcombank.com/thong-tin/blog/kich-hoat-the-tin-dung-techcombank
https://techcombank.com/thong-tin/blog/vay-200-trieu
https://techcombank.com/thong-tin/blog/vay-tin-chap-theo-luong
https://techcombank.com/thong-tin/blog/cac-hinh-thuc-cho-vay-tieu-dung
https://techcombank.com/thong-tin/blog/ho-so-vay-tin-chap
https://techcombank.com/thong-tin/blog/merchant-la-gi
https://techcombank.com/thong-tin/blog/vay-the-chap-so-bao-hiem-xa-hoi
https://techcombank.com/thong-tin/blog/vay-the-chap-toi-da-duoc-bao-nhieu
https://techcombank.com/thong-tin/blog/han-muc-vay-the-chap-so-do</v>
      </c>
    </row>
    <row r="68">
      <c r="A68" s="33">
        <v>62.0</v>
      </c>
      <c r="B68" s="34" t="s">
        <v>707</v>
      </c>
      <c r="C68" s="35" t="s">
        <v>1492</v>
      </c>
      <c r="D68" s="36">
        <v>30.0</v>
      </c>
      <c r="E68" s="37">
        <f>COUNTIF('Kế hoạch chèn link (mới)'!$B$3:$B$2944,B68)</f>
        <v>27</v>
      </c>
      <c r="F68" s="38" t="str">
        <f>IFERROR(__xludf.DUMMYFUNCTION("TEXTJOIN(CHAR(10),TRUE,FILTER('Kế hoạch chèn link (mới)'!$F$3:$F$2944,'Kế hoạch chèn link (mới)'!$B$3:$B$2944=B68))"),"https://techcombank.com/thong-tin/blog/vay-thau-chi-bang-so-tiet-kiem
https://techcombank.com/thong-tin/blog/lai-kep-ngan-hang
https://techcombank.com/thong-tin/blog/mat-so-tiet-kiem
https://techcombank.com/thong-tin/blog/gui-them-tien-vao-so-tiet-kiem
ht"&amp;"tps://techcombank.com/thong-tin/blog/tien-gui-co-ky-han
https://techcombank.com/thong-tin/blog/so-tiet-kiem-ngan-hang
https://techcombank.com/thong-tin/blog/app-gui-tien-tiet-kiem
https://techcombank.com/thong-tin/blog/gui-tiet-kiem-theo-ngay
https://tech"&amp;"combank.com/thong-tin/blog/the-visa-co-thanh-toan-quoc-te-duoc-khong
https://techcombank.com/thong-tin/blog/thanh-khoan-la-gi
https://techcombank.com/thong-tin/blog/tai-sao-gui-tiet-kiem-online-lai-suat-cao-hon
https://techcombank.com/thong-tin/blog/dau-t"&amp;"u-ngan-han
https://techcombank.com/thong-tin/blog/rut-tien-bao-hiem-nhan-tho-khi-het-han
https://techcombank.com/thong-tin/blog/mo-the-tin-dung-khong-can-chung-minh-thu-nhap
https://techcombank.com/thong-tin/blog/chung-chi-tien-gui-khac-gi-so-tiet-kiem
ht"&amp;"tps://techcombank.com/thong-tin/blog/chung-chi-tien-gui-co-duoc-rut-truoc-han
https://techcombank.com/thong-tin/blog/lai-suat-chung-chi-tien-gui-cac-ngan-hang
https://techcombank.com/thong-tin/blog/nen-gui-tiet-kiem-6-thang-hay-1-nam
https://techcombank.c"&amp;"om/thong-tin/blog/gui-tiet-kiem-online-quay-vong-ca-goc-va-lai
https://techcombank.com/thong-tin/blog/the-napas-la-gi
https://techcombank.com/thong-tin/blog/so-sanh-gui-tiet-kiem-online-va-tai-quay
https://techcombank.com/thong-tin/blog/cach-tiet-kiem-tie"&amp;"n-sinh-loi
https://techcombank.com/thong-tin/blog/cach-dau-tu
https://techcombank.com/thong-tin/blog/cach-tiet-kiem-tien
https://techcombank.com/thong-tin/blog/lap-ke-hoach-tai-chinh-ca-nhan
https://techcombank.com/thong-tin/blog/tai-khoan-ngan-hang-chua-"&amp;"toi-da-bao-nhieu-tien
https://techcombank.com/thong-tin/blog/tao-ma-qr-thanh-toan-cho-cua-hang")</f>
        <v>https://techcombank.com/thong-tin/blog/vay-thau-chi-bang-so-tiet-kiem
https://techcombank.com/thong-tin/blog/lai-kep-ngan-hang
https://techcombank.com/thong-tin/blog/mat-so-tiet-kiem
https://techcombank.com/thong-tin/blog/gui-them-tien-vao-so-tiet-kiem
https://techcombank.com/thong-tin/blog/tien-gui-co-ky-han
https://techcombank.com/thong-tin/blog/so-tiet-kiem-ngan-hang
https://techcombank.com/thong-tin/blog/app-gui-tien-tiet-kiem
https://techcombank.com/thong-tin/blog/gui-tiet-kiem-theo-ngay
https://techcombank.com/thong-tin/blog/the-visa-co-thanh-toan-quoc-te-duoc-khong
https://techcombank.com/thong-tin/blog/thanh-khoan-la-gi
https://techcombank.com/thong-tin/blog/tai-sao-gui-tiet-kiem-online-lai-suat-cao-hon
https://techcombank.com/thong-tin/blog/dau-tu-ngan-han
https://techcombank.com/thong-tin/blog/rut-tien-bao-hiem-nhan-tho-khi-het-han
https://techcombank.com/thong-tin/blog/mo-the-tin-dung-khong-can-chung-minh-thu-nhap
https://techcombank.com/thong-tin/blog/chung-chi-tien-gui-khac-gi-so-tiet-kiem
https://techcombank.com/thong-tin/blog/chung-chi-tien-gui-co-duoc-rut-truoc-han
https://techcombank.com/thong-tin/blog/lai-suat-chung-chi-tien-gui-cac-ngan-hang
https://techcombank.com/thong-tin/blog/nen-gui-tiet-kiem-6-thang-hay-1-nam
https://techcombank.com/thong-tin/blog/gui-tiet-kiem-online-quay-vong-ca-goc-va-lai
https://techcombank.com/thong-tin/blog/the-napas-la-gi
https://techcombank.com/thong-tin/blog/so-sanh-gui-tiet-kiem-online-va-tai-quay
https://techcombank.com/thong-tin/blog/cach-tiet-kiem-tien-sinh-loi
https://techcombank.com/thong-tin/blog/cach-dau-tu
https://techcombank.com/thong-tin/blog/cach-tiet-kiem-tien
https://techcombank.com/thong-tin/blog/lap-ke-hoach-tai-chinh-ca-nhan
https://techcombank.com/thong-tin/blog/tai-khoan-ngan-hang-chua-toi-da-bao-nhieu-tien
https://techcombank.com/thong-tin/blog/tao-ma-qr-thanh-toan-cho-cua-hang</v>
      </c>
    </row>
    <row r="69">
      <c r="A69" s="33">
        <v>63.0</v>
      </c>
      <c r="B69" s="34" t="s">
        <v>773</v>
      </c>
      <c r="C69" s="35" t="s">
        <v>1492</v>
      </c>
      <c r="D69" s="36">
        <v>30.0</v>
      </c>
      <c r="E69" s="37">
        <f>COUNTIF('Kế hoạch chèn link (mới)'!$B$3:$B$2944,B69)</f>
        <v>30</v>
      </c>
      <c r="F69" s="38" t="str">
        <f>IFERROR(__xludf.DUMMYFUNCTION("TEXTJOIN(CHAR(10),TRUE,FILTER('Kế hoạch chèn link (mới)'!$F$3:$F$2944,'Kế hoạch chèn link (mới)'!$B$3:$B$2944=B69))"),"https://techcombank.com/thong-tin/blog/mo-so-tiet-kiem-can-bao-nhieu-tien
https://techcombank.com/thong-tin/blog/mat-so-tiet-kiem
https://techcombank.com/thong-tin/blog/gui-them-tien-vao-so-tiet-kiem
https://techcombank.com/thong-tin/blog/vay-thau-chi-ban"&amp;"g-so-tiet-kiem
https://techcombank.com/thong-tin/blog/quy-trinh-gui-tien-tiet-kiem
https://techcombank.com/thong-tin/blog/mo-the-tin-dung-khong-can-chung-minh-thu-nhap
https://techcombank.com/thong-tin/blog/rut-tien-tiet-kiem-truoc-thoi-han
https://techco"&amp;"mbank.com/thong-tin/blog/vay-thau-chi-la-gi
https://techcombank.com/thong-tin/blog/chung-chi-tien-gui-la-gi
https://techcombank.com/thong-tin/blog/mo-the-tin-dung-han-muc-cao
https://techcombank.com/thong-tin/blog/bao-hiem-nhan-tho-bao-nhieu-tien
https://"&amp;"techcombank.com/thong-tin/blog/cach-dang-ky-the-visa
https://techcombank.com/thong-tin/blog/cach-dong-tien-dien-qua-tai-khoan-ngan-hang
https://techcombank.com/thong-tin/blog/cach-sao-ke-tai-khoan-ngan-hang
https://techcombank.com/thong-tin/blog/cach-tiet"&amp;"-kiem-100-trieu-1-nam
https://techcombank.com/thong-tin/blog/chung-chi-tien-gui-co-duoc-bao-hiem-khong
https://techcombank.com/thong-tin/blog/nen-gui-tiet-kiem-thong-thuong-hay-tich-luy
https://techcombank.com/thong-tin/blog/tat-toan-so-tiet-kiem
https://"&amp;"techcombank.com/thong-tin/blog/tat-toan
https://techcombank.com/thong-tin/blog/dao-han-la-gi
https://techcombank.com/thong-tin/blog/co-nen-gui-tiet-kiem-ngan-hang
https://techcombank.com/thong-tin/blog/co-nen-gui-tiet-kiem-online
https://techcombank.com/t"&amp;"hong-tin/blog/gui-tiet-kiem-ngoai-te
https://techcombank.com/thong-tin/blog/nen-gui-tiet-kiem-6-thang-hay-1-nam
https://techcombank.com/thong-tin/blog/mo-tai-khoan-tiet-kiem-cho-con
https://techcombank.com/thong-tin/blog/rui-ro-khi-gui-tiet-kiem-online
ht"&amp;"tps://techcombank.com/thong-tin/blog/tai-khoan-thanh-toan-la-gi
https://techcombank.com/thong-tin/blog/tai-sao-gui-tiet-kiem-online-lai-suat-cao-hon
https://techcombank.com/thong-tin/blog/gui-tiet-kiem-tich-luy-la-gi
https://techcombank.com/thong-tin/blog"&amp;"/gui-tiet-kiem-online-bi-mat-tien")</f>
        <v>https://techcombank.com/thong-tin/blog/mo-so-tiet-kiem-can-bao-nhieu-tien
https://techcombank.com/thong-tin/blog/mat-so-tiet-kiem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https://techcombank.com/thong-tin/blog/vay-thau-chi-la-gi
https://techcombank.com/thong-tin/blog/chung-chi-tien-gui-la-gi
https://techcombank.com/thong-tin/blog/mo-the-tin-dung-han-muc-cao
https://techcombank.com/thong-tin/blog/bao-hiem-nhan-tho-bao-nhieu-tien
https://techcombank.com/thong-tin/blog/cach-dang-ky-the-visa
https://techcombank.com/thong-tin/blog/cach-dong-tien-dien-qua-tai-khoan-ngan-hang
https://techcombank.com/thong-tin/blog/cach-sao-ke-tai-khoan-ngan-hang
https://techcombank.com/thong-tin/blog/cach-tiet-kiem-100-trieu-1-nam
https://techcombank.com/thong-tin/blog/chung-chi-tien-gui-co-duoc-bao-hiem-khong
https://techcombank.com/thong-tin/blog/nen-gui-tiet-kiem-thong-thuong-hay-tich-luy
https://techcombank.com/thong-tin/blog/tat-toan-so-tiet-kiem
https://techcombank.com/thong-tin/blog/tat-toan
https://techcombank.com/thong-tin/blog/dao-han-la-gi
https://techcombank.com/thong-tin/blog/co-nen-gui-tiet-kiem-ngan-hang
https://techcombank.com/thong-tin/blog/co-nen-gui-tiet-kiem-online
https://techcombank.com/thong-tin/blog/gui-tiet-kiem-ngoai-te
https://techcombank.com/thong-tin/blog/nen-gui-tiet-kiem-6-thang-hay-1-nam
https://techcombank.com/thong-tin/blog/mo-tai-khoan-tiet-kiem-cho-con
https://techcombank.com/thong-tin/blog/rui-ro-khi-gui-tiet-kiem-online
https://techcombank.com/thong-tin/blog/tai-khoan-thanh-toan-la-gi
https://techcombank.com/thong-tin/blog/tai-sao-gui-tiet-kiem-online-lai-suat-cao-hon
https://techcombank.com/thong-tin/blog/gui-tiet-kiem-tich-luy-la-gi
https://techcombank.com/thong-tin/blog/gui-tiet-kiem-online-bi-mat-tien</v>
      </c>
    </row>
    <row r="70">
      <c r="A70" s="33">
        <v>64.0</v>
      </c>
      <c r="B70" s="34" t="s">
        <v>980</v>
      </c>
      <c r="C70" s="35" t="s">
        <v>1492</v>
      </c>
      <c r="D70" s="36">
        <v>30.0</v>
      </c>
      <c r="E70" s="37">
        <f>COUNTIF('Kế hoạch chèn link (mới)'!$B$3:$B$2944,B70)</f>
        <v>30</v>
      </c>
      <c r="F70" s="38" t="str">
        <f>IFERROR(__xludf.DUMMYFUNCTION("TEXTJOIN(CHAR(10),TRUE,FILTER('Kế hoạch chèn link (mới)'!$F$3:$F$2944,'Kế hoạch chèn link (mới)'!$B$3:$B$2944=B70))"),"https://techcombank.com/thong-tin/blog/tiet-kiem-tien-moi-ngay
https://techcombank.com/thong-tin/blog/hoc-cach-tiet-kiem-tien-luong
https://techcombank.com/thong-tin/blog/loi-ich-cua-viec-tiet-kiem-tien
https://techcombank.com/thong-tin/blog/cach-tiet-kie"&amp;"m-tien-theo-tuan
https://techcombank.com/thong-tin/blog/the-nao-la-tiet-kiem
https://techcombank.com/thong-tin/blog/phi-rut-tien-mat-the-tin-dung
https://techcombank.com/thong-tin/blog/cach-tiet-kiem-tien-sinh-loi
https://techcombank.com/thong-tin/blog/so"&amp;"-tai-khoan-dep
https://techcombank.com/thong-tin/blog/the-ghi-no-visa-la-gi
https://techcombank.com/thong-tin/blog/cach-tiet-kiem-tien-cua-nguoi-nhat
https://techcombank.com/thong-tin/blog/cach-tiet-kiem-tien-hieu-qua-cho-gia-dinh
https://techcombank.com/"&amp;"thong-tin/blog/vi-dien-tu
https://techcombank.com/thong-tin/blog/ke-hoach-tai-chinh
https://techcombank.com/thong-tin/blog/ghi-chep-chi-tieu
https://techcombank.com/thong-tin/blog/qua-han-thanh-toan-the-tin-dung-1-ngay
https://techcombank.com/thong-tin/bl"&amp;"og/chinh-sach-tang-luong-huu
https://techcombank.com/thong-tin/blog/tinh-thanh-khoan-la-gi
https://techcombank.com/thong-tin/blog/quan-ly-tai-chinh-doanh-nghiep-la-gi
https://techcombank.com/thong-tin/blog/cach-tinh-lai-suat-tien-gui-tiet-kiem
https://tec"&amp;"hcombank.com/thong-tin/blog/tai-san-va-tieu-san-la-gi
https://techcombank.com/thong-tin/blog/lam-phat-la-gi
https://techcombank.com/thong-tin/blog/gui-tiet-kiem-lay-lai-hang-thang
https://techcombank.com/thong-tin/blog/1-cmnd-dang-ky-duoc-may-tai-khoan-ng"&amp;"an-hang
https://techcombank.com/thong-tin/blog/dang-ky-nhieu-tai-khoan-ngan-hang-co-sao-khong
https://techcombank.com/thong-tin/blog/bancassurance
https://techcombank.com/thong-tin/blog/cach-nap-the-mobi
https://techcombank.com/thong-tin/blog/cach-nap-the"&amp;"-vina
https://techcombank.com/thong-tin/blog/loi-ich-cua-ngan-hang-so-voi-sme
https://techcombank.com/thong-tin/blog/quan-ly-tai-chinh-cho-dan-van-phong
https://techcombank.com/thong-tin/blog/phan-mem-quan-ly-tai-chinh-doanh-nghiep")</f>
        <v>https://techcombank.com/thong-tin/blog/tiet-kiem-tien-moi-ngay
https://techcombank.com/thong-tin/blog/hoc-cach-tiet-kiem-tien-luong
https://techcombank.com/thong-tin/blog/loi-ich-cua-viec-tiet-kiem-tien
https://techcombank.com/thong-tin/blog/cach-tiet-kiem-tien-theo-tuan
https://techcombank.com/thong-tin/blog/the-nao-la-tiet-kiem
https://techcombank.com/thong-tin/blog/phi-rut-tien-mat-the-tin-dung
https://techcombank.com/thong-tin/blog/cach-tiet-kiem-tien-sinh-loi
https://techcombank.com/thong-tin/blog/so-tai-khoan-dep
https://techcombank.com/thong-tin/blog/the-ghi-no-visa-la-gi
https://techcombank.com/thong-tin/blog/cach-tiet-kiem-tien-cua-nguoi-nhat
https://techcombank.com/thong-tin/blog/cach-tiet-kiem-tien-hieu-qua-cho-gia-dinh
https://techcombank.com/thong-tin/blog/vi-dien-tu
https://techcombank.com/thong-tin/blog/ke-hoach-tai-chinh
https://techcombank.com/thong-tin/blog/ghi-chep-chi-tieu
https://techcombank.com/thong-tin/blog/qua-han-thanh-toan-the-tin-dung-1-ngay
https://techcombank.com/thong-tin/blog/chinh-sach-tang-luong-huu
https://techcombank.com/thong-tin/blog/tinh-thanh-khoan-la-gi
https://techcombank.com/thong-tin/blog/quan-ly-tai-chinh-doanh-nghiep-la-gi
https://techcombank.com/thong-tin/blog/cach-tinh-lai-suat-tien-gui-tiet-kiem
https://techcombank.com/thong-tin/blog/tai-san-va-tieu-san-la-gi
https://techcombank.com/thong-tin/blog/lam-phat-la-gi
https://techcombank.com/thong-tin/blog/gui-tiet-kiem-lay-lai-hang-thang
https://techcombank.com/thong-tin/blog/1-cmnd-dang-ky-duoc-may-tai-khoan-ngan-hang
https://techcombank.com/thong-tin/blog/dang-ky-nhieu-tai-khoan-ngan-hang-co-sao-khong
https://techcombank.com/thong-tin/blog/bancassurance
https://techcombank.com/thong-tin/blog/cach-nap-the-mobi
https://techcombank.com/thong-tin/blog/cach-nap-the-vina
https://techcombank.com/thong-tin/blog/loi-ich-cua-ngan-hang-so-voi-sme
https://techcombank.com/thong-tin/blog/quan-ly-tai-chinh-cho-dan-van-phong
https://techcombank.com/thong-tin/blog/phan-mem-quan-ly-tai-chinh-doanh-nghiep</v>
      </c>
    </row>
    <row r="71">
      <c r="A71" s="33">
        <v>65.0</v>
      </c>
      <c r="B71" s="34" t="s">
        <v>1019</v>
      </c>
      <c r="C71" s="35" t="s">
        <v>1492</v>
      </c>
      <c r="D71" s="36">
        <v>30.0</v>
      </c>
      <c r="E71" s="37">
        <f>COUNTIF('Kế hoạch chèn link (mới)'!$B$3:$B$2944,B71)</f>
        <v>30</v>
      </c>
      <c r="F71" s="38" t="str">
        <f>IFERROR(__xludf.DUMMYFUNCTION("TEXTJOIN(CHAR(10),TRUE,FILTER('Kế hoạch chèn link (mới)'!$F$3:$F$2944,'Kế hoạch chèn link (mới)'!$B$3:$B$2944=B71))"),"https://techcombank.com/thong-tin/blog/co-nen-gui-tiet-kiem-online
https://techcombank.com/thong-tin/blog/kinh-nghiem-gui-tiet-kiem-online
https://techcombank.com/thong-tin/blog/cach-gui-tiet-kiem-online
https://techcombank.com/thong-tin/blog/rui-ro-khi-g"&amp;"ui-tiet-kiem-ngan-hang
https://techcombank.com/thong-tin/blog/so-sanh-gui-tiet-kiem-online-va-tai-quay
https://techcombank.com/thong-tin/blog/gui-tiet-kiem-lay-lai-hang-thang
https://techcombank.com/thong-tin/blog/gui-tiet-kiem-hang-thang
https://techcomb"&amp;"ank.com/thong-tin/blog/cach-tiet-kiem-tien-sinh-loi
https://techcombank.com/thong-tin/blog/gui-tiet-kiem-ngan-hang-van-la-lua-chon-an-toan-trong-thoi-ky-kinh-te-con-nhieu-bien-dong
https://techcombank.com/thong-tin/blog/quy-trinh-gui-tien-tiet-kiem
https:"&amp;"//techcombank.com/thong-tin/blog/lai-suat-tiet-kiem
https://techcombank.com/thong-tin/blog/mat-so-tiet-kiem
https://techcombank.com/thong-tin/blog/quy-du-phong-tai-chinh-la-gi
https://techcombank.com/thong-tin/blog/5-trieu-mua-duoc-bao-nhieu-vang
https://"&amp;"techcombank.com/thong-tin/blog/tao-ma-qr-thanh-toan-cho-cua-hang
https://techcombank.com/thong-tin/blog/gui-tiet-kiem-vang
https://techcombank.com/thong-tin/blog/smart-otp-la-gi
https://techcombank.com/thong-tin/blog/chung-chi-tien-gui-co-duoc-bao-hiem-kh"&amp;"ong
https://techcombank.com/thong-tin/blog/chung-chi-tien-gui-co-phai-la-trai-phieu-khong
https://techcombank.com/thong-tin/blog/the-visa-khong-thanh-toan-duoc
https://techcombank.com/thong-tin/blog/chuyen-tien-tu-han-sang-viet-nam
https://techcombank.com"&amp;"/thong-tin/blog/nen-de-tien-trong-the-hay-gui-tiet-kiem
https://techcombank.com/thong-tin/blog/quy-trinh-tat-toan-khoan-vay-the-chap
https://techcombank.com/thong-tin/blog/hom-nay-co-nen-mua-vang-khong
https://techcombank.com/thong-tin/blog/phuong-phap-da"&amp;"u-tu-chung-chi-quy
https://techcombank.com/thong-tin/blog/cac-chung-chi-quy-o-viet-nam
https://techcombank.com/thong-tin/blog/bao-hiem-lien-ket-dau-tu
https://techcombank.com/thong-tin/blog/chien-luoc-dau-tu
https://techcombank.com/thong-tin/blog/co-50-tr"&amp;"ieu-nen-mua-vang-hay-gui-tiet-kiem
https://techcombank.com/thong-tin/blog/ke-hoach-huu-tri")</f>
        <v>https://techcombank.com/thong-tin/blog/co-nen-gui-tiet-kiem-online
https://techcombank.com/thong-tin/blog/kinh-nghiem-gui-tiet-kiem-online
https://techcombank.com/thong-tin/blog/cach-gui-tiet-kiem-online
https://techcombank.com/thong-tin/blog/rui-ro-khi-gui-tiet-kiem-ngan-hang
https://techcombank.com/thong-tin/blog/so-sanh-gui-tiet-kiem-online-va-tai-quay
https://techcombank.com/thong-tin/blog/gui-tiet-kiem-lay-lai-hang-thang
https://techcombank.com/thong-tin/blog/gui-tiet-kiem-hang-thang
https://techcombank.com/thong-tin/blog/cach-tiet-kiem-tien-sinh-loi
https://techcombank.com/thong-tin/blog/gui-tiet-kiem-ngan-hang-van-la-lua-chon-an-toan-trong-thoi-ky-kinh-te-con-nhieu-bien-dong
https://techcombank.com/thong-tin/blog/quy-trinh-gui-tien-tiet-kiem
https://techcombank.com/thong-tin/blog/lai-suat-tiet-kiem
https://techcombank.com/thong-tin/blog/mat-so-tiet-kiem
https://techcombank.com/thong-tin/blog/quy-du-phong-tai-chinh-la-gi
https://techcombank.com/thong-tin/blog/5-trieu-mua-duoc-bao-nhieu-vang
https://techcombank.com/thong-tin/blog/tao-ma-qr-thanh-toan-cho-cua-hang
https://techcombank.com/thong-tin/blog/gui-tiet-kiem-vang
https://techcombank.com/thong-tin/blog/smart-otp-la-gi
https://techcombank.com/thong-tin/blog/chung-chi-tien-gui-co-duoc-bao-hiem-khong
https://techcombank.com/thong-tin/blog/chung-chi-tien-gui-co-phai-la-trai-phieu-khong
https://techcombank.com/thong-tin/blog/the-visa-khong-thanh-toan-duoc
https://techcombank.com/thong-tin/blog/chuyen-tien-tu-han-sang-viet-nam
https://techcombank.com/thong-tin/blog/nen-de-tien-trong-the-hay-gui-tiet-kiem
https://techcombank.com/thong-tin/blog/quy-trinh-tat-toan-khoan-vay-the-chap
https://techcombank.com/thong-tin/blog/hom-nay-co-nen-mua-vang-khong
https://techcombank.com/thong-tin/blog/phuong-phap-dau-tu-chung-chi-quy
https://techcombank.com/thong-tin/blog/cac-chung-chi-quy-o-viet-nam
https://techcombank.com/thong-tin/blog/bao-hiem-lien-ket-dau-tu
https://techcombank.com/thong-tin/blog/chien-luoc-dau-tu
https://techcombank.com/thong-tin/blog/co-50-trieu-nen-mua-vang-hay-gui-tiet-kiem
https://techcombank.com/thong-tin/blog/ke-hoach-huu-tri</v>
      </c>
    </row>
    <row r="72">
      <c r="A72" s="33">
        <v>71.0</v>
      </c>
      <c r="B72" s="34" t="s">
        <v>306</v>
      </c>
      <c r="C72" s="35" t="s">
        <v>1503</v>
      </c>
      <c r="D72" s="36">
        <v>30.0</v>
      </c>
      <c r="E72" s="37">
        <f>COUNTIF('Kế hoạch chèn link (mới)'!$B$3:$B$2944,B72)</f>
        <v>17</v>
      </c>
      <c r="F72" s="38" t="str">
        <f>IFERROR(__xludf.DUMMYFUNCTION("TEXTJOIN(CHAR(10),TRUE,FILTER('Kế hoạch chèn link (mới)'!$F$3:$F$2944,'Kế hoạch chèn link (mới)'!$B$3:$B$2944=B72))"),"https://techcombank.com/thong-tin/blog/no-xau-mo-the-tin-dung-duoc-khong
https://techcombank.com/thong-tin/blog/vay-tin-chap-no-xau
https://techcombank.com/thong-tin/blog/no-xau-nhom-2
https://techcombank.com/thong-tin/blog/no-xau
https://techcombank.com/"&amp;"thong-tin/blog/no-xau-la-gi
https://techcombank.com/thong-tin/blog/cic-la-gi
https://techcombank.com/thong-tin/blog/cam-ket-tin-dung
https://techcombank.com/thong-tin/blog/thanh-toan-tra-gop-qua-the-tin-dung
https://techcombank.com/thong-tin/blog/no-chu-y"&amp;"-la-gi
https://techcombank.com/thong-tin/blog/thanh-toan-toi-thieu-the-tin-dung
https://techcombank.com/thong-tin/blog/cach-huy-the-tin-dung
https://techcombank.com/thong-tin/blog/tra-gop-hoc-phi
https://techcombank.com/thong-tin/blog/lap-ke-hoach-chi-tie"&amp;"u-ca-nhan
https://techcombank.com/thong-tin/blog/ma-qr-lam-gia-duoc-khong
https://techcombank.com/thong-tin/blog/the-ghi-no-co-rut-tien-duoc-khong
https://techcombank.com/thong-tin/blog/cach-tinh-thue-ho-kinh-doanh-nho-le
https://techcombank.com/thong-tin"&amp;"/blog/cach-su-dung-the-ghi-no")</f>
        <v>https://techcombank.com/thong-tin/blog/no-xau-mo-the-tin-dung-duoc-khong
https://techcombank.com/thong-tin/blog/vay-tin-chap-no-xau
https://techcombank.com/thong-tin/blog/no-xau-nhom-2
https://techcombank.com/thong-tin/blog/no-xau
https://techcombank.com/thong-tin/blog/no-xau-la-gi
https://techcombank.com/thong-tin/blog/cic-la-gi
https://techcombank.com/thong-tin/blog/cam-ket-tin-dung
https://techcombank.com/thong-tin/blog/thanh-toan-tra-gop-qua-the-tin-dung
https://techcombank.com/thong-tin/blog/no-chu-y-la-gi
https://techcombank.com/thong-tin/blog/thanh-toan-toi-thieu-the-tin-dung
https://techcombank.com/thong-tin/blog/cach-huy-the-tin-dung
https://techcombank.com/thong-tin/blog/tra-gop-hoc-phi
https://techcombank.com/thong-tin/blog/lap-ke-hoach-chi-tieu-ca-nhan
https://techcombank.com/thong-tin/blog/ma-qr-lam-gia-duoc-khong
https://techcombank.com/thong-tin/blog/the-ghi-no-co-rut-tien-duoc-khong
https://techcombank.com/thong-tin/blog/cach-tinh-thue-ho-kinh-doanh-nho-le
https://techcombank.com/thong-tin/blog/cach-su-dung-the-ghi-no</v>
      </c>
    </row>
    <row r="73">
      <c r="A73" s="33">
        <v>72.0</v>
      </c>
      <c r="B73" s="34" t="s">
        <v>117</v>
      </c>
      <c r="C73" s="35" t="s">
        <v>1503</v>
      </c>
      <c r="D73" s="36">
        <v>30.0</v>
      </c>
      <c r="E73" s="37">
        <f>COUNTIF('Kế hoạch chèn link (mới)'!$B$3:$B$2944,B73)</f>
        <v>30</v>
      </c>
      <c r="F73" s="38" t="str">
        <f>IFERROR(__xludf.DUMMYFUNCTION("TEXTJOIN(CHAR(10),TRUE,FILTER('Kế hoạch chèn link (mới)'!$F$3:$F$2944,'Kế hoạch chèn link (mới)'!$B$3:$B$2944=B73))"),"https://techcombank.com/thong-tin/blog/vay-tin-chap-toi-da-duoc-bao-nhieu
https://techcombank.com/thong-tin/blog/lai-suat-vay-tin-chap
https://techcombank.com/thong-tin/blog/bao-hiem-suc-khoe-la-gi
https://techcombank.com/thong-tin/blog/mua-chung-chi-quy
"&amp;"https://techcombank.com/thong-tin/blog/lam-the-tin-dung
https://techcombank.com/thong-tin/blog/vay-ngan-hang-chi-can-cccd
https://techcombank.com/thong-tin/blog/lam-the-visa-o-dau
https://techcombank.com/thong-tin/blog/vay-the-chap-khong-chung-minh-thu-nh"&amp;"ap
https://techcombank.com/thong-tin/blog/the-tin-dung-la-gi
https://techcombank.com/thong-tin/blog/mo-them-tai-khoan-ngan-hang-cho-cong-ty
https://techcombank.com/thong-tin/blog/dang-vay-tra-gop-co-vay-them-duoc-khong
https://techcombank.com/thong-tin/bl"&amp;"og/vay-tin-chap-khong-tra-duoc-co-sao-khong
https://techcombank.com/thong-tin/blog/chuong-trinh-khach-hang-than-thiet
https://techcombank.com/thong-tin/blog/lich-su-tin-dung
https://techcombank.com/thong-tin/blog/the-ghi-no-co-chuyen-khoan-duoc-khong
http"&amp;"s://techcombank.com/thong-tin/blog/1-nguoi-co-the-lam-duoc-bao-nhieu-the-atm
https://techcombank.com/thong-tin/blog/barcode-la-gi
https://techcombank.com/thong-tin/blog/cach-chuyen-tien-qua-ma-qr-techcombank
https://techcombank.com/thong-tin/blog/co-nen-g"&amp;"ui-chung-chi-tien-gui
https://techcombank.com/thong-tin/blog/gio-lam-viec-techcombank
https://techcombank.com/thong-tin/blog/ho-so-thu-tuc-xoa-the-chap
https://techcombank.com/thong-tin/blog/ke-hoach-tai-chinh
https://techcombank.com/thong-tin/blog/kich-h"&amp;"oat-the-tin-dung-techcombank
https://techcombank.com/thong-tin/blog/phan-mem-xuat-hoa-don-dien-tu
https://techcombank.com/thong-tin/blog/quan-ly-chi-phi-doanh-nghiep
https://techcombank.com/thong-tin/blog/tai-khoan-ngan-hang-duoi-50k-co-bi-khoa-khong
http"&amp;"s://techcombank.com/thong-tin/blog/thanh-lap-ho-kinh-doanh-ca-the
https://techcombank.com/thong-tin/blog/thanh-toan-truc-tuyen
https://techcombank.com/thong-tin/blog/the-tin-dung-bi-khoa
https://techcombank.com/thong-tin/blog/tra-no-vay-thau-chi-nhu-the-n"&amp;"ao")</f>
        <v>https://techcombank.com/thong-tin/blog/vay-tin-chap-toi-da-duoc-bao-nhieu
https://techcombank.com/thong-tin/blog/lai-suat-vay-tin-chap
https://techcombank.com/thong-tin/blog/bao-hiem-suc-khoe-la-gi
https://techcombank.com/thong-tin/blog/mua-chung-chi-quy
https://techcombank.com/thong-tin/blog/lam-the-tin-dung
https://techcombank.com/thong-tin/blog/vay-ngan-hang-chi-can-cccd
https://techcombank.com/thong-tin/blog/lam-the-visa-o-dau
https://techcombank.com/thong-tin/blog/vay-the-chap-khong-chung-minh-thu-nhap
https://techcombank.com/thong-tin/blog/the-tin-dung-la-gi
https://techcombank.com/thong-tin/blog/mo-them-tai-khoan-ngan-hang-cho-cong-ty
https://techcombank.com/thong-tin/blog/dang-vay-tra-gop-co-vay-them-duoc-khong
https://techcombank.com/thong-tin/blog/vay-tin-chap-khong-tra-duoc-co-sao-khong
https://techcombank.com/thong-tin/blog/chuong-trinh-khach-hang-than-thiet
https://techcombank.com/thong-tin/blog/lich-su-tin-dung
https://techcombank.com/thong-tin/blog/the-ghi-no-co-chuyen-khoan-duoc-khong
https://techcombank.com/thong-tin/blog/1-nguoi-co-the-lam-duoc-bao-nhieu-the-atm
https://techcombank.com/thong-tin/blog/barcode-la-gi
https://techcombank.com/thong-tin/blog/cach-chuyen-tien-qua-ma-qr-techcombank
https://techcombank.com/thong-tin/blog/co-nen-gui-chung-chi-tien-gui
https://techcombank.com/thong-tin/blog/gio-lam-viec-techcombank
https://techcombank.com/thong-tin/blog/ho-so-thu-tuc-xoa-the-chap
https://techcombank.com/thong-tin/blog/ke-hoach-tai-chinh
https://techcombank.com/thong-tin/blog/kich-hoat-the-tin-dung-techcombank
https://techcombank.com/thong-tin/blog/phan-mem-xuat-hoa-don-dien-tu
https://techcombank.com/thong-tin/blog/quan-ly-chi-phi-doanh-nghiep
https://techcombank.com/thong-tin/blog/tai-khoan-ngan-hang-duoi-50k-co-bi-khoa-khong
https://techcombank.com/thong-tin/blog/thanh-lap-ho-kinh-doanh-ca-the
https://techcombank.com/thong-tin/blog/thanh-toan-truc-tuyen
https://techcombank.com/thong-tin/blog/the-tin-dung-bi-khoa
https://techcombank.com/thong-tin/blog/tra-no-vay-thau-chi-nhu-the-nao</v>
      </c>
    </row>
    <row r="74">
      <c r="A74" s="33">
        <v>73.0</v>
      </c>
      <c r="B74" s="34" t="s">
        <v>722</v>
      </c>
      <c r="C74" s="35" t="s">
        <v>1503</v>
      </c>
      <c r="D74" s="36">
        <v>30.0</v>
      </c>
      <c r="E74" s="37">
        <f>COUNTIF('Kế hoạch chèn link (mới)'!$B$3:$B$2944,B74)</f>
        <v>30</v>
      </c>
      <c r="F74" s="38" t="str">
        <f>IFERROR(__xludf.DUMMYFUNCTION("TEXTJOIN(CHAR(10),TRUE,FILTER('Kế hoạch chèn link (mới)'!$F$3:$F$2944,'Kế hoạch chèn link (mới)'!$B$3:$B$2944=B74))"),"https://techcombank.com/thong-tin/blog/no-nhom-3
https://techcombank.com/thong-tin/blog/co-nen-dung-the-tin-dung-khong
https://techcombank.com/thong-tin/blog/du-no-tin-dung-la-gi
https://techcombank.com/thong-tin/blog/no-the-tin-dung-qua-han
https://techc"&amp;"ombank.com/thong-tin/blog/no-xau
https://techcombank.com/thong-tin/blog/lam-the-tin-dung
https://techcombank.com/thong-tin/blog/nim-la-gi
https://techcombank.com/thong-tin/blog/cach-dang-ky-the-visa
https://techcombank.com/thong-tin/blog/the-tin-dung-phu-"&amp;"la-gi
https://techcombank.com/thong-tin/blog/vay-tien-mat
https://techcombank.com/thong-tin/blog/lai-suat-vay-tin-chap
https://techcombank.com/thong-tin/blog/vay-tin-chap-la-gi
https://techcombank.com/thong-tin/blog/nang-han-muc-tin-dung
https://techcomba"&amp;"nk.com/thong-tin/blog/vay-thau-chi-la-gi
https://techcombank.com/thong-tin/blog/ho-so-vay-tin-chap
https://techcombank.com/thong-tin/blog/phi-rut-tien-mat-the-tin-dung
https://techcombank.com/thong-tin/blog/du-no-la-gi
https://techcombank.com/thong-tin/bl"&amp;"og/kiem-tra-no-xau
https://techcombank.com/thong-tin/blog/qua-han-thanh-toan-the-tin-dung-1-ngay
https://techcombank.com/thong-tin/blog/no-xau-co-lam-the-visa-duoc-khong
https://techcombank.com/thong-tin/blog/thanh-toan-toi-thieu-the-tin-dung
https://tech"&amp;"combank.com/thong-tin/blog/the-tin-dung-bi-khoa
https://techcombank.com/thong-tin/blog/no-xau-mo-the-tin-dung-duoc-khong
https://techcombank.com/thong-tin/blog/no-xau-co-vay-the-chap-duoc-khong
https://techcombank.com/thong-tin/blog/vay-tin-chap-no-xau
ht"&amp;"tps://techcombank.com/thong-tin/blog/lai-suat-qua-han
https://techcombank.com/thong-tin/blog/cic-la-gi
https://techcombank.com/thong-tin/blog/vay-tin-chap-theo-luong
https://techcombank.com/thong-tin/blog/dieu-kien-vay-the-chap
https://techcombank.com/tho"&amp;"ng-tin/blog/vay-the-chap-khong-tra-duoc")</f>
        <v>https://techcombank.com/thong-tin/blog/no-nhom-3
https://techcombank.com/thong-tin/blog/co-nen-dung-the-tin-dung-khong
https://techcombank.com/thong-tin/blog/du-no-tin-dung-la-gi
https://techcombank.com/thong-tin/blog/no-the-tin-dung-qua-han
https://techcombank.com/thong-tin/blog/no-xau
https://techcombank.com/thong-tin/blog/lam-the-tin-dung
https://techcombank.com/thong-tin/blog/nim-la-gi
https://techcombank.com/thong-tin/blog/cach-dang-ky-the-visa
https://techcombank.com/thong-tin/blog/the-tin-dung-phu-la-gi
https://techcombank.com/thong-tin/blog/vay-tien-mat
https://techcombank.com/thong-tin/blog/lai-suat-vay-tin-chap
https://techcombank.com/thong-tin/blog/vay-tin-chap-la-gi
https://techcombank.com/thong-tin/blog/nang-han-muc-tin-dung
https://techcombank.com/thong-tin/blog/vay-thau-chi-la-gi
https://techcombank.com/thong-tin/blog/ho-so-vay-tin-chap
https://techcombank.com/thong-tin/blog/phi-rut-tien-mat-the-tin-dung
https://techcombank.com/thong-tin/blog/du-no-la-gi
https://techcombank.com/thong-tin/blog/kiem-tra-no-xau
https://techcombank.com/thong-tin/blog/qua-han-thanh-toan-the-tin-dung-1-ngay
https://techcombank.com/thong-tin/blog/no-xau-co-lam-the-visa-duoc-khong
https://techcombank.com/thong-tin/blog/thanh-toan-toi-thieu-the-tin-dung
https://techcombank.com/thong-tin/blog/the-tin-dung-bi-khoa
https://techcombank.com/thong-tin/blog/no-xau-mo-the-tin-dung-duoc-khong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v>
      </c>
    </row>
    <row r="75">
      <c r="A75" s="33">
        <v>74.0</v>
      </c>
      <c r="B75" s="34" t="s">
        <v>878</v>
      </c>
      <c r="C75" s="35" t="s">
        <v>1503</v>
      </c>
      <c r="D75" s="36">
        <v>30.0</v>
      </c>
      <c r="E75" s="37">
        <f>COUNTIF('Kế hoạch chèn link (mới)'!$B$3:$B$2944,B75)</f>
        <v>7</v>
      </c>
      <c r="F75" s="38" t="str">
        <f>IFERROR(__xludf.DUMMYFUNCTION("TEXTJOIN(CHAR(10),TRUE,FILTER('Kế hoạch chèn link (mới)'!$F$3:$F$2944,'Kế hoạch chèn link (mới)'!$B$3:$B$2944=B75))"),"https://techcombank.com/thong-tin/blog/vay-the-chap-khong-tra-duoc
https://techcombank.com/thong-tin/blog/lai-suat-qua-han
https://techcombank.com/thong-tin/blog/no-the-tin-dung-qua-han
https://techcombank.com/thong-tin/blog/vay-tin-chap-la-gi
https://tec"&amp;"hcombank.com/thong-tin/blog/vay-200-trieu
https://techcombank.com/thong-tin/blog/vay-20-trieu
https://techcombank.com/thong-tin/blog/cac-hinh-thuc-cho-vay-tieu-dung")</f>
        <v>https://techcombank.com/thong-tin/blog/vay-the-chap-khong-tra-duoc
https://techcombank.com/thong-tin/blog/lai-suat-qua-han
https://techcombank.com/thong-tin/blog/no-the-tin-dung-qua-han
https://techcombank.com/thong-tin/blog/vay-tin-chap-la-gi
https://techcombank.com/thong-tin/blog/vay-200-trieu
https://techcombank.com/thong-tin/blog/vay-20-trieu
https://techcombank.com/thong-tin/blog/cac-hinh-thuc-cho-vay-tieu-dung</v>
      </c>
    </row>
    <row r="76">
      <c r="A76" s="33">
        <v>75.0</v>
      </c>
      <c r="B76" s="34" t="s">
        <v>1435</v>
      </c>
      <c r="C76" s="35" t="s">
        <v>1852</v>
      </c>
      <c r="D76" s="36">
        <v>30.0</v>
      </c>
      <c r="E76" s="37">
        <f>COUNTIF('Kế hoạch chèn link (mới)'!$B$3:$B$2944,B76)</f>
        <v>30</v>
      </c>
      <c r="F76" s="38" t="str">
        <f>IFERROR(__xludf.DUMMYFUNCTION("TEXTJOIN(CHAR(10),TRUE,FILTER('Kế hoạch chèn link (mới)'!$F$3:$F$2944,'Kế hoạch chèn link (mới)'!$B$3:$B$2944=B76))"),"https://techcombank.com/thong-tin/blog/chung-chi-quy
https://techcombank.com/thong-tin/blog/mua-chung-chi-quy
https://techcombank.com/thong-tin/blog/app-theo-doi-chung-chi-quy
https://techcombank.com/thong-tin/blog/chung-chi-quy-va-co-phieu
https://techco"&amp;"mbank.com/thong-tin/blog/gui-tiet-kiem-vang
https://techcombank.com/thong-tin/blog/bang-gia-chung-chi-quy
https://techcombank.com/thong-tin/blog/cach-dau-tu
https://techcombank.com/thong-tin/blog/thoi-gian-khop-lech-chung-chi-quy
https://techcombank.com/t"&amp;"hong-tin/blog/gia-chung-chi-quy-la-gi
https://techcombank.com/thong-tin/blog/lap-ke-hoach-tai-chinh-ca-nhan
https://techcombank.com/thong-tin/blog/lai-suat-chung-chi-quy
https://techcombank.com/thong-tin/blog/6-chiec-lo-tai-chinh-ca-nhan
https://techcomba"&amp;"nk.com/thong-tin/blog/phan-bo-tai-san
https://techcombank.com/thong-tin/blog/phan-mem-lap-ke-hoach-tai-chinh-ca-nhan
https://techcombank.com/thong-tin/blog/gia-tri-tai-san-rong
https://techcombank.com/thong-tin/blog/hu-chi-tieu
https://techcombank.com/tho"&amp;"ng-tin/blog/danh-muc-dau-tu
https://techcombank.com/thong-tin/blog/dau-co-va-dau-tu
https://techcombank.com/thong-tin/blog/dau-tu-tai-chinh-ca-nhan
https://techcombank.com/thong-tin/blog/dau-tu-dai-han
https://techcombank.com/thong-tin/blog/chung-chi-quy-"&amp;"va-chung-khoan
https://techcombank.com/thong-tin/blog/vi-du-ve-ca-nhan-hoa
https://techcombank.com/thong-tin/blog/tien-nhan-roi-nen-lam-gi
https://techcombank.com/thong-tin/blog/dinh-cu-chau-au
https://techcombank.com/thong-tin/blog/dau-tu-ngan-han
https:"&amp;"//techcombank.com/thong-tin/blog/chien-luoc-dau-tu
https://techcombank.com/thong-tin/blog/app-gui-tien-tiet-kiem
https://techcombank.com/thong-tin/blog/cac-chung-chi-quy-o-viet-nam
https://techcombank.com/thong-tin/blog/cam-nang-dinh-cu-my
https://techcom"&amp;"bank.com/thong-tin/blog/co-nen-gui-chung-chi-tien-gui")</f>
        <v>https://techcombank.com/thong-tin/blog/chung-chi-quy
https://techcombank.com/thong-tin/blog/mua-chung-chi-quy
https://techcombank.com/thong-tin/blog/app-theo-doi-chung-chi-quy
https://techcombank.com/thong-tin/blog/chung-chi-quy-va-co-phieu
https://techcombank.com/thong-tin/blog/gui-tiet-kiem-vang
https://techcombank.com/thong-tin/blog/bang-gia-chung-chi-quy
https://techcombank.com/thong-tin/blog/cach-dau-tu
https://techcombank.com/thong-tin/blog/thoi-gian-khop-lech-chung-chi-quy
https://techcombank.com/thong-tin/blog/gia-chung-chi-quy-la-gi
https://techcombank.com/thong-tin/blog/lap-ke-hoach-tai-chinh-ca-nhan
https://techcombank.com/thong-tin/blog/lai-suat-chung-chi-quy
https://techcombank.com/thong-tin/blog/6-chiec-lo-tai-chinh-ca-nhan
https://techcombank.com/thong-tin/blog/phan-bo-tai-san
https://techcombank.com/thong-tin/blog/phan-mem-lap-ke-hoach-tai-chinh-ca-nhan
https://techcombank.com/thong-tin/blog/gia-tri-tai-san-rong
https://techcombank.com/thong-tin/blog/hu-chi-tieu
https://techcombank.com/thong-tin/blog/danh-muc-dau-tu
https://techcombank.com/thong-tin/blog/dau-co-va-dau-tu
https://techcombank.com/thong-tin/blog/dau-tu-tai-chinh-ca-nhan
https://techcombank.com/thong-tin/blog/dau-tu-dai-han
https://techcombank.com/thong-tin/blog/chung-chi-quy-va-chung-khoan
https://techcombank.com/thong-tin/blog/vi-du-ve-ca-nhan-hoa
https://techcombank.com/thong-tin/blog/tien-nhan-roi-nen-lam-gi
https://techcombank.com/thong-tin/blog/dinh-cu-chau-au
https://techcombank.com/thong-tin/blog/dau-tu-ngan-han
https://techcombank.com/thong-tin/blog/chien-luoc-dau-tu
https://techcombank.com/thong-tin/blog/app-gui-tien-tiet-kiem
https://techcombank.com/thong-tin/blog/cac-chung-chi-quy-o-viet-nam
https://techcombank.com/thong-tin/blog/cam-nang-dinh-cu-my
https://techcombank.com/thong-tin/blog/co-nen-gui-chung-chi-tien-gui</v>
      </c>
    </row>
  </sheetData>
  <autoFilter ref="$A$1:$F$76">
    <sortState ref="A1:F76">
      <sortCondition descending="1" ref="D1:D76"/>
    </sortState>
  </autoFilter>
  <conditionalFormatting sqref="E2:E76">
    <cfRule type="expression" dxfId="0" priority="1" stopIfTrue="1">
      <formula>$E2&lt;&gt;$D2</formula>
    </cfRule>
  </conditionalFormatting>
  <conditionalFormatting sqref="E2:E76">
    <cfRule type="expression" dxfId="1" priority="2" stopIfTrue="1">
      <formula>$E2=$D2</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39" t="s">
        <v>12</v>
      </c>
      <c r="B1" s="10" t="s">
        <v>1878</v>
      </c>
      <c r="C1" s="39" t="s">
        <v>1879</v>
      </c>
      <c r="D1" s="39" t="s">
        <v>1880</v>
      </c>
      <c r="E1" s="10" t="s">
        <v>43</v>
      </c>
      <c r="F1" s="10" t="s">
        <v>1881</v>
      </c>
    </row>
    <row r="2">
      <c r="A2" s="39">
        <v>1.0</v>
      </c>
      <c r="B2" s="40" t="s">
        <v>72</v>
      </c>
      <c r="C2" s="39">
        <v>0.0</v>
      </c>
      <c r="D2" s="39">
        <v>0.0</v>
      </c>
    </row>
    <row r="3">
      <c r="A3" s="39">
        <v>2.0</v>
      </c>
      <c r="B3" s="40" t="s">
        <v>198</v>
      </c>
      <c r="C3" s="39">
        <v>0.0</v>
      </c>
      <c r="D3" s="39">
        <v>0.0</v>
      </c>
    </row>
    <row r="4">
      <c r="A4" s="39">
        <v>3.0</v>
      </c>
      <c r="B4" s="40" t="s">
        <v>122</v>
      </c>
      <c r="C4" s="39">
        <v>0.0</v>
      </c>
      <c r="D4" s="39">
        <v>0.0</v>
      </c>
    </row>
    <row r="5">
      <c r="A5" s="39">
        <v>4.0</v>
      </c>
      <c r="B5" s="40" t="s">
        <v>80</v>
      </c>
      <c r="C5" s="39">
        <v>0.0</v>
      </c>
      <c r="D5" s="39">
        <v>0.0</v>
      </c>
    </row>
    <row r="6">
      <c r="A6" s="39">
        <v>5.0</v>
      </c>
      <c r="B6" s="40" t="s">
        <v>461</v>
      </c>
      <c r="C6" s="39">
        <v>0.0</v>
      </c>
      <c r="D6" s="39">
        <v>0.0</v>
      </c>
    </row>
    <row r="7">
      <c r="A7" s="39">
        <v>6.0</v>
      </c>
      <c r="B7" s="40" t="s">
        <v>236</v>
      </c>
      <c r="C7" s="39">
        <v>0.0</v>
      </c>
      <c r="D7" s="39">
        <v>0.0</v>
      </c>
    </row>
    <row r="8">
      <c r="A8" s="39">
        <v>7.0</v>
      </c>
      <c r="B8" s="40" t="s">
        <v>658</v>
      </c>
      <c r="C8" s="39">
        <v>0.0</v>
      </c>
      <c r="D8" s="39">
        <v>0.0</v>
      </c>
    </row>
    <row r="9">
      <c r="A9" s="39">
        <v>8.0</v>
      </c>
      <c r="B9" s="40" t="s">
        <v>429</v>
      </c>
      <c r="C9" s="39">
        <v>0.0</v>
      </c>
      <c r="D9" s="39">
        <v>0.0</v>
      </c>
    </row>
    <row r="10">
      <c r="A10" s="39">
        <v>9.0</v>
      </c>
      <c r="B10" s="40" t="s">
        <v>127</v>
      </c>
      <c r="C10" s="39">
        <v>0.0</v>
      </c>
      <c r="D10" s="39">
        <v>0.0</v>
      </c>
    </row>
    <row r="11">
      <c r="A11" s="39">
        <v>10.0</v>
      </c>
      <c r="B11" s="40" t="s">
        <v>914</v>
      </c>
      <c r="C11" s="39">
        <v>0.0</v>
      </c>
      <c r="D11" s="39">
        <v>0.0</v>
      </c>
    </row>
    <row r="12">
      <c r="A12" s="39">
        <v>11.0</v>
      </c>
      <c r="B12" s="40" t="s">
        <v>958</v>
      </c>
      <c r="C12" s="39">
        <v>0.0</v>
      </c>
      <c r="D12" s="39">
        <v>0.0</v>
      </c>
    </row>
    <row r="13">
      <c r="A13" s="39">
        <v>12.0</v>
      </c>
      <c r="B13" s="40" t="s">
        <v>417</v>
      </c>
      <c r="C13" s="39">
        <v>0.0</v>
      </c>
      <c r="D13" s="39">
        <v>0.0</v>
      </c>
    </row>
    <row r="14">
      <c r="A14" s="39">
        <v>13.0</v>
      </c>
      <c r="B14" s="40" t="s">
        <v>1127</v>
      </c>
      <c r="C14" s="39">
        <v>0.0</v>
      </c>
      <c r="D14" s="39">
        <v>0.0</v>
      </c>
    </row>
    <row r="15">
      <c r="A15" s="39">
        <v>14.0</v>
      </c>
      <c r="B15" s="40" t="s">
        <v>1087</v>
      </c>
      <c r="C15" s="39">
        <v>0.0</v>
      </c>
      <c r="D15" s="39">
        <v>0.0</v>
      </c>
    </row>
    <row r="16">
      <c r="A16" s="39">
        <v>15.0</v>
      </c>
      <c r="B16" s="40" t="s">
        <v>1241</v>
      </c>
      <c r="C16" s="39">
        <v>0.0</v>
      </c>
      <c r="D16" s="39">
        <v>0.0</v>
      </c>
    </row>
    <row r="17">
      <c r="A17" s="39">
        <v>16.0</v>
      </c>
      <c r="B17" s="40" t="s">
        <v>1323</v>
      </c>
      <c r="C17" s="39">
        <v>0.0</v>
      </c>
      <c r="D17" s="39">
        <v>0.0</v>
      </c>
    </row>
    <row r="18">
      <c r="A18" s="39">
        <v>17.0</v>
      </c>
      <c r="B18" s="40" t="s">
        <v>1188</v>
      </c>
      <c r="C18" s="39">
        <v>1.0</v>
      </c>
      <c r="D18" s="39">
        <v>1.0</v>
      </c>
      <c r="E18" s="10" t="s">
        <v>1921</v>
      </c>
      <c r="F18" s="40" t="s">
        <v>1087</v>
      </c>
    </row>
    <row r="19">
      <c r="A19" s="39">
        <v>18.0</v>
      </c>
      <c r="B19" s="40" t="s">
        <v>1190</v>
      </c>
      <c r="C19" s="39">
        <v>0.0</v>
      </c>
      <c r="D19" s="39">
        <v>0.0</v>
      </c>
    </row>
    <row r="20">
      <c r="A20" s="39">
        <v>19.0</v>
      </c>
      <c r="B20" s="40" t="s">
        <v>86</v>
      </c>
      <c r="C20" s="39">
        <v>0.0</v>
      </c>
      <c r="D20" s="39">
        <v>0.0</v>
      </c>
    </row>
    <row r="21">
      <c r="A21" s="39">
        <v>20.0</v>
      </c>
      <c r="B21" s="40" t="s">
        <v>1347</v>
      </c>
      <c r="C21" s="39">
        <v>0.0</v>
      </c>
      <c r="D21" s="39">
        <v>0.0</v>
      </c>
    </row>
    <row r="22">
      <c r="A22" s="39">
        <v>21.0</v>
      </c>
      <c r="B22" s="40" t="s">
        <v>1304</v>
      </c>
      <c r="C22" s="39">
        <v>0.0</v>
      </c>
      <c r="D22" s="39">
        <v>0.0</v>
      </c>
    </row>
    <row r="23">
      <c r="A23" s="39">
        <v>22.0</v>
      </c>
      <c r="B23" s="40" t="s">
        <v>403</v>
      </c>
      <c r="C23" s="39">
        <v>0.0</v>
      </c>
      <c r="D23" s="39">
        <v>0.0</v>
      </c>
    </row>
    <row r="24">
      <c r="A24" s="39">
        <v>23.0</v>
      </c>
      <c r="B24" s="40" t="s">
        <v>1359</v>
      </c>
      <c r="C24" s="39">
        <v>0.0</v>
      </c>
      <c r="D24" s="39">
        <v>0.0</v>
      </c>
    </row>
    <row r="25">
      <c r="A25" s="39">
        <v>24.0</v>
      </c>
      <c r="B25" s="40" t="s">
        <v>551</v>
      </c>
      <c r="C25" s="39">
        <v>0.0</v>
      </c>
      <c r="D25" s="39">
        <v>0.0</v>
      </c>
    </row>
    <row r="26">
      <c r="A26" s="39">
        <v>25.0</v>
      </c>
      <c r="B26" s="40" t="s">
        <v>1079</v>
      </c>
      <c r="C26" s="39">
        <v>0.0</v>
      </c>
      <c r="D26" s="39">
        <v>0.0</v>
      </c>
    </row>
    <row r="27">
      <c r="A27" s="39">
        <v>26.0</v>
      </c>
      <c r="B27" s="40" t="s">
        <v>1314</v>
      </c>
      <c r="C27" s="39">
        <v>0.0</v>
      </c>
      <c r="D27" s="39">
        <v>0.0</v>
      </c>
    </row>
    <row r="28">
      <c r="A28" s="39">
        <v>27.0</v>
      </c>
      <c r="B28" s="40" t="s">
        <v>1369</v>
      </c>
      <c r="C28" s="39">
        <v>0.0</v>
      </c>
      <c r="D28" s="39">
        <v>0.0</v>
      </c>
    </row>
    <row r="29">
      <c r="A29" s="39">
        <v>28.0</v>
      </c>
      <c r="B29" s="40" t="s">
        <v>283</v>
      </c>
      <c r="C29" s="39">
        <v>0.0</v>
      </c>
      <c r="D29" s="39">
        <v>0.0</v>
      </c>
    </row>
    <row r="30">
      <c r="A30" s="39">
        <v>29.0</v>
      </c>
      <c r="B30" s="40" t="s">
        <v>494</v>
      </c>
      <c r="C30" s="39">
        <v>0.0</v>
      </c>
      <c r="D30" s="39">
        <v>0.0</v>
      </c>
    </row>
    <row r="31">
      <c r="A31" s="39">
        <v>30.0</v>
      </c>
      <c r="B31" s="40" t="s">
        <v>861</v>
      </c>
      <c r="C31" s="39">
        <v>0.0</v>
      </c>
      <c r="D31" s="39">
        <v>0.0</v>
      </c>
    </row>
    <row r="32">
      <c r="A32" s="39">
        <v>31.0</v>
      </c>
      <c r="B32" s="40" t="s">
        <v>1595</v>
      </c>
      <c r="C32" s="39">
        <v>0.0</v>
      </c>
      <c r="D32" s="39">
        <v>0.0</v>
      </c>
    </row>
    <row r="33">
      <c r="A33" s="39">
        <v>32.0</v>
      </c>
      <c r="B33" s="40" t="s">
        <v>990</v>
      </c>
      <c r="C33" s="39">
        <v>0.0</v>
      </c>
      <c r="D33" s="39">
        <v>0.0</v>
      </c>
    </row>
    <row r="34">
      <c r="A34" s="39">
        <v>33.0</v>
      </c>
      <c r="B34" s="40" t="s">
        <v>880</v>
      </c>
      <c r="C34" s="39">
        <v>0.0</v>
      </c>
      <c r="D34" s="39">
        <v>0.0</v>
      </c>
    </row>
    <row r="35">
      <c r="A35" s="39">
        <v>34.0</v>
      </c>
      <c r="B35" s="40" t="s">
        <v>1225</v>
      </c>
      <c r="C35" s="39">
        <v>0.0</v>
      </c>
      <c r="D35" s="39">
        <v>0.0</v>
      </c>
    </row>
    <row r="36">
      <c r="A36" s="39">
        <v>35.0</v>
      </c>
      <c r="B36" s="40" t="s">
        <v>51</v>
      </c>
      <c r="C36" s="39">
        <v>0.0</v>
      </c>
      <c r="D36" s="39">
        <v>0.0</v>
      </c>
    </row>
    <row r="37">
      <c r="A37" s="39">
        <v>36.0</v>
      </c>
      <c r="B37" s="40" t="s">
        <v>1126</v>
      </c>
      <c r="C37" s="39">
        <v>0.0</v>
      </c>
      <c r="D37" s="39">
        <v>0.0</v>
      </c>
    </row>
    <row r="38">
      <c r="A38" s="39">
        <v>37.0</v>
      </c>
      <c r="B38" s="40" t="s">
        <v>855</v>
      </c>
      <c r="C38" s="39">
        <v>0.0</v>
      </c>
      <c r="D38" s="39">
        <v>0.0</v>
      </c>
    </row>
    <row r="39">
      <c r="A39" s="39">
        <v>38.0</v>
      </c>
      <c r="B39" s="40" t="s">
        <v>95</v>
      </c>
      <c r="C39" s="39">
        <v>0.0</v>
      </c>
      <c r="D39" s="39">
        <v>0.0</v>
      </c>
    </row>
    <row r="40">
      <c r="A40" s="39">
        <v>39.0</v>
      </c>
      <c r="B40" s="40" t="s">
        <v>173</v>
      </c>
      <c r="C40" s="39">
        <v>0.0</v>
      </c>
      <c r="D40" s="39">
        <v>0.0</v>
      </c>
    </row>
    <row r="41">
      <c r="A41" s="39">
        <v>40.0</v>
      </c>
      <c r="B41" s="40" t="s">
        <v>783</v>
      </c>
      <c r="C41" s="39">
        <v>0.0</v>
      </c>
      <c r="D41" s="39">
        <v>0.0</v>
      </c>
    </row>
    <row r="42">
      <c r="A42" s="39">
        <v>41.0</v>
      </c>
      <c r="B42" s="40" t="s">
        <v>1115</v>
      </c>
      <c r="C42" s="39">
        <v>0.0</v>
      </c>
      <c r="D42" s="39">
        <v>0.0</v>
      </c>
    </row>
    <row r="43">
      <c r="A43" s="39">
        <v>42.0</v>
      </c>
      <c r="B43" s="40" t="s">
        <v>340</v>
      </c>
      <c r="C43" s="39">
        <v>0.0</v>
      </c>
      <c r="D43" s="39">
        <v>0.0</v>
      </c>
    </row>
    <row r="44">
      <c r="A44" s="39">
        <v>43.0</v>
      </c>
      <c r="B44" s="40" t="s">
        <v>143</v>
      </c>
      <c r="C44" s="39">
        <v>0.0</v>
      </c>
      <c r="D44" s="39">
        <v>0.0</v>
      </c>
    </row>
    <row r="45">
      <c r="A45" s="39">
        <v>44.0</v>
      </c>
      <c r="B45" s="40" t="s">
        <v>779</v>
      </c>
      <c r="C45" s="39">
        <v>0.0</v>
      </c>
      <c r="D45" s="39">
        <v>0.0</v>
      </c>
    </row>
    <row r="46">
      <c r="A46" s="39">
        <v>45.0</v>
      </c>
      <c r="B46" s="40" t="s">
        <v>1130</v>
      </c>
      <c r="C46" s="39">
        <v>0.0</v>
      </c>
      <c r="D46" s="39">
        <v>0.0</v>
      </c>
    </row>
    <row r="47">
      <c r="A47" s="39">
        <v>46.0</v>
      </c>
      <c r="B47" s="40" t="s">
        <v>576</v>
      </c>
      <c r="C47" s="39">
        <v>0.0</v>
      </c>
      <c r="D47" s="39">
        <v>0.0</v>
      </c>
    </row>
    <row r="48">
      <c r="A48" s="39">
        <v>47.0</v>
      </c>
      <c r="B48" s="40" t="s">
        <v>337</v>
      </c>
      <c r="C48" s="39">
        <v>0.0</v>
      </c>
      <c r="D48" s="39">
        <v>0.0</v>
      </c>
    </row>
    <row r="49">
      <c r="A49" s="39">
        <v>48.0</v>
      </c>
      <c r="B49" s="40" t="s">
        <v>1128</v>
      </c>
      <c r="C49" s="39">
        <v>0.0</v>
      </c>
      <c r="D49" s="39">
        <v>0.0</v>
      </c>
    </row>
    <row r="50">
      <c r="A50" s="39">
        <v>49.0</v>
      </c>
      <c r="B50" s="40" t="s">
        <v>897</v>
      </c>
      <c r="C50" s="39">
        <v>0.0</v>
      </c>
      <c r="D50" s="39">
        <v>0.0</v>
      </c>
    </row>
    <row r="51">
      <c r="A51" s="39">
        <v>50.0</v>
      </c>
      <c r="B51" s="40" t="s">
        <v>165</v>
      </c>
      <c r="C51" s="39">
        <v>0.0</v>
      </c>
      <c r="D51" s="39">
        <v>0.0</v>
      </c>
    </row>
    <row r="52">
      <c r="A52" s="39">
        <v>51.0</v>
      </c>
      <c r="B52" s="40" t="s">
        <v>1770</v>
      </c>
      <c r="C52" s="39">
        <v>0.0</v>
      </c>
      <c r="D52" s="39">
        <v>0.0</v>
      </c>
    </row>
    <row r="53">
      <c r="A53" s="39">
        <v>52.0</v>
      </c>
      <c r="B53" s="40" t="s">
        <v>610</v>
      </c>
      <c r="C53" s="39">
        <v>0.0</v>
      </c>
      <c r="D53" s="39">
        <v>0.0</v>
      </c>
    </row>
    <row r="54">
      <c r="A54" s="39">
        <v>53.0</v>
      </c>
      <c r="B54" s="40" t="s">
        <v>1778</v>
      </c>
      <c r="C54" s="39">
        <v>0.0</v>
      </c>
      <c r="D54" s="39">
        <v>0.0</v>
      </c>
    </row>
    <row r="55">
      <c r="A55" s="39">
        <v>54.0</v>
      </c>
      <c r="B55" s="40" t="s">
        <v>1214</v>
      </c>
      <c r="C55" s="39">
        <v>0.0</v>
      </c>
      <c r="D55" s="39">
        <v>0.0</v>
      </c>
    </row>
    <row r="56">
      <c r="A56" s="39">
        <v>55.0</v>
      </c>
      <c r="B56" s="40" t="s">
        <v>1</v>
      </c>
      <c r="C56" s="39">
        <v>0.0</v>
      </c>
      <c r="D56" s="39">
        <v>0.0</v>
      </c>
    </row>
    <row r="57">
      <c r="A57" s="39">
        <v>56.0</v>
      </c>
      <c r="B57" s="40" t="s">
        <v>392</v>
      </c>
      <c r="C57" s="39">
        <v>0.0</v>
      </c>
      <c r="D57" s="39">
        <v>0.0</v>
      </c>
    </row>
    <row r="58">
      <c r="A58" s="39">
        <v>57.0</v>
      </c>
      <c r="B58" s="40" t="s">
        <v>367</v>
      </c>
      <c r="C58" s="39">
        <v>0.0</v>
      </c>
      <c r="D58" s="39">
        <v>0.0</v>
      </c>
    </row>
    <row r="59">
      <c r="A59" s="39">
        <v>58.0</v>
      </c>
      <c r="B59" s="40" t="s">
        <v>109</v>
      </c>
      <c r="C59" s="39">
        <v>0.0</v>
      </c>
      <c r="D59" s="39">
        <v>0.0</v>
      </c>
    </row>
    <row r="60">
      <c r="A60" s="39">
        <v>59.0</v>
      </c>
      <c r="B60" s="40" t="s">
        <v>969</v>
      </c>
      <c r="C60" s="39">
        <v>0.0</v>
      </c>
      <c r="D60" s="39">
        <v>0.0</v>
      </c>
    </row>
    <row r="61">
      <c r="A61" s="39">
        <v>60.0</v>
      </c>
      <c r="B61" s="40" t="s">
        <v>270</v>
      </c>
      <c r="C61" s="39">
        <v>0.0</v>
      </c>
      <c r="D61" s="39">
        <v>0.0</v>
      </c>
    </row>
    <row r="62">
      <c r="A62" s="39">
        <v>61.0</v>
      </c>
      <c r="B62" s="40" t="s">
        <v>90</v>
      </c>
      <c r="C62" s="39">
        <v>0.0</v>
      </c>
      <c r="D62" s="39">
        <v>0.0</v>
      </c>
    </row>
    <row r="63">
      <c r="A63" s="39">
        <v>62.0</v>
      </c>
      <c r="B63" s="40" t="s">
        <v>707</v>
      </c>
      <c r="C63" s="39">
        <v>0.0</v>
      </c>
      <c r="D63" s="39">
        <v>0.0</v>
      </c>
    </row>
    <row r="64">
      <c r="A64" s="39">
        <v>63.0</v>
      </c>
      <c r="B64" s="40" t="s">
        <v>773</v>
      </c>
      <c r="C64" s="39">
        <v>0.0</v>
      </c>
      <c r="D64" s="39">
        <v>0.0</v>
      </c>
    </row>
    <row r="65">
      <c r="A65" s="39">
        <v>64.0</v>
      </c>
      <c r="B65" s="40" t="s">
        <v>980</v>
      </c>
      <c r="C65" s="39">
        <v>0.0</v>
      </c>
      <c r="D65" s="39">
        <v>0.0</v>
      </c>
    </row>
    <row r="66">
      <c r="A66" s="39">
        <v>65.0</v>
      </c>
      <c r="B66" s="40" t="s">
        <v>1019</v>
      </c>
      <c r="C66" s="39">
        <v>0.0</v>
      </c>
      <c r="D66" s="39">
        <v>0.0</v>
      </c>
    </row>
    <row r="67">
      <c r="A67" s="39">
        <v>66.0</v>
      </c>
      <c r="B67" s="40" t="s">
        <v>1531</v>
      </c>
      <c r="C67" s="39">
        <v>0.0</v>
      </c>
      <c r="D67" s="39">
        <v>0.0</v>
      </c>
    </row>
    <row r="68">
      <c r="A68" s="39">
        <v>67.0</v>
      </c>
      <c r="B68" s="40" t="s">
        <v>1540</v>
      </c>
      <c r="C68" s="39">
        <v>0.0</v>
      </c>
      <c r="D68" s="39">
        <v>0.0</v>
      </c>
    </row>
    <row r="69">
      <c r="A69" s="39">
        <v>68.0</v>
      </c>
      <c r="B69" s="40" t="s">
        <v>411</v>
      </c>
      <c r="C69" s="39">
        <v>0.0</v>
      </c>
      <c r="D69" s="39">
        <v>0.0</v>
      </c>
    </row>
    <row r="70">
      <c r="A70" s="39">
        <v>69.0</v>
      </c>
      <c r="B70" s="40" t="s">
        <v>276</v>
      </c>
      <c r="C70" s="39">
        <v>0.0</v>
      </c>
      <c r="D70" s="39">
        <v>0.0</v>
      </c>
    </row>
    <row r="71">
      <c r="A71" s="39">
        <v>70.0</v>
      </c>
      <c r="B71" s="40" t="s">
        <v>918</v>
      </c>
      <c r="C71" s="39">
        <v>0.0</v>
      </c>
      <c r="D71" s="39">
        <v>0.0</v>
      </c>
    </row>
    <row r="72">
      <c r="A72" s="39">
        <v>71.0</v>
      </c>
      <c r="B72" s="40" t="s">
        <v>306</v>
      </c>
      <c r="C72" s="39">
        <v>0.0</v>
      </c>
      <c r="D72" s="39">
        <v>0.0</v>
      </c>
    </row>
    <row r="73">
      <c r="A73" s="39">
        <v>72.0</v>
      </c>
      <c r="B73" s="40" t="s">
        <v>117</v>
      </c>
      <c r="C73" s="39">
        <v>0.0</v>
      </c>
      <c r="D73" s="39">
        <v>0.0</v>
      </c>
    </row>
    <row r="74">
      <c r="A74" s="39">
        <v>73.0</v>
      </c>
      <c r="B74" s="40" t="s">
        <v>722</v>
      </c>
      <c r="C74" s="39">
        <v>0.0</v>
      </c>
      <c r="D74" s="39">
        <v>0.0</v>
      </c>
    </row>
    <row r="75">
      <c r="A75" s="39">
        <v>74.0</v>
      </c>
      <c r="B75" s="40" t="s">
        <v>878</v>
      </c>
      <c r="C75" s="39">
        <v>0.0</v>
      </c>
      <c r="D75" s="39">
        <v>0.0</v>
      </c>
    </row>
    <row r="76">
      <c r="A76" s="39">
        <v>75.0</v>
      </c>
      <c r="B76" s="40" t="s">
        <v>1435</v>
      </c>
      <c r="C76" s="39">
        <v>0.0</v>
      </c>
      <c r="D76" s="39">
        <v>0.0</v>
      </c>
    </row>
    <row r="77">
      <c r="A77" s="44"/>
      <c r="C77" s="44"/>
      <c r="D77" s="44"/>
    </row>
    <row r="78">
      <c r="A78" s="44"/>
      <c r="B78" s="10" t="s">
        <v>2122</v>
      </c>
      <c r="C78" s="39">
        <v>1.0</v>
      </c>
      <c r="D78" s="44"/>
    </row>
    <row r="79">
      <c r="A79" s="44"/>
      <c r="B79" s="10" t="s">
        <v>2124</v>
      </c>
      <c r="C79" s="39">
        <v>74.0</v>
      </c>
      <c r="D79" s="44"/>
    </row>
    <row r="80">
      <c r="A80" s="44"/>
      <c r="B80" s="10" t="s">
        <v>2125</v>
      </c>
      <c r="C80" s="39">
        <v>1.0</v>
      </c>
      <c r="D80" s="44"/>
    </row>
    <row r="81">
      <c r="A81" s="44"/>
      <c r="C81" s="44"/>
      <c r="D81" s="44"/>
    </row>
    <row r="82">
      <c r="A82" s="44"/>
      <c r="C82" s="44"/>
      <c r="D82" s="44"/>
    </row>
    <row r="83">
      <c r="A83" s="44"/>
      <c r="C83" s="44"/>
      <c r="D83" s="44"/>
    </row>
    <row r="84">
      <c r="A84" s="44"/>
      <c r="C84" s="44"/>
      <c r="D84" s="44"/>
    </row>
    <row r="85">
      <c r="A85" s="44"/>
      <c r="C85" s="44"/>
      <c r="D85" s="44"/>
    </row>
    <row r="86">
      <c r="A86" s="44"/>
      <c r="C86" s="44"/>
      <c r="D86" s="44"/>
    </row>
    <row r="87">
      <c r="A87" s="44"/>
      <c r="C87" s="44"/>
      <c r="D87" s="44"/>
    </row>
    <row r="88">
      <c r="A88" s="44"/>
      <c r="C88" s="44"/>
      <c r="D88" s="44"/>
    </row>
    <row r="89">
      <c r="A89" s="44"/>
      <c r="C89" s="44"/>
      <c r="D89" s="44"/>
    </row>
    <row r="90">
      <c r="A90" s="44"/>
      <c r="C90" s="44"/>
      <c r="D90" s="44"/>
    </row>
    <row r="91">
      <c r="A91" s="44"/>
      <c r="C91" s="44"/>
      <c r="D91" s="44"/>
    </row>
    <row r="92">
      <c r="A92" s="44"/>
      <c r="C92" s="44"/>
      <c r="D92" s="44"/>
    </row>
    <row r="93">
      <c r="A93" s="44"/>
      <c r="C93" s="44"/>
      <c r="D93" s="44"/>
    </row>
    <row r="94">
      <c r="A94" s="44"/>
      <c r="C94" s="44"/>
      <c r="D94" s="44"/>
    </row>
    <row r="95">
      <c r="A95" s="44"/>
      <c r="C95" s="44"/>
      <c r="D95" s="44"/>
    </row>
    <row r="96">
      <c r="A96" s="44"/>
      <c r="C96" s="44"/>
      <c r="D96" s="44"/>
    </row>
    <row r="97">
      <c r="A97" s="44"/>
      <c r="C97" s="44"/>
      <c r="D97" s="44"/>
    </row>
    <row r="98">
      <c r="A98" s="44"/>
      <c r="C98" s="44"/>
      <c r="D98" s="44"/>
    </row>
    <row r="99">
      <c r="A99" s="44"/>
      <c r="C99" s="44"/>
      <c r="D99" s="44"/>
    </row>
    <row r="100">
      <c r="A100" s="44"/>
      <c r="C100" s="44"/>
      <c r="D100" s="44"/>
    </row>
    <row r="101">
      <c r="A101" s="44"/>
      <c r="C101" s="44"/>
      <c r="D101" s="44"/>
    </row>
    <row r="102">
      <c r="A102" s="44"/>
      <c r="C102" s="44"/>
      <c r="D102" s="44"/>
    </row>
    <row r="103">
      <c r="A103" s="44"/>
      <c r="C103" s="44"/>
      <c r="D103" s="44"/>
    </row>
    <row r="104">
      <c r="A104" s="44"/>
      <c r="C104" s="44"/>
      <c r="D104" s="44"/>
    </row>
    <row r="105">
      <c r="A105" s="44"/>
      <c r="C105" s="44"/>
      <c r="D105" s="44"/>
    </row>
    <row r="106">
      <c r="A106" s="44"/>
      <c r="C106" s="44"/>
      <c r="D106" s="44"/>
    </row>
    <row r="107">
      <c r="A107" s="44"/>
      <c r="C107" s="44"/>
      <c r="D107" s="44"/>
    </row>
    <row r="108">
      <c r="A108" s="44"/>
      <c r="C108" s="44"/>
      <c r="D108" s="44"/>
    </row>
    <row r="109">
      <c r="A109" s="44"/>
      <c r="C109" s="44"/>
      <c r="D109" s="44"/>
    </row>
    <row r="110">
      <c r="A110" s="44"/>
      <c r="C110" s="44"/>
      <c r="D110" s="44"/>
    </row>
    <row r="111">
      <c r="A111" s="44"/>
      <c r="C111" s="44"/>
      <c r="D111" s="44"/>
    </row>
    <row r="112">
      <c r="A112" s="44"/>
      <c r="C112" s="44"/>
      <c r="D112" s="44"/>
    </row>
    <row r="113">
      <c r="A113" s="44"/>
      <c r="C113" s="44"/>
      <c r="D113" s="44"/>
    </row>
    <row r="114">
      <c r="A114" s="44"/>
      <c r="C114" s="44"/>
      <c r="D114" s="44"/>
    </row>
    <row r="115">
      <c r="A115" s="44"/>
      <c r="C115" s="44"/>
      <c r="D115" s="44"/>
    </row>
    <row r="116">
      <c r="A116" s="44"/>
      <c r="C116" s="44"/>
      <c r="D116" s="44"/>
    </row>
    <row r="117">
      <c r="A117" s="44"/>
      <c r="C117" s="44"/>
      <c r="D117" s="44"/>
    </row>
    <row r="118">
      <c r="A118" s="44"/>
      <c r="C118" s="44"/>
      <c r="D118" s="44"/>
    </row>
    <row r="119">
      <c r="A119" s="44"/>
      <c r="C119" s="44"/>
      <c r="D119" s="44"/>
    </row>
    <row r="120">
      <c r="A120" s="44"/>
      <c r="C120" s="44"/>
      <c r="D120" s="44"/>
    </row>
    <row r="121">
      <c r="A121" s="44"/>
      <c r="C121" s="44"/>
      <c r="D121" s="44"/>
    </row>
    <row r="122">
      <c r="A122" s="44"/>
      <c r="C122" s="44"/>
      <c r="D122" s="44"/>
    </row>
    <row r="123">
      <c r="A123" s="44"/>
      <c r="C123" s="44"/>
      <c r="D123" s="44"/>
    </row>
    <row r="124">
      <c r="A124" s="44"/>
      <c r="C124" s="44"/>
      <c r="D124" s="44"/>
    </row>
    <row r="125">
      <c r="A125" s="44"/>
      <c r="C125" s="44"/>
      <c r="D125" s="44"/>
    </row>
    <row r="126">
      <c r="A126" s="44"/>
      <c r="C126" s="44"/>
      <c r="D126" s="44"/>
    </row>
    <row r="127">
      <c r="A127" s="44"/>
      <c r="C127" s="44"/>
      <c r="D127" s="44"/>
    </row>
    <row r="128">
      <c r="A128" s="44"/>
      <c r="C128" s="44"/>
      <c r="D128" s="44"/>
    </row>
    <row r="129">
      <c r="A129" s="44"/>
      <c r="C129" s="44"/>
      <c r="D129" s="44"/>
    </row>
    <row r="130">
      <c r="A130" s="44"/>
      <c r="C130" s="44"/>
      <c r="D130" s="44"/>
    </row>
    <row r="131">
      <c r="A131" s="44"/>
      <c r="C131" s="44"/>
      <c r="D131" s="44"/>
    </row>
    <row r="132">
      <c r="A132" s="44"/>
      <c r="C132" s="44"/>
      <c r="D132" s="44"/>
    </row>
    <row r="133">
      <c r="A133" s="44"/>
      <c r="C133" s="44"/>
      <c r="D133" s="44"/>
    </row>
    <row r="134">
      <c r="A134" s="44"/>
      <c r="C134" s="44"/>
      <c r="D134" s="44"/>
    </row>
    <row r="135">
      <c r="A135" s="44"/>
      <c r="C135" s="44"/>
      <c r="D135" s="44"/>
    </row>
    <row r="136">
      <c r="A136" s="44"/>
      <c r="C136" s="44"/>
      <c r="D136" s="44"/>
    </row>
    <row r="137">
      <c r="A137" s="44"/>
      <c r="C137" s="44"/>
      <c r="D137" s="44"/>
    </row>
    <row r="138">
      <c r="A138" s="44"/>
      <c r="C138" s="44"/>
      <c r="D138" s="44"/>
    </row>
    <row r="139">
      <c r="A139" s="44"/>
      <c r="C139" s="44"/>
      <c r="D139" s="44"/>
    </row>
    <row r="140">
      <c r="A140" s="44"/>
      <c r="C140" s="44"/>
      <c r="D140" s="44"/>
    </row>
    <row r="141">
      <c r="A141" s="44"/>
      <c r="C141" s="44"/>
      <c r="D141" s="44"/>
    </row>
    <row r="142">
      <c r="A142" s="44"/>
      <c r="C142" s="44"/>
      <c r="D142" s="44"/>
    </row>
    <row r="143">
      <c r="A143" s="44"/>
      <c r="C143" s="44"/>
      <c r="D143" s="44"/>
    </row>
    <row r="144">
      <c r="A144" s="44"/>
      <c r="C144" s="44"/>
      <c r="D144" s="44"/>
    </row>
    <row r="145">
      <c r="A145" s="44"/>
      <c r="C145" s="44"/>
      <c r="D145" s="44"/>
    </row>
    <row r="146">
      <c r="A146" s="44"/>
      <c r="C146" s="44"/>
      <c r="D146" s="44"/>
    </row>
    <row r="147">
      <c r="A147" s="44"/>
      <c r="C147" s="44"/>
      <c r="D147" s="44"/>
    </row>
    <row r="148">
      <c r="A148" s="44"/>
      <c r="C148" s="44"/>
      <c r="D148" s="44"/>
    </row>
    <row r="149">
      <c r="A149" s="44"/>
      <c r="C149" s="44"/>
      <c r="D149" s="44"/>
    </row>
    <row r="150">
      <c r="A150" s="44"/>
      <c r="C150" s="44"/>
      <c r="D150" s="44"/>
    </row>
    <row r="151">
      <c r="A151" s="44"/>
      <c r="C151" s="44"/>
      <c r="D151" s="44"/>
    </row>
    <row r="152">
      <c r="A152" s="44"/>
      <c r="C152" s="44"/>
      <c r="D152" s="44"/>
    </row>
    <row r="153">
      <c r="A153" s="44"/>
      <c r="C153" s="44"/>
      <c r="D153" s="44"/>
    </row>
    <row r="154">
      <c r="A154" s="44"/>
      <c r="C154" s="44"/>
      <c r="D154" s="44"/>
    </row>
    <row r="155">
      <c r="A155" s="44"/>
      <c r="C155" s="44"/>
      <c r="D155" s="44"/>
    </row>
    <row r="156">
      <c r="A156" s="44"/>
      <c r="C156" s="44"/>
      <c r="D156" s="44"/>
    </row>
    <row r="157">
      <c r="A157" s="44"/>
      <c r="C157" s="44"/>
      <c r="D157" s="44"/>
    </row>
    <row r="158">
      <c r="A158" s="44"/>
      <c r="C158" s="44"/>
      <c r="D158" s="44"/>
    </row>
    <row r="159">
      <c r="A159" s="44"/>
      <c r="C159" s="44"/>
      <c r="D159" s="44"/>
    </row>
    <row r="160">
      <c r="A160" s="44"/>
      <c r="C160" s="44"/>
      <c r="D160" s="44"/>
    </row>
    <row r="161">
      <c r="A161" s="44"/>
      <c r="C161" s="44"/>
      <c r="D161" s="44"/>
    </row>
    <row r="162">
      <c r="A162" s="44"/>
      <c r="C162" s="44"/>
      <c r="D162" s="44"/>
    </row>
    <row r="163">
      <c r="A163" s="44"/>
      <c r="C163" s="44"/>
      <c r="D163" s="44"/>
    </row>
    <row r="164">
      <c r="A164" s="44"/>
      <c r="C164" s="44"/>
      <c r="D164" s="44"/>
    </row>
    <row r="165">
      <c r="A165" s="44"/>
      <c r="C165" s="44"/>
      <c r="D165" s="44"/>
    </row>
    <row r="166">
      <c r="A166" s="44"/>
      <c r="C166" s="44"/>
      <c r="D166" s="44"/>
    </row>
    <row r="167">
      <c r="A167" s="44"/>
      <c r="C167" s="44"/>
      <c r="D167" s="44"/>
    </row>
    <row r="168">
      <c r="A168" s="44"/>
      <c r="C168" s="44"/>
      <c r="D168" s="44"/>
    </row>
    <row r="169">
      <c r="A169" s="44"/>
      <c r="C169" s="44"/>
      <c r="D169" s="44"/>
    </row>
    <row r="170">
      <c r="A170" s="44"/>
      <c r="C170" s="44"/>
      <c r="D170" s="44"/>
    </row>
    <row r="171">
      <c r="A171" s="44"/>
      <c r="C171" s="44"/>
      <c r="D171" s="44"/>
    </row>
    <row r="172">
      <c r="A172" s="44"/>
      <c r="C172" s="44"/>
      <c r="D172" s="44"/>
    </row>
    <row r="173">
      <c r="A173" s="44"/>
      <c r="C173" s="44"/>
      <c r="D173" s="44"/>
    </row>
    <row r="174">
      <c r="A174" s="44"/>
      <c r="C174" s="44"/>
      <c r="D174" s="44"/>
    </row>
    <row r="175">
      <c r="A175" s="44"/>
      <c r="C175" s="44"/>
      <c r="D175" s="44"/>
    </row>
    <row r="176">
      <c r="A176" s="44"/>
      <c r="C176" s="44"/>
      <c r="D176" s="44"/>
    </row>
    <row r="177">
      <c r="A177" s="44"/>
      <c r="C177" s="44"/>
      <c r="D177" s="44"/>
    </row>
    <row r="178">
      <c r="A178" s="44"/>
      <c r="C178" s="44"/>
      <c r="D178" s="44"/>
    </row>
    <row r="179">
      <c r="A179" s="44"/>
      <c r="C179" s="44"/>
      <c r="D179" s="44"/>
    </row>
    <row r="180">
      <c r="A180" s="44"/>
      <c r="C180" s="44"/>
      <c r="D180" s="44"/>
    </row>
    <row r="181">
      <c r="A181" s="44"/>
      <c r="C181" s="44"/>
      <c r="D181" s="44"/>
    </row>
    <row r="182">
      <c r="A182" s="44"/>
      <c r="C182" s="44"/>
      <c r="D182" s="44"/>
    </row>
    <row r="183">
      <c r="A183" s="44"/>
      <c r="C183" s="44"/>
      <c r="D183" s="44"/>
    </row>
    <row r="184">
      <c r="A184" s="44"/>
      <c r="C184" s="44"/>
      <c r="D184" s="44"/>
    </row>
    <row r="185">
      <c r="A185" s="44"/>
      <c r="C185" s="44"/>
      <c r="D185" s="44"/>
    </row>
    <row r="186">
      <c r="A186" s="44"/>
      <c r="C186" s="44"/>
      <c r="D186" s="44"/>
    </row>
    <row r="187">
      <c r="A187" s="44"/>
      <c r="C187" s="44"/>
      <c r="D187" s="44"/>
    </row>
    <row r="188">
      <c r="A188" s="44"/>
      <c r="C188" s="44"/>
      <c r="D188" s="44"/>
    </row>
    <row r="189">
      <c r="A189" s="44"/>
      <c r="C189" s="44"/>
      <c r="D189" s="44"/>
    </row>
    <row r="190">
      <c r="A190" s="44"/>
      <c r="C190" s="44"/>
      <c r="D190" s="44"/>
    </row>
    <row r="191">
      <c r="A191" s="44"/>
      <c r="C191" s="44"/>
      <c r="D191" s="44"/>
    </row>
    <row r="192">
      <c r="A192" s="44"/>
      <c r="C192" s="44"/>
      <c r="D192" s="44"/>
    </row>
    <row r="193">
      <c r="A193" s="44"/>
      <c r="C193" s="44"/>
      <c r="D193" s="44"/>
    </row>
    <row r="194">
      <c r="A194" s="44"/>
      <c r="C194" s="44"/>
      <c r="D194" s="44"/>
    </row>
    <row r="195">
      <c r="A195" s="44"/>
      <c r="C195" s="44"/>
      <c r="D195" s="44"/>
    </row>
    <row r="196">
      <c r="A196" s="44"/>
      <c r="C196" s="44"/>
      <c r="D196" s="44"/>
    </row>
    <row r="197">
      <c r="A197" s="44"/>
      <c r="C197" s="44"/>
      <c r="D197" s="44"/>
    </row>
    <row r="198">
      <c r="A198" s="44"/>
      <c r="C198" s="44"/>
      <c r="D198" s="44"/>
    </row>
    <row r="199">
      <c r="A199" s="44"/>
      <c r="C199" s="44"/>
      <c r="D199" s="44"/>
    </row>
    <row r="200">
      <c r="A200" s="44"/>
      <c r="C200" s="44"/>
      <c r="D200" s="44"/>
    </row>
    <row r="201">
      <c r="A201" s="44"/>
      <c r="C201" s="44"/>
      <c r="D201" s="44"/>
    </row>
    <row r="202">
      <c r="A202" s="44"/>
      <c r="C202" s="44"/>
      <c r="D202" s="44"/>
    </row>
    <row r="203">
      <c r="A203" s="44"/>
      <c r="C203" s="44"/>
      <c r="D203" s="44"/>
    </row>
    <row r="204">
      <c r="A204" s="44"/>
      <c r="C204" s="44"/>
      <c r="D204" s="44"/>
    </row>
    <row r="205">
      <c r="A205" s="44"/>
      <c r="C205" s="44"/>
      <c r="D205" s="44"/>
    </row>
    <row r="206">
      <c r="A206" s="44"/>
      <c r="C206" s="44"/>
      <c r="D206" s="44"/>
    </row>
    <row r="207">
      <c r="A207" s="44"/>
      <c r="C207" s="44"/>
      <c r="D207" s="44"/>
    </row>
    <row r="208">
      <c r="A208" s="44"/>
      <c r="C208" s="44"/>
      <c r="D208" s="44"/>
    </row>
    <row r="209">
      <c r="A209" s="44"/>
      <c r="C209" s="44"/>
      <c r="D209" s="44"/>
    </row>
    <row r="210">
      <c r="A210" s="44"/>
      <c r="C210" s="44"/>
      <c r="D210" s="44"/>
    </row>
    <row r="211">
      <c r="A211" s="44"/>
      <c r="C211" s="44"/>
      <c r="D211" s="44"/>
    </row>
    <row r="212">
      <c r="A212" s="44"/>
      <c r="C212" s="44"/>
      <c r="D212" s="44"/>
    </row>
    <row r="213">
      <c r="A213" s="44"/>
      <c r="C213" s="44"/>
      <c r="D213" s="44"/>
    </row>
    <row r="214">
      <c r="A214" s="44"/>
      <c r="C214" s="44"/>
      <c r="D214" s="44"/>
    </row>
    <row r="215">
      <c r="A215" s="44"/>
      <c r="C215" s="44"/>
      <c r="D215" s="44"/>
    </row>
    <row r="216">
      <c r="A216" s="44"/>
      <c r="C216" s="44"/>
      <c r="D216" s="44"/>
    </row>
    <row r="217">
      <c r="A217" s="44"/>
      <c r="C217" s="44"/>
      <c r="D217" s="44"/>
    </row>
    <row r="218">
      <c r="A218" s="44"/>
      <c r="C218" s="44"/>
      <c r="D218" s="44"/>
    </row>
    <row r="219">
      <c r="A219" s="44"/>
      <c r="C219" s="44"/>
      <c r="D219" s="44"/>
    </row>
    <row r="220">
      <c r="A220" s="44"/>
      <c r="C220" s="44"/>
      <c r="D220" s="44"/>
    </row>
    <row r="221">
      <c r="A221" s="44"/>
      <c r="C221" s="44"/>
      <c r="D221" s="44"/>
    </row>
    <row r="222">
      <c r="A222" s="44"/>
      <c r="C222" s="44"/>
      <c r="D222" s="44"/>
    </row>
    <row r="223">
      <c r="A223" s="44"/>
      <c r="C223" s="44"/>
      <c r="D223" s="44"/>
    </row>
    <row r="224">
      <c r="A224" s="44"/>
      <c r="C224" s="44"/>
      <c r="D224" s="44"/>
    </row>
    <row r="225">
      <c r="A225" s="44"/>
      <c r="C225" s="44"/>
      <c r="D225" s="44"/>
    </row>
    <row r="226">
      <c r="A226" s="44"/>
      <c r="C226" s="44"/>
      <c r="D226" s="44"/>
    </row>
    <row r="227">
      <c r="A227" s="44"/>
      <c r="C227" s="44"/>
      <c r="D227" s="44"/>
    </row>
    <row r="228">
      <c r="A228" s="44"/>
      <c r="C228" s="44"/>
      <c r="D228" s="44"/>
    </row>
    <row r="229">
      <c r="A229" s="44"/>
      <c r="C229" s="44"/>
      <c r="D229" s="44"/>
    </row>
    <row r="230">
      <c r="A230" s="44"/>
      <c r="C230" s="44"/>
      <c r="D230" s="44"/>
    </row>
    <row r="231">
      <c r="A231" s="44"/>
      <c r="C231" s="44"/>
      <c r="D231" s="44"/>
    </row>
    <row r="232">
      <c r="A232" s="44"/>
      <c r="C232" s="44"/>
      <c r="D232" s="44"/>
    </row>
    <row r="233">
      <c r="A233" s="44"/>
      <c r="C233" s="44"/>
      <c r="D233" s="44"/>
    </row>
    <row r="234">
      <c r="A234" s="44"/>
      <c r="C234" s="44"/>
      <c r="D234" s="44"/>
    </row>
    <row r="235">
      <c r="A235" s="44"/>
      <c r="C235" s="44"/>
      <c r="D235" s="44"/>
    </row>
    <row r="236">
      <c r="A236" s="44"/>
      <c r="C236" s="44"/>
      <c r="D236" s="44"/>
    </row>
    <row r="237">
      <c r="A237" s="44"/>
      <c r="C237" s="44"/>
      <c r="D237" s="44"/>
    </row>
    <row r="238">
      <c r="A238" s="44"/>
      <c r="C238" s="44"/>
      <c r="D238" s="44"/>
    </row>
    <row r="239">
      <c r="A239" s="44"/>
      <c r="C239" s="44"/>
      <c r="D239" s="44"/>
    </row>
    <row r="240">
      <c r="A240" s="44"/>
      <c r="C240" s="44"/>
      <c r="D240" s="44"/>
    </row>
    <row r="241">
      <c r="A241" s="44"/>
      <c r="C241" s="44"/>
      <c r="D241" s="44"/>
    </row>
    <row r="242">
      <c r="A242" s="44"/>
      <c r="C242" s="44"/>
      <c r="D242" s="44"/>
    </row>
    <row r="243">
      <c r="A243" s="44"/>
      <c r="C243" s="44"/>
      <c r="D243" s="44"/>
    </row>
    <row r="244">
      <c r="A244" s="44"/>
      <c r="C244" s="44"/>
      <c r="D244" s="44"/>
    </row>
    <row r="245">
      <c r="A245" s="44"/>
      <c r="C245" s="44"/>
      <c r="D245" s="44"/>
    </row>
    <row r="246">
      <c r="A246" s="44"/>
      <c r="C246" s="44"/>
      <c r="D246" s="44"/>
    </row>
    <row r="247">
      <c r="A247" s="44"/>
      <c r="C247" s="44"/>
      <c r="D247" s="44"/>
    </row>
    <row r="248">
      <c r="A248" s="44"/>
      <c r="C248" s="44"/>
      <c r="D248" s="44"/>
    </row>
    <row r="249">
      <c r="A249" s="44"/>
      <c r="C249" s="44"/>
      <c r="D249" s="44"/>
    </row>
    <row r="250">
      <c r="A250" s="44"/>
      <c r="C250" s="44"/>
      <c r="D250" s="44"/>
    </row>
    <row r="251">
      <c r="A251" s="44"/>
      <c r="C251" s="44"/>
      <c r="D251" s="44"/>
    </row>
    <row r="252">
      <c r="A252" s="44"/>
      <c r="C252" s="44"/>
      <c r="D252" s="44"/>
    </row>
    <row r="253">
      <c r="A253" s="44"/>
      <c r="C253" s="44"/>
      <c r="D253" s="44"/>
    </row>
    <row r="254">
      <c r="A254" s="44"/>
      <c r="C254" s="44"/>
      <c r="D254" s="44"/>
    </row>
    <row r="255">
      <c r="A255" s="44"/>
      <c r="C255" s="44"/>
      <c r="D255" s="44"/>
    </row>
    <row r="256">
      <c r="A256" s="44"/>
      <c r="C256" s="44"/>
      <c r="D256" s="44"/>
    </row>
    <row r="257">
      <c r="A257" s="44"/>
      <c r="C257" s="44"/>
      <c r="D257" s="44"/>
    </row>
    <row r="258">
      <c r="A258" s="44"/>
      <c r="C258" s="44"/>
      <c r="D258" s="44"/>
    </row>
    <row r="259">
      <c r="A259" s="44"/>
      <c r="C259" s="44"/>
      <c r="D259" s="44"/>
    </row>
    <row r="260">
      <c r="A260" s="44"/>
      <c r="C260" s="44"/>
      <c r="D260" s="44"/>
    </row>
    <row r="261">
      <c r="A261" s="44"/>
      <c r="C261" s="44"/>
      <c r="D261" s="44"/>
    </row>
    <row r="262">
      <c r="A262" s="44"/>
      <c r="C262" s="44"/>
      <c r="D262" s="44"/>
    </row>
    <row r="263">
      <c r="A263" s="44"/>
      <c r="C263" s="44"/>
      <c r="D263" s="44"/>
    </row>
    <row r="264">
      <c r="A264" s="44"/>
      <c r="C264" s="44"/>
      <c r="D264" s="44"/>
    </row>
    <row r="265">
      <c r="A265" s="44"/>
      <c r="C265" s="44"/>
      <c r="D265" s="44"/>
    </row>
    <row r="266">
      <c r="A266" s="44"/>
      <c r="C266" s="44"/>
      <c r="D266" s="44"/>
    </row>
    <row r="267">
      <c r="A267" s="44"/>
      <c r="C267" s="44"/>
      <c r="D267" s="44"/>
    </row>
    <row r="268">
      <c r="A268" s="44"/>
      <c r="C268" s="44"/>
      <c r="D268" s="44"/>
    </row>
    <row r="269">
      <c r="A269" s="44"/>
      <c r="C269" s="44"/>
      <c r="D269" s="44"/>
    </row>
    <row r="270">
      <c r="A270" s="44"/>
      <c r="C270" s="44"/>
      <c r="D270" s="44"/>
    </row>
    <row r="271">
      <c r="A271" s="44"/>
      <c r="C271" s="44"/>
      <c r="D271" s="44"/>
    </row>
    <row r="272">
      <c r="A272" s="44"/>
      <c r="C272" s="44"/>
      <c r="D272" s="44"/>
    </row>
    <row r="273">
      <c r="A273" s="44"/>
      <c r="C273" s="44"/>
      <c r="D273" s="44"/>
    </row>
    <row r="274">
      <c r="A274" s="44"/>
      <c r="C274" s="44"/>
      <c r="D274" s="44"/>
    </row>
    <row r="275">
      <c r="A275" s="44"/>
      <c r="C275" s="44"/>
      <c r="D275" s="44"/>
    </row>
    <row r="276">
      <c r="A276" s="44"/>
      <c r="C276" s="44"/>
      <c r="D276" s="44"/>
    </row>
    <row r="277">
      <c r="A277" s="44"/>
      <c r="C277" s="44"/>
      <c r="D277" s="44"/>
    </row>
    <row r="278">
      <c r="A278" s="44"/>
      <c r="C278" s="44"/>
      <c r="D278" s="44"/>
    </row>
    <row r="279">
      <c r="A279" s="44"/>
      <c r="C279" s="44"/>
      <c r="D279" s="44"/>
    </row>
    <row r="280">
      <c r="A280" s="44"/>
      <c r="C280" s="44"/>
      <c r="D280" s="44"/>
    </row>
    <row r="281">
      <c r="A281" s="44"/>
      <c r="C281" s="44"/>
      <c r="D281" s="44"/>
    </row>
    <row r="282">
      <c r="A282" s="44"/>
      <c r="C282" s="44"/>
      <c r="D282" s="44"/>
    </row>
    <row r="283">
      <c r="A283" s="44"/>
      <c r="C283" s="44"/>
      <c r="D283" s="44"/>
    </row>
    <row r="284">
      <c r="A284" s="44"/>
      <c r="C284" s="44"/>
      <c r="D284" s="44"/>
    </row>
    <row r="285">
      <c r="A285" s="44"/>
      <c r="C285" s="44"/>
      <c r="D285" s="44"/>
    </row>
    <row r="286">
      <c r="A286" s="44"/>
      <c r="C286" s="44"/>
      <c r="D286" s="44"/>
    </row>
    <row r="287">
      <c r="A287" s="44"/>
      <c r="C287" s="44"/>
      <c r="D287" s="44"/>
    </row>
    <row r="288">
      <c r="A288" s="44"/>
      <c r="C288" s="44"/>
      <c r="D288" s="44"/>
    </row>
    <row r="289">
      <c r="A289" s="44"/>
      <c r="C289" s="44"/>
      <c r="D289" s="44"/>
    </row>
    <row r="290">
      <c r="A290" s="44"/>
      <c r="C290" s="44"/>
      <c r="D290" s="44"/>
    </row>
    <row r="291">
      <c r="A291" s="44"/>
      <c r="C291" s="44"/>
      <c r="D291" s="44"/>
    </row>
    <row r="292">
      <c r="A292" s="44"/>
      <c r="C292" s="44"/>
      <c r="D292" s="44"/>
    </row>
    <row r="293">
      <c r="A293" s="44"/>
      <c r="C293" s="44"/>
      <c r="D293" s="44"/>
    </row>
    <row r="294">
      <c r="A294" s="44"/>
      <c r="C294" s="44"/>
      <c r="D294" s="44"/>
    </row>
    <row r="295">
      <c r="A295" s="44"/>
      <c r="C295" s="44"/>
      <c r="D295" s="44"/>
    </row>
    <row r="296">
      <c r="A296" s="44"/>
      <c r="C296" s="44"/>
      <c r="D296" s="44"/>
    </row>
    <row r="297">
      <c r="A297" s="44"/>
      <c r="C297" s="44"/>
      <c r="D297" s="44"/>
    </row>
    <row r="298">
      <c r="A298" s="44"/>
      <c r="C298" s="44"/>
      <c r="D298" s="44"/>
    </row>
    <row r="299">
      <c r="A299" s="44"/>
      <c r="C299" s="44"/>
      <c r="D299" s="44"/>
    </row>
    <row r="300">
      <c r="A300" s="44"/>
      <c r="C300" s="44"/>
      <c r="D300" s="44"/>
    </row>
    <row r="301">
      <c r="A301" s="44"/>
      <c r="C301" s="44"/>
      <c r="D301" s="44"/>
    </row>
    <row r="302">
      <c r="A302" s="44"/>
      <c r="C302" s="44"/>
      <c r="D302" s="44"/>
    </row>
    <row r="303">
      <c r="A303" s="44"/>
      <c r="C303" s="44"/>
      <c r="D303" s="44"/>
    </row>
    <row r="304">
      <c r="A304" s="44"/>
      <c r="C304" s="44"/>
      <c r="D304" s="44"/>
    </row>
    <row r="305">
      <c r="A305" s="44"/>
      <c r="C305" s="44"/>
      <c r="D305" s="44"/>
    </row>
    <row r="306">
      <c r="A306" s="44"/>
      <c r="C306" s="44"/>
      <c r="D306" s="44"/>
    </row>
    <row r="307">
      <c r="A307" s="44"/>
      <c r="C307" s="44"/>
      <c r="D307" s="44"/>
    </row>
    <row r="308">
      <c r="A308" s="44"/>
      <c r="C308" s="44"/>
      <c r="D308" s="44"/>
    </row>
    <row r="309">
      <c r="A309" s="44"/>
      <c r="C309" s="44"/>
      <c r="D309" s="44"/>
    </row>
    <row r="310">
      <c r="A310" s="44"/>
      <c r="C310" s="44"/>
      <c r="D310" s="44"/>
    </row>
    <row r="311">
      <c r="A311" s="44"/>
      <c r="C311" s="44"/>
      <c r="D311" s="44"/>
    </row>
    <row r="312">
      <c r="A312" s="44"/>
      <c r="C312" s="44"/>
      <c r="D312" s="44"/>
    </row>
    <row r="313">
      <c r="A313" s="44"/>
      <c r="C313" s="44"/>
      <c r="D313" s="44"/>
    </row>
    <row r="314">
      <c r="A314" s="44"/>
      <c r="C314" s="44"/>
      <c r="D314" s="44"/>
    </row>
    <row r="315">
      <c r="A315" s="44"/>
      <c r="C315" s="44"/>
      <c r="D315" s="44"/>
    </row>
    <row r="316">
      <c r="A316" s="44"/>
      <c r="C316" s="44"/>
      <c r="D316" s="44"/>
    </row>
    <row r="317">
      <c r="A317" s="44"/>
      <c r="C317" s="44"/>
      <c r="D317" s="44"/>
    </row>
    <row r="318">
      <c r="A318" s="44"/>
      <c r="C318" s="44"/>
      <c r="D318" s="44"/>
    </row>
    <row r="319">
      <c r="A319" s="44"/>
      <c r="C319" s="44"/>
      <c r="D319" s="44"/>
    </row>
    <row r="320">
      <c r="A320" s="44"/>
      <c r="C320" s="44"/>
      <c r="D320" s="44"/>
    </row>
    <row r="321">
      <c r="A321" s="44"/>
      <c r="C321" s="44"/>
      <c r="D321" s="44"/>
    </row>
    <row r="322">
      <c r="A322" s="44"/>
      <c r="C322" s="44"/>
      <c r="D322" s="44"/>
    </row>
    <row r="323">
      <c r="A323" s="44"/>
      <c r="C323" s="44"/>
      <c r="D323" s="44"/>
    </row>
    <row r="324">
      <c r="A324" s="44"/>
      <c r="C324" s="44"/>
      <c r="D324" s="44"/>
    </row>
    <row r="325">
      <c r="A325" s="44"/>
      <c r="C325" s="44"/>
      <c r="D325" s="44"/>
    </row>
    <row r="326">
      <c r="A326" s="44"/>
      <c r="C326" s="44"/>
      <c r="D326" s="44"/>
    </row>
    <row r="327">
      <c r="A327" s="44"/>
      <c r="C327" s="44"/>
      <c r="D327" s="44"/>
    </row>
    <row r="328">
      <c r="A328" s="44"/>
      <c r="C328" s="44"/>
      <c r="D328" s="44"/>
    </row>
    <row r="329">
      <c r="A329" s="44"/>
      <c r="C329" s="44"/>
      <c r="D329" s="44"/>
    </row>
    <row r="330">
      <c r="A330" s="44"/>
      <c r="C330" s="44"/>
      <c r="D330" s="44"/>
    </row>
    <row r="331">
      <c r="A331" s="44"/>
      <c r="C331" s="44"/>
      <c r="D331" s="44"/>
    </row>
    <row r="332">
      <c r="A332" s="44"/>
      <c r="C332" s="44"/>
      <c r="D332" s="44"/>
    </row>
    <row r="333">
      <c r="A333" s="44"/>
      <c r="C333" s="44"/>
      <c r="D333" s="44"/>
    </row>
    <row r="334">
      <c r="A334" s="44"/>
      <c r="C334" s="44"/>
      <c r="D334" s="44"/>
    </row>
    <row r="335">
      <c r="A335" s="44"/>
      <c r="C335" s="44"/>
      <c r="D335" s="44"/>
    </row>
    <row r="336">
      <c r="A336" s="44"/>
      <c r="C336" s="44"/>
      <c r="D336" s="44"/>
    </row>
    <row r="337">
      <c r="A337" s="44"/>
      <c r="C337" s="44"/>
      <c r="D337" s="44"/>
    </row>
    <row r="338">
      <c r="A338" s="44"/>
      <c r="C338" s="44"/>
      <c r="D338" s="44"/>
    </row>
    <row r="339">
      <c r="A339" s="44"/>
      <c r="C339" s="44"/>
      <c r="D339" s="44"/>
    </row>
    <row r="340">
      <c r="A340" s="44"/>
      <c r="C340" s="44"/>
      <c r="D340" s="44"/>
    </row>
    <row r="341">
      <c r="A341" s="44"/>
      <c r="C341" s="44"/>
      <c r="D341" s="44"/>
    </row>
    <row r="342">
      <c r="A342" s="44"/>
      <c r="C342" s="44"/>
      <c r="D342" s="44"/>
    </row>
    <row r="343">
      <c r="A343" s="44"/>
      <c r="C343" s="44"/>
      <c r="D343" s="44"/>
    </row>
    <row r="344">
      <c r="A344" s="44"/>
      <c r="C344" s="44"/>
      <c r="D344" s="44"/>
    </row>
    <row r="345">
      <c r="A345" s="44"/>
      <c r="C345" s="44"/>
      <c r="D345" s="44"/>
    </row>
    <row r="346">
      <c r="A346" s="44"/>
      <c r="C346" s="44"/>
      <c r="D346" s="44"/>
    </row>
    <row r="347">
      <c r="A347" s="44"/>
      <c r="C347" s="44"/>
      <c r="D347" s="44"/>
    </row>
    <row r="348">
      <c r="A348" s="44"/>
      <c r="C348" s="44"/>
      <c r="D348" s="44"/>
    </row>
    <row r="349">
      <c r="A349" s="44"/>
      <c r="C349" s="44"/>
      <c r="D349" s="44"/>
    </row>
    <row r="350">
      <c r="A350" s="44"/>
      <c r="C350" s="44"/>
      <c r="D350" s="44"/>
    </row>
    <row r="351">
      <c r="A351" s="44"/>
      <c r="C351" s="44"/>
      <c r="D351" s="44"/>
    </row>
    <row r="352">
      <c r="A352" s="44"/>
      <c r="C352" s="44"/>
      <c r="D352" s="44"/>
    </row>
    <row r="353">
      <c r="A353" s="44"/>
      <c r="C353" s="44"/>
      <c r="D353" s="44"/>
    </row>
    <row r="354">
      <c r="A354" s="44"/>
      <c r="C354" s="44"/>
      <c r="D354" s="44"/>
    </row>
    <row r="355">
      <c r="A355" s="44"/>
      <c r="C355" s="44"/>
      <c r="D355" s="44"/>
    </row>
    <row r="356">
      <c r="A356" s="44"/>
      <c r="C356" s="44"/>
      <c r="D356" s="44"/>
    </row>
    <row r="357">
      <c r="A357" s="44"/>
      <c r="C357" s="44"/>
      <c r="D357" s="44"/>
    </row>
    <row r="358">
      <c r="A358" s="44"/>
      <c r="C358" s="44"/>
      <c r="D358" s="44"/>
    </row>
    <row r="359">
      <c r="A359" s="44"/>
      <c r="C359" s="44"/>
      <c r="D359" s="44"/>
    </row>
    <row r="360">
      <c r="A360" s="44"/>
      <c r="C360" s="44"/>
      <c r="D360" s="44"/>
    </row>
    <row r="361">
      <c r="A361" s="44"/>
      <c r="C361" s="44"/>
      <c r="D361" s="44"/>
    </row>
    <row r="362">
      <c r="A362" s="44"/>
      <c r="C362" s="44"/>
      <c r="D362" s="44"/>
    </row>
    <row r="363">
      <c r="A363" s="44"/>
      <c r="C363" s="44"/>
      <c r="D363" s="44"/>
    </row>
    <row r="364">
      <c r="A364" s="44"/>
      <c r="C364" s="44"/>
      <c r="D364" s="44"/>
    </row>
    <row r="365">
      <c r="A365" s="44"/>
      <c r="C365" s="44"/>
      <c r="D365" s="44"/>
    </row>
    <row r="366">
      <c r="A366" s="44"/>
      <c r="C366" s="44"/>
      <c r="D366" s="44"/>
    </row>
    <row r="367">
      <c r="A367" s="44"/>
      <c r="C367" s="44"/>
      <c r="D367" s="44"/>
    </row>
    <row r="368">
      <c r="A368" s="44"/>
      <c r="C368" s="44"/>
      <c r="D368" s="44"/>
    </row>
    <row r="369">
      <c r="A369" s="44"/>
      <c r="C369" s="44"/>
      <c r="D369" s="44"/>
    </row>
    <row r="370">
      <c r="A370" s="44"/>
      <c r="C370" s="44"/>
      <c r="D370" s="44"/>
    </row>
    <row r="371">
      <c r="A371" s="44"/>
      <c r="C371" s="44"/>
      <c r="D371" s="44"/>
    </row>
    <row r="372">
      <c r="A372" s="44"/>
      <c r="C372" s="44"/>
      <c r="D372" s="44"/>
    </row>
    <row r="373">
      <c r="A373" s="44"/>
      <c r="C373" s="44"/>
      <c r="D373" s="44"/>
    </row>
    <row r="374">
      <c r="A374" s="44"/>
      <c r="C374" s="44"/>
      <c r="D374" s="44"/>
    </row>
    <row r="375">
      <c r="A375" s="44"/>
      <c r="C375" s="44"/>
      <c r="D375" s="44"/>
    </row>
    <row r="376">
      <c r="A376" s="44"/>
      <c r="C376" s="44"/>
      <c r="D376" s="44"/>
    </row>
    <row r="377">
      <c r="A377" s="44"/>
      <c r="C377" s="44"/>
      <c r="D377" s="44"/>
    </row>
    <row r="378">
      <c r="A378" s="44"/>
      <c r="C378" s="44"/>
      <c r="D378" s="44"/>
    </row>
    <row r="379">
      <c r="A379" s="44"/>
      <c r="C379" s="44"/>
      <c r="D379" s="44"/>
    </row>
    <row r="380">
      <c r="A380" s="44"/>
      <c r="C380" s="44"/>
      <c r="D380" s="44"/>
    </row>
    <row r="381">
      <c r="A381" s="44"/>
      <c r="C381" s="44"/>
      <c r="D381" s="44"/>
    </row>
    <row r="382">
      <c r="A382" s="44"/>
      <c r="C382" s="44"/>
      <c r="D382" s="44"/>
    </row>
    <row r="383">
      <c r="A383" s="44"/>
      <c r="C383" s="44"/>
      <c r="D383" s="44"/>
    </row>
    <row r="384">
      <c r="A384" s="44"/>
      <c r="C384" s="44"/>
      <c r="D384" s="44"/>
    </row>
    <row r="385">
      <c r="A385" s="44"/>
      <c r="C385" s="44"/>
      <c r="D385" s="44"/>
    </row>
    <row r="386">
      <c r="A386" s="44"/>
      <c r="C386" s="44"/>
      <c r="D386" s="44"/>
    </row>
    <row r="387">
      <c r="A387" s="44"/>
      <c r="C387" s="44"/>
      <c r="D387" s="44"/>
    </row>
    <row r="388">
      <c r="A388" s="44"/>
      <c r="C388" s="44"/>
      <c r="D388" s="44"/>
    </row>
    <row r="389">
      <c r="A389" s="44"/>
      <c r="C389" s="44"/>
      <c r="D389" s="44"/>
    </row>
    <row r="390">
      <c r="A390" s="44"/>
      <c r="C390" s="44"/>
      <c r="D390" s="44"/>
    </row>
    <row r="391">
      <c r="A391" s="44"/>
      <c r="C391" s="44"/>
      <c r="D391" s="44"/>
    </row>
    <row r="392">
      <c r="A392" s="44"/>
      <c r="C392" s="44"/>
      <c r="D392" s="44"/>
    </row>
    <row r="393">
      <c r="A393" s="44"/>
      <c r="C393" s="44"/>
      <c r="D393" s="44"/>
    </row>
    <row r="394">
      <c r="A394" s="44"/>
      <c r="C394" s="44"/>
      <c r="D394" s="44"/>
    </row>
    <row r="395">
      <c r="A395" s="44"/>
      <c r="C395" s="44"/>
      <c r="D395" s="44"/>
    </row>
    <row r="396">
      <c r="A396" s="44"/>
      <c r="C396" s="44"/>
      <c r="D396" s="44"/>
    </row>
    <row r="397">
      <c r="A397" s="44"/>
      <c r="C397" s="44"/>
      <c r="D397" s="44"/>
    </row>
    <row r="398">
      <c r="A398" s="44"/>
      <c r="C398" s="44"/>
      <c r="D398" s="44"/>
    </row>
    <row r="399">
      <c r="A399" s="44"/>
      <c r="C399" s="44"/>
      <c r="D399" s="44"/>
    </row>
    <row r="400">
      <c r="A400" s="44"/>
      <c r="C400" s="44"/>
      <c r="D400" s="44"/>
    </row>
    <row r="401">
      <c r="A401" s="44"/>
      <c r="C401" s="44"/>
      <c r="D401" s="44"/>
    </row>
    <row r="402">
      <c r="A402" s="44"/>
      <c r="C402" s="44"/>
      <c r="D402" s="44"/>
    </row>
    <row r="403">
      <c r="A403" s="44"/>
      <c r="C403" s="44"/>
      <c r="D403" s="44"/>
    </row>
    <row r="404">
      <c r="A404" s="44"/>
      <c r="C404" s="44"/>
      <c r="D404" s="44"/>
    </row>
    <row r="405">
      <c r="A405" s="44"/>
      <c r="C405" s="44"/>
      <c r="D405" s="44"/>
    </row>
    <row r="406">
      <c r="A406" s="44"/>
      <c r="C406" s="44"/>
      <c r="D406" s="44"/>
    </row>
    <row r="407">
      <c r="A407" s="44"/>
      <c r="C407" s="44"/>
      <c r="D407" s="44"/>
    </row>
    <row r="408">
      <c r="A408" s="44"/>
      <c r="C408" s="44"/>
      <c r="D408" s="44"/>
    </row>
    <row r="409">
      <c r="A409" s="44"/>
      <c r="C409" s="44"/>
      <c r="D409" s="44"/>
    </row>
    <row r="410">
      <c r="A410" s="44"/>
      <c r="C410" s="44"/>
      <c r="D410" s="44"/>
    </row>
    <row r="411">
      <c r="A411" s="44"/>
      <c r="C411" s="44"/>
      <c r="D411" s="44"/>
    </row>
    <row r="412">
      <c r="A412" s="44"/>
      <c r="C412" s="44"/>
      <c r="D412" s="44"/>
    </row>
    <row r="413">
      <c r="A413" s="44"/>
      <c r="C413" s="44"/>
      <c r="D413" s="44"/>
    </row>
    <row r="414">
      <c r="A414" s="44"/>
      <c r="C414" s="44"/>
      <c r="D414" s="44"/>
    </row>
    <row r="415">
      <c r="A415" s="44"/>
      <c r="C415" s="44"/>
      <c r="D415" s="44"/>
    </row>
    <row r="416">
      <c r="A416" s="44"/>
      <c r="C416" s="44"/>
      <c r="D416" s="44"/>
    </row>
    <row r="417">
      <c r="A417" s="44"/>
      <c r="C417" s="44"/>
      <c r="D417" s="44"/>
    </row>
    <row r="418">
      <c r="A418" s="44"/>
      <c r="C418" s="44"/>
      <c r="D418" s="44"/>
    </row>
    <row r="419">
      <c r="A419" s="44"/>
      <c r="C419" s="44"/>
      <c r="D419" s="44"/>
    </row>
    <row r="420">
      <c r="A420" s="44"/>
      <c r="C420" s="44"/>
      <c r="D420" s="44"/>
    </row>
    <row r="421">
      <c r="A421" s="44"/>
      <c r="C421" s="44"/>
      <c r="D421" s="44"/>
    </row>
    <row r="422">
      <c r="A422" s="44"/>
      <c r="C422" s="44"/>
      <c r="D422" s="44"/>
    </row>
    <row r="423">
      <c r="A423" s="44"/>
      <c r="C423" s="44"/>
      <c r="D423" s="44"/>
    </row>
    <row r="424">
      <c r="A424" s="44"/>
      <c r="C424" s="44"/>
      <c r="D424" s="44"/>
    </row>
    <row r="425">
      <c r="A425" s="44"/>
      <c r="C425" s="44"/>
      <c r="D425" s="44"/>
    </row>
    <row r="426">
      <c r="A426" s="44"/>
      <c r="C426" s="44"/>
      <c r="D426" s="44"/>
    </row>
    <row r="427">
      <c r="A427" s="44"/>
      <c r="C427" s="44"/>
      <c r="D427" s="44"/>
    </row>
    <row r="428">
      <c r="A428" s="44"/>
      <c r="C428" s="44"/>
      <c r="D428" s="44"/>
    </row>
    <row r="429">
      <c r="A429" s="44"/>
      <c r="C429" s="44"/>
      <c r="D429" s="44"/>
    </row>
    <row r="430">
      <c r="A430" s="44"/>
      <c r="C430" s="44"/>
      <c r="D430" s="44"/>
    </row>
    <row r="431">
      <c r="A431" s="44"/>
      <c r="C431" s="44"/>
      <c r="D431" s="44"/>
    </row>
    <row r="432">
      <c r="A432" s="44"/>
      <c r="C432" s="44"/>
      <c r="D432" s="44"/>
    </row>
    <row r="433">
      <c r="A433" s="44"/>
      <c r="C433" s="44"/>
      <c r="D433" s="44"/>
    </row>
    <row r="434">
      <c r="A434" s="44"/>
      <c r="C434" s="44"/>
      <c r="D434" s="44"/>
    </row>
    <row r="435">
      <c r="A435" s="44"/>
      <c r="C435" s="44"/>
      <c r="D435" s="44"/>
    </row>
    <row r="436">
      <c r="A436" s="44"/>
      <c r="C436" s="44"/>
      <c r="D436" s="44"/>
    </row>
    <row r="437">
      <c r="A437" s="44"/>
      <c r="C437" s="44"/>
      <c r="D437" s="44"/>
    </row>
    <row r="438">
      <c r="A438" s="44"/>
      <c r="C438" s="44"/>
      <c r="D438" s="44"/>
    </row>
    <row r="439">
      <c r="A439" s="44"/>
      <c r="C439" s="44"/>
      <c r="D439" s="44"/>
    </row>
    <row r="440">
      <c r="A440" s="44"/>
      <c r="C440" s="44"/>
      <c r="D440" s="44"/>
    </row>
    <row r="441">
      <c r="A441" s="44"/>
      <c r="C441" s="44"/>
      <c r="D441" s="44"/>
    </row>
    <row r="442">
      <c r="A442" s="44"/>
      <c r="C442" s="44"/>
      <c r="D442" s="44"/>
    </row>
    <row r="443">
      <c r="A443" s="44"/>
      <c r="C443" s="44"/>
      <c r="D443" s="44"/>
    </row>
    <row r="444">
      <c r="A444" s="44"/>
      <c r="C444" s="44"/>
      <c r="D444" s="44"/>
    </row>
    <row r="445">
      <c r="A445" s="44"/>
      <c r="C445" s="44"/>
      <c r="D445" s="44"/>
    </row>
    <row r="446">
      <c r="A446" s="44"/>
      <c r="C446" s="44"/>
      <c r="D446" s="44"/>
    </row>
    <row r="447">
      <c r="A447" s="44"/>
      <c r="C447" s="44"/>
      <c r="D447" s="44"/>
    </row>
    <row r="448">
      <c r="A448" s="44"/>
      <c r="C448" s="44"/>
      <c r="D448" s="44"/>
    </row>
    <row r="449">
      <c r="A449" s="44"/>
      <c r="C449" s="44"/>
      <c r="D449" s="44"/>
    </row>
    <row r="450">
      <c r="A450" s="44"/>
      <c r="C450" s="44"/>
      <c r="D450" s="44"/>
    </row>
    <row r="451">
      <c r="A451" s="44"/>
      <c r="C451" s="44"/>
      <c r="D451" s="44"/>
    </row>
    <row r="452">
      <c r="A452" s="44"/>
      <c r="C452" s="44"/>
      <c r="D452" s="44"/>
    </row>
    <row r="453">
      <c r="A453" s="44"/>
      <c r="C453" s="44"/>
      <c r="D453" s="44"/>
    </row>
    <row r="454">
      <c r="A454" s="44"/>
      <c r="C454" s="44"/>
      <c r="D454" s="44"/>
    </row>
    <row r="455">
      <c r="A455" s="44"/>
      <c r="C455" s="44"/>
      <c r="D455" s="44"/>
    </row>
    <row r="456">
      <c r="A456" s="44"/>
      <c r="C456" s="44"/>
      <c r="D456" s="44"/>
    </row>
    <row r="457">
      <c r="A457" s="44"/>
      <c r="C457" s="44"/>
      <c r="D457" s="44"/>
    </row>
    <row r="458">
      <c r="A458" s="44"/>
      <c r="C458" s="44"/>
      <c r="D458" s="44"/>
    </row>
    <row r="459">
      <c r="A459" s="44"/>
      <c r="C459" s="44"/>
      <c r="D459" s="44"/>
    </row>
    <row r="460">
      <c r="A460" s="44"/>
      <c r="C460" s="44"/>
      <c r="D460" s="44"/>
    </row>
    <row r="461">
      <c r="A461" s="44"/>
      <c r="C461" s="44"/>
      <c r="D461" s="44"/>
    </row>
    <row r="462">
      <c r="A462" s="44"/>
      <c r="C462" s="44"/>
      <c r="D462" s="44"/>
    </row>
    <row r="463">
      <c r="A463" s="44"/>
      <c r="C463" s="44"/>
      <c r="D463" s="44"/>
    </row>
    <row r="464">
      <c r="A464" s="44"/>
      <c r="C464" s="44"/>
      <c r="D464" s="44"/>
    </row>
    <row r="465">
      <c r="A465" s="44"/>
      <c r="C465" s="44"/>
      <c r="D465" s="44"/>
    </row>
    <row r="466">
      <c r="A466" s="44"/>
      <c r="C466" s="44"/>
      <c r="D466" s="44"/>
    </row>
    <row r="467">
      <c r="A467" s="44"/>
      <c r="C467" s="44"/>
      <c r="D467" s="44"/>
    </row>
    <row r="468">
      <c r="A468" s="44"/>
      <c r="C468" s="44"/>
      <c r="D468" s="44"/>
    </row>
    <row r="469">
      <c r="A469" s="44"/>
      <c r="C469" s="44"/>
      <c r="D469" s="44"/>
    </row>
    <row r="470">
      <c r="A470" s="44"/>
      <c r="C470" s="44"/>
      <c r="D470" s="44"/>
    </row>
    <row r="471">
      <c r="A471" s="44"/>
      <c r="C471" s="44"/>
      <c r="D471" s="44"/>
    </row>
    <row r="472">
      <c r="A472" s="44"/>
      <c r="C472" s="44"/>
      <c r="D472" s="44"/>
    </row>
    <row r="473">
      <c r="A473" s="44"/>
      <c r="C473" s="44"/>
      <c r="D473" s="44"/>
    </row>
    <row r="474">
      <c r="A474" s="44"/>
      <c r="C474" s="44"/>
      <c r="D474" s="44"/>
    </row>
    <row r="475">
      <c r="A475" s="44"/>
      <c r="C475" s="44"/>
      <c r="D475" s="44"/>
    </row>
    <row r="476">
      <c r="A476" s="44"/>
      <c r="C476" s="44"/>
      <c r="D476" s="44"/>
    </row>
    <row r="477">
      <c r="A477" s="44"/>
      <c r="C477" s="44"/>
      <c r="D477" s="44"/>
    </row>
    <row r="478">
      <c r="A478" s="44"/>
      <c r="C478" s="44"/>
      <c r="D478" s="44"/>
    </row>
    <row r="479">
      <c r="A479" s="44"/>
      <c r="C479" s="44"/>
      <c r="D479" s="44"/>
    </row>
    <row r="480">
      <c r="A480" s="44"/>
      <c r="C480" s="44"/>
      <c r="D480" s="44"/>
    </row>
    <row r="481">
      <c r="A481" s="44"/>
      <c r="C481" s="44"/>
      <c r="D481" s="44"/>
    </row>
    <row r="482">
      <c r="A482" s="44"/>
      <c r="C482" s="44"/>
      <c r="D482" s="44"/>
    </row>
    <row r="483">
      <c r="A483" s="44"/>
      <c r="C483" s="44"/>
      <c r="D483" s="44"/>
    </row>
    <row r="484">
      <c r="A484" s="44"/>
      <c r="C484" s="44"/>
      <c r="D484" s="44"/>
    </row>
    <row r="485">
      <c r="A485" s="44"/>
      <c r="C485" s="44"/>
      <c r="D485" s="44"/>
    </row>
    <row r="486">
      <c r="A486" s="44"/>
      <c r="C486" s="44"/>
      <c r="D486" s="44"/>
    </row>
    <row r="487">
      <c r="A487" s="44"/>
      <c r="C487" s="44"/>
      <c r="D487" s="44"/>
    </row>
    <row r="488">
      <c r="A488" s="44"/>
      <c r="C488" s="44"/>
      <c r="D488" s="44"/>
    </row>
    <row r="489">
      <c r="A489" s="44"/>
      <c r="C489" s="44"/>
      <c r="D489" s="44"/>
    </row>
    <row r="490">
      <c r="A490" s="44"/>
      <c r="C490" s="44"/>
      <c r="D490" s="44"/>
    </row>
    <row r="491">
      <c r="A491" s="44"/>
      <c r="C491" s="44"/>
      <c r="D491" s="44"/>
    </row>
    <row r="492">
      <c r="A492" s="44"/>
      <c r="C492" s="44"/>
      <c r="D492" s="44"/>
    </row>
    <row r="493">
      <c r="A493" s="44"/>
      <c r="C493" s="44"/>
      <c r="D493" s="44"/>
    </row>
    <row r="494">
      <c r="A494" s="44"/>
      <c r="C494" s="44"/>
      <c r="D494" s="44"/>
    </row>
    <row r="495">
      <c r="A495" s="44"/>
      <c r="C495" s="44"/>
      <c r="D495" s="44"/>
    </row>
    <row r="496">
      <c r="A496" s="44"/>
      <c r="C496" s="44"/>
      <c r="D496" s="44"/>
    </row>
    <row r="497">
      <c r="A497" s="44"/>
      <c r="C497" s="44"/>
      <c r="D497" s="44"/>
    </row>
    <row r="498">
      <c r="A498" s="44"/>
      <c r="C498" s="44"/>
      <c r="D498" s="44"/>
    </row>
    <row r="499">
      <c r="A499" s="44"/>
      <c r="C499" s="44"/>
      <c r="D499" s="44"/>
    </row>
    <row r="500">
      <c r="A500" s="44"/>
      <c r="C500" s="44"/>
      <c r="D500" s="44"/>
    </row>
    <row r="501">
      <c r="A501" s="44"/>
      <c r="C501" s="44"/>
      <c r="D501" s="44"/>
    </row>
    <row r="502">
      <c r="A502" s="44"/>
      <c r="C502" s="44"/>
      <c r="D502" s="44"/>
    </row>
    <row r="503">
      <c r="A503" s="44"/>
      <c r="C503" s="44"/>
      <c r="D503" s="44"/>
    </row>
    <row r="504">
      <c r="A504" s="44"/>
      <c r="C504" s="44"/>
      <c r="D504" s="44"/>
    </row>
    <row r="505">
      <c r="A505" s="44"/>
      <c r="C505" s="44"/>
      <c r="D505" s="44"/>
    </row>
    <row r="506">
      <c r="A506" s="44"/>
      <c r="C506" s="44"/>
      <c r="D506" s="44"/>
    </row>
    <row r="507">
      <c r="A507" s="44"/>
      <c r="C507" s="44"/>
      <c r="D507" s="44"/>
    </row>
    <row r="508">
      <c r="A508" s="44"/>
      <c r="C508" s="44"/>
      <c r="D508" s="44"/>
    </row>
    <row r="509">
      <c r="A509" s="44"/>
      <c r="C509" s="44"/>
      <c r="D509" s="44"/>
    </row>
    <row r="510">
      <c r="A510" s="44"/>
      <c r="C510" s="44"/>
      <c r="D510" s="44"/>
    </row>
    <row r="511">
      <c r="A511" s="44"/>
      <c r="C511" s="44"/>
      <c r="D511" s="44"/>
    </row>
    <row r="512">
      <c r="A512" s="44"/>
      <c r="C512" s="44"/>
      <c r="D512" s="44"/>
    </row>
    <row r="513">
      <c r="A513" s="44"/>
      <c r="C513" s="44"/>
      <c r="D513" s="44"/>
    </row>
    <row r="514">
      <c r="A514" s="44"/>
      <c r="C514" s="44"/>
      <c r="D514" s="44"/>
    </row>
    <row r="515">
      <c r="A515" s="44"/>
      <c r="C515" s="44"/>
      <c r="D515" s="44"/>
    </row>
    <row r="516">
      <c r="A516" s="44"/>
      <c r="C516" s="44"/>
      <c r="D516" s="44"/>
    </row>
    <row r="517">
      <c r="A517" s="44"/>
      <c r="C517" s="44"/>
      <c r="D517" s="44"/>
    </row>
    <row r="518">
      <c r="A518" s="44"/>
      <c r="C518" s="44"/>
      <c r="D518" s="44"/>
    </row>
    <row r="519">
      <c r="A519" s="44"/>
      <c r="C519" s="44"/>
      <c r="D519" s="44"/>
    </row>
    <row r="520">
      <c r="A520" s="44"/>
      <c r="C520" s="44"/>
      <c r="D520" s="44"/>
    </row>
    <row r="521">
      <c r="A521" s="44"/>
      <c r="C521" s="44"/>
      <c r="D521" s="44"/>
    </row>
    <row r="522">
      <c r="A522" s="44"/>
      <c r="C522" s="44"/>
      <c r="D522" s="44"/>
    </row>
    <row r="523">
      <c r="A523" s="44"/>
      <c r="C523" s="44"/>
      <c r="D523" s="44"/>
    </row>
    <row r="524">
      <c r="A524" s="44"/>
      <c r="C524" s="44"/>
      <c r="D524" s="44"/>
    </row>
    <row r="525">
      <c r="A525" s="44"/>
      <c r="C525" s="44"/>
      <c r="D525" s="44"/>
    </row>
    <row r="526">
      <c r="A526" s="44"/>
      <c r="C526" s="44"/>
      <c r="D526" s="44"/>
    </row>
    <row r="527">
      <c r="A527" s="44"/>
      <c r="C527" s="44"/>
      <c r="D527" s="44"/>
    </row>
    <row r="528">
      <c r="A528" s="44"/>
      <c r="C528" s="44"/>
      <c r="D528" s="44"/>
    </row>
    <row r="529">
      <c r="A529" s="44"/>
      <c r="C529" s="44"/>
      <c r="D529" s="44"/>
    </row>
    <row r="530">
      <c r="A530" s="44"/>
      <c r="C530" s="44"/>
      <c r="D530" s="44"/>
    </row>
    <row r="531">
      <c r="A531" s="44"/>
      <c r="C531" s="44"/>
      <c r="D531" s="44"/>
    </row>
    <row r="532">
      <c r="A532" s="44"/>
      <c r="C532" s="44"/>
      <c r="D532" s="44"/>
    </row>
    <row r="533">
      <c r="A533" s="44"/>
      <c r="C533" s="44"/>
      <c r="D533" s="44"/>
    </row>
    <row r="534">
      <c r="A534" s="44"/>
      <c r="C534" s="44"/>
      <c r="D534" s="44"/>
    </row>
    <row r="535">
      <c r="A535" s="44"/>
      <c r="C535" s="44"/>
      <c r="D535" s="44"/>
    </row>
    <row r="536">
      <c r="A536" s="44"/>
      <c r="C536" s="44"/>
      <c r="D536" s="44"/>
    </row>
    <row r="537">
      <c r="A537" s="44"/>
      <c r="C537" s="44"/>
      <c r="D537" s="44"/>
    </row>
    <row r="538">
      <c r="A538" s="44"/>
      <c r="C538" s="44"/>
      <c r="D538" s="44"/>
    </row>
    <row r="539">
      <c r="A539" s="44"/>
      <c r="C539" s="44"/>
      <c r="D539" s="44"/>
    </row>
    <row r="540">
      <c r="A540" s="44"/>
      <c r="C540" s="44"/>
      <c r="D540" s="44"/>
    </row>
    <row r="541">
      <c r="A541" s="44"/>
      <c r="C541" s="44"/>
      <c r="D541" s="44"/>
    </row>
    <row r="542">
      <c r="A542" s="44"/>
      <c r="C542" s="44"/>
      <c r="D542" s="44"/>
    </row>
    <row r="543">
      <c r="A543" s="44"/>
      <c r="C543" s="44"/>
      <c r="D543" s="44"/>
    </row>
    <row r="544">
      <c r="A544" s="44"/>
      <c r="C544" s="44"/>
      <c r="D544" s="44"/>
    </row>
    <row r="545">
      <c r="A545" s="44"/>
      <c r="C545" s="44"/>
      <c r="D545" s="44"/>
    </row>
    <row r="546">
      <c r="A546" s="44"/>
      <c r="C546" s="44"/>
      <c r="D546" s="44"/>
    </row>
    <row r="547">
      <c r="A547" s="44"/>
      <c r="C547" s="44"/>
      <c r="D547" s="44"/>
    </row>
    <row r="548">
      <c r="A548" s="44"/>
      <c r="C548" s="44"/>
      <c r="D548" s="44"/>
    </row>
    <row r="549">
      <c r="A549" s="44"/>
      <c r="C549" s="44"/>
      <c r="D549" s="44"/>
    </row>
    <row r="550">
      <c r="A550" s="44"/>
      <c r="C550" s="44"/>
      <c r="D550" s="44"/>
    </row>
    <row r="551">
      <c r="A551" s="44"/>
      <c r="C551" s="44"/>
      <c r="D551" s="44"/>
    </row>
    <row r="552">
      <c r="A552" s="44"/>
      <c r="C552" s="44"/>
      <c r="D552" s="44"/>
    </row>
    <row r="553">
      <c r="A553" s="44"/>
      <c r="C553" s="44"/>
      <c r="D553" s="44"/>
    </row>
    <row r="554">
      <c r="A554" s="44"/>
      <c r="C554" s="44"/>
      <c r="D554" s="44"/>
    </row>
    <row r="555">
      <c r="A555" s="44"/>
      <c r="C555" s="44"/>
      <c r="D555" s="44"/>
    </row>
    <row r="556">
      <c r="A556" s="44"/>
      <c r="C556" s="44"/>
      <c r="D556" s="44"/>
    </row>
    <row r="557">
      <c r="A557" s="44"/>
      <c r="C557" s="44"/>
      <c r="D557" s="44"/>
    </row>
    <row r="558">
      <c r="A558" s="44"/>
      <c r="C558" s="44"/>
      <c r="D558" s="44"/>
    </row>
    <row r="559">
      <c r="A559" s="44"/>
      <c r="C559" s="44"/>
      <c r="D559" s="44"/>
    </row>
    <row r="560">
      <c r="A560" s="44"/>
      <c r="C560" s="44"/>
      <c r="D560" s="44"/>
    </row>
    <row r="561">
      <c r="A561" s="44"/>
      <c r="C561" s="44"/>
      <c r="D561" s="44"/>
    </row>
    <row r="562">
      <c r="A562" s="44"/>
      <c r="C562" s="44"/>
      <c r="D562" s="44"/>
    </row>
    <row r="563">
      <c r="A563" s="44"/>
      <c r="C563" s="44"/>
      <c r="D563" s="44"/>
    </row>
    <row r="564">
      <c r="A564" s="44"/>
      <c r="C564" s="44"/>
      <c r="D564" s="44"/>
    </row>
    <row r="565">
      <c r="A565" s="44"/>
      <c r="C565" s="44"/>
      <c r="D565" s="44"/>
    </row>
    <row r="566">
      <c r="A566" s="44"/>
      <c r="C566" s="44"/>
      <c r="D566" s="44"/>
    </row>
    <row r="567">
      <c r="A567" s="44"/>
      <c r="C567" s="44"/>
      <c r="D567" s="44"/>
    </row>
    <row r="568">
      <c r="A568" s="44"/>
      <c r="C568" s="44"/>
      <c r="D568" s="44"/>
    </row>
    <row r="569">
      <c r="A569" s="44"/>
      <c r="C569" s="44"/>
      <c r="D569" s="44"/>
    </row>
    <row r="570">
      <c r="A570" s="44"/>
      <c r="C570" s="44"/>
      <c r="D570" s="44"/>
    </row>
    <row r="571">
      <c r="A571" s="44"/>
      <c r="C571" s="44"/>
      <c r="D571" s="44"/>
    </row>
    <row r="572">
      <c r="A572" s="44"/>
      <c r="C572" s="44"/>
      <c r="D572" s="44"/>
    </row>
    <row r="573">
      <c r="A573" s="44"/>
      <c r="C573" s="44"/>
      <c r="D573" s="44"/>
    </row>
    <row r="574">
      <c r="A574" s="44"/>
      <c r="C574" s="44"/>
      <c r="D574" s="44"/>
    </row>
    <row r="575">
      <c r="A575" s="44"/>
      <c r="C575" s="44"/>
      <c r="D575" s="44"/>
    </row>
    <row r="576">
      <c r="A576" s="44"/>
      <c r="C576" s="44"/>
      <c r="D576" s="44"/>
    </row>
    <row r="577">
      <c r="A577" s="44"/>
      <c r="C577" s="44"/>
      <c r="D577" s="44"/>
    </row>
    <row r="578">
      <c r="A578" s="44"/>
      <c r="C578" s="44"/>
      <c r="D578" s="44"/>
    </row>
    <row r="579">
      <c r="A579" s="44"/>
      <c r="C579" s="44"/>
      <c r="D579" s="44"/>
    </row>
    <row r="580">
      <c r="A580" s="44"/>
      <c r="C580" s="44"/>
      <c r="D580" s="44"/>
    </row>
    <row r="581">
      <c r="A581" s="44"/>
      <c r="C581" s="44"/>
      <c r="D581" s="44"/>
    </row>
    <row r="582">
      <c r="A582" s="44"/>
      <c r="C582" s="44"/>
      <c r="D582" s="44"/>
    </row>
    <row r="583">
      <c r="A583" s="44"/>
      <c r="C583" s="44"/>
      <c r="D583" s="44"/>
    </row>
    <row r="584">
      <c r="A584" s="44"/>
      <c r="C584" s="44"/>
      <c r="D584" s="44"/>
    </row>
    <row r="585">
      <c r="A585" s="44"/>
      <c r="C585" s="44"/>
      <c r="D585" s="44"/>
    </row>
    <row r="586">
      <c r="A586" s="44"/>
      <c r="C586" s="44"/>
      <c r="D586" s="44"/>
    </row>
    <row r="587">
      <c r="A587" s="44"/>
      <c r="C587" s="44"/>
      <c r="D587" s="44"/>
    </row>
    <row r="588">
      <c r="A588" s="44"/>
      <c r="C588" s="44"/>
      <c r="D588" s="44"/>
    </row>
    <row r="589">
      <c r="A589" s="44"/>
      <c r="C589" s="44"/>
      <c r="D589" s="44"/>
    </row>
    <row r="590">
      <c r="A590" s="44"/>
      <c r="C590" s="44"/>
      <c r="D590" s="44"/>
    </row>
    <row r="591">
      <c r="A591" s="44"/>
      <c r="C591" s="44"/>
      <c r="D591" s="44"/>
    </row>
    <row r="592">
      <c r="A592" s="44"/>
      <c r="C592" s="44"/>
      <c r="D592" s="44"/>
    </row>
    <row r="593">
      <c r="A593" s="44"/>
      <c r="C593" s="44"/>
      <c r="D593" s="44"/>
    </row>
    <row r="594">
      <c r="A594" s="44"/>
      <c r="C594" s="44"/>
      <c r="D594" s="44"/>
    </row>
    <row r="595">
      <c r="A595" s="44"/>
      <c r="C595" s="44"/>
      <c r="D595" s="44"/>
    </row>
    <row r="596">
      <c r="A596" s="44"/>
      <c r="C596" s="44"/>
      <c r="D596" s="44"/>
    </row>
    <row r="597">
      <c r="A597" s="44"/>
      <c r="C597" s="44"/>
      <c r="D597" s="44"/>
    </row>
    <row r="598">
      <c r="A598" s="44"/>
      <c r="C598" s="44"/>
      <c r="D598" s="44"/>
    </row>
    <row r="599">
      <c r="A599" s="44"/>
      <c r="C599" s="44"/>
      <c r="D599" s="44"/>
    </row>
    <row r="600">
      <c r="A600" s="44"/>
      <c r="C600" s="44"/>
      <c r="D600" s="44"/>
    </row>
    <row r="601">
      <c r="A601" s="44"/>
      <c r="C601" s="44"/>
      <c r="D601" s="44"/>
    </row>
    <row r="602">
      <c r="A602" s="44"/>
      <c r="C602" s="44"/>
      <c r="D602" s="44"/>
    </row>
    <row r="603">
      <c r="A603" s="44"/>
      <c r="C603" s="44"/>
      <c r="D603" s="44"/>
    </row>
    <row r="604">
      <c r="A604" s="44"/>
      <c r="C604" s="44"/>
      <c r="D604" s="44"/>
    </row>
    <row r="605">
      <c r="A605" s="44"/>
      <c r="C605" s="44"/>
      <c r="D605" s="44"/>
    </row>
    <row r="606">
      <c r="A606" s="44"/>
      <c r="C606" s="44"/>
      <c r="D606" s="44"/>
    </row>
    <row r="607">
      <c r="A607" s="44"/>
      <c r="C607" s="44"/>
      <c r="D607" s="44"/>
    </row>
    <row r="608">
      <c r="A608" s="44"/>
      <c r="C608" s="44"/>
      <c r="D608" s="44"/>
    </row>
    <row r="609">
      <c r="A609" s="44"/>
      <c r="C609" s="44"/>
      <c r="D609" s="44"/>
    </row>
    <row r="610">
      <c r="A610" s="44"/>
      <c r="C610" s="44"/>
      <c r="D610" s="44"/>
    </row>
    <row r="611">
      <c r="A611" s="44"/>
      <c r="C611" s="44"/>
      <c r="D611" s="44"/>
    </row>
    <row r="612">
      <c r="A612" s="44"/>
      <c r="C612" s="44"/>
      <c r="D612" s="44"/>
    </row>
    <row r="613">
      <c r="A613" s="44"/>
      <c r="C613" s="44"/>
      <c r="D613" s="44"/>
    </row>
    <row r="614">
      <c r="A614" s="44"/>
      <c r="C614" s="44"/>
      <c r="D614" s="44"/>
    </row>
    <row r="615">
      <c r="A615" s="44"/>
      <c r="C615" s="44"/>
      <c r="D615" s="44"/>
    </row>
    <row r="616">
      <c r="A616" s="44"/>
      <c r="C616" s="44"/>
      <c r="D616" s="44"/>
    </row>
    <row r="617">
      <c r="A617" s="44"/>
      <c r="C617" s="44"/>
      <c r="D617" s="44"/>
    </row>
    <row r="618">
      <c r="A618" s="44"/>
      <c r="C618" s="44"/>
      <c r="D618" s="44"/>
    </row>
    <row r="619">
      <c r="A619" s="44"/>
      <c r="C619" s="44"/>
      <c r="D619" s="44"/>
    </row>
    <row r="620">
      <c r="A620" s="44"/>
      <c r="C620" s="44"/>
      <c r="D620" s="44"/>
    </row>
    <row r="621">
      <c r="A621" s="44"/>
      <c r="C621" s="44"/>
      <c r="D621" s="44"/>
    </row>
    <row r="622">
      <c r="A622" s="44"/>
      <c r="C622" s="44"/>
      <c r="D622" s="44"/>
    </row>
    <row r="623">
      <c r="A623" s="44"/>
      <c r="C623" s="44"/>
      <c r="D623" s="44"/>
    </row>
    <row r="624">
      <c r="A624" s="44"/>
      <c r="C624" s="44"/>
      <c r="D624" s="44"/>
    </row>
    <row r="625">
      <c r="A625" s="44"/>
      <c r="C625" s="44"/>
      <c r="D625" s="44"/>
    </row>
    <row r="626">
      <c r="A626" s="44"/>
      <c r="C626" s="44"/>
      <c r="D626" s="44"/>
    </row>
    <row r="627">
      <c r="A627" s="44"/>
      <c r="C627" s="44"/>
      <c r="D627" s="44"/>
    </row>
    <row r="628">
      <c r="A628" s="44"/>
      <c r="C628" s="44"/>
      <c r="D628" s="44"/>
    </row>
    <row r="629">
      <c r="A629" s="44"/>
      <c r="C629" s="44"/>
      <c r="D629" s="44"/>
    </row>
    <row r="630">
      <c r="A630" s="44"/>
      <c r="C630" s="44"/>
      <c r="D630" s="44"/>
    </row>
    <row r="631">
      <c r="A631" s="44"/>
      <c r="C631" s="44"/>
      <c r="D631" s="44"/>
    </row>
    <row r="632">
      <c r="A632" s="44"/>
      <c r="C632" s="44"/>
      <c r="D632" s="44"/>
    </row>
    <row r="633">
      <c r="A633" s="44"/>
      <c r="C633" s="44"/>
      <c r="D633" s="44"/>
    </row>
    <row r="634">
      <c r="A634" s="44"/>
      <c r="C634" s="44"/>
      <c r="D634" s="44"/>
    </row>
    <row r="635">
      <c r="A635" s="44"/>
      <c r="C635" s="44"/>
      <c r="D635" s="44"/>
    </row>
    <row r="636">
      <c r="A636" s="44"/>
      <c r="C636" s="44"/>
      <c r="D636" s="44"/>
    </row>
    <row r="637">
      <c r="A637" s="44"/>
      <c r="C637" s="44"/>
      <c r="D637" s="44"/>
    </row>
    <row r="638">
      <c r="A638" s="44"/>
      <c r="C638" s="44"/>
      <c r="D638" s="44"/>
    </row>
    <row r="639">
      <c r="A639" s="44"/>
      <c r="C639" s="44"/>
      <c r="D639" s="44"/>
    </row>
    <row r="640">
      <c r="A640" s="44"/>
      <c r="C640" s="44"/>
      <c r="D640" s="44"/>
    </row>
    <row r="641">
      <c r="A641" s="44"/>
      <c r="C641" s="44"/>
      <c r="D641" s="44"/>
    </row>
    <row r="642">
      <c r="A642" s="44"/>
      <c r="C642" s="44"/>
      <c r="D642" s="44"/>
    </row>
    <row r="643">
      <c r="A643" s="44"/>
      <c r="C643" s="44"/>
      <c r="D643" s="44"/>
    </row>
    <row r="644">
      <c r="A644" s="44"/>
      <c r="C644" s="44"/>
      <c r="D644" s="44"/>
    </row>
    <row r="645">
      <c r="A645" s="44"/>
      <c r="C645" s="44"/>
      <c r="D645" s="44"/>
    </row>
    <row r="646">
      <c r="A646" s="44"/>
      <c r="C646" s="44"/>
      <c r="D646" s="44"/>
    </row>
    <row r="647">
      <c r="A647" s="44"/>
      <c r="C647" s="44"/>
      <c r="D647" s="44"/>
    </row>
    <row r="648">
      <c r="A648" s="44"/>
      <c r="C648" s="44"/>
      <c r="D648" s="44"/>
    </row>
    <row r="649">
      <c r="A649" s="44"/>
      <c r="C649" s="44"/>
      <c r="D649" s="44"/>
    </row>
    <row r="650">
      <c r="A650" s="44"/>
      <c r="C650" s="44"/>
      <c r="D650" s="44"/>
    </row>
    <row r="651">
      <c r="A651" s="44"/>
      <c r="C651" s="44"/>
      <c r="D651" s="44"/>
    </row>
    <row r="652">
      <c r="A652" s="44"/>
      <c r="C652" s="44"/>
      <c r="D652" s="44"/>
    </row>
    <row r="653">
      <c r="A653" s="44"/>
      <c r="C653" s="44"/>
      <c r="D653" s="44"/>
    </row>
    <row r="654">
      <c r="A654" s="44"/>
      <c r="C654" s="44"/>
      <c r="D654" s="44"/>
    </row>
    <row r="655">
      <c r="A655" s="44"/>
      <c r="C655" s="44"/>
      <c r="D655" s="44"/>
    </row>
    <row r="656">
      <c r="A656" s="44"/>
      <c r="C656" s="44"/>
      <c r="D656" s="44"/>
    </row>
    <row r="657">
      <c r="A657" s="44"/>
      <c r="C657" s="44"/>
      <c r="D657" s="44"/>
    </row>
    <row r="658">
      <c r="A658" s="44"/>
      <c r="C658" s="44"/>
      <c r="D658" s="44"/>
    </row>
    <row r="659">
      <c r="A659" s="44"/>
      <c r="C659" s="44"/>
      <c r="D659" s="44"/>
    </row>
    <row r="660">
      <c r="A660" s="44"/>
      <c r="C660" s="44"/>
      <c r="D660" s="44"/>
    </row>
    <row r="661">
      <c r="A661" s="44"/>
      <c r="C661" s="44"/>
      <c r="D661" s="44"/>
    </row>
    <row r="662">
      <c r="A662" s="44"/>
      <c r="C662" s="44"/>
      <c r="D662" s="44"/>
    </row>
    <row r="663">
      <c r="A663" s="44"/>
      <c r="C663" s="44"/>
      <c r="D663" s="44"/>
    </row>
    <row r="664">
      <c r="A664" s="44"/>
      <c r="C664" s="44"/>
      <c r="D664" s="44"/>
    </row>
    <row r="665">
      <c r="A665" s="44"/>
      <c r="C665" s="44"/>
      <c r="D665" s="44"/>
    </row>
    <row r="666">
      <c r="A666" s="44"/>
      <c r="C666" s="44"/>
      <c r="D666" s="44"/>
    </row>
    <row r="667">
      <c r="A667" s="44"/>
      <c r="C667" s="44"/>
      <c r="D667" s="44"/>
    </row>
    <row r="668">
      <c r="A668" s="44"/>
      <c r="C668" s="44"/>
      <c r="D668" s="44"/>
    </row>
    <row r="669">
      <c r="A669" s="44"/>
      <c r="C669" s="44"/>
      <c r="D669" s="44"/>
    </row>
    <row r="670">
      <c r="A670" s="44"/>
      <c r="C670" s="44"/>
      <c r="D670" s="44"/>
    </row>
    <row r="671">
      <c r="A671" s="44"/>
      <c r="C671" s="44"/>
      <c r="D671" s="44"/>
    </row>
    <row r="672">
      <c r="A672" s="44"/>
      <c r="C672" s="44"/>
      <c r="D672" s="44"/>
    </row>
    <row r="673">
      <c r="A673" s="44"/>
      <c r="C673" s="44"/>
      <c r="D673" s="44"/>
    </row>
    <row r="674">
      <c r="A674" s="44"/>
      <c r="C674" s="44"/>
      <c r="D674" s="44"/>
    </row>
    <row r="675">
      <c r="A675" s="44"/>
      <c r="C675" s="44"/>
      <c r="D675" s="44"/>
    </row>
    <row r="676">
      <c r="A676" s="44"/>
      <c r="C676" s="44"/>
      <c r="D676" s="44"/>
    </row>
    <row r="677">
      <c r="A677" s="44"/>
      <c r="C677" s="44"/>
      <c r="D677" s="44"/>
    </row>
    <row r="678">
      <c r="A678" s="44"/>
      <c r="C678" s="44"/>
      <c r="D678" s="44"/>
    </row>
    <row r="679">
      <c r="A679" s="44"/>
      <c r="C679" s="44"/>
      <c r="D679" s="44"/>
    </row>
    <row r="680">
      <c r="A680" s="44"/>
      <c r="C680" s="44"/>
      <c r="D680" s="44"/>
    </row>
    <row r="681">
      <c r="A681" s="44"/>
      <c r="C681" s="44"/>
      <c r="D681" s="44"/>
    </row>
    <row r="682">
      <c r="A682" s="44"/>
      <c r="C682" s="44"/>
      <c r="D682" s="44"/>
    </row>
    <row r="683">
      <c r="A683" s="44"/>
      <c r="C683" s="44"/>
      <c r="D683" s="44"/>
    </row>
    <row r="684">
      <c r="A684" s="44"/>
      <c r="C684" s="44"/>
      <c r="D684" s="44"/>
    </row>
    <row r="685">
      <c r="A685" s="44"/>
      <c r="C685" s="44"/>
      <c r="D685" s="44"/>
    </row>
    <row r="686">
      <c r="A686" s="44"/>
      <c r="C686" s="44"/>
      <c r="D686" s="44"/>
    </row>
    <row r="687">
      <c r="A687" s="44"/>
      <c r="C687" s="44"/>
      <c r="D687" s="44"/>
    </row>
    <row r="688">
      <c r="A688" s="44"/>
      <c r="C688" s="44"/>
      <c r="D688" s="44"/>
    </row>
    <row r="689">
      <c r="A689" s="44"/>
      <c r="C689" s="44"/>
      <c r="D689" s="44"/>
    </row>
    <row r="690">
      <c r="A690" s="44"/>
      <c r="C690" s="44"/>
      <c r="D690" s="44"/>
    </row>
    <row r="691">
      <c r="A691" s="44"/>
      <c r="C691" s="44"/>
      <c r="D691" s="44"/>
    </row>
    <row r="692">
      <c r="A692" s="44"/>
      <c r="C692" s="44"/>
      <c r="D692" s="44"/>
    </row>
    <row r="693">
      <c r="A693" s="44"/>
      <c r="C693" s="44"/>
      <c r="D693" s="44"/>
    </row>
    <row r="694">
      <c r="A694" s="44"/>
      <c r="C694" s="44"/>
      <c r="D694" s="44"/>
    </row>
    <row r="695">
      <c r="A695" s="44"/>
      <c r="C695" s="44"/>
      <c r="D695" s="44"/>
    </row>
    <row r="696">
      <c r="A696" s="44"/>
      <c r="C696" s="44"/>
      <c r="D696" s="44"/>
    </row>
    <row r="697">
      <c r="A697" s="44"/>
      <c r="C697" s="44"/>
      <c r="D697" s="44"/>
    </row>
    <row r="698">
      <c r="A698" s="44"/>
      <c r="C698" s="44"/>
      <c r="D698" s="44"/>
    </row>
    <row r="699">
      <c r="A699" s="44"/>
      <c r="C699" s="44"/>
      <c r="D699" s="44"/>
    </row>
    <row r="700">
      <c r="A700" s="44"/>
      <c r="C700" s="44"/>
      <c r="D700" s="44"/>
    </row>
    <row r="701">
      <c r="A701" s="44"/>
      <c r="C701" s="44"/>
      <c r="D701" s="44"/>
    </row>
    <row r="702">
      <c r="A702" s="44"/>
      <c r="C702" s="44"/>
      <c r="D702" s="44"/>
    </row>
    <row r="703">
      <c r="A703" s="44"/>
      <c r="C703" s="44"/>
      <c r="D703" s="44"/>
    </row>
    <row r="704">
      <c r="A704" s="44"/>
      <c r="C704" s="44"/>
      <c r="D704" s="44"/>
    </row>
    <row r="705">
      <c r="A705" s="44"/>
      <c r="C705" s="44"/>
      <c r="D705" s="44"/>
    </row>
    <row r="706">
      <c r="A706" s="44"/>
      <c r="C706" s="44"/>
      <c r="D706" s="44"/>
    </row>
    <row r="707">
      <c r="A707" s="44"/>
      <c r="C707" s="44"/>
      <c r="D707" s="44"/>
    </row>
    <row r="708">
      <c r="A708" s="44"/>
      <c r="C708" s="44"/>
      <c r="D708" s="44"/>
    </row>
    <row r="709">
      <c r="A709" s="44"/>
      <c r="C709" s="44"/>
      <c r="D709" s="44"/>
    </row>
    <row r="710">
      <c r="A710" s="44"/>
      <c r="C710" s="44"/>
      <c r="D710" s="44"/>
    </row>
    <row r="711">
      <c r="A711" s="44"/>
      <c r="C711" s="44"/>
      <c r="D711" s="44"/>
    </row>
    <row r="712">
      <c r="A712" s="44"/>
      <c r="C712" s="44"/>
      <c r="D712" s="44"/>
    </row>
    <row r="713">
      <c r="A713" s="44"/>
      <c r="C713" s="44"/>
      <c r="D713" s="44"/>
    </row>
    <row r="714">
      <c r="A714" s="44"/>
      <c r="C714" s="44"/>
      <c r="D714" s="44"/>
    </row>
    <row r="715">
      <c r="A715" s="44"/>
      <c r="C715" s="44"/>
      <c r="D715" s="44"/>
    </row>
    <row r="716">
      <c r="A716" s="44"/>
      <c r="C716" s="44"/>
      <c r="D716" s="44"/>
    </row>
    <row r="717">
      <c r="A717" s="44"/>
      <c r="C717" s="44"/>
      <c r="D717" s="44"/>
    </row>
    <row r="718">
      <c r="A718" s="44"/>
      <c r="C718" s="44"/>
      <c r="D718" s="44"/>
    </row>
    <row r="719">
      <c r="A719" s="44"/>
      <c r="C719" s="44"/>
      <c r="D719" s="44"/>
    </row>
    <row r="720">
      <c r="A720" s="44"/>
      <c r="C720" s="44"/>
      <c r="D720" s="44"/>
    </row>
    <row r="721">
      <c r="A721" s="44"/>
      <c r="C721" s="44"/>
      <c r="D721" s="44"/>
    </row>
    <row r="722">
      <c r="A722" s="44"/>
      <c r="C722" s="44"/>
      <c r="D722" s="44"/>
    </row>
    <row r="723">
      <c r="A723" s="44"/>
      <c r="C723" s="44"/>
      <c r="D723" s="44"/>
    </row>
    <row r="724">
      <c r="A724" s="44"/>
      <c r="C724" s="44"/>
      <c r="D724" s="44"/>
    </row>
    <row r="725">
      <c r="A725" s="44"/>
      <c r="C725" s="44"/>
      <c r="D725" s="44"/>
    </row>
    <row r="726">
      <c r="A726" s="44"/>
      <c r="C726" s="44"/>
      <c r="D726" s="44"/>
    </row>
    <row r="727">
      <c r="A727" s="44"/>
      <c r="C727" s="44"/>
      <c r="D727" s="44"/>
    </row>
    <row r="728">
      <c r="A728" s="44"/>
      <c r="C728" s="44"/>
      <c r="D728" s="44"/>
    </row>
    <row r="729">
      <c r="A729" s="44"/>
      <c r="C729" s="44"/>
      <c r="D729" s="44"/>
    </row>
    <row r="730">
      <c r="A730" s="44"/>
      <c r="C730" s="44"/>
      <c r="D730" s="44"/>
    </row>
    <row r="731">
      <c r="A731" s="44"/>
      <c r="C731" s="44"/>
      <c r="D731" s="44"/>
    </row>
    <row r="732">
      <c r="A732" s="44"/>
      <c r="C732" s="44"/>
      <c r="D732" s="44"/>
    </row>
    <row r="733">
      <c r="A733" s="44"/>
      <c r="C733" s="44"/>
      <c r="D733" s="44"/>
    </row>
    <row r="734">
      <c r="A734" s="44"/>
      <c r="C734" s="44"/>
      <c r="D734" s="44"/>
    </row>
    <row r="735">
      <c r="A735" s="44"/>
      <c r="C735" s="44"/>
      <c r="D735" s="44"/>
    </row>
    <row r="736">
      <c r="A736" s="44"/>
      <c r="C736" s="44"/>
      <c r="D736" s="44"/>
    </row>
    <row r="737">
      <c r="A737" s="44"/>
      <c r="C737" s="44"/>
      <c r="D737" s="44"/>
    </row>
    <row r="738">
      <c r="A738" s="44"/>
      <c r="C738" s="44"/>
      <c r="D738" s="44"/>
    </row>
    <row r="739">
      <c r="A739" s="44"/>
      <c r="C739" s="44"/>
      <c r="D739" s="44"/>
    </row>
    <row r="740">
      <c r="A740" s="44"/>
      <c r="C740" s="44"/>
      <c r="D740" s="44"/>
    </row>
    <row r="741">
      <c r="A741" s="44"/>
      <c r="C741" s="44"/>
      <c r="D741" s="44"/>
    </row>
    <row r="742">
      <c r="A742" s="44"/>
      <c r="C742" s="44"/>
      <c r="D742" s="44"/>
    </row>
    <row r="743">
      <c r="A743" s="44"/>
      <c r="C743" s="44"/>
      <c r="D743" s="44"/>
    </row>
    <row r="744">
      <c r="A744" s="44"/>
      <c r="C744" s="44"/>
      <c r="D744" s="44"/>
    </row>
    <row r="745">
      <c r="A745" s="44"/>
      <c r="C745" s="44"/>
      <c r="D745" s="44"/>
    </row>
    <row r="746">
      <c r="A746" s="44"/>
      <c r="C746" s="44"/>
      <c r="D746" s="44"/>
    </row>
    <row r="747">
      <c r="A747" s="44"/>
      <c r="C747" s="44"/>
      <c r="D747" s="44"/>
    </row>
    <row r="748">
      <c r="A748" s="44"/>
      <c r="C748" s="44"/>
      <c r="D748" s="44"/>
    </row>
    <row r="749">
      <c r="A749" s="44"/>
      <c r="C749" s="44"/>
      <c r="D749" s="44"/>
    </row>
    <row r="750">
      <c r="A750" s="44"/>
      <c r="C750" s="44"/>
      <c r="D750" s="44"/>
    </row>
    <row r="751">
      <c r="A751" s="44"/>
      <c r="C751" s="44"/>
      <c r="D751" s="44"/>
    </row>
    <row r="752">
      <c r="A752" s="44"/>
      <c r="C752" s="44"/>
      <c r="D752" s="44"/>
    </row>
    <row r="753">
      <c r="A753" s="44"/>
      <c r="C753" s="44"/>
      <c r="D753" s="44"/>
    </row>
    <row r="754">
      <c r="A754" s="44"/>
      <c r="C754" s="44"/>
      <c r="D754" s="44"/>
    </row>
    <row r="755">
      <c r="A755" s="44"/>
      <c r="C755" s="44"/>
      <c r="D755" s="44"/>
    </row>
    <row r="756">
      <c r="A756" s="44"/>
      <c r="C756" s="44"/>
      <c r="D756" s="44"/>
    </row>
    <row r="757">
      <c r="A757" s="44"/>
      <c r="C757" s="44"/>
      <c r="D757" s="44"/>
    </row>
    <row r="758">
      <c r="A758" s="44"/>
      <c r="C758" s="44"/>
      <c r="D758" s="44"/>
    </row>
    <row r="759">
      <c r="A759" s="44"/>
      <c r="C759" s="44"/>
      <c r="D759" s="44"/>
    </row>
    <row r="760">
      <c r="A760" s="44"/>
      <c r="C760" s="44"/>
      <c r="D760" s="44"/>
    </row>
    <row r="761">
      <c r="A761" s="44"/>
      <c r="C761" s="44"/>
      <c r="D761" s="44"/>
    </row>
    <row r="762">
      <c r="A762" s="44"/>
      <c r="C762" s="44"/>
      <c r="D762" s="44"/>
    </row>
    <row r="763">
      <c r="A763" s="44"/>
      <c r="C763" s="44"/>
      <c r="D763" s="44"/>
    </row>
    <row r="764">
      <c r="A764" s="44"/>
      <c r="C764" s="44"/>
      <c r="D764" s="44"/>
    </row>
    <row r="765">
      <c r="A765" s="44"/>
      <c r="C765" s="44"/>
      <c r="D765" s="44"/>
    </row>
    <row r="766">
      <c r="A766" s="44"/>
      <c r="C766" s="44"/>
      <c r="D766" s="44"/>
    </row>
    <row r="767">
      <c r="A767" s="44"/>
      <c r="C767" s="44"/>
      <c r="D767" s="44"/>
    </row>
    <row r="768">
      <c r="A768" s="44"/>
      <c r="C768" s="44"/>
      <c r="D768" s="44"/>
    </row>
    <row r="769">
      <c r="A769" s="44"/>
      <c r="C769" s="44"/>
      <c r="D769" s="44"/>
    </row>
    <row r="770">
      <c r="A770" s="44"/>
      <c r="C770" s="44"/>
      <c r="D770" s="44"/>
    </row>
    <row r="771">
      <c r="A771" s="44"/>
      <c r="C771" s="44"/>
      <c r="D771" s="44"/>
    </row>
    <row r="772">
      <c r="A772" s="44"/>
      <c r="C772" s="44"/>
      <c r="D772" s="44"/>
    </row>
    <row r="773">
      <c r="A773" s="44"/>
      <c r="C773" s="44"/>
      <c r="D773" s="44"/>
    </row>
    <row r="774">
      <c r="A774" s="44"/>
      <c r="C774" s="44"/>
      <c r="D774" s="44"/>
    </row>
    <row r="775">
      <c r="A775" s="44"/>
      <c r="C775" s="44"/>
      <c r="D775" s="44"/>
    </row>
    <row r="776">
      <c r="A776" s="44"/>
      <c r="C776" s="44"/>
      <c r="D776" s="44"/>
    </row>
    <row r="777">
      <c r="A777" s="44"/>
      <c r="C777" s="44"/>
      <c r="D777" s="44"/>
    </row>
    <row r="778">
      <c r="A778" s="44"/>
      <c r="C778" s="44"/>
      <c r="D778" s="44"/>
    </row>
    <row r="779">
      <c r="A779" s="44"/>
      <c r="C779" s="44"/>
      <c r="D779" s="44"/>
    </row>
    <row r="780">
      <c r="A780" s="44"/>
      <c r="C780" s="44"/>
      <c r="D780" s="44"/>
    </row>
    <row r="781">
      <c r="A781" s="44"/>
      <c r="C781" s="44"/>
      <c r="D781" s="44"/>
    </row>
    <row r="782">
      <c r="A782" s="44"/>
      <c r="C782" s="44"/>
      <c r="D782" s="44"/>
    </row>
    <row r="783">
      <c r="A783" s="44"/>
      <c r="C783" s="44"/>
      <c r="D783" s="44"/>
    </row>
    <row r="784">
      <c r="A784" s="44"/>
      <c r="C784" s="44"/>
      <c r="D784" s="44"/>
    </row>
    <row r="785">
      <c r="A785" s="44"/>
      <c r="C785" s="44"/>
      <c r="D785" s="44"/>
    </row>
    <row r="786">
      <c r="A786" s="44"/>
      <c r="C786" s="44"/>
      <c r="D786" s="44"/>
    </row>
    <row r="787">
      <c r="A787" s="44"/>
      <c r="C787" s="44"/>
      <c r="D787" s="44"/>
    </row>
    <row r="788">
      <c r="A788" s="44"/>
      <c r="C788" s="44"/>
      <c r="D788" s="44"/>
    </row>
    <row r="789">
      <c r="A789" s="44"/>
      <c r="C789" s="44"/>
      <c r="D789" s="44"/>
    </row>
    <row r="790">
      <c r="A790" s="44"/>
      <c r="C790" s="44"/>
      <c r="D790" s="44"/>
    </row>
    <row r="791">
      <c r="A791" s="44"/>
      <c r="C791" s="44"/>
      <c r="D791" s="44"/>
    </row>
    <row r="792">
      <c r="A792" s="44"/>
      <c r="C792" s="44"/>
      <c r="D792" s="44"/>
    </row>
    <row r="793">
      <c r="A793" s="44"/>
      <c r="C793" s="44"/>
      <c r="D793" s="44"/>
    </row>
    <row r="794">
      <c r="A794" s="44"/>
      <c r="C794" s="44"/>
      <c r="D794" s="44"/>
    </row>
    <row r="795">
      <c r="A795" s="44"/>
      <c r="C795" s="44"/>
      <c r="D795" s="44"/>
    </row>
    <row r="796">
      <c r="A796" s="44"/>
      <c r="C796" s="44"/>
      <c r="D796" s="44"/>
    </row>
    <row r="797">
      <c r="A797" s="44"/>
      <c r="C797" s="44"/>
      <c r="D797" s="44"/>
    </row>
    <row r="798">
      <c r="A798" s="44"/>
      <c r="C798" s="44"/>
      <c r="D798" s="44"/>
    </row>
    <row r="799">
      <c r="A799" s="44"/>
      <c r="C799" s="44"/>
      <c r="D799" s="44"/>
    </row>
    <row r="800">
      <c r="A800" s="44"/>
      <c r="C800" s="44"/>
      <c r="D800" s="44"/>
    </row>
    <row r="801">
      <c r="A801" s="44"/>
      <c r="C801" s="44"/>
      <c r="D801" s="44"/>
    </row>
    <row r="802">
      <c r="A802" s="44"/>
      <c r="C802" s="44"/>
      <c r="D802" s="44"/>
    </row>
    <row r="803">
      <c r="A803" s="44"/>
      <c r="C803" s="44"/>
      <c r="D803" s="44"/>
    </row>
    <row r="804">
      <c r="A804" s="44"/>
      <c r="C804" s="44"/>
      <c r="D804" s="44"/>
    </row>
    <row r="805">
      <c r="A805" s="44"/>
      <c r="C805" s="44"/>
      <c r="D805" s="44"/>
    </row>
    <row r="806">
      <c r="A806" s="44"/>
      <c r="C806" s="44"/>
      <c r="D806" s="44"/>
    </row>
    <row r="807">
      <c r="A807" s="44"/>
      <c r="C807" s="44"/>
      <c r="D807" s="44"/>
    </row>
    <row r="808">
      <c r="A808" s="44"/>
      <c r="C808" s="44"/>
      <c r="D808" s="44"/>
    </row>
    <row r="809">
      <c r="A809" s="44"/>
      <c r="C809" s="44"/>
      <c r="D809" s="44"/>
    </row>
    <row r="810">
      <c r="A810" s="44"/>
      <c r="C810" s="44"/>
      <c r="D810" s="44"/>
    </row>
    <row r="811">
      <c r="A811" s="44"/>
      <c r="C811" s="44"/>
      <c r="D811" s="44"/>
    </row>
    <row r="812">
      <c r="A812" s="44"/>
      <c r="C812" s="44"/>
      <c r="D812" s="44"/>
    </row>
    <row r="813">
      <c r="A813" s="44"/>
      <c r="C813" s="44"/>
      <c r="D813" s="44"/>
    </row>
    <row r="814">
      <c r="A814" s="44"/>
      <c r="C814" s="44"/>
      <c r="D814" s="44"/>
    </row>
    <row r="815">
      <c r="A815" s="44"/>
      <c r="C815" s="44"/>
      <c r="D815" s="44"/>
    </row>
    <row r="816">
      <c r="A816" s="44"/>
      <c r="C816" s="44"/>
      <c r="D816" s="44"/>
    </row>
    <row r="817">
      <c r="A817" s="44"/>
      <c r="C817" s="44"/>
      <c r="D817" s="44"/>
    </row>
    <row r="818">
      <c r="A818" s="44"/>
      <c r="C818" s="44"/>
      <c r="D818" s="44"/>
    </row>
    <row r="819">
      <c r="A819" s="44"/>
      <c r="C819" s="44"/>
      <c r="D819" s="44"/>
    </row>
    <row r="820">
      <c r="A820" s="44"/>
      <c r="C820" s="44"/>
      <c r="D820" s="44"/>
    </row>
    <row r="821">
      <c r="A821" s="44"/>
      <c r="C821" s="44"/>
      <c r="D821" s="44"/>
    </row>
    <row r="822">
      <c r="A822" s="44"/>
      <c r="C822" s="44"/>
      <c r="D822" s="44"/>
    </row>
    <row r="823">
      <c r="A823" s="44"/>
      <c r="C823" s="44"/>
      <c r="D823" s="44"/>
    </row>
    <row r="824">
      <c r="A824" s="44"/>
      <c r="C824" s="44"/>
      <c r="D824" s="44"/>
    </row>
    <row r="825">
      <c r="A825" s="44"/>
      <c r="C825" s="44"/>
      <c r="D825" s="44"/>
    </row>
    <row r="826">
      <c r="A826" s="44"/>
      <c r="C826" s="44"/>
      <c r="D826" s="44"/>
    </row>
    <row r="827">
      <c r="A827" s="44"/>
      <c r="C827" s="44"/>
      <c r="D827" s="44"/>
    </row>
    <row r="828">
      <c r="A828" s="44"/>
      <c r="C828" s="44"/>
      <c r="D828" s="44"/>
    </row>
    <row r="829">
      <c r="A829" s="44"/>
      <c r="C829" s="44"/>
      <c r="D829" s="44"/>
    </row>
    <row r="830">
      <c r="A830" s="44"/>
      <c r="C830" s="44"/>
      <c r="D830" s="44"/>
    </row>
    <row r="831">
      <c r="A831" s="44"/>
      <c r="C831" s="44"/>
      <c r="D831" s="44"/>
    </row>
    <row r="832">
      <c r="A832" s="44"/>
      <c r="C832" s="44"/>
      <c r="D832" s="44"/>
    </row>
    <row r="833">
      <c r="A833" s="44"/>
      <c r="C833" s="44"/>
      <c r="D833" s="44"/>
    </row>
    <row r="834">
      <c r="A834" s="44"/>
      <c r="C834" s="44"/>
      <c r="D834" s="44"/>
    </row>
    <row r="835">
      <c r="A835" s="44"/>
      <c r="C835" s="44"/>
      <c r="D835" s="44"/>
    </row>
    <row r="836">
      <c r="A836" s="44"/>
      <c r="C836" s="44"/>
      <c r="D836" s="44"/>
    </row>
    <row r="837">
      <c r="A837" s="44"/>
      <c r="C837" s="44"/>
      <c r="D837" s="44"/>
    </row>
    <row r="838">
      <c r="A838" s="44"/>
      <c r="C838" s="44"/>
      <c r="D838" s="44"/>
    </row>
    <row r="839">
      <c r="A839" s="44"/>
      <c r="C839" s="44"/>
      <c r="D839" s="44"/>
    </row>
    <row r="840">
      <c r="A840" s="44"/>
      <c r="C840" s="44"/>
      <c r="D840" s="44"/>
    </row>
    <row r="841">
      <c r="A841" s="44"/>
      <c r="C841" s="44"/>
      <c r="D841" s="44"/>
    </row>
    <row r="842">
      <c r="A842" s="44"/>
      <c r="C842" s="44"/>
      <c r="D842" s="44"/>
    </row>
    <row r="843">
      <c r="A843" s="44"/>
      <c r="C843" s="44"/>
      <c r="D843" s="44"/>
    </row>
    <row r="844">
      <c r="A844" s="44"/>
      <c r="C844" s="44"/>
      <c r="D844" s="44"/>
    </row>
    <row r="845">
      <c r="A845" s="44"/>
      <c r="C845" s="44"/>
      <c r="D845" s="44"/>
    </row>
    <row r="846">
      <c r="A846" s="44"/>
      <c r="C846" s="44"/>
      <c r="D846" s="44"/>
    </row>
    <row r="847">
      <c r="A847" s="44"/>
      <c r="C847" s="44"/>
      <c r="D847" s="44"/>
    </row>
    <row r="848">
      <c r="A848" s="44"/>
      <c r="C848" s="44"/>
      <c r="D848" s="44"/>
    </row>
    <row r="849">
      <c r="A849" s="44"/>
      <c r="C849" s="44"/>
      <c r="D849" s="44"/>
    </row>
    <row r="850">
      <c r="A850" s="44"/>
      <c r="C850" s="44"/>
      <c r="D850" s="44"/>
    </row>
    <row r="851">
      <c r="A851" s="44"/>
      <c r="C851" s="44"/>
      <c r="D851" s="44"/>
    </row>
    <row r="852">
      <c r="A852" s="44"/>
      <c r="C852" s="44"/>
      <c r="D852" s="44"/>
    </row>
    <row r="853">
      <c r="A853" s="44"/>
      <c r="C853" s="44"/>
      <c r="D853" s="44"/>
    </row>
    <row r="854">
      <c r="A854" s="44"/>
      <c r="C854" s="44"/>
      <c r="D854" s="44"/>
    </row>
    <row r="855">
      <c r="A855" s="44"/>
      <c r="C855" s="44"/>
      <c r="D855" s="44"/>
    </row>
    <row r="856">
      <c r="A856" s="44"/>
      <c r="C856" s="44"/>
      <c r="D856" s="44"/>
    </row>
    <row r="857">
      <c r="A857" s="44"/>
      <c r="C857" s="44"/>
      <c r="D857" s="44"/>
    </row>
    <row r="858">
      <c r="A858" s="44"/>
      <c r="C858" s="44"/>
      <c r="D858" s="44"/>
    </row>
    <row r="859">
      <c r="A859" s="44"/>
      <c r="C859" s="44"/>
      <c r="D859" s="44"/>
    </row>
    <row r="860">
      <c r="A860" s="44"/>
      <c r="C860" s="44"/>
      <c r="D860" s="44"/>
    </row>
    <row r="861">
      <c r="A861" s="44"/>
      <c r="C861" s="44"/>
      <c r="D861" s="44"/>
    </row>
    <row r="862">
      <c r="A862" s="44"/>
      <c r="C862" s="44"/>
      <c r="D862" s="44"/>
    </row>
    <row r="863">
      <c r="A863" s="44"/>
      <c r="C863" s="44"/>
      <c r="D863" s="44"/>
    </row>
    <row r="864">
      <c r="A864" s="44"/>
      <c r="C864" s="44"/>
      <c r="D864" s="44"/>
    </row>
    <row r="865">
      <c r="A865" s="44"/>
      <c r="C865" s="44"/>
      <c r="D865" s="44"/>
    </row>
    <row r="866">
      <c r="A866" s="44"/>
      <c r="C866" s="44"/>
      <c r="D866" s="44"/>
    </row>
    <row r="867">
      <c r="A867" s="44"/>
      <c r="C867" s="44"/>
      <c r="D867" s="44"/>
    </row>
    <row r="868">
      <c r="A868" s="44"/>
      <c r="C868" s="44"/>
      <c r="D868" s="44"/>
    </row>
    <row r="869">
      <c r="A869" s="44"/>
      <c r="C869" s="44"/>
      <c r="D869" s="44"/>
    </row>
    <row r="870">
      <c r="A870" s="44"/>
      <c r="C870" s="44"/>
      <c r="D870" s="44"/>
    </row>
    <row r="871">
      <c r="A871" s="44"/>
      <c r="C871" s="44"/>
      <c r="D871" s="44"/>
    </row>
    <row r="872">
      <c r="A872" s="44"/>
      <c r="C872" s="44"/>
      <c r="D872" s="44"/>
    </row>
    <row r="873">
      <c r="A873" s="44"/>
      <c r="C873" s="44"/>
      <c r="D873" s="44"/>
    </row>
    <row r="874">
      <c r="A874" s="44"/>
      <c r="C874" s="44"/>
      <c r="D874" s="44"/>
    </row>
    <row r="875">
      <c r="A875" s="44"/>
      <c r="C875" s="44"/>
      <c r="D875" s="44"/>
    </row>
    <row r="876">
      <c r="A876" s="44"/>
      <c r="C876" s="44"/>
      <c r="D876" s="44"/>
    </row>
    <row r="877">
      <c r="A877" s="44"/>
      <c r="C877" s="44"/>
      <c r="D877" s="44"/>
    </row>
    <row r="878">
      <c r="A878" s="44"/>
      <c r="C878" s="44"/>
      <c r="D878" s="44"/>
    </row>
    <row r="879">
      <c r="A879" s="44"/>
      <c r="C879" s="44"/>
      <c r="D879" s="44"/>
    </row>
    <row r="880">
      <c r="A880" s="44"/>
      <c r="C880" s="44"/>
      <c r="D880" s="44"/>
    </row>
    <row r="881">
      <c r="A881" s="44"/>
      <c r="C881" s="44"/>
      <c r="D881" s="44"/>
    </row>
    <row r="882">
      <c r="A882" s="44"/>
      <c r="C882" s="44"/>
      <c r="D882" s="44"/>
    </row>
    <row r="883">
      <c r="A883" s="44"/>
      <c r="C883" s="44"/>
      <c r="D883" s="44"/>
    </row>
    <row r="884">
      <c r="A884" s="44"/>
      <c r="C884" s="44"/>
      <c r="D884" s="44"/>
    </row>
    <row r="885">
      <c r="A885" s="44"/>
      <c r="C885" s="44"/>
      <c r="D885" s="44"/>
    </row>
    <row r="886">
      <c r="A886" s="44"/>
      <c r="C886" s="44"/>
      <c r="D886" s="44"/>
    </row>
    <row r="887">
      <c r="A887" s="44"/>
      <c r="C887" s="44"/>
      <c r="D887" s="44"/>
    </row>
    <row r="888">
      <c r="A888" s="44"/>
      <c r="C888" s="44"/>
      <c r="D888" s="44"/>
    </row>
    <row r="889">
      <c r="A889" s="44"/>
      <c r="C889" s="44"/>
      <c r="D889" s="44"/>
    </row>
    <row r="890">
      <c r="A890" s="44"/>
      <c r="C890" s="44"/>
      <c r="D890" s="44"/>
    </row>
    <row r="891">
      <c r="A891" s="44"/>
      <c r="C891" s="44"/>
      <c r="D891" s="44"/>
    </row>
    <row r="892">
      <c r="A892" s="44"/>
      <c r="C892" s="44"/>
      <c r="D892" s="44"/>
    </row>
    <row r="893">
      <c r="A893" s="44"/>
      <c r="C893" s="44"/>
      <c r="D893" s="44"/>
    </row>
    <row r="894">
      <c r="A894" s="44"/>
      <c r="C894" s="44"/>
      <c r="D894" s="44"/>
    </row>
    <row r="895">
      <c r="A895" s="44"/>
      <c r="C895" s="44"/>
      <c r="D895" s="44"/>
    </row>
    <row r="896">
      <c r="A896" s="44"/>
      <c r="C896" s="44"/>
      <c r="D896" s="44"/>
    </row>
    <row r="897">
      <c r="A897" s="44"/>
      <c r="C897" s="44"/>
      <c r="D897" s="44"/>
    </row>
    <row r="898">
      <c r="A898" s="44"/>
      <c r="C898" s="44"/>
      <c r="D898" s="44"/>
    </row>
    <row r="899">
      <c r="A899" s="44"/>
      <c r="C899" s="44"/>
      <c r="D899" s="44"/>
    </row>
    <row r="900">
      <c r="A900" s="44"/>
      <c r="C900" s="44"/>
      <c r="D900" s="44"/>
    </row>
    <row r="901">
      <c r="A901" s="44"/>
      <c r="C901" s="44"/>
      <c r="D901" s="44"/>
    </row>
    <row r="902">
      <c r="A902" s="44"/>
      <c r="C902" s="44"/>
      <c r="D902" s="44"/>
    </row>
    <row r="903">
      <c r="A903" s="44"/>
      <c r="C903" s="44"/>
      <c r="D903" s="44"/>
    </row>
    <row r="904">
      <c r="A904" s="44"/>
      <c r="C904" s="44"/>
      <c r="D904" s="44"/>
    </row>
    <row r="905">
      <c r="A905" s="44"/>
      <c r="C905" s="44"/>
      <c r="D905" s="44"/>
    </row>
    <row r="906">
      <c r="A906" s="44"/>
      <c r="C906" s="44"/>
      <c r="D906" s="44"/>
    </row>
    <row r="907">
      <c r="A907" s="44"/>
      <c r="C907" s="44"/>
      <c r="D907" s="44"/>
    </row>
    <row r="908">
      <c r="A908" s="44"/>
      <c r="C908" s="44"/>
      <c r="D908" s="44"/>
    </row>
    <row r="909">
      <c r="A909" s="44"/>
      <c r="C909" s="44"/>
      <c r="D909" s="44"/>
    </row>
    <row r="910">
      <c r="A910" s="44"/>
      <c r="C910" s="44"/>
      <c r="D910" s="44"/>
    </row>
    <row r="911">
      <c r="A911" s="44"/>
      <c r="C911" s="44"/>
      <c r="D911" s="44"/>
    </row>
    <row r="912">
      <c r="A912" s="44"/>
      <c r="C912" s="44"/>
      <c r="D912" s="44"/>
    </row>
    <row r="913">
      <c r="A913" s="44"/>
      <c r="C913" s="44"/>
      <c r="D913" s="44"/>
    </row>
    <row r="914">
      <c r="A914" s="44"/>
      <c r="C914" s="44"/>
      <c r="D914" s="44"/>
    </row>
    <row r="915">
      <c r="A915" s="44"/>
      <c r="C915" s="44"/>
      <c r="D915" s="44"/>
    </row>
    <row r="916">
      <c r="A916" s="44"/>
      <c r="C916" s="44"/>
      <c r="D916" s="44"/>
    </row>
    <row r="917">
      <c r="A917" s="44"/>
      <c r="C917" s="44"/>
      <c r="D917" s="44"/>
    </row>
    <row r="918">
      <c r="A918" s="44"/>
      <c r="C918" s="44"/>
      <c r="D918" s="44"/>
    </row>
    <row r="919">
      <c r="A919" s="44"/>
      <c r="C919" s="44"/>
      <c r="D919" s="44"/>
    </row>
    <row r="920">
      <c r="A920" s="44"/>
      <c r="C920" s="44"/>
      <c r="D920" s="44"/>
    </row>
    <row r="921">
      <c r="A921" s="44"/>
      <c r="C921" s="44"/>
      <c r="D921" s="44"/>
    </row>
    <row r="922">
      <c r="A922" s="44"/>
      <c r="C922" s="44"/>
      <c r="D922" s="44"/>
    </row>
    <row r="923">
      <c r="A923" s="44"/>
      <c r="C923" s="44"/>
      <c r="D923" s="44"/>
    </row>
    <row r="924">
      <c r="A924" s="44"/>
      <c r="C924" s="44"/>
      <c r="D924" s="44"/>
    </row>
    <row r="925">
      <c r="A925" s="44"/>
      <c r="C925" s="44"/>
      <c r="D925" s="44"/>
    </row>
    <row r="926">
      <c r="A926" s="44"/>
      <c r="C926" s="44"/>
      <c r="D926" s="44"/>
    </row>
    <row r="927">
      <c r="A927" s="44"/>
      <c r="C927" s="44"/>
      <c r="D927" s="44"/>
    </row>
    <row r="928">
      <c r="A928" s="44"/>
      <c r="C928" s="44"/>
      <c r="D928" s="44"/>
    </row>
    <row r="929">
      <c r="A929" s="44"/>
      <c r="C929" s="44"/>
      <c r="D929" s="44"/>
    </row>
    <row r="930">
      <c r="A930" s="44"/>
      <c r="C930" s="44"/>
      <c r="D930" s="44"/>
    </row>
    <row r="931">
      <c r="A931" s="44"/>
      <c r="C931" s="44"/>
      <c r="D931" s="44"/>
    </row>
    <row r="932">
      <c r="A932" s="44"/>
      <c r="C932" s="44"/>
      <c r="D932" s="44"/>
    </row>
    <row r="933">
      <c r="A933" s="44"/>
      <c r="C933" s="44"/>
      <c r="D933" s="44"/>
    </row>
    <row r="934">
      <c r="A934" s="44"/>
      <c r="C934" s="44"/>
      <c r="D934" s="44"/>
    </row>
    <row r="935">
      <c r="A935" s="44"/>
      <c r="C935" s="44"/>
      <c r="D935" s="44"/>
    </row>
    <row r="936">
      <c r="A936" s="44"/>
      <c r="C936" s="44"/>
      <c r="D936" s="44"/>
    </row>
    <row r="937">
      <c r="A937" s="44"/>
      <c r="C937" s="44"/>
      <c r="D937" s="44"/>
    </row>
    <row r="938">
      <c r="A938" s="44"/>
      <c r="C938" s="44"/>
      <c r="D938" s="44"/>
    </row>
    <row r="939">
      <c r="A939" s="44"/>
      <c r="C939" s="44"/>
      <c r="D939" s="44"/>
    </row>
    <row r="940">
      <c r="A940" s="44"/>
      <c r="C940" s="44"/>
      <c r="D940" s="44"/>
    </row>
    <row r="941">
      <c r="A941" s="44"/>
      <c r="C941" s="44"/>
      <c r="D941" s="44"/>
    </row>
    <row r="942">
      <c r="A942" s="44"/>
      <c r="C942" s="44"/>
      <c r="D942" s="44"/>
    </row>
    <row r="943">
      <c r="A943" s="44"/>
      <c r="C943" s="44"/>
      <c r="D943" s="44"/>
    </row>
    <row r="944">
      <c r="A944" s="44"/>
      <c r="C944" s="44"/>
      <c r="D944" s="44"/>
    </row>
    <row r="945">
      <c r="A945" s="44"/>
      <c r="C945" s="44"/>
      <c r="D945" s="44"/>
    </row>
    <row r="946">
      <c r="A946" s="44"/>
      <c r="C946" s="44"/>
      <c r="D946" s="44"/>
    </row>
    <row r="947">
      <c r="A947" s="44"/>
      <c r="C947" s="44"/>
      <c r="D947" s="44"/>
    </row>
    <row r="948">
      <c r="A948" s="44"/>
      <c r="C948" s="44"/>
      <c r="D948" s="44"/>
    </row>
    <row r="949">
      <c r="A949" s="44"/>
      <c r="C949" s="44"/>
      <c r="D949" s="44"/>
    </row>
    <row r="950">
      <c r="A950" s="44"/>
      <c r="C950" s="44"/>
      <c r="D950" s="44"/>
    </row>
    <row r="951">
      <c r="A951" s="44"/>
      <c r="C951" s="44"/>
      <c r="D951" s="44"/>
    </row>
    <row r="952">
      <c r="A952" s="44"/>
      <c r="C952" s="44"/>
      <c r="D952" s="44"/>
    </row>
    <row r="953">
      <c r="A953" s="44"/>
      <c r="C953" s="44"/>
      <c r="D953" s="44"/>
    </row>
    <row r="954">
      <c r="A954" s="44"/>
      <c r="C954" s="44"/>
      <c r="D954" s="44"/>
    </row>
    <row r="955">
      <c r="A955" s="44"/>
      <c r="C955" s="44"/>
      <c r="D955" s="44"/>
    </row>
    <row r="956">
      <c r="A956" s="44"/>
      <c r="C956" s="44"/>
      <c r="D956" s="44"/>
    </row>
    <row r="957">
      <c r="A957" s="44"/>
      <c r="C957" s="44"/>
      <c r="D957" s="44"/>
    </row>
    <row r="958">
      <c r="A958" s="44"/>
      <c r="C958" s="44"/>
      <c r="D958" s="44"/>
    </row>
    <row r="959">
      <c r="A959" s="44"/>
      <c r="C959" s="44"/>
      <c r="D959" s="44"/>
    </row>
    <row r="960">
      <c r="A960" s="44"/>
      <c r="C960" s="44"/>
      <c r="D960" s="44"/>
    </row>
    <row r="961">
      <c r="A961" s="44"/>
      <c r="C961" s="44"/>
      <c r="D961" s="44"/>
    </row>
    <row r="962">
      <c r="A962" s="44"/>
      <c r="C962" s="44"/>
      <c r="D962" s="44"/>
    </row>
    <row r="963">
      <c r="A963" s="44"/>
      <c r="C963" s="44"/>
      <c r="D963" s="44"/>
    </row>
    <row r="964">
      <c r="A964" s="44"/>
      <c r="C964" s="44"/>
      <c r="D964" s="44"/>
    </row>
    <row r="965">
      <c r="A965" s="44"/>
      <c r="C965" s="44"/>
      <c r="D965" s="44"/>
    </row>
    <row r="966">
      <c r="A966" s="44"/>
      <c r="C966" s="44"/>
      <c r="D966" s="44"/>
    </row>
    <row r="967">
      <c r="A967" s="44"/>
      <c r="C967" s="44"/>
      <c r="D967" s="44"/>
    </row>
    <row r="968">
      <c r="A968" s="44"/>
      <c r="C968" s="44"/>
      <c r="D968" s="44"/>
    </row>
    <row r="969">
      <c r="A969" s="44"/>
      <c r="C969" s="44"/>
      <c r="D969" s="44"/>
    </row>
    <row r="970">
      <c r="A970" s="44"/>
      <c r="C970" s="44"/>
      <c r="D970" s="44"/>
    </row>
    <row r="971">
      <c r="A971" s="44"/>
      <c r="C971" s="44"/>
      <c r="D971" s="44"/>
    </row>
    <row r="972">
      <c r="A972" s="44"/>
      <c r="C972" s="44"/>
      <c r="D972" s="44"/>
    </row>
    <row r="973">
      <c r="A973" s="44"/>
      <c r="C973" s="44"/>
      <c r="D973" s="44"/>
    </row>
    <row r="974">
      <c r="A974" s="44"/>
      <c r="C974" s="44"/>
      <c r="D974" s="44"/>
    </row>
    <row r="975">
      <c r="A975" s="44"/>
      <c r="C975" s="44"/>
      <c r="D975" s="44"/>
    </row>
    <row r="976">
      <c r="A976" s="44"/>
      <c r="C976" s="44"/>
      <c r="D976" s="44"/>
    </row>
    <row r="977">
      <c r="A977" s="44"/>
      <c r="C977" s="44"/>
      <c r="D977" s="44"/>
    </row>
    <row r="978">
      <c r="A978" s="44"/>
      <c r="C978" s="44"/>
      <c r="D978" s="44"/>
    </row>
    <row r="979">
      <c r="A979" s="44"/>
      <c r="C979" s="44"/>
      <c r="D979" s="44"/>
    </row>
    <row r="980">
      <c r="A980" s="44"/>
      <c r="C980" s="44"/>
      <c r="D980" s="44"/>
    </row>
    <row r="981">
      <c r="A981" s="44"/>
      <c r="C981" s="44"/>
      <c r="D981" s="44"/>
    </row>
    <row r="982">
      <c r="A982" s="44"/>
      <c r="C982" s="44"/>
      <c r="D982" s="44"/>
    </row>
    <row r="983">
      <c r="A983" s="44"/>
      <c r="C983" s="44"/>
      <c r="D983" s="44"/>
    </row>
    <row r="984">
      <c r="A984" s="44"/>
      <c r="C984" s="44"/>
      <c r="D984" s="44"/>
    </row>
    <row r="985">
      <c r="A985" s="44"/>
      <c r="C985" s="44"/>
      <c r="D985" s="44"/>
    </row>
    <row r="986">
      <c r="A986" s="44"/>
      <c r="C986" s="44"/>
      <c r="D986" s="44"/>
    </row>
    <row r="987">
      <c r="A987" s="44"/>
      <c r="C987" s="44"/>
      <c r="D987" s="44"/>
    </row>
    <row r="988">
      <c r="A988" s="44"/>
      <c r="C988" s="44"/>
      <c r="D988" s="44"/>
    </row>
    <row r="989">
      <c r="A989" s="44"/>
      <c r="C989" s="44"/>
      <c r="D989" s="44"/>
    </row>
    <row r="990">
      <c r="A990" s="44"/>
      <c r="C990" s="44"/>
      <c r="D990" s="44"/>
    </row>
    <row r="991">
      <c r="A991" s="44"/>
      <c r="C991" s="44"/>
      <c r="D991" s="44"/>
    </row>
    <row r="992">
      <c r="A992" s="44"/>
      <c r="C992" s="44"/>
      <c r="D992" s="44"/>
    </row>
    <row r="993">
      <c r="A993" s="44"/>
      <c r="C993" s="44"/>
      <c r="D993" s="44"/>
    </row>
    <row r="994">
      <c r="A994" s="44"/>
      <c r="C994" s="44"/>
      <c r="D994" s="44"/>
    </row>
    <row r="995">
      <c r="A995" s="44"/>
      <c r="C995" s="44"/>
      <c r="D995" s="44"/>
    </row>
    <row r="996">
      <c r="A996" s="44"/>
      <c r="C996" s="44"/>
      <c r="D996" s="44"/>
    </row>
    <row r="997">
      <c r="A997" s="44"/>
      <c r="C997" s="44"/>
      <c r="D997" s="44"/>
    </row>
    <row r="998">
      <c r="A998" s="44"/>
      <c r="C998" s="44"/>
      <c r="D998" s="44"/>
    </row>
    <row r="999">
      <c r="A999" s="44"/>
      <c r="C999" s="44"/>
      <c r="D999" s="44"/>
    </row>
    <row r="1000">
      <c r="A1000" s="44"/>
      <c r="C1000" s="44"/>
      <c r="D1000" s="44"/>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41" t="s">
        <v>2070</v>
      </c>
      <c r="B1" s="41" t="s">
        <v>2072</v>
      </c>
      <c r="C1" s="42" t="s">
        <v>2074</v>
      </c>
    </row>
    <row r="2">
      <c r="A2" s="40" t="s">
        <v>270</v>
      </c>
      <c r="B2" s="10" t="s">
        <v>2077</v>
      </c>
      <c r="C2" s="42">
        <f>COUNTIFS('Kế hoạch chèn link (mới)'!$B$3:$B$2944,A2,'Kế hoạch chèn link (mới)'!$D$3:$D$2944,B2)</f>
        <v>97</v>
      </c>
    </row>
    <row r="3">
      <c r="A3" s="40" t="s">
        <v>270</v>
      </c>
      <c r="B3" s="10" t="s">
        <v>2083</v>
      </c>
      <c r="C3" s="43">
        <f>COUNTIFS('Kế hoạch chèn link (mới)'!$B$3:$B$2944,A3,'Kế hoạch chèn link (mới)'!$D$3:$D$2944,B3)</f>
        <v>4</v>
      </c>
    </row>
    <row r="4">
      <c r="A4" s="40" t="s">
        <v>270</v>
      </c>
      <c r="B4" s="10" t="s">
        <v>2086</v>
      </c>
      <c r="C4" s="43">
        <f>COUNTIFS('Kế hoạch chèn link (mới)'!$B$3:$B$2944,A4,'Kế hoạch chèn link (mới)'!$D$3:$D$2944,B4)</f>
        <v>2</v>
      </c>
    </row>
    <row r="5">
      <c r="A5" s="40" t="s">
        <v>270</v>
      </c>
      <c r="B5" s="10" t="s">
        <v>2091</v>
      </c>
      <c r="C5" s="43">
        <f>COUNTIFS('Kế hoạch chèn link (mới)'!$B$3:$B$2944,A5,'Kế hoạch chèn link (mới)'!$D$3:$D$2944,B5)</f>
        <v>28</v>
      </c>
    </row>
    <row r="6">
      <c r="A6" s="40" t="s">
        <v>270</v>
      </c>
      <c r="B6" s="10" t="s">
        <v>2077</v>
      </c>
      <c r="C6" s="43">
        <f>COUNTIFS('Kế hoạch chèn link (mới)'!$B$3:$B$2944,A6,'Kế hoạch chèn link (mới)'!$D$3:$D$2944,B6)</f>
        <v>97</v>
      </c>
    </row>
    <row r="7">
      <c r="A7" s="40" t="s">
        <v>270</v>
      </c>
      <c r="B7" s="10" t="s">
        <v>2083</v>
      </c>
      <c r="C7" s="43">
        <f>COUNTIFS('Kế hoạch chèn link (mới)'!$B$3:$B$2944,A7,'Kế hoạch chèn link (mới)'!$D$3:$D$2944,B7)</f>
        <v>4</v>
      </c>
    </row>
    <row r="8">
      <c r="A8" s="40" t="s">
        <v>270</v>
      </c>
      <c r="B8" s="10" t="s">
        <v>2086</v>
      </c>
      <c r="C8" s="43">
        <f>COUNTIFS('Kế hoạch chèn link (mới)'!$B$3:$B$2944,A8,'Kế hoạch chèn link (mới)'!$D$3:$D$2944,B8)</f>
        <v>2</v>
      </c>
    </row>
    <row r="9">
      <c r="A9" s="40" t="s">
        <v>270</v>
      </c>
      <c r="B9" s="10" t="s">
        <v>2091</v>
      </c>
      <c r="C9" s="43">
        <f>COUNTIFS('Kế hoạch chèn link (mới)'!$B$3:$B$2944,A9,'Kế hoạch chèn link (mới)'!$D$3:$D$2944,B9)</f>
        <v>28</v>
      </c>
    </row>
    <row r="10">
      <c r="A10" s="40" t="s">
        <v>270</v>
      </c>
      <c r="B10" s="10" t="s">
        <v>2077</v>
      </c>
      <c r="C10" s="43">
        <f>COUNTIFS('Kế hoạch chèn link (mới)'!$B$3:$B$2944,A10,'Kế hoạch chèn link (mới)'!$D$3:$D$2944,B10)</f>
        <v>97</v>
      </c>
    </row>
    <row r="11">
      <c r="A11" s="40" t="s">
        <v>270</v>
      </c>
      <c r="B11" s="10" t="s">
        <v>2107</v>
      </c>
      <c r="C11" s="43">
        <f>COUNTIFS('Kế hoạch chèn link (mới)'!$B$3:$B$2944,A11,'Kế hoạch chèn link (mới)'!$D$3:$D$2944,B11)</f>
        <v>21</v>
      </c>
    </row>
    <row r="12">
      <c r="A12" s="40" t="s">
        <v>270</v>
      </c>
      <c r="B12" s="10" t="s">
        <v>2077</v>
      </c>
      <c r="C12" s="43">
        <f>COUNTIFS('Kế hoạch chèn link (mới)'!$B$3:$B$2944,A12,'Kế hoạch chèn link (mới)'!$D$3:$D$2944,B12)</f>
        <v>97</v>
      </c>
    </row>
    <row r="13">
      <c r="A13" s="40" t="s">
        <v>270</v>
      </c>
      <c r="B13" s="10" t="s">
        <v>2112</v>
      </c>
      <c r="C13" s="43">
        <f>COUNTIFS('Kế hoạch chèn link (mới)'!$B$3:$B$2944,A13,'Kế hoạch chèn link (mới)'!$D$3:$D$2944,B13)</f>
        <v>28</v>
      </c>
    </row>
    <row r="14">
      <c r="A14" s="40" t="s">
        <v>270</v>
      </c>
      <c r="B14" s="10" t="s">
        <v>2077</v>
      </c>
      <c r="C14" s="43">
        <f>COUNTIFS('Kế hoạch chèn link (mới)'!$B$3:$B$2944,A14,'Kế hoạch chèn link (mới)'!$D$3:$D$2944,B14)</f>
        <v>97</v>
      </c>
    </row>
    <row r="15">
      <c r="A15" s="40" t="s">
        <v>270</v>
      </c>
      <c r="B15" s="10" t="s">
        <v>2120</v>
      </c>
      <c r="C15" s="43">
        <f>COUNTIFS('Kế hoạch chèn link (mới)'!$B$3:$B$2944,A15,'Kế hoạch chèn link (mới)'!$D$3:$D$2944,B15)</f>
        <v>20</v>
      </c>
    </row>
    <row r="16">
      <c r="A16" s="40" t="s">
        <v>283</v>
      </c>
      <c r="B16" s="10" t="s">
        <v>2130</v>
      </c>
      <c r="C16" s="43">
        <f>COUNTIFS('Kế hoạch chèn link (mới)'!$B$3:$B$2944,A16,'Kế hoạch chèn link (mới)'!$D$3:$D$2944,B16)</f>
        <v>4</v>
      </c>
    </row>
    <row r="17">
      <c r="A17" s="40" t="s">
        <v>283</v>
      </c>
      <c r="B17" s="10" t="s">
        <v>2139</v>
      </c>
      <c r="C17" s="43">
        <f>COUNTIFS('Kế hoạch chèn link (mới)'!$B$3:$B$2944,A17,'Kế hoạch chèn link (mới)'!$D$3:$D$2944,B17)</f>
        <v>35</v>
      </c>
    </row>
    <row r="18">
      <c r="A18" s="40" t="s">
        <v>283</v>
      </c>
      <c r="B18" s="10" t="s">
        <v>2144</v>
      </c>
      <c r="C18" s="43">
        <f>COUNTIFS('Kế hoạch chèn link (mới)'!$B$3:$B$2944,A18,'Kế hoạch chèn link (mới)'!$D$3:$D$2944,B18)</f>
        <v>98</v>
      </c>
    </row>
    <row r="19">
      <c r="A19" s="40" t="s">
        <v>283</v>
      </c>
      <c r="B19" s="10" t="s">
        <v>2149</v>
      </c>
      <c r="C19" s="43">
        <f>COUNTIFS('Kế hoạch chèn link (mới)'!$B$3:$B$2944,A19,'Kế hoạch chèn link (mới)'!$D$3:$D$2944,B19)</f>
        <v>19</v>
      </c>
    </row>
    <row r="20">
      <c r="A20" s="40" t="s">
        <v>283</v>
      </c>
      <c r="B20" s="10" t="s">
        <v>2130</v>
      </c>
      <c r="C20" s="43">
        <f>COUNTIFS('Kế hoạch chèn link (mới)'!$B$3:$B$2944,A20,'Kế hoạch chèn link (mới)'!$D$3:$D$2944,B20)</f>
        <v>4</v>
      </c>
    </row>
    <row r="21">
      <c r="A21" s="40" t="s">
        <v>411</v>
      </c>
      <c r="B21" s="10" t="s">
        <v>2160</v>
      </c>
      <c r="C21" s="43">
        <f>COUNTIFS('Kế hoạch chèn link (mới)'!$B$3:$B$2944,A21,'Kế hoạch chèn link (mới)'!$D$3:$D$2944,B21)</f>
        <v>14</v>
      </c>
    </row>
    <row r="22">
      <c r="A22" s="40" t="s">
        <v>411</v>
      </c>
      <c r="B22" s="10" t="s">
        <v>2164</v>
      </c>
      <c r="C22" s="43">
        <f>COUNTIFS('Kế hoạch chèn link (mới)'!$B$3:$B$2944,A22,'Kế hoạch chèn link (mới)'!$D$3:$D$2944,B22)</f>
        <v>143</v>
      </c>
    </row>
    <row r="23">
      <c r="A23" s="40" t="s">
        <v>411</v>
      </c>
      <c r="B23" s="10" t="s">
        <v>2167</v>
      </c>
      <c r="C23" s="43">
        <f>COUNTIFS('Kế hoạch chèn link (mới)'!$B$3:$B$2944,A23,'Kế hoạch chèn link (mới)'!$D$3:$D$2944,B23)</f>
        <v>38</v>
      </c>
    </row>
    <row r="24">
      <c r="A24" s="40" t="s">
        <v>411</v>
      </c>
      <c r="B24" s="10" t="s">
        <v>2171</v>
      </c>
      <c r="C24" s="43">
        <f>COUNTIFS('Kế hoạch chèn link (mới)'!$B$3:$B$2944,A24,'Kế hoạch chèn link (mới)'!$D$3:$D$2944,B24)</f>
        <v>0</v>
      </c>
    </row>
    <row r="25">
      <c r="A25" s="40" t="s">
        <v>411</v>
      </c>
      <c r="B25" s="10" t="s">
        <v>2171</v>
      </c>
      <c r="C25" s="43">
        <f>COUNTIFS('Kế hoạch chèn link (mới)'!$B$3:$B$2944,A25,'Kế hoạch chèn link (mới)'!$D$3:$D$2944,B25)</f>
        <v>0</v>
      </c>
    </row>
    <row r="26">
      <c r="A26" s="40" t="s">
        <v>411</v>
      </c>
      <c r="B26" s="10" t="s">
        <v>2167</v>
      </c>
      <c r="C26" s="43">
        <f>COUNTIFS('Kế hoạch chèn link (mới)'!$B$3:$B$2944,A26,'Kế hoạch chèn link (mới)'!$D$3:$D$2944,B26)</f>
        <v>38</v>
      </c>
    </row>
    <row r="27">
      <c r="A27" s="40" t="s">
        <v>411</v>
      </c>
      <c r="B27" s="10" t="s">
        <v>2180</v>
      </c>
      <c r="C27" s="43">
        <f>COUNTIFS('Kế hoạch chèn link (mới)'!$B$3:$B$2944,A27,'Kế hoạch chèn link (mới)'!$D$3:$D$2944,B27)</f>
        <v>1</v>
      </c>
    </row>
    <row r="28">
      <c r="A28" s="40" t="s">
        <v>411</v>
      </c>
      <c r="B28" s="10" t="s">
        <v>2184</v>
      </c>
      <c r="C28" s="43">
        <f>COUNTIFS('Kế hoạch chèn link (mới)'!$B$3:$B$2944,A28,'Kế hoạch chèn link (mới)'!$D$3:$D$2944,B28)</f>
        <v>1</v>
      </c>
    </row>
    <row r="29">
      <c r="A29" s="40" t="s">
        <v>411</v>
      </c>
      <c r="B29" s="10" t="s">
        <v>2188</v>
      </c>
      <c r="C29" s="43">
        <f>COUNTIFS('Kế hoạch chèn link (mới)'!$B$3:$B$2944,A29,'Kế hoạch chèn link (mới)'!$D$3:$D$2944,B29)</f>
        <v>1</v>
      </c>
    </row>
    <row r="30">
      <c r="A30" s="40" t="s">
        <v>411</v>
      </c>
      <c r="B30" s="10" t="s">
        <v>2184</v>
      </c>
      <c r="C30" s="43">
        <f>COUNTIFS('Kế hoạch chèn link (mới)'!$B$3:$B$2944,A30,'Kế hoạch chèn link (mới)'!$D$3:$D$2944,B30)</f>
        <v>1</v>
      </c>
    </row>
    <row r="31">
      <c r="A31" s="40" t="s">
        <v>411</v>
      </c>
      <c r="B31" s="10" t="s">
        <v>2188</v>
      </c>
      <c r="C31" s="43">
        <f>COUNTIFS('Kế hoạch chèn link (mới)'!$B$3:$B$2944,A31,'Kế hoạch chèn link (mới)'!$D$3:$D$2944,B31)</f>
        <v>1</v>
      </c>
    </row>
    <row r="32">
      <c r="A32" s="40" t="s">
        <v>411</v>
      </c>
      <c r="B32" s="10" t="s">
        <v>2198</v>
      </c>
      <c r="C32" s="43">
        <f>COUNTIFS('Kế hoạch chèn link (mới)'!$B$3:$B$2944,A32,'Kế hoạch chèn link (mới)'!$D$3:$D$2944,B32)</f>
        <v>1</v>
      </c>
    </row>
    <row r="33">
      <c r="A33" s="40" t="s">
        <v>411</v>
      </c>
      <c r="B33" s="10" t="s">
        <v>2203</v>
      </c>
      <c r="C33" s="43">
        <f>COUNTIFS('Kế hoạch chèn link (mới)'!$B$3:$B$2944,A33,'Kế hoạch chèn link (mới)'!$D$3:$D$2944,B33)</f>
        <v>1</v>
      </c>
    </row>
    <row r="34">
      <c r="A34" s="40" t="s">
        <v>411</v>
      </c>
      <c r="B34" s="10" t="s">
        <v>2203</v>
      </c>
      <c r="C34" s="43">
        <f>COUNTIFS('Kế hoạch chèn link (mới)'!$B$3:$B$2944,A34,'Kế hoạch chèn link (mới)'!$D$3:$D$2944,B34)</f>
        <v>1</v>
      </c>
    </row>
    <row r="35">
      <c r="A35" s="40" t="s">
        <v>90</v>
      </c>
      <c r="B35" s="10" t="s">
        <v>2211</v>
      </c>
      <c r="C35" s="43">
        <f>COUNTIFS('Kế hoạch chèn link (mới)'!$B$3:$B$2944,A35,'Kế hoạch chèn link (mới)'!$D$3:$D$2944,B35)</f>
        <v>3</v>
      </c>
    </row>
    <row r="36">
      <c r="A36" s="40" t="s">
        <v>90</v>
      </c>
      <c r="B36" s="10" t="s">
        <v>2216</v>
      </c>
      <c r="C36" s="43">
        <f>COUNTIFS('Kế hoạch chèn link (mới)'!$B$3:$B$2944,A36,'Kế hoạch chèn link (mới)'!$D$3:$D$2944,B36)</f>
        <v>18</v>
      </c>
    </row>
    <row r="37">
      <c r="A37" s="40" t="s">
        <v>90</v>
      </c>
      <c r="B37" s="10" t="s">
        <v>2221</v>
      </c>
      <c r="C37" s="43">
        <f>COUNTIFS('Kế hoạch chèn link (mới)'!$B$3:$B$2944,A37,'Kế hoạch chèn link (mới)'!$D$3:$D$2944,B37)</f>
        <v>71</v>
      </c>
    </row>
    <row r="38">
      <c r="A38" s="40" t="s">
        <v>90</v>
      </c>
      <c r="B38" s="10" t="s">
        <v>2225</v>
      </c>
      <c r="C38" s="43">
        <f>COUNTIFS('Kế hoạch chèn link (mới)'!$B$3:$B$2944,A38,'Kế hoạch chèn link (mới)'!$D$3:$D$2944,B38)</f>
        <v>58</v>
      </c>
    </row>
    <row r="39">
      <c r="A39" s="40" t="s">
        <v>90</v>
      </c>
      <c r="B39" s="10" t="s">
        <v>2216</v>
      </c>
      <c r="C39" s="43">
        <f>COUNTIFS('Kế hoạch chèn link (mới)'!$B$3:$B$2944,A39,'Kế hoạch chèn link (mới)'!$D$3:$D$2944,B39)</f>
        <v>18</v>
      </c>
    </row>
    <row r="40">
      <c r="A40" s="40" t="s">
        <v>90</v>
      </c>
      <c r="B40" s="10" t="s">
        <v>2221</v>
      </c>
      <c r="C40" s="43">
        <f>COUNTIFS('Kế hoạch chèn link (mới)'!$B$3:$B$2944,A40,'Kế hoạch chèn link (mới)'!$D$3:$D$2944,B40)</f>
        <v>71</v>
      </c>
    </row>
    <row r="41">
      <c r="A41" s="40" t="s">
        <v>90</v>
      </c>
      <c r="B41" s="10" t="s">
        <v>2225</v>
      </c>
      <c r="C41" s="43">
        <f>COUNTIFS('Kế hoạch chèn link (mới)'!$B$3:$B$2944,A41,'Kế hoạch chèn link (mới)'!$D$3:$D$2944,B41)</f>
        <v>58</v>
      </c>
    </row>
    <row r="42">
      <c r="A42" s="40" t="s">
        <v>90</v>
      </c>
      <c r="B42" s="10" t="s">
        <v>2221</v>
      </c>
      <c r="C42" s="43">
        <f>COUNTIFS('Kế hoạch chèn link (mới)'!$B$3:$B$2944,A42,'Kế hoạch chèn link (mới)'!$D$3:$D$2944,B42)</f>
        <v>71</v>
      </c>
    </row>
    <row r="43">
      <c r="A43" s="40" t="s">
        <v>1531</v>
      </c>
      <c r="B43" s="10" t="s">
        <v>2241</v>
      </c>
      <c r="C43" s="43">
        <f>COUNTIFS('Kế hoạch chèn link (mới)'!$B$3:$B$2944,A43,'Kế hoạch chèn link (mới)'!$D$3:$D$2944,B43)</f>
        <v>61</v>
      </c>
    </row>
    <row r="44">
      <c r="A44" s="40" t="s">
        <v>1531</v>
      </c>
      <c r="B44" s="10" t="s">
        <v>2242</v>
      </c>
      <c r="C44" s="43">
        <f>COUNTIFS('Kế hoạch chèn link (mới)'!$B$3:$B$2944,A44,'Kế hoạch chèn link (mới)'!$D$3:$D$2944,B44)</f>
        <v>48</v>
      </c>
    </row>
    <row r="45">
      <c r="A45" s="40" t="s">
        <v>1531</v>
      </c>
      <c r="B45" s="10" t="s">
        <v>2246</v>
      </c>
      <c r="C45" s="43">
        <f>COUNTIFS('Kế hoạch chèn link (mới)'!$B$3:$B$2944,A45,'Kế hoạch chèn link (mới)'!$D$3:$D$2944,B45)</f>
        <v>3</v>
      </c>
    </row>
    <row r="46">
      <c r="A46" s="40" t="s">
        <v>198</v>
      </c>
      <c r="B46" s="10" t="s">
        <v>547</v>
      </c>
      <c r="C46" s="43">
        <f>COUNTIFS('Kế hoạch chèn link (mới)'!$B$3:$B$2944,A46,'Kế hoạch chèn link (mới)'!$D$3:$D$2944,B46)</f>
        <v>12</v>
      </c>
    </row>
    <row r="47">
      <c r="A47" s="40" t="s">
        <v>198</v>
      </c>
      <c r="B47" s="10" t="s">
        <v>640</v>
      </c>
      <c r="C47" s="43">
        <f>COUNTIFS('Kế hoạch chèn link (mới)'!$B$3:$B$2944,A47,'Kế hoạch chèn link (mới)'!$D$3:$D$2944,B47)</f>
        <v>16</v>
      </c>
    </row>
    <row r="48">
      <c r="A48" s="40" t="s">
        <v>198</v>
      </c>
      <c r="B48" s="10" t="s">
        <v>441</v>
      </c>
      <c r="C48" s="43">
        <f>COUNTIFS('Kế hoạch chèn link (mới)'!$B$3:$B$2944,A48,'Kế hoạch chèn link (mới)'!$D$3:$D$2944,B48)</f>
        <v>13</v>
      </c>
    </row>
    <row r="49">
      <c r="A49" s="40" t="s">
        <v>276</v>
      </c>
      <c r="B49" s="10" t="s">
        <v>2264</v>
      </c>
      <c r="C49" s="43">
        <f>COUNTIFS('Kế hoạch chèn link (mới)'!$B$3:$B$2944,A49,'Kế hoạch chèn link (mới)'!$D$3:$D$2944,B49)</f>
        <v>46</v>
      </c>
    </row>
    <row r="50">
      <c r="A50" s="40" t="s">
        <v>276</v>
      </c>
      <c r="B50" s="10" t="s">
        <v>2269</v>
      </c>
      <c r="C50" s="43">
        <f>COUNTIFS('Kế hoạch chèn link (mới)'!$B$3:$B$2944,A50,'Kế hoạch chèn link (mới)'!$D$3:$D$2944,B50)</f>
        <v>11</v>
      </c>
    </row>
    <row r="51">
      <c r="A51" s="40" t="s">
        <v>276</v>
      </c>
      <c r="B51" s="10" t="s">
        <v>2273</v>
      </c>
      <c r="C51" s="43">
        <f>COUNTIFS('Kế hoạch chèn link (mới)'!$B$3:$B$2944,A51,'Kế hoạch chèn link (mới)'!$D$3:$D$2944,B51)</f>
        <v>27</v>
      </c>
    </row>
    <row r="52">
      <c r="A52" s="40" t="s">
        <v>276</v>
      </c>
      <c r="B52" s="10" t="s">
        <v>2277</v>
      </c>
      <c r="C52" s="43">
        <f>COUNTIFS('Kế hoạch chèn link (mới)'!$B$3:$B$2944,A52,'Kế hoạch chèn link (mới)'!$D$3:$D$2944,B52)</f>
        <v>13</v>
      </c>
    </row>
    <row r="53">
      <c r="A53" s="40" t="s">
        <v>276</v>
      </c>
      <c r="B53" s="10" t="s">
        <v>2280</v>
      </c>
      <c r="C53" s="43">
        <f>COUNTIFS('Kế hoạch chèn link (mới)'!$B$3:$B$2944,A53,'Kế hoạch chèn link (mới)'!$D$3:$D$2944,B53)</f>
        <v>3</v>
      </c>
    </row>
    <row r="54">
      <c r="A54" s="40" t="s">
        <v>276</v>
      </c>
      <c r="B54" s="10" t="s">
        <v>2269</v>
      </c>
      <c r="C54" s="43">
        <f>COUNTIFS('Kế hoạch chèn link (mới)'!$B$3:$B$2944,A54,'Kế hoạch chèn link (mới)'!$D$3:$D$2944,B54)</f>
        <v>11</v>
      </c>
    </row>
    <row r="55">
      <c r="A55" s="40" t="s">
        <v>918</v>
      </c>
      <c r="B55" s="10" t="s">
        <v>2289</v>
      </c>
      <c r="C55" s="43">
        <f>COUNTIFS('Kế hoạch chèn link (mới)'!$B$3:$B$2944,A55,'Kế hoạch chèn link (mới)'!$D$3:$D$2944,B55)</f>
        <v>6</v>
      </c>
    </row>
    <row r="56">
      <c r="A56" s="40" t="s">
        <v>918</v>
      </c>
      <c r="B56" s="10" t="s">
        <v>2291</v>
      </c>
      <c r="C56" s="43">
        <f>COUNTIFS('Kế hoạch chèn link (mới)'!$B$3:$B$2944,A56,'Kế hoạch chèn link (mới)'!$D$3:$D$2944,B56)</f>
        <v>28</v>
      </c>
    </row>
    <row r="57">
      <c r="A57" s="40" t="s">
        <v>918</v>
      </c>
      <c r="B57" s="10" t="s">
        <v>2295</v>
      </c>
      <c r="C57" s="43">
        <f>COUNTIFS('Kế hoạch chèn link (mới)'!$B$3:$B$2944,A57,'Kế hoạch chèn link (mới)'!$D$3:$D$2944,B57)</f>
        <v>16</v>
      </c>
    </row>
    <row r="58">
      <c r="A58" s="40" t="s">
        <v>918</v>
      </c>
      <c r="B58" s="10" t="s">
        <v>2300</v>
      </c>
      <c r="C58" s="43">
        <f>COUNTIFS('Kế hoạch chèn link (mới)'!$B$3:$B$2944,A58,'Kế hoạch chèn link (mới)'!$D$3:$D$2944,B58)</f>
        <v>0</v>
      </c>
    </row>
    <row r="59">
      <c r="A59" s="40" t="s">
        <v>80</v>
      </c>
      <c r="B59" s="10" t="s">
        <v>1201</v>
      </c>
      <c r="C59" s="43">
        <f>COUNTIFS('Kế hoạch chèn link (mới)'!$B$3:$B$2944,A59,'Kế hoạch chèn link (mới)'!$D$3:$D$2944,B59)</f>
        <v>45</v>
      </c>
    </row>
    <row r="60">
      <c r="A60" s="40" t="s">
        <v>80</v>
      </c>
      <c r="B60" s="10" t="s">
        <v>1489</v>
      </c>
      <c r="C60" s="43">
        <f>COUNTIFS('Kế hoạch chèn link (mới)'!$B$3:$B$2944,A60,'Kế hoạch chèn link (mới)'!$D$3:$D$2944,B60)</f>
        <v>5</v>
      </c>
    </row>
    <row r="61">
      <c r="A61" s="40" t="s">
        <v>494</v>
      </c>
      <c r="B61" s="10" t="s">
        <v>2316</v>
      </c>
      <c r="C61" s="43">
        <f>COUNTIFS('Kế hoạch chèn link (mới)'!$B$3:$B$2944,A61,'Kế hoạch chèn link (mới)'!$D$3:$D$2944,B61)</f>
        <v>48</v>
      </c>
    </row>
    <row r="62">
      <c r="A62" s="40" t="s">
        <v>494</v>
      </c>
      <c r="B62" s="10" t="s">
        <v>2321</v>
      </c>
      <c r="C62" s="43">
        <f>COUNTIFS('Kế hoạch chèn link (mới)'!$B$3:$B$2944,A62,'Kế hoạch chèn link (mới)'!$D$3:$D$2944,B62)</f>
        <v>2</v>
      </c>
    </row>
    <row r="63">
      <c r="A63" s="40" t="s">
        <v>610</v>
      </c>
      <c r="B63" s="10" t="s">
        <v>2327</v>
      </c>
      <c r="C63" s="43">
        <f>COUNTIFS('Kế hoạch chèn link (mới)'!$B$3:$B$2944,A63,'Kế hoạch chèn link (mới)'!$D$3:$D$2944,B63)</f>
        <v>47</v>
      </c>
    </row>
    <row r="64">
      <c r="A64" s="40" t="s">
        <v>610</v>
      </c>
      <c r="B64" s="10" t="s">
        <v>2328</v>
      </c>
      <c r="C64" s="43">
        <f>COUNTIFS('Kế hoạch chèn link (mới)'!$B$3:$B$2944,A64,'Kế hoạch chèn link (mới)'!$D$3:$D$2944,B64)</f>
        <v>3</v>
      </c>
    </row>
    <row r="65">
      <c r="A65" s="40" t="s">
        <v>958</v>
      </c>
      <c r="B65" s="10" t="s">
        <v>1782</v>
      </c>
      <c r="C65" s="43">
        <f>COUNTIFS('Kế hoạch chèn link (mới)'!$B$3:$B$2944,A65,'Kế hoạch chèn link (mới)'!$D$3:$D$2944,B65)</f>
        <v>25</v>
      </c>
    </row>
    <row r="66">
      <c r="A66" s="40" t="s">
        <v>958</v>
      </c>
      <c r="B66" s="10" t="s">
        <v>1833</v>
      </c>
      <c r="C66" s="43">
        <f>COUNTIFS('Kế hoạch chèn link (mới)'!$B$3:$B$2944,A66,'Kế hoạch chèn link (mới)'!$D$3:$D$2944,B66)</f>
        <v>25</v>
      </c>
    </row>
    <row r="67">
      <c r="A67" s="40" t="s">
        <v>417</v>
      </c>
      <c r="B67" s="10" t="s">
        <v>1876</v>
      </c>
      <c r="C67" s="43">
        <f>COUNTIFS('Kế hoạch chèn link (mới)'!$B$3:$B$2944,A67,'Kế hoạch chèn link (mới)'!$D$3:$D$2944,B67)</f>
        <v>47</v>
      </c>
    </row>
    <row r="68">
      <c r="A68" s="40" t="s">
        <v>417</v>
      </c>
      <c r="B68" s="10" t="s">
        <v>1945</v>
      </c>
      <c r="C68" s="43">
        <f>COUNTIFS('Kế hoạch chèn link (mới)'!$B$3:$B$2944,A68,'Kế hoạch chèn link (mới)'!$D$3:$D$2944,B68)</f>
        <v>1</v>
      </c>
    </row>
    <row r="69">
      <c r="A69" s="40" t="s">
        <v>367</v>
      </c>
      <c r="B69" s="10" t="s">
        <v>2346</v>
      </c>
      <c r="C69" s="43">
        <f>COUNTIFS('Kế hoạch chèn link (mới)'!$B$3:$B$2944,A69,'Kế hoạch chèn link (mới)'!$D$3:$D$2944,B69)</f>
        <v>17</v>
      </c>
    </row>
    <row r="70">
      <c r="A70" s="40" t="s">
        <v>367</v>
      </c>
      <c r="B70" s="10" t="s">
        <v>2351</v>
      </c>
      <c r="C70" s="43">
        <f>COUNTIFS('Kế hoạch chèn link (mới)'!$B$3:$B$2944,A70,'Kế hoạch chèn link (mới)'!$D$3:$D$2944,B70)</f>
        <v>28</v>
      </c>
    </row>
    <row r="71">
      <c r="A71" s="40" t="s">
        <v>122</v>
      </c>
      <c r="B71" s="10" t="s">
        <v>998</v>
      </c>
      <c r="C71" s="43">
        <f>COUNTIFS('Kế hoạch chèn link (mới)'!$B$3:$B$2944,A71,'Kế hoạch chèn link (mới)'!$D$3:$D$2944,B71)</f>
        <v>17</v>
      </c>
    </row>
    <row r="72">
      <c r="A72" s="40" t="s">
        <v>122</v>
      </c>
      <c r="B72" s="10" t="s">
        <v>989</v>
      </c>
      <c r="C72" s="43">
        <f>COUNTIFS('Kế hoạch chèn link (mới)'!$B$3:$B$2944,A72,'Kế hoạch chèn link (mới)'!$D$3:$D$2944,B72)</f>
        <v>16</v>
      </c>
    </row>
    <row r="73">
      <c r="A73" s="40" t="s">
        <v>914</v>
      </c>
      <c r="B73" s="10" t="s">
        <v>1730</v>
      </c>
      <c r="C73" s="43">
        <f>COUNTIFS('Kế hoạch chèn link (mới)'!$B$3:$B$2944,A73,'Kế hoạch chèn link (mới)'!$D$3:$D$2944,B73)</f>
        <v>6</v>
      </c>
    </row>
    <row r="74">
      <c r="A74" s="40" t="s">
        <v>914</v>
      </c>
      <c r="B74" s="10" t="s">
        <v>1737</v>
      </c>
      <c r="C74" s="43">
        <f>COUNTIFS('Kế hoạch chèn link (mới)'!$B$3:$B$2944,A74,'Kế hoạch chèn link (mới)'!$D$3:$D$2944,B74)</f>
        <v>2</v>
      </c>
    </row>
    <row r="75">
      <c r="A75" s="40" t="s">
        <v>914</v>
      </c>
      <c r="B75" s="10" t="s">
        <v>1725</v>
      </c>
      <c r="C75" s="43">
        <f>COUNTIFS('Kế hoạch chèn link (mới)'!$B$3:$B$2944,A75,'Kế hoạch chèn link (mới)'!$D$3:$D$2944,B75)</f>
        <v>11</v>
      </c>
    </row>
    <row r="76">
      <c r="A76" s="40" t="s">
        <v>914</v>
      </c>
      <c r="B76" s="10" t="s">
        <v>1727</v>
      </c>
      <c r="C76" s="43">
        <f>COUNTIFS('Kế hoạch chèn link (mới)'!$B$3:$B$2944,A76,'Kế hoạch chèn link (mới)'!$D$3:$D$2944,B76)</f>
        <v>7</v>
      </c>
    </row>
    <row r="77">
      <c r="A77" s="40" t="s">
        <v>1087</v>
      </c>
      <c r="B77" s="10" t="s">
        <v>2000</v>
      </c>
      <c r="C77" s="43">
        <f>COUNTIFS('Kế hoạch chèn link (mới)'!$B$3:$B$2944,A77,'Kế hoạch chèn link (mới)'!$D$3:$D$2944,B77)</f>
        <v>12</v>
      </c>
    </row>
    <row r="78">
      <c r="A78" s="40" t="s">
        <v>1087</v>
      </c>
      <c r="B78" s="10" t="s">
        <v>1998</v>
      </c>
      <c r="C78" s="43">
        <f>COUNTIFS('Kế hoạch chèn link (mới)'!$B$3:$B$2944,A78,'Kế hoạch chèn link (mới)'!$D$3:$D$2944,B78)</f>
        <v>18</v>
      </c>
    </row>
    <row r="79">
      <c r="A79" s="40" t="s">
        <v>1127</v>
      </c>
      <c r="B79" s="10" t="s">
        <v>1950</v>
      </c>
      <c r="C79" s="43">
        <f>COUNTIFS('Kế hoạch chèn link (mới)'!$B$3:$B$2944,A79,'Kế hoạch chèn link (mới)'!$D$3:$D$2944,B79)</f>
        <v>9</v>
      </c>
    </row>
    <row r="80">
      <c r="A80" s="40" t="s">
        <v>1127</v>
      </c>
      <c r="B80" s="10" t="s">
        <v>1947</v>
      </c>
      <c r="C80" s="43">
        <f>COUNTIFS('Kế hoạch chèn link (mới)'!$B$3:$B$2944,A80,'Kế hoạch chèn link (mới)'!$D$3:$D$2944,B80)</f>
        <v>21</v>
      </c>
    </row>
    <row r="81">
      <c r="C81" s="44"/>
    </row>
    <row r="82">
      <c r="C82" s="44"/>
    </row>
    <row r="83">
      <c r="C83" s="44"/>
    </row>
    <row r="84">
      <c r="C84" s="44"/>
    </row>
    <row r="85">
      <c r="C85" s="44"/>
    </row>
    <row r="86">
      <c r="C86" s="44"/>
    </row>
    <row r="87">
      <c r="C87" s="44"/>
    </row>
    <row r="88">
      <c r="C88" s="44"/>
    </row>
    <row r="89">
      <c r="C89" s="44"/>
    </row>
    <row r="90">
      <c r="C90" s="44"/>
    </row>
    <row r="91">
      <c r="C91" s="44"/>
    </row>
    <row r="92">
      <c r="C92" s="44"/>
    </row>
    <row r="93">
      <c r="C93" s="44"/>
    </row>
    <row r="94">
      <c r="C94" s="44"/>
    </row>
    <row r="95">
      <c r="C95" s="44"/>
    </row>
    <row r="96">
      <c r="C96" s="44"/>
    </row>
    <row r="97">
      <c r="C97" s="44"/>
    </row>
    <row r="98">
      <c r="C98" s="44"/>
    </row>
    <row r="99">
      <c r="C99" s="44"/>
    </row>
    <row r="100">
      <c r="C100" s="44"/>
    </row>
    <row r="101">
      <c r="C101" s="44"/>
    </row>
    <row r="102">
      <c r="C102" s="44"/>
    </row>
    <row r="103">
      <c r="C103" s="44"/>
    </row>
    <row r="104">
      <c r="C104" s="44"/>
    </row>
    <row r="105">
      <c r="C105" s="44"/>
    </row>
    <row r="106">
      <c r="C106" s="44"/>
    </row>
    <row r="107">
      <c r="C107" s="44"/>
    </row>
    <row r="108">
      <c r="C108" s="44"/>
    </row>
    <row r="109">
      <c r="C109" s="44"/>
    </row>
    <row r="110">
      <c r="C110" s="44"/>
    </row>
    <row r="111">
      <c r="C111" s="44"/>
    </row>
    <row r="112">
      <c r="C112" s="44"/>
    </row>
    <row r="113">
      <c r="C113" s="44"/>
    </row>
    <row r="114">
      <c r="C114" s="44"/>
    </row>
    <row r="115">
      <c r="C115" s="44"/>
    </row>
    <row r="116">
      <c r="C116" s="44"/>
    </row>
    <row r="117">
      <c r="C117" s="44"/>
    </row>
    <row r="118">
      <c r="C118" s="44"/>
    </row>
    <row r="119">
      <c r="C119" s="44"/>
    </row>
    <row r="120">
      <c r="C120" s="44"/>
    </row>
    <row r="121">
      <c r="C121" s="44"/>
    </row>
    <row r="122">
      <c r="C122" s="44"/>
    </row>
    <row r="123">
      <c r="C123" s="44"/>
    </row>
    <row r="124">
      <c r="C124" s="44"/>
    </row>
    <row r="125">
      <c r="C125" s="44"/>
    </row>
    <row r="126">
      <c r="C126" s="44"/>
    </row>
    <row r="127">
      <c r="C127" s="44"/>
    </row>
    <row r="128">
      <c r="C128" s="44"/>
    </row>
    <row r="129">
      <c r="C129" s="44"/>
    </row>
    <row r="130">
      <c r="C130" s="44"/>
    </row>
    <row r="131">
      <c r="C131" s="44"/>
    </row>
    <row r="132">
      <c r="C132" s="44"/>
    </row>
    <row r="133">
      <c r="C133" s="44"/>
    </row>
    <row r="134">
      <c r="C134" s="44"/>
    </row>
    <row r="135">
      <c r="C135" s="44"/>
    </row>
    <row r="136">
      <c r="C136" s="44"/>
    </row>
    <row r="137">
      <c r="C137" s="44"/>
    </row>
    <row r="138">
      <c r="C138" s="44"/>
    </row>
    <row r="139">
      <c r="C139" s="44"/>
    </row>
    <row r="140">
      <c r="C140" s="44"/>
    </row>
    <row r="141">
      <c r="C141" s="44"/>
    </row>
    <row r="142">
      <c r="C142" s="44"/>
    </row>
    <row r="143">
      <c r="C143" s="44"/>
    </row>
    <row r="144">
      <c r="C144" s="44"/>
    </row>
    <row r="145">
      <c r="C145" s="44"/>
    </row>
    <row r="146">
      <c r="C146" s="44"/>
    </row>
    <row r="147">
      <c r="C147" s="44"/>
    </row>
    <row r="148">
      <c r="C148" s="44"/>
    </row>
    <row r="149">
      <c r="C149" s="44"/>
    </row>
    <row r="150">
      <c r="C150" s="44"/>
    </row>
    <row r="151">
      <c r="C151" s="44"/>
    </row>
    <row r="152">
      <c r="C152" s="44"/>
    </row>
    <row r="153">
      <c r="C153" s="44"/>
    </row>
    <row r="154">
      <c r="C154" s="44"/>
    </row>
    <row r="155">
      <c r="C155" s="44"/>
    </row>
    <row r="156">
      <c r="C156" s="44"/>
    </row>
    <row r="157">
      <c r="C157" s="44"/>
    </row>
    <row r="158">
      <c r="C158" s="44"/>
    </row>
    <row r="159">
      <c r="C159" s="44"/>
    </row>
    <row r="160">
      <c r="C160" s="44"/>
    </row>
    <row r="161">
      <c r="C161" s="44"/>
    </row>
    <row r="162">
      <c r="C162" s="44"/>
    </row>
    <row r="163">
      <c r="C163" s="44"/>
    </row>
    <row r="164">
      <c r="C164" s="44"/>
    </row>
    <row r="165">
      <c r="C165" s="44"/>
    </row>
    <row r="166">
      <c r="C166" s="44"/>
    </row>
    <row r="167">
      <c r="C167" s="44"/>
    </row>
    <row r="168">
      <c r="C168" s="44"/>
    </row>
    <row r="169">
      <c r="C169" s="44"/>
    </row>
    <row r="170">
      <c r="C170" s="44"/>
    </row>
    <row r="171">
      <c r="C171" s="44"/>
    </row>
    <row r="172">
      <c r="C172" s="44"/>
    </row>
    <row r="173">
      <c r="C173" s="44"/>
    </row>
    <row r="174">
      <c r="C174" s="44"/>
    </row>
    <row r="175">
      <c r="C175" s="44"/>
    </row>
    <row r="176">
      <c r="C176" s="44"/>
    </row>
    <row r="177">
      <c r="C177" s="44"/>
    </row>
    <row r="178">
      <c r="C178" s="44"/>
    </row>
    <row r="179">
      <c r="C179" s="44"/>
    </row>
    <row r="180">
      <c r="C180" s="44"/>
    </row>
    <row r="181">
      <c r="C181" s="44"/>
    </row>
    <row r="182">
      <c r="C182" s="44"/>
    </row>
    <row r="183">
      <c r="C183" s="44"/>
    </row>
    <row r="184">
      <c r="C184" s="44"/>
    </row>
    <row r="185">
      <c r="C185" s="44"/>
    </row>
    <row r="186">
      <c r="C186" s="44"/>
    </row>
    <row r="187">
      <c r="C187" s="44"/>
    </row>
    <row r="188">
      <c r="C188" s="44"/>
    </row>
    <row r="189">
      <c r="C189" s="44"/>
    </row>
    <row r="190">
      <c r="C190" s="44"/>
    </row>
    <row r="191">
      <c r="C191" s="44"/>
    </row>
    <row r="192">
      <c r="C192" s="44"/>
    </row>
    <row r="193">
      <c r="C193" s="44"/>
    </row>
    <row r="194">
      <c r="C194" s="44"/>
    </row>
    <row r="195">
      <c r="C195" s="44"/>
    </row>
    <row r="196">
      <c r="C196" s="44"/>
    </row>
    <row r="197">
      <c r="C197" s="44"/>
    </row>
    <row r="198">
      <c r="C198" s="44"/>
    </row>
    <row r="199">
      <c r="C199" s="44"/>
    </row>
    <row r="200">
      <c r="C200" s="44"/>
    </row>
    <row r="201">
      <c r="C201" s="44"/>
    </row>
    <row r="202">
      <c r="C202" s="44"/>
    </row>
    <row r="203">
      <c r="C203" s="44"/>
    </row>
    <row r="204">
      <c r="C204" s="44"/>
    </row>
    <row r="205">
      <c r="C205" s="44"/>
    </row>
    <row r="206">
      <c r="C206" s="44"/>
    </row>
    <row r="207">
      <c r="C207" s="44"/>
    </row>
    <row r="208">
      <c r="C208" s="44"/>
    </row>
    <row r="209">
      <c r="C209" s="44"/>
    </row>
    <row r="210">
      <c r="C210" s="44"/>
    </row>
    <row r="211">
      <c r="C211" s="44"/>
    </row>
    <row r="212">
      <c r="C212" s="44"/>
    </row>
    <row r="213">
      <c r="C213" s="44"/>
    </row>
    <row r="214">
      <c r="C214" s="44"/>
    </row>
    <row r="215">
      <c r="C215" s="44"/>
    </row>
    <row r="216">
      <c r="C216" s="44"/>
    </row>
    <row r="217">
      <c r="C217" s="44"/>
    </row>
    <row r="218">
      <c r="C218" s="44"/>
    </row>
    <row r="219">
      <c r="C219" s="44"/>
    </row>
    <row r="220">
      <c r="C220" s="44"/>
    </row>
    <row r="221">
      <c r="C221" s="44"/>
    </row>
    <row r="222">
      <c r="C222" s="44"/>
    </row>
    <row r="223">
      <c r="C223" s="44"/>
    </row>
    <row r="224">
      <c r="C224" s="44"/>
    </row>
    <row r="225">
      <c r="C225" s="44"/>
    </row>
    <row r="226">
      <c r="C226" s="44"/>
    </row>
    <row r="227">
      <c r="C227" s="44"/>
    </row>
    <row r="228">
      <c r="C228" s="44"/>
    </row>
    <row r="229">
      <c r="C229" s="44"/>
    </row>
    <row r="230">
      <c r="C230" s="44"/>
    </row>
    <row r="231">
      <c r="C231" s="44"/>
    </row>
    <row r="232">
      <c r="C232" s="44"/>
    </row>
    <row r="233">
      <c r="C233" s="44"/>
    </row>
    <row r="234">
      <c r="C234" s="44"/>
    </row>
    <row r="235">
      <c r="C235" s="44"/>
    </row>
    <row r="236">
      <c r="C236" s="44"/>
    </row>
    <row r="237">
      <c r="C237" s="44"/>
    </row>
    <row r="238">
      <c r="C238" s="44"/>
    </row>
    <row r="239">
      <c r="C239" s="44"/>
    </row>
    <row r="240">
      <c r="C240" s="44"/>
    </row>
    <row r="241">
      <c r="C241" s="44"/>
    </row>
    <row r="242">
      <c r="C242" s="44"/>
    </row>
    <row r="243">
      <c r="C243" s="44"/>
    </row>
    <row r="244">
      <c r="C244" s="44"/>
    </row>
    <row r="245">
      <c r="C245" s="44"/>
    </row>
    <row r="246">
      <c r="C246" s="44"/>
    </row>
    <row r="247">
      <c r="C247" s="44"/>
    </row>
    <row r="248">
      <c r="C248" s="44"/>
    </row>
    <row r="249">
      <c r="C249" s="44"/>
    </row>
    <row r="250">
      <c r="C250" s="44"/>
    </row>
    <row r="251">
      <c r="C251" s="44"/>
    </row>
    <row r="252">
      <c r="C252" s="44"/>
    </row>
    <row r="253">
      <c r="C253" s="44"/>
    </row>
    <row r="254">
      <c r="C254" s="44"/>
    </row>
    <row r="255">
      <c r="C255" s="44"/>
    </row>
    <row r="256">
      <c r="C256" s="44"/>
    </row>
    <row r="257">
      <c r="C257" s="44"/>
    </row>
    <row r="258">
      <c r="C258" s="44"/>
    </row>
    <row r="259">
      <c r="C259" s="44"/>
    </row>
    <row r="260">
      <c r="C260" s="44"/>
    </row>
    <row r="261">
      <c r="C261" s="44"/>
    </row>
    <row r="262">
      <c r="C262" s="44"/>
    </row>
    <row r="263">
      <c r="C263" s="44"/>
    </row>
    <row r="264">
      <c r="C264" s="44"/>
    </row>
    <row r="265">
      <c r="C265" s="44"/>
    </row>
    <row r="266">
      <c r="C266" s="44"/>
    </row>
    <row r="267">
      <c r="C267" s="44"/>
    </row>
    <row r="268">
      <c r="C268" s="44"/>
    </row>
    <row r="269">
      <c r="C269" s="44"/>
    </row>
    <row r="270">
      <c r="C270" s="44"/>
    </row>
    <row r="271">
      <c r="C271" s="44"/>
    </row>
    <row r="272">
      <c r="C272" s="44"/>
    </row>
    <row r="273">
      <c r="C273" s="44"/>
    </row>
    <row r="274">
      <c r="C274" s="44"/>
    </row>
    <row r="275">
      <c r="C275" s="44"/>
    </row>
    <row r="276">
      <c r="C276" s="44"/>
    </row>
    <row r="277">
      <c r="C277" s="44"/>
    </row>
    <row r="278">
      <c r="C278" s="44"/>
    </row>
    <row r="279">
      <c r="C279" s="44"/>
    </row>
    <row r="280">
      <c r="C280" s="44"/>
    </row>
    <row r="281">
      <c r="C281" s="44"/>
    </row>
    <row r="282">
      <c r="C282" s="44"/>
    </row>
    <row r="283">
      <c r="C283" s="44"/>
    </row>
    <row r="284">
      <c r="C284" s="44"/>
    </row>
    <row r="285">
      <c r="C285" s="44"/>
    </row>
    <row r="286">
      <c r="C286" s="44"/>
    </row>
    <row r="287">
      <c r="C287" s="44"/>
    </row>
    <row r="288">
      <c r="C288" s="44"/>
    </row>
    <row r="289">
      <c r="C289" s="44"/>
    </row>
    <row r="290">
      <c r="C290" s="44"/>
    </row>
    <row r="291">
      <c r="C291" s="44"/>
    </row>
    <row r="292">
      <c r="C292" s="44"/>
    </row>
    <row r="293">
      <c r="C293" s="44"/>
    </row>
    <row r="294">
      <c r="C294" s="44"/>
    </row>
    <row r="295">
      <c r="C295" s="44"/>
    </row>
    <row r="296">
      <c r="C296" s="44"/>
    </row>
    <row r="297">
      <c r="C297" s="44"/>
    </row>
    <row r="298">
      <c r="C298" s="44"/>
    </row>
    <row r="299">
      <c r="C299" s="44"/>
    </row>
    <row r="300">
      <c r="C300" s="44"/>
    </row>
    <row r="301">
      <c r="C301" s="44"/>
    </row>
    <row r="302">
      <c r="C302" s="44"/>
    </row>
    <row r="303">
      <c r="C303" s="44"/>
    </row>
    <row r="304">
      <c r="C304" s="44"/>
    </row>
    <row r="305">
      <c r="C305" s="44"/>
    </row>
    <row r="306">
      <c r="C306" s="44"/>
    </row>
    <row r="307">
      <c r="C307" s="44"/>
    </row>
    <row r="308">
      <c r="C308" s="44"/>
    </row>
    <row r="309">
      <c r="C309" s="44"/>
    </row>
    <row r="310">
      <c r="C310" s="44"/>
    </row>
    <row r="311">
      <c r="C311" s="44"/>
    </row>
    <row r="312">
      <c r="C312" s="44"/>
    </row>
    <row r="313">
      <c r="C313" s="44"/>
    </row>
    <row r="314">
      <c r="C314" s="44"/>
    </row>
    <row r="315">
      <c r="C315" s="44"/>
    </row>
    <row r="316">
      <c r="C316" s="44"/>
    </row>
    <row r="317">
      <c r="C317" s="44"/>
    </row>
    <row r="318">
      <c r="C318" s="44"/>
    </row>
    <row r="319">
      <c r="C319" s="44"/>
    </row>
    <row r="320">
      <c r="C320" s="44"/>
    </row>
    <row r="321">
      <c r="C321" s="44"/>
    </row>
    <row r="322">
      <c r="C322" s="44"/>
    </row>
    <row r="323">
      <c r="C323" s="44"/>
    </row>
    <row r="324">
      <c r="C324" s="44"/>
    </row>
    <row r="325">
      <c r="C325" s="44"/>
    </row>
    <row r="326">
      <c r="C326" s="44"/>
    </row>
    <row r="327">
      <c r="C327" s="44"/>
    </row>
    <row r="328">
      <c r="C328" s="44"/>
    </row>
    <row r="329">
      <c r="C329" s="44"/>
    </row>
    <row r="330">
      <c r="C330" s="44"/>
    </row>
    <row r="331">
      <c r="C331" s="44"/>
    </row>
    <row r="332">
      <c r="C332" s="44"/>
    </row>
    <row r="333">
      <c r="C333" s="44"/>
    </row>
    <row r="334">
      <c r="C334" s="44"/>
    </row>
    <row r="335">
      <c r="C335" s="44"/>
    </row>
    <row r="336">
      <c r="C336" s="44"/>
    </row>
    <row r="337">
      <c r="C337" s="44"/>
    </row>
    <row r="338">
      <c r="C338" s="44"/>
    </row>
    <row r="339">
      <c r="C339" s="44"/>
    </row>
    <row r="340">
      <c r="C340" s="44"/>
    </row>
    <row r="341">
      <c r="C341" s="44"/>
    </row>
    <row r="342">
      <c r="C342" s="44"/>
    </row>
    <row r="343">
      <c r="C343" s="44"/>
    </row>
    <row r="344">
      <c r="C344" s="44"/>
    </row>
    <row r="345">
      <c r="C345" s="44"/>
    </row>
    <row r="346">
      <c r="C346" s="44"/>
    </row>
    <row r="347">
      <c r="C347" s="44"/>
    </row>
    <row r="348">
      <c r="C348" s="44"/>
    </row>
    <row r="349">
      <c r="C349" s="44"/>
    </row>
    <row r="350">
      <c r="C350" s="44"/>
    </row>
    <row r="351">
      <c r="C351" s="44"/>
    </row>
    <row r="352">
      <c r="C352" s="44"/>
    </row>
    <row r="353">
      <c r="C353" s="44"/>
    </row>
    <row r="354">
      <c r="C354" s="44"/>
    </row>
    <row r="355">
      <c r="C355" s="44"/>
    </row>
    <row r="356">
      <c r="C356" s="44"/>
    </row>
    <row r="357">
      <c r="C357" s="44"/>
    </row>
    <row r="358">
      <c r="C358" s="44"/>
    </row>
    <row r="359">
      <c r="C359" s="44"/>
    </row>
    <row r="360">
      <c r="C360" s="44"/>
    </row>
    <row r="361">
      <c r="C361" s="44"/>
    </row>
    <row r="362">
      <c r="C362" s="44"/>
    </row>
    <row r="363">
      <c r="C363" s="44"/>
    </row>
    <row r="364">
      <c r="C364" s="44"/>
    </row>
    <row r="365">
      <c r="C365" s="44"/>
    </row>
    <row r="366">
      <c r="C366" s="44"/>
    </row>
    <row r="367">
      <c r="C367" s="44"/>
    </row>
    <row r="368">
      <c r="C368" s="44"/>
    </row>
    <row r="369">
      <c r="C369" s="44"/>
    </row>
    <row r="370">
      <c r="C370" s="44"/>
    </row>
    <row r="371">
      <c r="C371" s="44"/>
    </row>
    <row r="372">
      <c r="C372" s="44"/>
    </row>
    <row r="373">
      <c r="C373" s="44"/>
    </row>
    <row r="374">
      <c r="C374" s="44"/>
    </row>
    <row r="375">
      <c r="C375" s="44"/>
    </row>
    <row r="376">
      <c r="C376" s="44"/>
    </row>
    <row r="377">
      <c r="C377" s="44"/>
    </row>
    <row r="378">
      <c r="C378" s="44"/>
    </row>
    <row r="379">
      <c r="C379" s="44"/>
    </row>
    <row r="380">
      <c r="C380" s="44"/>
    </row>
    <row r="381">
      <c r="C381" s="44"/>
    </row>
    <row r="382">
      <c r="C382" s="44"/>
    </row>
    <row r="383">
      <c r="C383" s="44"/>
    </row>
    <row r="384">
      <c r="C384" s="44"/>
    </row>
    <row r="385">
      <c r="C385" s="44"/>
    </row>
    <row r="386">
      <c r="C386" s="44"/>
    </row>
    <row r="387">
      <c r="C387" s="44"/>
    </row>
    <row r="388">
      <c r="C388" s="44"/>
    </row>
    <row r="389">
      <c r="C389" s="44"/>
    </row>
    <row r="390">
      <c r="C390" s="44"/>
    </row>
    <row r="391">
      <c r="C391" s="44"/>
    </row>
    <row r="392">
      <c r="C392" s="44"/>
    </row>
    <row r="393">
      <c r="C393" s="44"/>
    </row>
    <row r="394">
      <c r="C394" s="44"/>
    </row>
    <row r="395">
      <c r="C395" s="44"/>
    </row>
    <row r="396">
      <c r="C396" s="44"/>
    </row>
    <row r="397">
      <c r="C397" s="44"/>
    </row>
    <row r="398">
      <c r="C398" s="44"/>
    </row>
    <row r="399">
      <c r="C399" s="44"/>
    </row>
    <row r="400">
      <c r="C400" s="44"/>
    </row>
    <row r="401">
      <c r="C401" s="44"/>
    </row>
    <row r="402">
      <c r="C402" s="44"/>
    </row>
    <row r="403">
      <c r="C403" s="44"/>
    </row>
    <row r="404">
      <c r="C404" s="44"/>
    </row>
    <row r="405">
      <c r="C405" s="44"/>
    </row>
    <row r="406">
      <c r="C406" s="44"/>
    </row>
    <row r="407">
      <c r="C407" s="44"/>
    </row>
    <row r="408">
      <c r="C408" s="44"/>
    </row>
    <row r="409">
      <c r="C409" s="44"/>
    </row>
    <row r="410">
      <c r="C410" s="44"/>
    </row>
    <row r="411">
      <c r="C411" s="44"/>
    </row>
    <row r="412">
      <c r="C412" s="44"/>
    </row>
    <row r="413">
      <c r="C413" s="44"/>
    </row>
    <row r="414">
      <c r="C414" s="44"/>
    </row>
    <row r="415">
      <c r="C415" s="44"/>
    </row>
    <row r="416">
      <c r="C416" s="44"/>
    </row>
    <row r="417">
      <c r="C417" s="44"/>
    </row>
    <row r="418">
      <c r="C418" s="44"/>
    </row>
    <row r="419">
      <c r="C419" s="44"/>
    </row>
    <row r="420">
      <c r="C420" s="44"/>
    </row>
    <row r="421">
      <c r="C421" s="44"/>
    </row>
    <row r="422">
      <c r="C422" s="44"/>
    </row>
    <row r="423">
      <c r="C423" s="44"/>
    </row>
    <row r="424">
      <c r="C424" s="44"/>
    </row>
    <row r="425">
      <c r="C425" s="44"/>
    </row>
    <row r="426">
      <c r="C426" s="44"/>
    </row>
    <row r="427">
      <c r="C427" s="44"/>
    </row>
    <row r="428">
      <c r="C428" s="44"/>
    </row>
    <row r="429">
      <c r="C429" s="44"/>
    </row>
    <row r="430">
      <c r="C430" s="44"/>
    </row>
    <row r="431">
      <c r="C431" s="44"/>
    </row>
    <row r="432">
      <c r="C432" s="44"/>
    </row>
    <row r="433">
      <c r="C433" s="44"/>
    </row>
    <row r="434">
      <c r="C434" s="44"/>
    </row>
    <row r="435">
      <c r="C435" s="44"/>
    </row>
    <row r="436">
      <c r="C436" s="44"/>
    </row>
    <row r="437">
      <c r="C437" s="44"/>
    </row>
    <row r="438">
      <c r="C438" s="44"/>
    </row>
    <row r="439">
      <c r="C439" s="44"/>
    </row>
    <row r="440">
      <c r="C440" s="44"/>
    </row>
    <row r="441">
      <c r="C441" s="44"/>
    </row>
    <row r="442">
      <c r="C442" s="44"/>
    </row>
    <row r="443">
      <c r="C443" s="44"/>
    </row>
    <row r="444">
      <c r="C444" s="44"/>
    </row>
    <row r="445">
      <c r="C445" s="44"/>
    </row>
    <row r="446">
      <c r="C446" s="44"/>
    </row>
    <row r="447">
      <c r="C447" s="44"/>
    </row>
    <row r="448">
      <c r="C448" s="44"/>
    </row>
    <row r="449">
      <c r="C449" s="44"/>
    </row>
    <row r="450">
      <c r="C450" s="44"/>
    </row>
    <row r="451">
      <c r="C451" s="44"/>
    </row>
    <row r="452">
      <c r="C452" s="44"/>
    </row>
    <row r="453">
      <c r="C453" s="44"/>
    </row>
    <row r="454">
      <c r="C454" s="44"/>
    </row>
    <row r="455">
      <c r="C455" s="44"/>
    </row>
    <row r="456">
      <c r="C456" s="44"/>
    </row>
    <row r="457">
      <c r="C457" s="44"/>
    </row>
    <row r="458">
      <c r="C458" s="44"/>
    </row>
    <row r="459">
      <c r="C459" s="44"/>
    </row>
    <row r="460">
      <c r="C460" s="44"/>
    </row>
    <row r="461">
      <c r="C461" s="44"/>
    </row>
    <row r="462">
      <c r="C462" s="44"/>
    </row>
    <row r="463">
      <c r="C463" s="44"/>
    </row>
    <row r="464">
      <c r="C464" s="44"/>
    </row>
    <row r="465">
      <c r="C465" s="44"/>
    </row>
    <row r="466">
      <c r="C466" s="44"/>
    </row>
    <row r="467">
      <c r="C467" s="44"/>
    </row>
    <row r="468">
      <c r="C468" s="44"/>
    </row>
    <row r="469">
      <c r="C469" s="44"/>
    </row>
    <row r="470">
      <c r="C470" s="44"/>
    </row>
    <row r="471">
      <c r="C471" s="44"/>
    </row>
    <row r="472">
      <c r="C472" s="44"/>
    </row>
    <row r="473">
      <c r="C473" s="44"/>
    </row>
    <row r="474">
      <c r="C474" s="44"/>
    </row>
    <row r="475">
      <c r="C475" s="44"/>
    </row>
    <row r="476">
      <c r="C476" s="44"/>
    </row>
    <row r="477">
      <c r="C477" s="44"/>
    </row>
    <row r="478">
      <c r="C478" s="44"/>
    </row>
    <row r="479">
      <c r="C479" s="44"/>
    </row>
    <row r="480">
      <c r="C480" s="44"/>
    </row>
    <row r="481">
      <c r="C481" s="44"/>
    </row>
    <row r="482">
      <c r="C482" s="44"/>
    </row>
    <row r="483">
      <c r="C483" s="44"/>
    </row>
    <row r="484">
      <c r="C484" s="44"/>
    </row>
    <row r="485">
      <c r="C485" s="44"/>
    </row>
    <row r="486">
      <c r="C486" s="44"/>
    </row>
    <row r="487">
      <c r="C487" s="44"/>
    </row>
    <row r="488">
      <c r="C488" s="44"/>
    </row>
    <row r="489">
      <c r="C489" s="44"/>
    </row>
    <row r="490">
      <c r="C490" s="44"/>
    </row>
    <row r="491">
      <c r="C491" s="44"/>
    </row>
    <row r="492">
      <c r="C492" s="44"/>
    </row>
    <row r="493">
      <c r="C493" s="44"/>
    </row>
    <row r="494">
      <c r="C494" s="44"/>
    </row>
    <row r="495">
      <c r="C495" s="44"/>
    </row>
    <row r="496">
      <c r="C496" s="44"/>
    </row>
    <row r="497">
      <c r="C497" s="44"/>
    </row>
    <row r="498">
      <c r="C498" s="44"/>
    </row>
    <row r="499">
      <c r="C499" s="44"/>
    </row>
    <row r="500">
      <c r="C500" s="44"/>
    </row>
    <row r="501">
      <c r="C501" s="44"/>
    </row>
    <row r="502">
      <c r="C502" s="44"/>
    </row>
    <row r="503">
      <c r="C503" s="44"/>
    </row>
    <row r="504">
      <c r="C504" s="44"/>
    </row>
    <row r="505">
      <c r="C505" s="44"/>
    </row>
    <row r="506">
      <c r="C506" s="44"/>
    </row>
    <row r="507">
      <c r="C507" s="44"/>
    </row>
    <row r="508">
      <c r="C508" s="44"/>
    </row>
    <row r="509">
      <c r="C509" s="44"/>
    </row>
    <row r="510">
      <c r="C510" s="44"/>
    </row>
    <row r="511">
      <c r="C511" s="44"/>
    </row>
    <row r="512">
      <c r="C512" s="44"/>
    </row>
    <row r="513">
      <c r="C513" s="44"/>
    </row>
    <row r="514">
      <c r="C514" s="44"/>
    </row>
    <row r="515">
      <c r="C515" s="44"/>
    </row>
    <row r="516">
      <c r="C516" s="44"/>
    </row>
    <row r="517">
      <c r="C517" s="44"/>
    </row>
    <row r="518">
      <c r="C518" s="44"/>
    </row>
    <row r="519">
      <c r="C519" s="44"/>
    </row>
    <row r="520">
      <c r="C520" s="44"/>
    </row>
    <row r="521">
      <c r="C521" s="44"/>
    </row>
    <row r="522">
      <c r="C522" s="44"/>
    </row>
    <row r="523">
      <c r="C523" s="44"/>
    </row>
    <row r="524">
      <c r="C524" s="44"/>
    </row>
    <row r="525">
      <c r="C525" s="44"/>
    </row>
    <row r="526">
      <c r="C526" s="44"/>
    </row>
    <row r="527">
      <c r="C527" s="44"/>
    </row>
    <row r="528">
      <c r="C528" s="44"/>
    </row>
    <row r="529">
      <c r="C529" s="44"/>
    </row>
    <row r="530">
      <c r="C530" s="44"/>
    </row>
    <row r="531">
      <c r="C531" s="44"/>
    </row>
    <row r="532">
      <c r="C532" s="44"/>
    </row>
    <row r="533">
      <c r="C533" s="44"/>
    </row>
    <row r="534">
      <c r="C534" s="44"/>
    </row>
    <row r="535">
      <c r="C535" s="44"/>
    </row>
    <row r="536">
      <c r="C536" s="44"/>
    </row>
    <row r="537">
      <c r="C537" s="44"/>
    </row>
    <row r="538">
      <c r="C538" s="44"/>
    </row>
    <row r="539">
      <c r="C539" s="44"/>
    </row>
    <row r="540">
      <c r="C540" s="44"/>
    </row>
    <row r="541">
      <c r="C541" s="44"/>
    </row>
    <row r="542">
      <c r="C542" s="44"/>
    </row>
    <row r="543">
      <c r="C543" s="44"/>
    </row>
    <row r="544">
      <c r="C544" s="44"/>
    </row>
    <row r="545">
      <c r="C545" s="44"/>
    </row>
    <row r="546">
      <c r="C546" s="44"/>
    </row>
    <row r="547">
      <c r="C547" s="44"/>
    </row>
    <row r="548">
      <c r="C548" s="44"/>
    </row>
    <row r="549">
      <c r="C549" s="44"/>
    </row>
    <row r="550">
      <c r="C550" s="44"/>
    </row>
    <row r="551">
      <c r="C551" s="44"/>
    </row>
    <row r="552">
      <c r="C552" s="44"/>
    </row>
    <row r="553">
      <c r="C553" s="44"/>
    </row>
    <row r="554">
      <c r="C554" s="44"/>
    </row>
    <row r="555">
      <c r="C555" s="44"/>
    </row>
    <row r="556">
      <c r="C556" s="44"/>
    </row>
    <row r="557">
      <c r="C557" s="44"/>
    </row>
    <row r="558">
      <c r="C558" s="44"/>
    </row>
    <row r="559">
      <c r="C559" s="44"/>
    </row>
    <row r="560">
      <c r="C560" s="44"/>
    </row>
    <row r="561">
      <c r="C561" s="44"/>
    </row>
    <row r="562">
      <c r="C562" s="44"/>
    </row>
    <row r="563">
      <c r="C563" s="44"/>
    </row>
    <row r="564">
      <c r="C564" s="44"/>
    </row>
    <row r="565">
      <c r="C565" s="44"/>
    </row>
    <row r="566">
      <c r="C566" s="44"/>
    </row>
    <row r="567">
      <c r="C567" s="44"/>
    </row>
    <row r="568">
      <c r="C568" s="44"/>
    </row>
    <row r="569">
      <c r="C569" s="44"/>
    </row>
    <row r="570">
      <c r="C570" s="44"/>
    </row>
    <row r="571">
      <c r="C571" s="44"/>
    </row>
    <row r="572">
      <c r="C572" s="44"/>
    </row>
    <row r="573">
      <c r="C573" s="44"/>
    </row>
    <row r="574">
      <c r="C574" s="44"/>
    </row>
    <row r="575">
      <c r="C575" s="44"/>
    </row>
    <row r="576">
      <c r="C576" s="44"/>
    </row>
    <row r="577">
      <c r="C577" s="44"/>
    </row>
    <row r="578">
      <c r="C578" s="44"/>
    </row>
    <row r="579">
      <c r="C579" s="44"/>
    </row>
    <row r="580">
      <c r="C580" s="44"/>
    </row>
    <row r="581">
      <c r="C581" s="44"/>
    </row>
    <row r="582">
      <c r="C582" s="44"/>
    </row>
    <row r="583">
      <c r="C583" s="44"/>
    </row>
    <row r="584">
      <c r="C584" s="44"/>
    </row>
    <row r="585">
      <c r="C585" s="44"/>
    </row>
    <row r="586">
      <c r="C586" s="44"/>
    </row>
    <row r="587">
      <c r="C587" s="44"/>
    </row>
    <row r="588">
      <c r="C588" s="44"/>
    </row>
    <row r="589">
      <c r="C589" s="44"/>
    </row>
    <row r="590">
      <c r="C590" s="44"/>
    </row>
    <row r="591">
      <c r="C591" s="44"/>
    </row>
    <row r="592">
      <c r="C592" s="44"/>
    </row>
    <row r="593">
      <c r="C593" s="44"/>
    </row>
    <row r="594">
      <c r="C594" s="44"/>
    </row>
    <row r="595">
      <c r="C595" s="44"/>
    </row>
    <row r="596">
      <c r="C596" s="44"/>
    </row>
    <row r="597">
      <c r="C597" s="44"/>
    </row>
    <row r="598">
      <c r="C598" s="44"/>
    </row>
    <row r="599">
      <c r="C599" s="44"/>
    </row>
    <row r="600">
      <c r="C600" s="44"/>
    </row>
    <row r="601">
      <c r="C601" s="44"/>
    </row>
    <row r="602">
      <c r="C602" s="44"/>
    </row>
    <row r="603">
      <c r="C603" s="44"/>
    </row>
    <row r="604">
      <c r="C604" s="44"/>
    </row>
    <row r="605">
      <c r="C605" s="44"/>
    </row>
    <row r="606">
      <c r="C606" s="44"/>
    </row>
    <row r="607">
      <c r="C607" s="44"/>
    </row>
    <row r="608">
      <c r="C608" s="44"/>
    </row>
    <row r="609">
      <c r="C609" s="44"/>
    </row>
    <row r="610">
      <c r="C610" s="44"/>
    </row>
    <row r="611">
      <c r="C611" s="44"/>
    </row>
    <row r="612">
      <c r="C612" s="44"/>
    </row>
    <row r="613">
      <c r="C613" s="44"/>
    </row>
    <row r="614">
      <c r="C614" s="44"/>
    </row>
    <row r="615">
      <c r="C615" s="44"/>
    </row>
    <row r="616">
      <c r="C616" s="44"/>
    </row>
    <row r="617">
      <c r="C617" s="44"/>
    </row>
    <row r="618">
      <c r="C618" s="44"/>
    </row>
    <row r="619">
      <c r="C619" s="44"/>
    </row>
    <row r="620">
      <c r="C620" s="44"/>
    </row>
    <row r="621">
      <c r="C621" s="44"/>
    </row>
    <row r="622">
      <c r="C622" s="44"/>
    </row>
    <row r="623">
      <c r="C623" s="44"/>
    </row>
    <row r="624">
      <c r="C624" s="44"/>
    </row>
    <row r="625">
      <c r="C625" s="44"/>
    </row>
    <row r="626">
      <c r="C626" s="44"/>
    </row>
    <row r="627">
      <c r="C627" s="44"/>
    </row>
    <row r="628">
      <c r="C628" s="44"/>
    </row>
    <row r="629">
      <c r="C629" s="44"/>
    </row>
    <row r="630">
      <c r="C630" s="44"/>
    </row>
    <row r="631">
      <c r="C631" s="44"/>
    </row>
    <row r="632">
      <c r="C632" s="44"/>
    </row>
    <row r="633">
      <c r="C633" s="44"/>
    </row>
    <row r="634">
      <c r="C634" s="44"/>
    </row>
    <row r="635">
      <c r="C635" s="44"/>
    </row>
    <row r="636">
      <c r="C636" s="44"/>
    </row>
    <row r="637">
      <c r="C637" s="44"/>
    </row>
    <row r="638">
      <c r="C638" s="44"/>
    </row>
    <row r="639">
      <c r="C639" s="44"/>
    </row>
    <row r="640">
      <c r="C640" s="44"/>
    </row>
    <row r="641">
      <c r="C641" s="44"/>
    </row>
    <row r="642">
      <c r="C642" s="44"/>
    </row>
    <row r="643">
      <c r="C643" s="44"/>
    </row>
    <row r="644">
      <c r="C644" s="44"/>
    </row>
    <row r="645">
      <c r="C645" s="44"/>
    </row>
    <row r="646">
      <c r="C646" s="44"/>
    </row>
    <row r="647">
      <c r="C647" s="44"/>
    </row>
    <row r="648">
      <c r="C648" s="44"/>
    </row>
    <row r="649">
      <c r="C649" s="44"/>
    </row>
    <row r="650">
      <c r="C650" s="44"/>
    </row>
    <row r="651">
      <c r="C651" s="44"/>
    </row>
    <row r="652">
      <c r="C652" s="44"/>
    </row>
    <row r="653">
      <c r="C653" s="44"/>
    </row>
    <row r="654">
      <c r="C654" s="44"/>
    </row>
    <row r="655">
      <c r="C655" s="44"/>
    </row>
    <row r="656">
      <c r="C656" s="44"/>
    </row>
    <row r="657">
      <c r="C657" s="44"/>
    </row>
    <row r="658">
      <c r="C658" s="44"/>
    </row>
    <row r="659">
      <c r="C659" s="44"/>
    </row>
    <row r="660">
      <c r="C660" s="44"/>
    </row>
    <row r="661">
      <c r="C661" s="44"/>
    </row>
    <row r="662">
      <c r="C662" s="44"/>
    </row>
    <row r="663">
      <c r="C663" s="44"/>
    </row>
    <row r="664">
      <c r="C664" s="44"/>
    </row>
    <row r="665">
      <c r="C665" s="44"/>
    </row>
    <row r="666">
      <c r="C666" s="44"/>
    </row>
    <row r="667">
      <c r="C667" s="44"/>
    </row>
    <row r="668">
      <c r="C668" s="44"/>
    </row>
    <row r="669">
      <c r="C669" s="44"/>
    </row>
    <row r="670">
      <c r="C670" s="44"/>
    </row>
    <row r="671">
      <c r="C671" s="44"/>
    </row>
    <row r="672">
      <c r="C672" s="44"/>
    </row>
    <row r="673">
      <c r="C673" s="44"/>
    </row>
    <row r="674">
      <c r="C674" s="44"/>
    </row>
    <row r="675">
      <c r="C675" s="44"/>
    </row>
    <row r="676">
      <c r="C676" s="44"/>
    </row>
    <row r="677">
      <c r="C677" s="44"/>
    </row>
    <row r="678">
      <c r="C678" s="44"/>
    </row>
    <row r="679">
      <c r="C679" s="44"/>
    </row>
    <row r="680">
      <c r="C680" s="44"/>
    </row>
    <row r="681">
      <c r="C681" s="44"/>
    </row>
    <row r="682">
      <c r="C682" s="44"/>
    </row>
    <row r="683">
      <c r="C683" s="44"/>
    </row>
    <row r="684">
      <c r="C684" s="44"/>
    </row>
    <row r="685">
      <c r="C685" s="44"/>
    </row>
    <row r="686">
      <c r="C686" s="44"/>
    </row>
    <row r="687">
      <c r="C687" s="44"/>
    </row>
    <row r="688">
      <c r="C688" s="44"/>
    </row>
    <row r="689">
      <c r="C689" s="44"/>
    </row>
    <row r="690">
      <c r="C690" s="44"/>
    </row>
    <row r="691">
      <c r="C691" s="44"/>
    </row>
    <row r="692">
      <c r="C692" s="44"/>
    </row>
    <row r="693">
      <c r="C693" s="44"/>
    </row>
    <row r="694">
      <c r="C694" s="44"/>
    </row>
    <row r="695">
      <c r="C695" s="44"/>
    </row>
    <row r="696">
      <c r="C696" s="44"/>
    </row>
    <row r="697">
      <c r="C697" s="44"/>
    </row>
    <row r="698">
      <c r="C698" s="44"/>
    </row>
    <row r="699">
      <c r="C699" s="44"/>
    </row>
    <row r="700">
      <c r="C700" s="44"/>
    </row>
    <row r="701">
      <c r="C701" s="44"/>
    </row>
    <row r="702">
      <c r="C702" s="44"/>
    </row>
    <row r="703">
      <c r="C703" s="44"/>
    </row>
    <row r="704">
      <c r="C704" s="44"/>
    </row>
    <row r="705">
      <c r="C705" s="44"/>
    </row>
    <row r="706">
      <c r="C706" s="44"/>
    </row>
    <row r="707">
      <c r="C707" s="44"/>
    </row>
    <row r="708">
      <c r="C708" s="44"/>
    </row>
    <row r="709">
      <c r="C709" s="44"/>
    </row>
    <row r="710">
      <c r="C710" s="44"/>
    </row>
    <row r="711">
      <c r="C711" s="44"/>
    </row>
    <row r="712">
      <c r="C712" s="44"/>
    </row>
    <row r="713">
      <c r="C713" s="44"/>
    </row>
    <row r="714">
      <c r="C714" s="44"/>
    </row>
    <row r="715">
      <c r="C715" s="44"/>
    </row>
    <row r="716">
      <c r="C716" s="44"/>
    </row>
    <row r="717">
      <c r="C717" s="44"/>
    </row>
    <row r="718">
      <c r="C718" s="44"/>
    </row>
    <row r="719">
      <c r="C719" s="44"/>
    </row>
    <row r="720">
      <c r="C720" s="44"/>
    </row>
    <row r="721">
      <c r="C721" s="44"/>
    </row>
    <row r="722">
      <c r="C722" s="44"/>
    </row>
    <row r="723">
      <c r="C723" s="44"/>
    </row>
    <row r="724">
      <c r="C724" s="44"/>
    </row>
    <row r="725">
      <c r="C725" s="44"/>
    </row>
    <row r="726">
      <c r="C726" s="44"/>
    </row>
    <row r="727">
      <c r="C727" s="44"/>
    </row>
    <row r="728">
      <c r="C728" s="44"/>
    </row>
    <row r="729">
      <c r="C729" s="44"/>
    </row>
    <row r="730">
      <c r="C730" s="44"/>
    </row>
    <row r="731">
      <c r="C731" s="44"/>
    </row>
    <row r="732">
      <c r="C732" s="44"/>
    </row>
    <row r="733">
      <c r="C733" s="44"/>
    </row>
    <row r="734">
      <c r="C734" s="44"/>
    </row>
    <row r="735">
      <c r="C735" s="44"/>
    </row>
    <row r="736">
      <c r="C736" s="44"/>
    </row>
    <row r="737">
      <c r="C737" s="44"/>
    </row>
    <row r="738">
      <c r="C738" s="44"/>
    </row>
    <row r="739">
      <c r="C739" s="44"/>
    </row>
    <row r="740">
      <c r="C740" s="44"/>
    </row>
    <row r="741">
      <c r="C741" s="44"/>
    </row>
    <row r="742">
      <c r="C742" s="44"/>
    </row>
    <row r="743">
      <c r="C743" s="44"/>
    </row>
    <row r="744">
      <c r="C744" s="44"/>
    </row>
    <row r="745">
      <c r="C745" s="44"/>
    </row>
    <row r="746">
      <c r="C746" s="44"/>
    </row>
    <row r="747">
      <c r="C747" s="44"/>
    </row>
    <row r="748">
      <c r="C748" s="44"/>
    </row>
    <row r="749">
      <c r="C749" s="44"/>
    </row>
    <row r="750">
      <c r="C750" s="44"/>
    </row>
    <row r="751">
      <c r="C751" s="44"/>
    </row>
    <row r="752">
      <c r="C752" s="44"/>
    </row>
    <row r="753">
      <c r="C753" s="44"/>
    </row>
    <row r="754">
      <c r="C754" s="44"/>
    </row>
    <row r="755">
      <c r="C755" s="44"/>
    </row>
    <row r="756">
      <c r="C756" s="44"/>
    </row>
    <row r="757">
      <c r="C757" s="44"/>
    </row>
    <row r="758">
      <c r="C758" s="44"/>
    </row>
    <row r="759">
      <c r="C759" s="44"/>
    </row>
    <row r="760">
      <c r="C760" s="44"/>
    </row>
    <row r="761">
      <c r="C761" s="44"/>
    </row>
    <row r="762">
      <c r="C762" s="44"/>
    </row>
    <row r="763">
      <c r="C763" s="44"/>
    </row>
    <row r="764">
      <c r="C764" s="44"/>
    </row>
    <row r="765">
      <c r="C765" s="44"/>
    </row>
    <row r="766">
      <c r="C766" s="44"/>
    </row>
    <row r="767">
      <c r="C767" s="44"/>
    </row>
    <row r="768">
      <c r="C768" s="44"/>
    </row>
    <row r="769">
      <c r="C769" s="44"/>
    </row>
    <row r="770">
      <c r="C770" s="44"/>
    </row>
    <row r="771">
      <c r="C771" s="44"/>
    </row>
    <row r="772">
      <c r="C772" s="44"/>
    </row>
    <row r="773">
      <c r="C773" s="44"/>
    </row>
    <row r="774">
      <c r="C774" s="44"/>
    </row>
    <row r="775">
      <c r="C775" s="44"/>
    </row>
    <row r="776">
      <c r="C776" s="44"/>
    </row>
    <row r="777">
      <c r="C777" s="44"/>
    </row>
    <row r="778">
      <c r="C778" s="44"/>
    </row>
    <row r="779">
      <c r="C779" s="44"/>
    </row>
    <row r="780">
      <c r="C780" s="44"/>
    </row>
    <row r="781">
      <c r="C781" s="44"/>
    </row>
    <row r="782">
      <c r="C782" s="44"/>
    </row>
    <row r="783">
      <c r="C783" s="44"/>
    </row>
    <row r="784">
      <c r="C784" s="44"/>
    </row>
    <row r="785">
      <c r="C785" s="44"/>
    </row>
    <row r="786">
      <c r="C786" s="44"/>
    </row>
    <row r="787">
      <c r="C787" s="44"/>
    </row>
    <row r="788">
      <c r="C788" s="44"/>
    </row>
    <row r="789">
      <c r="C789" s="44"/>
    </row>
    <row r="790">
      <c r="C790" s="44"/>
    </row>
    <row r="791">
      <c r="C791" s="44"/>
    </row>
    <row r="792">
      <c r="C792" s="44"/>
    </row>
    <row r="793">
      <c r="C793" s="44"/>
    </row>
    <row r="794">
      <c r="C794" s="44"/>
    </row>
    <row r="795">
      <c r="C795" s="44"/>
    </row>
    <row r="796">
      <c r="C796" s="44"/>
    </row>
    <row r="797">
      <c r="C797" s="44"/>
    </row>
    <row r="798">
      <c r="C798" s="44"/>
    </row>
    <row r="799">
      <c r="C799" s="44"/>
    </row>
    <row r="800">
      <c r="C800" s="44"/>
    </row>
    <row r="801">
      <c r="C801" s="44"/>
    </row>
    <row r="802">
      <c r="C802" s="44"/>
    </row>
    <row r="803">
      <c r="C803" s="44"/>
    </row>
    <row r="804">
      <c r="C804" s="44"/>
    </row>
    <row r="805">
      <c r="C805" s="44"/>
    </row>
    <row r="806">
      <c r="C806" s="44"/>
    </row>
    <row r="807">
      <c r="C807" s="44"/>
    </row>
    <row r="808">
      <c r="C808" s="44"/>
    </row>
    <row r="809">
      <c r="C809" s="44"/>
    </row>
    <row r="810">
      <c r="C810" s="44"/>
    </row>
    <row r="811">
      <c r="C811" s="44"/>
    </row>
    <row r="812">
      <c r="C812" s="44"/>
    </row>
    <row r="813">
      <c r="C813" s="44"/>
    </row>
    <row r="814">
      <c r="C814" s="44"/>
    </row>
    <row r="815">
      <c r="C815" s="44"/>
    </row>
    <row r="816">
      <c r="C816" s="44"/>
    </row>
    <row r="817">
      <c r="C817" s="44"/>
    </row>
    <row r="818">
      <c r="C818" s="44"/>
    </row>
    <row r="819">
      <c r="C819" s="44"/>
    </row>
    <row r="820">
      <c r="C820" s="44"/>
    </row>
    <row r="821">
      <c r="C821" s="44"/>
    </row>
    <row r="822">
      <c r="C822" s="44"/>
    </row>
    <row r="823">
      <c r="C823" s="44"/>
    </row>
    <row r="824">
      <c r="C824" s="44"/>
    </row>
    <row r="825">
      <c r="C825" s="44"/>
    </row>
    <row r="826">
      <c r="C826" s="44"/>
    </row>
    <row r="827">
      <c r="C827" s="44"/>
    </row>
    <row r="828">
      <c r="C828" s="44"/>
    </row>
    <row r="829">
      <c r="C829" s="44"/>
    </row>
    <row r="830">
      <c r="C830" s="44"/>
    </row>
    <row r="831">
      <c r="C831" s="44"/>
    </row>
    <row r="832">
      <c r="C832" s="44"/>
    </row>
    <row r="833">
      <c r="C833" s="44"/>
    </row>
    <row r="834">
      <c r="C834" s="44"/>
    </row>
    <row r="835">
      <c r="C835" s="44"/>
    </row>
    <row r="836">
      <c r="C836" s="44"/>
    </row>
    <row r="837">
      <c r="C837" s="44"/>
    </row>
    <row r="838">
      <c r="C838" s="44"/>
    </row>
    <row r="839">
      <c r="C839" s="44"/>
    </row>
    <row r="840">
      <c r="C840" s="44"/>
    </row>
    <row r="841">
      <c r="C841" s="44"/>
    </row>
    <row r="842">
      <c r="C842" s="44"/>
    </row>
    <row r="843">
      <c r="C843" s="44"/>
    </row>
    <row r="844">
      <c r="C844" s="44"/>
    </row>
    <row r="845">
      <c r="C845" s="44"/>
    </row>
    <row r="846">
      <c r="C846" s="44"/>
    </row>
    <row r="847">
      <c r="C847" s="44"/>
    </row>
    <row r="848">
      <c r="C848" s="44"/>
    </row>
    <row r="849">
      <c r="C849" s="44"/>
    </row>
    <row r="850">
      <c r="C850" s="44"/>
    </row>
    <row r="851">
      <c r="C851" s="44"/>
    </row>
    <row r="852">
      <c r="C852" s="44"/>
    </row>
    <row r="853">
      <c r="C853" s="44"/>
    </row>
    <row r="854">
      <c r="C854" s="44"/>
    </row>
    <row r="855">
      <c r="C855" s="44"/>
    </row>
    <row r="856">
      <c r="C856" s="44"/>
    </row>
    <row r="857">
      <c r="C857" s="44"/>
    </row>
    <row r="858">
      <c r="C858" s="44"/>
    </row>
    <row r="859">
      <c r="C859" s="44"/>
    </row>
    <row r="860">
      <c r="C860" s="44"/>
    </row>
    <row r="861">
      <c r="C861" s="44"/>
    </row>
    <row r="862">
      <c r="C862" s="44"/>
    </row>
    <row r="863">
      <c r="C863" s="44"/>
    </row>
    <row r="864">
      <c r="C864" s="44"/>
    </row>
    <row r="865">
      <c r="C865" s="44"/>
    </row>
    <row r="866">
      <c r="C866" s="44"/>
    </row>
    <row r="867">
      <c r="C867" s="44"/>
    </row>
    <row r="868">
      <c r="C868" s="44"/>
    </row>
    <row r="869">
      <c r="C869" s="44"/>
    </row>
    <row r="870">
      <c r="C870" s="44"/>
    </row>
    <row r="871">
      <c r="C871" s="44"/>
    </row>
    <row r="872">
      <c r="C872" s="44"/>
    </row>
    <row r="873">
      <c r="C873" s="44"/>
    </row>
    <row r="874">
      <c r="C874" s="44"/>
    </row>
    <row r="875">
      <c r="C875" s="44"/>
    </row>
    <row r="876">
      <c r="C876" s="44"/>
    </row>
    <row r="877">
      <c r="C877" s="44"/>
    </row>
    <row r="878">
      <c r="C878" s="44"/>
    </row>
    <row r="879">
      <c r="C879" s="44"/>
    </row>
    <row r="880">
      <c r="C880" s="44"/>
    </row>
    <row r="881">
      <c r="C881" s="44"/>
    </row>
    <row r="882">
      <c r="C882" s="44"/>
    </row>
    <row r="883">
      <c r="C883" s="44"/>
    </row>
    <row r="884">
      <c r="C884" s="44"/>
    </row>
    <row r="885">
      <c r="C885" s="44"/>
    </row>
    <row r="886">
      <c r="C886" s="44"/>
    </row>
    <row r="887">
      <c r="C887" s="44"/>
    </row>
    <row r="888">
      <c r="C888" s="44"/>
    </row>
    <row r="889">
      <c r="C889" s="44"/>
    </row>
    <row r="890">
      <c r="C890" s="44"/>
    </row>
    <row r="891">
      <c r="C891" s="44"/>
    </row>
    <row r="892">
      <c r="C892" s="44"/>
    </row>
    <row r="893">
      <c r="C893" s="44"/>
    </row>
    <row r="894">
      <c r="C894" s="44"/>
    </row>
    <row r="895">
      <c r="C895" s="44"/>
    </row>
    <row r="896">
      <c r="C896" s="44"/>
    </row>
    <row r="897">
      <c r="C897" s="44"/>
    </row>
    <row r="898">
      <c r="C898" s="44"/>
    </row>
    <row r="899">
      <c r="C899" s="44"/>
    </row>
    <row r="900">
      <c r="C900" s="44"/>
    </row>
    <row r="901">
      <c r="C901" s="44"/>
    </row>
    <row r="902">
      <c r="C902" s="44"/>
    </row>
    <row r="903">
      <c r="C903" s="44"/>
    </row>
    <row r="904">
      <c r="C904" s="44"/>
    </row>
    <row r="905">
      <c r="C905" s="44"/>
    </row>
    <row r="906">
      <c r="C906" s="44"/>
    </row>
    <row r="907">
      <c r="C907" s="44"/>
    </row>
    <row r="908">
      <c r="C908" s="44"/>
    </row>
    <row r="909">
      <c r="C909" s="44"/>
    </row>
    <row r="910">
      <c r="C910" s="44"/>
    </row>
    <row r="911">
      <c r="C911" s="44"/>
    </row>
    <row r="912">
      <c r="C912" s="44"/>
    </row>
    <row r="913">
      <c r="C913" s="44"/>
    </row>
    <row r="914">
      <c r="C914" s="44"/>
    </row>
    <row r="915">
      <c r="C915" s="44"/>
    </row>
    <row r="916">
      <c r="C916" s="44"/>
    </row>
    <row r="917">
      <c r="C917" s="44"/>
    </row>
    <row r="918">
      <c r="C918" s="44"/>
    </row>
    <row r="919">
      <c r="C919" s="44"/>
    </row>
    <row r="920">
      <c r="C920" s="44"/>
    </row>
    <row r="921">
      <c r="C921" s="44"/>
    </row>
    <row r="922">
      <c r="C922" s="44"/>
    </row>
    <row r="923">
      <c r="C923" s="44"/>
    </row>
    <row r="924">
      <c r="C924" s="44"/>
    </row>
    <row r="925">
      <c r="C925" s="44"/>
    </row>
    <row r="926">
      <c r="C926" s="44"/>
    </row>
    <row r="927">
      <c r="C927" s="44"/>
    </row>
    <row r="928">
      <c r="C928" s="44"/>
    </row>
    <row r="929">
      <c r="C929" s="44"/>
    </row>
    <row r="930">
      <c r="C930" s="44"/>
    </row>
    <row r="931">
      <c r="C931" s="44"/>
    </row>
    <row r="932">
      <c r="C932" s="44"/>
    </row>
    <row r="933">
      <c r="C933" s="44"/>
    </row>
    <row r="934">
      <c r="C934" s="44"/>
    </row>
    <row r="935">
      <c r="C935" s="44"/>
    </row>
    <row r="936">
      <c r="C936" s="44"/>
    </row>
    <row r="937">
      <c r="C937" s="44"/>
    </row>
    <row r="938">
      <c r="C938" s="44"/>
    </row>
    <row r="939">
      <c r="C939" s="44"/>
    </row>
    <row r="940">
      <c r="C940" s="44"/>
    </row>
    <row r="941">
      <c r="C941" s="44"/>
    </row>
    <row r="942">
      <c r="C942" s="44"/>
    </row>
    <row r="943">
      <c r="C943" s="44"/>
    </row>
    <row r="944">
      <c r="C944" s="44"/>
    </row>
    <row r="945">
      <c r="C945" s="44"/>
    </row>
    <row r="946">
      <c r="C946" s="44"/>
    </row>
    <row r="947">
      <c r="C947" s="44"/>
    </row>
    <row r="948">
      <c r="C948" s="44"/>
    </row>
    <row r="949">
      <c r="C949" s="44"/>
    </row>
    <row r="950">
      <c r="C950" s="44"/>
    </row>
    <row r="951">
      <c r="C951" s="44"/>
    </row>
    <row r="952">
      <c r="C952" s="44"/>
    </row>
    <row r="953">
      <c r="C953" s="44"/>
    </row>
    <row r="954">
      <c r="C954" s="44"/>
    </row>
    <row r="955">
      <c r="C955" s="44"/>
    </row>
    <row r="956">
      <c r="C956" s="44"/>
    </row>
    <row r="957">
      <c r="C957" s="44"/>
    </row>
    <row r="958">
      <c r="C958" s="44"/>
    </row>
    <row r="959">
      <c r="C959" s="44"/>
    </row>
    <row r="960">
      <c r="C960" s="44"/>
    </row>
    <row r="961">
      <c r="C961" s="44"/>
    </row>
    <row r="962">
      <c r="C962" s="44"/>
    </row>
    <row r="963">
      <c r="C963" s="44"/>
    </row>
    <row r="964">
      <c r="C964" s="44"/>
    </row>
    <row r="965">
      <c r="C965" s="44"/>
    </row>
    <row r="966">
      <c r="C966" s="44"/>
    </row>
    <row r="967">
      <c r="C967" s="44"/>
    </row>
    <row r="968">
      <c r="C968" s="44"/>
    </row>
    <row r="969">
      <c r="C969" s="44"/>
    </row>
    <row r="970">
      <c r="C970" s="44"/>
    </row>
    <row r="971">
      <c r="C971" s="44"/>
    </row>
    <row r="972">
      <c r="C972" s="44"/>
    </row>
    <row r="973">
      <c r="C973" s="44"/>
    </row>
    <row r="974">
      <c r="C974" s="44"/>
    </row>
    <row r="975">
      <c r="C975" s="44"/>
    </row>
    <row r="976">
      <c r="C976" s="44"/>
    </row>
    <row r="977">
      <c r="C977" s="44"/>
    </row>
    <row r="978">
      <c r="C978" s="44"/>
    </row>
    <row r="979">
      <c r="C979" s="44"/>
    </row>
    <row r="980">
      <c r="C980" s="44"/>
    </row>
    <row r="981">
      <c r="C981" s="44"/>
    </row>
    <row r="982">
      <c r="C982" s="44"/>
    </row>
    <row r="983">
      <c r="C983" s="44"/>
    </row>
    <row r="984">
      <c r="C984" s="44"/>
    </row>
    <row r="985">
      <c r="C985" s="44"/>
    </row>
    <row r="986">
      <c r="C986" s="44"/>
    </row>
    <row r="987">
      <c r="C987" s="44"/>
    </row>
    <row r="988">
      <c r="C988" s="44"/>
    </row>
    <row r="989">
      <c r="C989" s="44"/>
    </row>
    <row r="990">
      <c r="C990" s="44"/>
    </row>
    <row r="991">
      <c r="C991" s="44"/>
    </row>
    <row r="992">
      <c r="C992" s="44"/>
    </row>
    <row r="993">
      <c r="C993" s="44"/>
    </row>
    <row r="994">
      <c r="C994" s="44"/>
    </row>
    <row r="995">
      <c r="C995" s="44"/>
    </row>
    <row r="996">
      <c r="C996" s="44"/>
    </row>
    <row r="997">
      <c r="C997" s="44"/>
    </row>
    <row r="998">
      <c r="C998" s="44"/>
    </row>
    <row r="999">
      <c r="C999" s="44"/>
    </row>
    <row r="1000">
      <c r="C1000" s="44"/>
    </row>
  </sheetData>
  <autoFilter ref="$A$1:$T$80"/>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s>
  <drawing r:id="rId8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12</v>
      </c>
      <c r="B1" s="3" t="s">
        <v>2464</v>
      </c>
      <c r="C1" s="3" t="s">
        <v>102</v>
      </c>
      <c r="D1" s="3" t="s">
        <v>2465</v>
      </c>
      <c r="E1" s="3" t="s">
        <v>2467</v>
      </c>
      <c r="F1" s="3" t="s">
        <v>2468</v>
      </c>
      <c r="G1" s="3" t="s">
        <v>2469</v>
      </c>
      <c r="H1" s="3" t="s">
        <v>2470</v>
      </c>
      <c r="I1" s="3" t="s">
        <v>2471</v>
      </c>
      <c r="J1" s="3" t="s">
        <v>2472</v>
      </c>
      <c r="K1" s="3" t="s">
        <v>2473</v>
      </c>
      <c r="L1" s="45"/>
      <c r="M1" s="45"/>
      <c r="N1" s="45"/>
      <c r="O1" s="45"/>
      <c r="P1" s="45"/>
      <c r="Q1" s="45"/>
      <c r="R1" s="45"/>
      <c r="S1" s="45"/>
      <c r="T1" s="45"/>
      <c r="U1" s="45"/>
      <c r="V1" s="45"/>
      <c r="W1" s="45"/>
      <c r="X1" s="45"/>
      <c r="Y1" s="45"/>
      <c r="Z1" s="45"/>
    </row>
    <row r="2">
      <c r="A2" s="46">
        <v>1.0</v>
      </c>
      <c r="B2" s="47" t="s">
        <v>72</v>
      </c>
      <c r="C2" s="48" t="s">
        <v>68</v>
      </c>
      <c r="D2" s="47" t="s">
        <v>150</v>
      </c>
      <c r="E2" s="49" t="s">
        <v>100</v>
      </c>
      <c r="F2" s="49" t="s">
        <v>2484</v>
      </c>
      <c r="G2" s="49" t="s">
        <v>2486</v>
      </c>
      <c r="H2" s="49" t="s">
        <v>2486</v>
      </c>
      <c r="I2" s="49" t="s">
        <v>2488</v>
      </c>
      <c r="J2" s="49" t="s">
        <v>88</v>
      </c>
      <c r="K2" s="49" t="s">
        <v>2489</v>
      </c>
      <c r="L2" s="45"/>
      <c r="M2" s="45"/>
      <c r="N2" s="45"/>
      <c r="O2" s="45"/>
      <c r="P2" s="45"/>
      <c r="Q2" s="45"/>
      <c r="R2" s="45"/>
      <c r="S2" s="45"/>
      <c r="T2" s="45"/>
      <c r="U2" s="45"/>
      <c r="V2" s="45"/>
      <c r="W2" s="45"/>
      <c r="X2" s="45"/>
      <c r="Y2" s="45"/>
      <c r="Z2" s="45"/>
    </row>
    <row r="3">
      <c r="A3" s="46">
        <v>1.0</v>
      </c>
      <c r="B3" s="47" t="s">
        <v>72</v>
      </c>
      <c r="C3" s="48" t="s">
        <v>68</v>
      </c>
      <c r="D3" s="47" t="s">
        <v>1014</v>
      </c>
      <c r="E3" s="49" t="s">
        <v>100</v>
      </c>
      <c r="F3" s="49" t="s">
        <v>2492</v>
      </c>
      <c r="G3" s="49" t="s">
        <v>2486</v>
      </c>
      <c r="H3" s="49" t="s">
        <v>2486</v>
      </c>
      <c r="I3" s="49" t="s">
        <v>2488</v>
      </c>
      <c r="J3" s="49" t="s">
        <v>121</v>
      </c>
      <c r="K3" s="49" t="s">
        <v>2489</v>
      </c>
      <c r="L3" s="45"/>
      <c r="M3" s="45"/>
      <c r="N3" s="45"/>
      <c r="O3" s="45"/>
      <c r="P3" s="45"/>
      <c r="Q3" s="45"/>
      <c r="R3" s="45"/>
      <c r="S3" s="45"/>
      <c r="T3" s="45"/>
      <c r="U3" s="45"/>
      <c r="V3" s="45"/>
      <c r="W3" s="45"/>
      <c r="X3" s="45"/>
      <c r="Y3" s="45"/>
      <c r="Z3" s="45"/>
    </row>
    <row r="4">
      <c r="A4" s="46">
        <v>1.0</v>
      </c>
      <c r="B4" s="47" t="s">
        <v>72</v>
      </c>
      <c r="C4" s="48" t="s">
        <v>68</v>
      </c>
      <c r="D4" s="47" t="s">
        <v>106</v>
      </c>
      <c r="E4" s="49" t="s">
        <v>100</v>
      </c>
      <c r="F4" s="49" t="s">
        <v>2496</v>
      </c>
      <c r="G4" s="49" t="s">
        <v>2486</v>
      </c>
      <c r="H4" s="49" t="s">
        <v>2486</v>
      </c>
      <c r="I4" s="49" t="s">
        <v>2488</v>
      </c>
      <c r="J4" s="49" t="s">
        <v>167</v>
      </c>
      <c r="K4" s="49" t="s">
        <v>2489</v>
      </c>
      <c r="L4" s="45"/>
      <c r="M4" s="45"/>
      <c r="N4" s="45"/>
      <c r="O4" s="45"/>
      <c r="P4" s="45"/>
      <c r="Q4" s="45"/>
      <c r="R4" s="45"/>
      <c r="S4" s="45"/>
      <c r="T4" s="45"/>
      <c r="U4" s="45"/>
      <c r="V4" s="45"/>
      <c r="W4" s="45"/>
      <c r="X4" s="45"/>
      <c r="Y4" s="45"/>
      <c r="Z4" s="45"/>
    </row>
    <row r="5">
      <c r="A5" s="46">
        <v>1.0</v>
      </c>
      <c r="B5" s="47" t="s">
        <v>72</v>
      </c>
      <c r="C5" s="48" t="s">
        <v>68</v>
      </c>
      <c r="D5" s="47" t="s">
        <v>93</v>
      </c>
      <c r="E5" s="49" t="s">
        <v>100</v>
      </c>
      <c r="F5" s="49" t="s">
        <v>2497</v>
      </c>
      <c r="G5" s="49" t="s">
        <v>2486</v>
      </c>
      <c r="H5" s="49" t="s">
        <v>2486</v>
      </c>
      <c r="I5" s="49" t="s">
        <v>2488</v>
      </c>
      <c r="J5" s="49" t="s">
        <v>326</v>
      </c>
      <c r="K5" s="49" t="s">
        <v>2489</v>
      </c>
      <c r="L5" s="45"/>
      <c r="M5" s="45"/>
      <c r="N5" s="45"/>
      <c r="O5" s="45"/>
      <c r="P5" s="45"/>
      <c r="Q5" s="45"/>
      <c r="R5" s="45"/>
      <c r="S5" s="45"/>
      <c r="T5" s="45"/>
      <c r="U5" s="45"/>
      <c r="V5" s="45"/>
      <c r="W5" s="45"/>
      <c r="X5" s="45"/>
      <c r="Y5" s="45"/>
      <c r="Z5" s="45"/>
    </row>
    <row r="6">
      <c r="A6" s="46">
        <v>1.0</v>
      </c>
      <c r="B6" s="47" t="s">
        <v>72</v>
      </c>
      <c r="C6" s="48" t="s">
        <v>68</v>
      </c>
      <c r="D6" s="47" t="s">
        <v>131</v>
      </c>
      <c r="E6" s="49" t="s">
        <v>135</v>
      </c>
      <c r="F6" s="49" t="s">
        <v>2505</v>
      </c>
      <c r="G6" s="49" t="s">
        <v>2486</v>
      </c>
      <c r="H6" s="49" t="s">
        <v>2486</v>
      </c>
      <c r="I6" s="49" t="s">
        <v>2488</v>
      </c>
      <c r="J6" s="49" t="s">
        <v>88</v>
      </c>
      <c r="K6" s="49" t="s">
        <v>2489</v>
      </c>
      <c r="L6" s="45"/>
      <c r="M6" s="45"/>
      <c r="N6" s="45"/>
      <c r="O6" s="45"/>
      <c r="P6" s="45"/>
      <c r="Q6" s="45"/>
      <c r="R6" s="45"/>
      <c r="S6" s="45"/>
      <c r="T6" s="45"/>
      <c r="U6" s="45"/>
      <c r="V6" s="45"/>
      <c r="W6" s="45"/>
      <c r="X6" s="45"/>
      <c r="Y6" s="45"/>
      <c r="Z6" s="45"/>
    </row>
    <row r="7">
      <c r="A7" s="46">
        <v>2.0</v>
      </c>
      <c r="B7" s="47" t="s">
        <v>198</v>
      </c>
      <c r="C7" s="48" t="s">
        <v>196</v>
      </c>
      <c r="D7" s="47" t="s">
        <v>617</v>
      </c>
      <c r="E7" s="49" t="s">
        <v>100</v>
      </c>
      <c r="F7" s="49" t="s">
        <v>2513</v>
      </c>
      <c r="G7" s="49" t="s">
        <v>2486</v>
      </c>
      <c r="H7" s="49" t="s">
        <v>2486</v>
      </c>
      <c r="I7" s="49" t="s">
        <v>2488</v>
      </c>
      <c r="J7" s="49" t="s">
        <v>995</v>
      </c>
      <c r="K7" s="49" t="s">
        <v>2514</v>
      </c>
      <c r="L7" s="45"/>
      <c r="M7" s="45"/>
      <c r="N7" s="45"/>
      <c r="O7" s="45"/>
      <c r="P7" s="45"/>
      <c r="Q7" s="45"/>
      <c r="R7" s="45"/>
      <c r="S7" s="45"/>
      <c r="T7" s="45"/>
      <c r="U7" s="45"/>
      <c r="V7" s="45"/>
      <c r="W7" s="45"/>
      <c r="X7" s="45"/>
      <c r="Y7" s="45"/>
      <c r="Z7" s="45"/>
    </row>
    <row r="8">
      <c r="A8" s="46">
        <v>2.0</v>
      </c>
      <c r="B8" s="47" t="s">
        <v>198</v>
      </c>
      <c r="C8" s="48" t="s">
        <v>196</v>
      </c>
      <c r="D8" s="47" t="s">
        <v>122</v>
      </c>
      <c r="E8" s="49" t="s">
        <v>135</v>
      </c>
      <c r="F8" s="49" t="s">
        <v>2517</v>
      </c>
      <c r="G8" s="49" t="s">
        <v>2486</v>
      </c>
      <c r="H8" s="49" t="s">
        <v>2486</v>
      </c>
      <c r="I8" s="49" t="s">
        <v>2488</v>
      </c>
      <c r="J8" s="49" t="s">
        <v>441</v>
      </c>
      <c r="K8" s="49" t="s">
        <v>2489</v>
      </c>
      <c r="L8" s="45"/>
      <c r="M8" s="45"/>
      <c r="N8" s="45"/>
      <c r="O8" s="45"/>
      <c r="P8" s="45"/>
      <c r="Q8" s="45"/>
      <c r="R8" s="45"/>
      <c r="S8" s="45"/>
      <c r="T8" s="45"/>
      <c r="U8" s="45"/>
      <c r="V8" s="45"/>
      <c r="W8" s="45"/>
      <c r="X8" s="45"/>
      <c r="Y8" s="45"/>
      <c r="Z8" s="45"/>
    </row>
    <row r="9">
      <c r="A9" s="46">
        <v>3.0</v>
      </c>
      <c r="B9" s="47" t="s">
        <v>122</v>
      </c>
      <c r="C9" s="48" t="s">
        <v>196</v>
      </c>
      <c r="D9" s="47" t="s">
        <v>617</v>
      </c>
      <c r="E9" s="49" t="s">
        <v>100</v>
      </c>
      <c r="F9" s="49" t="s">
        <v>2520</v>
      </c>
      <c r="G9" s="49" t="s">
        <v>2486</v>
      </c>
      <c r="H9" s="49" t="s">
        <v>2486</v>
      </c>
      <c r="I9" s="49" t="s">
        <v>2488</v>
      </c>
      <c r="J9" s="49" t="s">
        <v>1118</v>
      </c>
      <c r="K9" s="49" t="s">
        <v>2514</v>
      </c>
      <c r="L9" s="45"/>
      <c r="M9" s="45"/>
      <c r="N9" s="45"/>
      <c r="O9" s="45"/>
      <c r="P9" s="45"/>
      <c r="Q9" s="45"/>
      <c r="R9" s="45"/>
      <c r="S9" s="45"/>
      <c r="T9" s="45"/>
      <c r="U9" s="45"/>
      <c r="V9" s="45"/>
      <c r="W9" s="45"/>
      <c r="X9" s="45"/>
      <c r="Y9" s="45"/>
      <c r="Z9" s="45"/>
    </row>
    <row r="10">
      <c r="A10" s="46">
        <v>3.0</v>
      </c>
      <c r="B10" s="47" t="s">
        <v>122</v>
      </c>
      <c r="C10" s="48" t="s">
        <v>196</v>
      </c>
      <c r="D10" s="47" t="s">
        <v>634</v>
      </c>
      <c r="E10" s="49" t="s">
        <v>100</v>
      </c>
      <c r="F10" s="49" t="s">
        <v>2529</v>
      </c>
      <c r="G10" s="49" t="s">
        <v>2486</v>
      </c>
      <c r="H10" s="49" t="s">
        <v>2486</v>
      </c>
      <c r="I10" s="49" t="s">
        <v>2488</v>
      </c>
      <c r="J10" s="49" t="s">
        <v>2531</v>
      </c>
      <c r="K10" s="49" t="s">
        <v>2532</v>
      </c>
      <c r="L10" s="45"/>
      <c r="M10" s="45"/>
      <c r="N10" s="45"/>
      <c r="O10" s="45"/>
      <c r="P10" s="45"/>
      <c r="Q10" s="45"/>
      <c r="R10" s="45"/>
      <c r="S10" s="45"/>
      <c r="T10" s="45"/>
      <c r="U10" s="45"/>
      <c r="V10" s="45"/>
      <c r="W10" s="45"/>
      <c r="X10" s="45"/>
      <c r="Y10" s="45"/>
      <c r="Z10" s="45"/>
    </row>
    <row r="11">
      <c r="A11" s="46">
        <v>3.0</v>
      </c>
      <c r="B11" s="47" t="s">
        <v>122</v>
      </c>
      <c r="C11" s="48" t="s">
        <v>196</v>
      </c>
      <c r="D11" s="47" t="s">
        <v>232</v>
      </c>
      <c r="E11" s="49" t="s">
        <v>100</v>
      </c>
      <c r="F11" s="49" t="s">
        <v>2541</v>
      </c>
      <c r="G11" s="49" t="s">
        <v>2486</v>
      </c>
      <c r="H11" s="49" t="s">
        <v>2486</v>
      </c>
      <c r="I11" s="49" t="s">
        <v>2488</v>
      </c>
      <c r="J11" s="49" t="s">
        <v>2542</v>
      </c>
      <c r="K11" s="49" t="s">
        <v>2545</v>
      </c>
      <c r="L11" s="45"/>
      <c r="M11" s="45"/>
      <c r="N11" s="45"/>
      <c r="O11" s="45"/>
      <c r="P11" s="45"/>
      <c r="Q11" s="45"/>
      <c r="R11" s="45"/>
      <c r="S11" s="45"/>
      <c r="T11" s="45"/>
      <c r="U11" s="45"/>
      <c r="V11" s="45"/>
      <c r="W11" s="45"/>
      <c r="X11" s="45"/>
      <c r="Y11" s="45"/>
      <c r="Z11" s="45"/>
    </row>
    <row r="12">
      <c r="A12" s="46">
        <v>3.0</v>
      </c>
      <c r="B12" s="47" t="s">
        <v>122</v>
      </c>
      <c r="C12" s="48" t="s">
        <v>196</v>
      </c>
      <c r="D12" s="47" t="s">
        <v>401</v>
      </c>
      <c r="E12" s="49" t="s">
        <v>135</v>
      </c>
      <c r="F12" s="49" t="s">
        <v>2554</v>
      </c>
      <c r="G12" s="49" t="s">
        <v>2486</v>
      </c>
      <c r="H12" s="49" t="s">
        <v>2486</v>
      </c>
      <c r="I12" s="49" t="s">
        <v>2488</v>
      </c>
      <c r="J12" s="49" t="s">
        <v>1118</v>
      </c>
      <c r="K12" s="49" t="s">
        <v>2532</v>
      </c>
      <c r="L12" s="45"/>
      <c r="M12" s="45"/>
      <c r="N12" s="45"/>
      <c r="O12" s="45"/>
      <c r="P12" s="45"/>
      <c r="Q12" s="45"/>
      <c r="R12" s="45"/>
      <c r="S12" s="45"/>
      <c r="T12" s="45"/>
      <c r="U12" s="45"/>
      <c r="V12" s="45"/>
      <c r="W12" s="45"/>
      <c r="X12" s="45"/>
      <c r="Y12" s="45"/>
      <c r="Z12" s="45"/>
    </row>
    <row r="13">
      <c r="A13" s="46">
        <v>3.0</v>
      </c>
      <c r="B13" s="47" t="s">
        <v>122</v>
      </c>
      <c r="C13" s="48" t="s">
        <v>196</v>
      </c>
      <c r="D13" s="47" t="s">
        <v>216</v>
      </c>
      <c r="E13" s="49" t="s">
        <v>135</v>
      </c>
      <c r="F13" s="49" t="s">
        <v>2560</v>
      </c>
      <c r="G13" s="49" t="s">
        <v>2486</v>
      </c>
      <c r="H13" s="49" t="s">
        <v>2486</v>
      </c>
      <c r="I13" s="49" t="s">
        <v>2488</v>
      </c>
      <c r="J13" s="49" t="s">
        <v>2531</v>
      </c>
      <c r="K13" s="49" t="s">
        <v>2489</v>
      </c>
      <c r="L13" s="45"/>
      <c r="M13" s="45"/>
      <c r="N13" s="45"/>
      <c r="O13" s="45"/>
      <c r="P13" s="45"/>
      <c r="Q13" s="45"/>
      <c r="R13" s="45"/>
      <c r="S13" s="45"/>
      <c r="T13" s="45"/>
      <c r="U13" s="45"/>
      <c r="V13" s="45"/>
      <c r="W13" s="45"/>
      <c r="X13" s="45"/>
      <c r="Y13" s="45"/>
      <c r="Z13" s="45"/>
    </row>
    <row r="14">
      <c r="A14" s="46">
        <v>4.0</v>
      </c>
      <c r="B14" s="47" t="s">
        <v>80</v>
      </c>
      <c r="C14" s="48" t="s">
        <v>196</v>
      </c>
      <c r="D14" s="47" t="s">
        <v>247</v>
      </c>
      <c r="E14" s="49" t="s">
        <v>100</v>
      </c>
      <c r="F14" s="49" t="s">
        <v>2566</v>
      </c>
      <c r="G14" s="49" t="s">
        <v>2486</v>
      </c>
      <c r="H14" s="49" t="s">
        <v>2486</v>
      </c>
      <c r="I14" s="49" t="s">
        <v>2488</v>
      </c>
      <c r="J14" s="49" t="s">
        <v>1201</v>
      </c>
      <c r="K14" s="49" t="s">
        <v>2545</v>
      </c>
      <c r="L14" s="45"/>
      <c r="M14" s="45"/>
      <c r="N14" s="45"/>
      <c r="O14" s="45"/>
      <c r="P14" s="45"/>
      <c r="Q14" s="45"/>
      <c r="R14" s="45"/>
      <c r="S14" s="45"/>
      <c r="T14" s="45"/>
      <c r="U14" s="45"/>
      <c r="V14" s="45"/>
      <c r="W14" s="45"/>
      <c r="X14" s="45"/>
      <c r="Y14" s="45"/>
      <c r="Z14" s="45"/>
    </row>
    <row r="15">
      <c r="A15" s="46">
        <v>4.0</v>
      </c>
      <c r="B15" s="47" t="s">
        <v>80</v>
      </c>
      <c r="C15" s="48" t="s">
        <v>196</v>
      </c>
      <c r="D15" s="47" t="s">
        <v>605</v>
      </c>
      <c r="E15" s="49" t="s">
        <v>100</v>
      </c>
      <c r="F15" s="49" t="s">
        <v>2567</v>
      </c>
      <c r="G15" s="49" t="s">
        <v>2486</v>
      </c>
      <c r="H15" s="49" t="s">
        <v>2486</v>
      </c>
      <c r="I15" s="49" t="s">
        <v>2488</v>
      </c>
      <c r="J15" s="49" t="s">
        <v>2568</v>
      </c>
      <c r="K15" s="49" t="s">
        <v>2545</v>
      </c>
      <c r="L15" s="45"/>
      <c r="M15" s="45"/>
      <c r="N15" s="45"/>
      <c r="O15" s="45"/>
      <c r="P15" s="45"/>
      <c r="Q15" s="45"/>
      <c r="R15" s="45"/>
      <c r="S15" s="45"/>
      <c r="T15" s="45"/>
      <c r="U15" s="45"/>
      <c r="V15" s="45"/>
      <c r="W15" s="45"/>
      <c r="X15" s="45"/>
      <c r="Y15" s="45"/>
      <c r="Z15" s="45"/>
    </row>
    <row r="16">
      <c r="A16" s="46">
        <v>4.0</v>
      </c>
      <c r="B16" s="47" t="s">
        <v>80</v>
      </c>
      <c r="C16" s="48" t="s">
        <v>196</v>
      </c>
      <c r="D16" s="47" t="s">
        <v>631</v>
      </c>
      <c r="E16" s="49" t="s">
        <v>100</v>
      </c>
      <c r="F16" s="49" t="s">
        <v>2570</v>
      </c>
      <c r="G16" s="49" t="s">
        <v>2486</v>
      </c>
      <c r="H16" s="49" t="s">
        <v>2486</v>
      </c>
      <c r="I16" s="49" t="s">
        <v>2488</v>
      </c>
      <c r="J16" s="49" t="s">
        <v>2571</v>
      </c>
      <c r="K16" s="49" t="s">
        <v>2489</v>
      </c>
      <c r="L16" s="45"/>
      <c r="M16" s="45"/>
      <c r="N16" s="45"/>
      <c r="O16" s="45"/>
      <c r="P16" s="45"/>
      <c r="Q16" s="45"/>
      <c r="R16" s="45"/>
      <c r="S16" s="45"/>
      <c r="T16" s="45"/>
      <c r="U16" s="45"/>
      <c r="V16" s="45"/>
      <c r="W16" s="45"/>
      <c r="X16" s="45"/>
      <c r="Y16" s="45"/>
      <c r="Z16" s="45"/>
    </row>
    <row r="17">
      <c r="A17" s="46">
        <v>4.0</v>
      </c>
      <c r="B17" s="47" t="s">
        <v>80</v>
      </c>
      <c r="C17" s="48" t="s">
        <v>196</v>
      </c>
      <c r="D17" s="47" t="s">
        <v>432</v>
      </c>
      <c r="E17" s="49" t="s">
        <v>135</v>
      </c>
      <c r="F17" s="49" t="s">
        <v>2572</v>
      </c>
      <c r="G17" s="49" t="s">
        <v>2486</v>
      </c>
      <c r="H17" s="49" t="s">
        <v>2486</v>
      </c>
      <c r="I17" s="49" t="s">
        <v>2488</v>
      </c>
      <c r="J17" s="49" t="s">
        <v>1201</v>
      </c>
      <c r="K17" s="49" t="s">
        <v>2489</v>
      </c>
      <c r="L17" s="45"/>
      <c r="M17" s="45"/>
      <c r="N17" s="45"/>
      <c r="O17" s="45"/>
      <c r="P17" s="45"/>
      <c r="Q17" s="45"/>
      <c r="R17" s="45"/>
      <c r="S17" s="45"/>
      <c r="T17" s="45"/>
      <c r="U17" s="45"/>
      <c r="V17" s="45"/>
      <c r="W17" s="45"/>
      <c r="X17" s="45"/>
      <c r="Y17" s="45"/>
      <c r="Z17" s="45"/>
    </row>
    <row r="18">
      <c r="A18" s="46">
        <v>4.0</v>
      </c>
      <c r="B18" s="47" t="s">
        <v>80</v>
      </c>
      <c r="C18" s="48" t="s">
        <v>196</v>
      </c>
      <c r="D18" s="47" t="s">
        <v>128</v>
      </c>
      <c r="E18" s="49" t="s">
        <v>135</v>
      </c>
      <c r="F18" s="49" t="s">
        <v>2574</v>
      </c>
      <c r="G18" s="49" t="s">
        <v>2486</v>
      </c>
      <c r="H18" s="49" t="s">
        <v>2486</v>
      </c>
      <c r="I18" s="49" t="s">
        <v>2488</v>
      </c>
      <c r="J18" s="49" t="s">
        <v>2568</v>
      </c>
      <c r="K18" s="49" t="s">
        <v>2545</v>
      </c>
      <c r="L18" s="45"/>
      <c r="M18" s="45"/>
      <c r="N18" s="45"/>
      <c r="O18" s="45"/>
      <c r="P18" s="45"/>
      <c r="Q18" s="45"/>
      <c r="R18" s="45"/>
      <c r="S18" s="45"/>
      <c r="T18" s="45"/>
      <c r="U18" s="45"/>
      <c r="V18" s="45"/>
      <c r="W18" s="45"/>
      <c r="X18" s="45"/>
      <c r="Y18" s="45"/>
      <c r="Z18" s="45"/>
    </row>
    <row r="19">
      <c r="A19" s="46">
        <v>5.0</v>
      </c>
      <c r="B19" s="47" t="s">
        <v>461</v>
      </c>
      <c r="C19" s="48" t="s">
        <v>196</v>
      </c>
      <c r="D19" s="47" t="s">
        <v>130</v>
      </c>
      <c r="E19" s="49" t="s">
        <v>100</v>
      </c>
      <c r="F19" s="49" t="s">
        <v>2580</v>
      </c>
      <c r="G19" s="49" t="s">
        <v>2486</v>
      </c>
      <c r="H19" s="49" t="s">
        <v>2486</v>
      </c>
      <c r="I19" s="49" t="s">
        <v>2488</v>
      </c>
      <c r="J19" s="49" t="s">
        <v>1324</v>
      </c>
      <c r="K19" s="49" t="s">
        <v>2545</v>
      </c>
      <c r="L19" s="45"/>
      <c r="M19" s="45"/>
      <c r="N19" s="45"/>
      <c r="O19" s="45"/>
      <c r="P19" s="45"/>
      <c r="Q19" s="45"/>
      <c r="R19" s="45"/>
      <c r="S19" s="45"/>
      <c r="T19" s="45"/>
      <c r="U19" s="45"/>
      <c r="V19" s="45"/>
      <c r="W19" s="45"/>
      <c r="X19" s="45"/>
      <c r="Y19" s="45"/>
      <c r="Z19" s="45"/>
    </row>
    <row r="20">
      <c r="A20" s="46">
        <v>5.0</v>
      </c>
      <c r="B20" s="47" t="s">
        <v>461</v>
      </c>
      <c r="C20" s="48" t="s">
        <v>196</v>
      </c>
      <c r="D20" s="47" t="s">
        <v>128</v>
      </c>
      <c r="E20" s="49" t="s">
        <v>100</v>
      </c>
      <c r="F20" s="49" t="s">
        <v>2582</v>
      </c>
      <c r="G20" s="49" t="s">
        <v>2486</v>
      </c>
      <c r="H20" s="49" t="s">
        <v>2486</v>
      </c>
      <c r="I20" s="49" t="s">
        <v>2488</v>
      </c>
      <c r="J20" s="49" t="s">
        <v>1501</v>
      </c>
      <c r="K20" s="49" t="s">
        <v>2545</v>
      </c>
      <c r="L20" s="45"/>
      <c r="M20" s="45"/>
      <c r="N20" s="45"/>
      <c r="O20" s="45"/>
      <c r="P20" s="45"/>
      <c r="Q20" s="45"/>
      <c r="R20" s="45"/>
      <c r="S20" s="45"/>
      <c r="T20" s="45"/>
      <c r="U20" s="45"/>
      <c r="V20" s="45"/>
      <c r="W20" s="45"/>
      <c r="X20" s="45"/>
      <c r="Y20" s="45"/>
      <c r="Z20" s="45"/>
    </row>
    <row r="21">
      <c r="A21" s="46">
        <v>5.0</v>
      </c>
      <c r="B21" s="47" t="s">
        <v>461</v>
      </c>
      <c r="C21" s="48" t="s">
        <v>196</v>
      </c>
      <c r="D21" s="47" t="s">
        <v>910</v>
      </c>
      <c r="E21" s="49" t="s">
        <v>135</v>
      </c>
      <c r="F21" s="49" t="s">
        <v>2588</v>
      </c>
      <c r="G21" s="49" t="s">
        <v>2486</v>
      </c>
      <c r="H21" s="49" t="s">
        <v>2486</v>
      </c>
      <c r="I21" s="49" t="s">
        <v>2488</v>
      </c>
      <c r="J21" s="49" t="s">
        <v>1550</v>
      </c>
      <c r="K21" s="49" t="s">
        <v>2489</v>
      </c>
      <c r="L21" s="45"/>
      <c r="M21" s="45"/>
      <c r="N21" s="45"/>
      <c r="O21" s="45"/>
      <c r="P21" s="45"/>
      <c r="Q21" s="45"/>
      <c r="R21" s="45"/>
      <c r="S21" s="45"/>
      <c r="T21" s="45"/>
      <c r="U21" s="45"/>
      <c r="V21" s="45"/>
      <c r="W21" s="45"/>
      <c r="X21" s="45"/>
      <c r="Y21" s="45"/>
      <c r="Z21" s="45"/>
    </row>
    <row r="22">
      <c r="A22" s="46">
        <v>5.0</v>
      </c>
      <c r="B22" s="47" t="s">
        <v>461</v>
      </c>
      <c r="C22" s="48" t="s">
        <v>196</v>
      </c>
      <c r="D22" s="47" t="s">
        <v>78</v>
      </c>
      <c r="E22" s="49" t="s">
        <v>135</v>
      </c>
      <c r="F22" s="49" t="s">
        <v>2591</v>
      </c>
      <c r="G22" s="49" t="s">
        <v>2486</v>
      </c>
      <c r="H22" s="49" t="s">
        <v>2486</v>
      </c>
      <c r="I22" s="49" t="s">
        <v>2488</v>
      </c>
      <c r="J22" s="49" t="s">
        <v>1324</v>
      </c>
      <c r="K22" s="49" t="s">
        <v>2545</v>
      </c>
      <c r="L22" s="45"/>
      <c r="M22" s="45"/>
      <c r="N22" s="45"/>
      <c r="O22" s="45"/>
      <c r="P22" s="45"/>
      <c r="Q22" s="45"/>
      <c r="R22" s="45"/>
      <c r="S22" s="45"/>
      <c r="T22" s="45"/>
      <c r="U22" s="45"/>
      <c r="V22" s="45"/>
      <c r="W22" s="45"/>
      <c r="X22" s="45"/>
      <c r="Y22" s="45"/>
      <c r="Z22" s="45"/>
    </row>
    <row r="23">
      <c r="A23" s="46">
        <v>6.0</v>
      </c>
      <c r="B23" s="47" t="s">
        <v>236</v>
      </c>
      <c r="C23" s="48" t="s">
        <v>196</v>
      </c>
      <c r="D23" s="47" t="s">
        <v>385</v>
      </c>
      <c r="E23" s="49" t="s">
        <v>100</v>
      </c>
      <c r="F23" s="49" t="s">
        <v>2594</v>
      </c>
      <c r="G23" s="49" t="s">
        <v>2486</v>
      </c>
      <c r="H23" s="49" t="s">
        <v>2486</v>
      </c>
      <c r="I23" s="49" t="s">
        <v>2488</v>
      </c>
      <c r="J23" s="49" t="s">
        <v>1432</v>
      </c>
      <c r="K23" s="49" t="s">
        <v>2489</v>
      </c>
      <c r="L23" s="45"/>
      <c r="M23" s="45"/>
      <c r="N23" s="45"/>
      <c r="O23" s="45"/>
      <c r="P23" s="45"/>
      <c r="Q23" s="45"/>
      <c r="R23" s="45"/>
      <c r="S23" s="45"/>
      <c r="T23" s="45"/>
      <c r="U23" s="45"/>
      <c r="V23" s="45"/>
      <c r="W23" s="45"/>
      <c r="X23" s="45"/>
      <c r="Y23" s="45"/>
      <c r="Z23" s="45"/>
    </row>
    <row r="24">
      <c r="A24" s="46">
        <v>6.0</v>
      </c>
      <c r="B24" s="47" t="s">
        <v>236</v>
      </c>
      <c r="C24" s="48" t="s">
        <v>196</v>
      </c>
      <c r="D24" s="47" t="s">
        <v>408</v>
      </c>
      <c r="E24" s="49" t="s">
        <v>100</v>
      </c>
      <c r="F24" s="49" t="s">
        <v>2597</v>
      </c>
      <c r="G24" s="49" t="s">
        <v>2486</v>
      </c>
      <c r="H24" s="49" t="s">
        <v>2486</v>
      </c>
      <c r="I24" s="49" t="s">
        <v>2488</v>
      </c>
      <c r="J24" s="49" t="s">
        <v>1560</v>
      </c>
      <c r="K24" s="49" t="s">
        <v>2598</v>
      </c>
      <c r="L24" s="45"/>
      <c r="M24" s="45"/>
      <c r="N24" s="45"/>
      <c r="O24" s="45"/>
      <c r="P24" s="45"/>
      <c r="Q24" s="45"/>
      <c r="R24" s="45"/>
      <c r="S24" s="45"/>
      <c r="T24" s="45"/>
      <c r="U24" s="45"/>
      <c r="V24" s="45"/>
      <c r="W24" s="45"/>
      <c r="X24" s="45"/>
      <c r="Y24" s="45"/>
      <c r="Z24" s="45"/>
    </row>
    <row r="25">
      <c r="A25" s="46">
        <v>6.0</v>
      </c>
      <c r="B25" s="47" t="s">
        <v>236</v>
      </c>
      <c r="C25" s="48" t="s">
        <v>196</v>
      </c>
      <c r="D25" s="47" t="s">
        <v>605</v>
      </c>
      <c r="E25" s="49" t="s">
        <v>135</v>
      </c>
      <c r="F25" s="49" t="s">
        <v>2600</v>
      </c>
      <c r="G25" s="49" t="s">
        <v>2486</v>
      </c>
      <c r="H25" s="49" t="s">
        <v>2486</v>
      </c>
      <c r="I25" s="49" t="s">
        <v>2488</v>
      </c>
      <c r="J25" s="49" t="s">
        <v>1580</v>
      </c>
      <c r="K25" s="49" t="s">
        <v>2545</v>
      </c>
      <c r="L25" s="45"/>
      <c r="M25" s="45"/>
      <c r="N25" s="45"/>
      <c r="O25" s="45"/>
      <c r="P25" s="45"/>
      <c r="Q25" s="45"/>
      <c r="R25" s="45"/>
      <c r="S25" s="45"/>
      <c r="T25" s="45"/>
      <c r="U25" s="45"/>
      <c r="V25" s="45"/>
      <c r="W25" s="45"/>
      <c r="X25" s="45"/>
      <c r="Y25" s="45"/>
      <c r="Z25" s="45"/>
    </row>
    <row r="26">
      <c r="A26" s="46">
        <v>6.0</v>
      </c>
      <c r="B26" s="47" t="s">
        <v>236</v>
      </c>
      <c r="C26" s="48" t="s">
        <v>196</v>
      </c>
      <c r="D26" s="47" t="s">
        <v>130</v>
      </c>
      <c r="E26" s="49" t="s">
        <v>135</v>
      </c>
      <c r="F26" s="49" t="s">
        <v>2604</v>
      </c>
      <c r="G26" s="49" t="s">
        <v>2486</v>
      </c>
      <c r="H26" s="49" t="s">
        <v>2486</v>
      </c>
      <c r="I26" s="49" t="s">
        <v>2488</v>
      </c>
      <c r="J26" s="49" t="s">
        <v>1432</v>
      </c>
      <c r="K26" s="49" t="s">
        <v>2545</v>
      </c>
      <c r="L26" s="45"/>
      <c r="M26" s="45"/>
      <c r="N26" s="45"/>
      <c r="O26" s="45"/>
      <c r="P26" s="45"/>
      <c r="Q26" s="45"/>
      <c r="R26" s="45"/>
      <c r="S26" s="45"/>
      <c r="T26" s="45"/>
      <c r="U26" s="45"/>
      <c r="V26" s="45"/>
      <c r="W26" s="45"/>
      <c r="X26" s="45"/>
      <c r="Y26" s="45"/>
      <c r="Z26" s="45"/>
    </row>
    <row r="27">
      <c r="A27" s="46">
        <v>6.0</v>
      </c>
      <c r="B27" s="47" t="s">
        <v>236</v>
      </c>
      <c r="C27" s="48" t="s">
        <v>196</v>
      </c>
      <c r="D27" s="47" t="s">
        <v>212</v>
      </c>
      <c r="E27" s="49" t="s">
        <v>135</v>
      </c>
      <c r="F27" s="49" t="s">
        <v>2611</v>
      </c>
      <c r="G27" s="49" t="s">
        <v>2486</v>
      </c>
      <c r="H27" s="49" t="s">
        <v>2486</v>
      </c>
      <c r="I27" s="49" t="s">
        <v>2488</v>
      </c>
      <c r="J27" s="49" t="s">
        <v>1560</v>
      </c>
      <c r="K27" s="49" t="s">
        <v>2489</v>
      </c>
      <c r="L27" s="45"/>
      <c r="M27" s="45"/>
      <c r="N27" s="45"/>
      <c r="O27" s="45"/>
      <c r="P27" s="45"/>
      <c r="Q27" s="45"/>
      <c r="R27" s="45"/>
      <c r="S27" s="45"/>
      <c r="T27" s="45"/>
      <c r="U27" s="45"/>
      <c r="V27" s="45"/>
      <c r="W27" s="45"/>
      <c r="X27" s="45"/>
      <c r="Y27" s="45"/>
      <c r="Z27" s="45"/>
    </row>
    <row r="28">
      <c r="A28" s="46">
        <v>7.0</v>
      </c>
      <c r="B28" s="47" t="s">
        <v>658</v>
      </c>
      <c r="C28" s="48" t="s">
        <v>196</v>
      </c>
      <c r="D28" s="47" t="s">
        <v>27</v>
      </c>
      <c r="E28" s="49" t="s">
        <v>100</v>
      </c>
      <c r="F28" s="49" t="s">
        <v>2616</v>
      </c>
      <c r="G28" s="49" t="s">
        <v>2486</v>
      </c>
      <c r="H28" s="49" t="s">
        <v>2486</v>
      </c>
      <c r="I28" s="49" t="s">
        <v>2488</v>
      </c>
      <c r="J28" s="49" t="s">
        <v>1482</v>
      </c>
      <c r="K28" s="49" t="s">
        <v>2489</v>
      </c>
      <c r="L28" s="45"/>
      <c r="M28" s="45"/>
      <c r="N28" s="45"/>
      <c r="O28" s="45"/>
      <c r="P28" s="45"/>
      <c r="Q28" s="45"/>
      <c r="R28" s="45"/>
      <c r="S28" s="45"/>
      <c r="T28" s="45"/>
      <c r="U28" s="45"/>
      <c r="V28" s="45"/>
      <c r="W28" s="45"/>
      <c r="X28" s="45"/>
      <c r="Y28" s="45"/>
      <c r="Z28" s="45"/>
    </row>
    <row r="29">
      <c r="A29" s="46">
        <v>7.0</v>
      </c>
      <c r="B29" s="47" t="s">
        <v>658</v>
      </c>
      <c r="C29" s="48" t="s">
        <v>196</v>
      </c>
      <c r="D29" s="47" t="s">
        <v>84</v>
      </c>
      <c r="E29" s="49" t="s">
        <v>100</v>
      </c>
      <c r="F29" s="49" t="s">
        <v>2619</v>
      </c>
      <c r="G29" s="49" t="s">
        <v>2486</v>
      </c>
      <c r="H29" s="49" t="s">
        <v>2486</v>
      </c>
      <c r="I29" s="49" t="s">
        <v>2488</v>
      </c>
      <c r="J29" s="49" t="s">
        <v>1596</v>
      </c>
      <c r="K29" s="49" t="s">
        <v>2489</v>
      </c>
      <c r="L29" s="45"/>
      <c r="M29" s="45"/>
      <c r="N29" s="45"/>
      <c r="O29" s="45"/>
      <c r="P29" s="45"/>
      <c r="Q29" s="45"/>
      <c r="R29" s="45"/>
      <c r="S29" s="45"/>
      <c r="T29" s="45"/>
      <c r="U29" s="45"/>
      <c r="V29" s="45"/>
      <c r="W29" s="45"/>
      <c r="X29" s="45"/>
      <c r="Y29" s="45"/>
      <c r="Z29" s="45"/>
    </row>
    <row r="30">
      <c r="A30" s="46">
        <v>7.0</v>
      </c>
      <c r="B30" s="47" t="s">
        <v>658</v>
      </c>
      <c r="C30" s="48" t="s">
        <v>196</v>
      </c>
      <c r="D30" s="47" t="s">
        <v>425</v>
      </c>
      <c r="E30" s="49" t="s">
        <v>100</v>
      </c>
      <c r="F30" s="49" t="s">
        <v>2625</v>
      </c>
      <c r="G30" s="49" t="s">
        <v>2486</v>
      </c>
      <c r="H30" s="49" t="s">
        <v>2486</v>
      </c>
      <c r="I30" s="49" t="s">
        <v>2488</v>
      </c>
      <c r="J30" s="49" t="s">
        <v>1614</v>
      </c>
      <c r="K30" s="49" t="s">
        <v>2489</v>
      </c>
      <c r="L30" s="45"/>
      <c r="M30" s="45"/>
      <c r="N30" s="45"/>
      <c r="O30" s="45"/>
      <c r="P30" s="45"/>
      <c r="Q30" s="45"/>
      <c r="R30" s="45"/>
      <c r="S30" s="45"/>
      <c r="T30" s="45"/>
      <c r="U30" s="45"/>
      <c r="V30" s="45"/>
      <c r="W30" s="45"/>
      <c r="X30" s="45"/>
      <c r="Y30" s="45"/>
      <c r="Z30" s="45"/>
    </row>
    <row r="31">
      <c r="A31" s="46">
        <v>7.0</v>
      </c>
      <c r="B31" s="47" t="s">
        <v>658</v>
      </c>
      <c r="C31" s="48" t="s">
        <v>196</v>
      </c>
      <c r="D31" s="47" t="s">
        <v>835</v>
      </c>
      <c r="E31" s="49" t="s">
        <v>135</v>
      </c>
      <c r="F31" s="49" t="s">
        <v>2636</v>
      </c>
      <c r="G31" s="49" t="s">
        <v>2486</v>
      </c>
      <c r="H31" s="49" t="s">
        <v>2486</v>
      </c>
      <c r="I31" s="49" t="s">
        <v>2488</v>
      </c>
      <c r="J31" s="49" t="s">
        <v>1482</v>
      </c>
      <c r="K31" s="49" t="s">
        <v>2598</v>
      </c>
      <c r="L31" s="45"/>
      <c r="M31" s="45"/>
      <c r="N31" s="45"/>
      <c r="O31" s="45"/>
      <c r="P31" s="45"/>
      <c r="Q31" s="45"/>
      <c r="R31" s="45"/>
      <c r="S31" s="45"/>
      <c r="T31" s="45"/>
      <c r="U31" s="45"/>
      <c r="V31" s="45"/>
      <c r="W31" s="45"/>
      <c r="X31" s="45"/>
      <c r="Y31" s="45"/>
      <c r="Z31" s="45"/>
    </row>
    <row r="32">
      <c r="A32" s="46">
        <v>8.0</v>
      </c>
      <c r="B32" s="47" t="s">
        <v>429</v>
      </c>
      <c r="C32" s="48" t="s">
        <v>196</v>
      </c>
      <c r="D32" s="47" t="s">
        <v>826</v>
      </c>
      <c r="E32" s="49" t="s">
        <v>100</v>
      </c>
      <c r="F32" s="49" t="s">
        <v>2645</v>
      </c>
      <c r="G32" s="49" t="s">
        <v>2486</v>
      </c>
      <c r="H32" s="49" t="s">
        <v>2486</v>
      </c>
      <c r="I32" s="49" t="s">
        <v>2488</v>
      </c>
      <c r="J32" s="49" t="s">
        <v>1506</v>
      </c>
      <c r="K32" s="45"/>
      <c r="L32" s="45"/>
      <c r="M32" s="45"/>
      <c r="N32" s="45"/>
      <c r="O32" s="45"/>
      <c r="P32" s="45"/>
      <c r="Q32" s="45"/>
      <c r="R32" s="45"/>
      <c r="S32" s="45"/>
      <c r="T32" s="45"/>
      <c r="U32" s="45"/>
      <c r="V32" s="45"/>
      <c r="W32" s="45"/>
      <c r="X32" s="45"/>
      <c r="Y32" s="45"/>
      <c r="Z32" s="45"/>
    </row>
    <row r="33">
      <c r="A33" s="46">
        <v>8.0</v>
      </c>
      <c r="B33" s="47" t="s">
        <v>429</v>
      </c>
      <c r="C33" s="48" t="s">
        <v>196</v>
      </c>
      <c r="D33" s="47" t="s">
        <v>829</v>
      </c>
      <c r="E33" s="49" t="s">
        <v>100</v>
      </c>
      <c r="F33" s="49" t="s">
        <v>2650</v>
      </c>
      <c r="G33" s="49" t="s">
        <v>2486</v>
      </c>
      <c r="H33" s="49" t="s">
        <v>2486</v>
      </c>
      <c r="I33" s="49" t="s">
        <v>2488</v>
      </c>
      <c r="J33" s="49" t="s">
        <v>1632</v>
      </c>
      <c r="K33" s="49" t="s">
        <v>2489</v>
      </c>
      <c r="L33" s="45"/>
      <c r="M33" s="45"/>
      <c r="N33" s="45"/>
      <c r="O33" s="45"/>
      <c r="P33" s="45"/>
      <c r="Q33" s="45"/>
      <c r="R33" s="45"/>
      <c r="S33" s="45"/>
      <c r="T33" s="45"/>
      <c r="U33" s="45"/>
      <c r="V33" s="45"/>
      <c r="W33" s="45"/>
      <c r="X33" s="45"/>
      <c r="Y33" s="45"/>
      <c r="Z33" s="45"/>
    </row>
    <row r="34">
      <c r="A34" s="46">
        <v>8.0</v>
      </c>
      <c r="B34" s="47" t="s">
        <v>429</v>
      </c>
      <c r="C34" s="48" t="s">
        <v>196</v>
      </c>
      <c r="D34" s="47" t="s">
        <v>139</v>
      </c>
      <c r="E34" s="49" t="s">
        <v>100</v>
      </c>
      <c r="F34" s="49" t="s">
        <v>2657</v>
      </c>
      <c r="G34" s="49" t="s">
        <v>2486</v>
      </c>
      <c r="H34" s="49" t="s">
        <v>2486</v>
      </c>
      <c r="I34" s="49" t="s">
        <v>2488</v>
      </c>
      <c r="J34" s="49" t="s">
        <v>1506</v>
      </c>
      <c r="K34" s="49" t="s">
        <v>2489</v>
      </c>
      <c r="L34" s="45"/>
      <c r="M34" s="45"/>
      <c r="N34" s="45"/>
      <c r="O34" s="45"/>
      <c r="P34" s="45"/>
      <c r="Q34" s="45"/>
      <c r="R34" s="45"/>
      <c r="S34" s="45"/>
      <c r="T34" s="45"/>
      <c r="U34" s="45"/>
      <c r="V34" s="45"/>
      <c r="W34" s="45"/>
      <c r="X34" s="45"/>
      <c r="Y34" s="45"/>
      <c r="Z34" s="45"/>
    </row>
    <row r="35">
      <c r="A35" s="46">
        <v>8.0</v>
      </c>
      <c r="B35" s="47" t="s">
        <v>429</v>
      </c>
      <c r="C35" s="48" t="s">
        <v>196</v>
      </c>
      <c r="D35" s="47" t="s">
        <v>404</v>
      </c>
      <c r="E35" s="49" t="s">
        <v>135</v>
      </c>
      <c r="F35" s="49" t="s">
        <v>2664</v>
      </c>
      <c r="G35" s="49" t="s">
        <v>2486</v>
      </c>
      <c r="H35" s="49" t="s">
        <v>2486</v>
      </c>
      <c r="I35" s="49" t="s">
        <v>2488</v>
      </c>
      <c r="J35" s="49" t="s">
        <v>1632</v>
      </c>
      <c r="K35" s="49" t="s">
        <v>2680</v>
      </c>
      <c r="L35" s="45"/>
      <c r="M35" s="45"/>
      <c r="N35" s="45"/>
      <c r="O35" s="45"/>
      <c r="P35" s="45"/>
      <c r="Q35" s="45"/>
      <c r="R35" s="45"/>
      <c r="S35" s="45"/>
      <c r="T35" s="45"/>
      <c r="U35" s="45"/>
      <c r="V35" s="45"/>
      <c r="W35" s="45"/>
      <c r="X35" s="45"/>
      <c r="Y35" s="45"/>
      <c r="Z35" s="45"/>
    </row>
    <row r="36">
      <c r="A36" s="46">
        <v>9.0</v>
      </c>
      <c r="B36" s="47" t="s">
        <v>127</v>
      </c>
      <c r="C36" s="48" t="s">
        <v>196</v>
      </c>
      <c r="D36" s="47" t="s">
        <v>247</v>
      </c>
      <c r="E36" s="49" t="s">
        <v>100</v>
      </c>
      <c r="F36" s="49" t="s">
        <v>2688</v>
      </c>
      <c r="G36" s="49" t="s">
        <v>2486</v>
      </c>
      <c r="H36" s="49" t="s">
        <v>2486</v>
      </c>
      <c r="I36" s="49" t="s">
        <v>2488</v>
      </c>
      <c r="J36" s="49" t="s">
        <v>1561</v>
      </c>
      <c r="K36" s="49" t="s">
        <v>2545</v>
      </c>
      <c r="L36" s="45"/>
      <c r="M36" s="45"/>
      <c r="N36" s="45"/>
      <c r="O36" s="45"/>
      <c r="P36" s="45"/>
      <c r="Q36" s="45"/>
      <c r="R36" s="45"/>
      <c r="S36" s="45"/>
      <c r="T36" s="45"/>
      <c r="U36" s="45"/>
      <c r="V36" s="45"/>
      <c r="W36" s="45"/>
      <c r="X36" s="45"/>
      <c r="Y36" s="45"/>
      <c r="Z36" s="45"/>
    </row>
    <row r="37">
      <c r="A37" s="46">
        <v>9.0</v>
      </c>
      <c r="B37" s="47" t="s">
        <v>127</v>
      </c>
      <c r="C37" s="48" t="s">
        <v>196</v>
      </c>
      <c r="D37" s="47" t="s">
        <v>710</v>
      </c>
      <c r="E37" s="49" t="s">
        <v>100</v>
      </c>
      <c r="F37" s="49" t="s">
        <v>2691</v>
      </c>
      <c r="G37" s="49" t="s">
        <v>2486</v>
      </c>
      <c r="H37" s="49" t="s">
        <v>2486</v>
      </c>
      <c r="I37" s="49" t="s">
        <v>2488</v>
      </c>
      <c r="J37" s="49" t="s">
        <v>1695</v>
      </c>
      <c r="K37" s="49" t="s">
        <v>2489</v>
      </c>
      <c r="L37" s="45"/>
      <c r="M37" s="45"/>
      <c r="N37" s="45"/>
      <c r="O37" s="45"/>
      <c r="P37" s="45"/>
      <c r="Q37" s="45"/>
      <c r="R37" s="45"/>
      <c r="S37" s="45"/>
      <c r="T37" s="45"/>
      <c r="U37" s="45"/>
      <c r="V37" s="45"/>
      <c r="W37" s="45"/>
      <c r="X37" s="45"/>
      <c r="Y37" s="45"/>
      <c r="Z37" s="45"/>
    </row>
    <row r="38">
      <c r="A38" s="46">
        <v>9.0</v>
      </c>
      <c r="B38" s="47" t="s">
        <v>127</v>
      </c>
      <c r="C38" s="48" t="s">
        <v>196</v>
      </c>
      <c r="D38" s="47" t="s">
        <v>1156</v>
      </c>
      <c r="E38" s="49" t="s">
        <v>135</v>
      </c>
      <c r="F38" s="49" t="s">
        <v>2695</v>
      </c>
      <c r="G38" s="49" t="s">
        <v>2486</v>
      </c>
      <c r="H38" s="49" t="s">
        <v>2486</v>
      </c>
      <c r="I38" s="49" t="s">
        <v>2488</v>
      </c>
      <c r="J38" s="49" t="s">
        <v>1712</v>
      </c>
      <c r="K38" s="49" t="s">
        <v>2489</v>
      </c>
      <c r="L38" s="45"/>
      <c r="M38" s="45"/>
      <c r="N38" s="45"/>
      <c r="O38" s="45"/>
      <c r="P38" s="45"/>
      <c r="Q38" s="45"/>
      <c r="R38" s="45"/>
      <c r="S38" s="45"/>
      <c r="T38" s="45"/>
      <c r="U38" s="45"/>
      <c r="V38" s="45"/>
      <c r="W38" s="45"/>
      <c r="X38" s="45"/>
      <c r="Y38" s="45"/>
      <c r="Z38" s="45"/>
    </row>
    <row r="39">
      <c r="A39" s="46">
        <v>9.0</v>
      </c>
      <c r="B39" s="47" t="s">
        <v>127</v>
      </c>
      <c r="C39" s="48" t="s">
        <v>196</v>
      </c>
      <c r="D39" s="47" t="s">
        <v>2698</v>
      </c>
      <c r="E39" s="49" t="s">
        <v>135</v>
      </c>
      <c r="F39" s="49" t="s">
        <v>2700</v>
      </c>
      <c r="G39" s="49" t="s">
        <v>2486</v>
      </c>
      <c r="H39" s="49" t="s">
        <v>2486</v>
      </c>
      <c r="I39" s="49" t="s">
        <v>2488</v>
      </c>
      <c r="J39" s="49" t="s">
        <v>1561</v>
      </c>
      <c r="K39" s="49" t="s">
        <v>2489</v>
      </c>
      <c r="L39" s="45"/>
      <c r="M39" s="45"/>
      <c r="N39" s="45"/>
      <c r="O39" s="45"/>
      <c r="P39" s="45"/>
      <c r="Q39" s="45"/>
      <c r="R39" s="45"/>
      <c r="S39" s="45"/>
      <c r="T39" s="45"/>
      <c r="U39" s="45"/>
      <c r="V39" s="45"/>
      <c r="W39" s="45"/>
      <c r="X39" s="45"/>
      <c r="Y39" s="45"/>
      <c r="Z39" s="45"/>
    </row>
    <row r="40">
      <c r="A40" s="46">
        <v>10.0</v>
      </c>
      <c r="B40" s="47" t="s">
        <v>914</v>
      </c>
      <c r="C40" s="48" t="s">
        <v>912</v>
      </c>
      <c r="D40" s="47" t="s">
        <v>1164</v>
      </c>
      <c r="E40" s="49" t="s">
        <v>100</v>
      </c>
      <c r="F40" s="49" t="s">
        <v>2703</v>
      </c>
      <c r="G40" s="49" t="s">
        <v>2486</v>
      </c>
      <c r="H40" s="49" t="s">
        <v>2486</v>
      </c>
      <c r="I40" s="49" t="s">
        <v>2488</v>
      </c>
      <c r="J40" s="49" t="s">
        <v>1591</v>
      </c>
      <c r="K40" s="49" t="s">
        <v>2489</v>
      </c>
      <c r="L40" s="45"/>
      <c r="M40" s="45"/>
      <c r="N40" s="45"/>
      <c r="O40" s="45"/>
      <c r="P40" s="45"/>
      <c r="Q40" s="45"/>
      <c r="R40" s="45"/>
      <c r="S40" s="45"/>
      <c r="T40" s="45"/>
      <c r="U40" s="45"/>
      <c r="V40" s="45"/>
      <c r="W40" s="45"/>
      <c r="X40" s="45"/>
      <c r="Y40" s="45"/>
      <c r="Z40" s="45"/>
    </row>
    <row r="41">
      <c r="A41" s="46">
        <v>10.0</v>
      </c>
      <c r="B41" s="47" t="s">
        <v>914</v>
      </c>
      <c r="C41" s="48" t="s">
        <v>912</v>
      </c>
      <c r="D41" s="47" t="s">
        <v>1162</v>
      </c>
      <c r="E41" s="49" t="s">
        <v>100</v>
      </c>
      <c r="F41" s="49" t="s">
        <v>2707</v>
      </c>
      <c r="G41" s="49" t="s">
        <v>2486</v>
      </c>
      <c r="H41" s="49" t="s">
        <v>2486</v>
      </c>
      <c r="I41" s="49" t="s">
        <v>2488</v>
      </c>
      <c r="J41" s="49" t="s">
        <v>2708</v>
      </c>
      <c r="K41" s="49" t="s">
        <v>2489</v>
      </c>
      <c r="L41" s="45"/>
      <c r="M41" s="45"/>
      <c r="N41" s="45"/>
      <c r="O41" s="45"/>
      <c r="P41" s="45"/>
      <c r="Q41" s="45"/>
      <c r="R41" s="45"/>
      <c r="S41" s="45"/>
      <c r="T41" s="45"/>
      <c r="U41" s="45"/>
      <c r="V41" s="45"/>
      <c r="W41" s="45"/>
      <c r="X41" s="45"/>
      <c r="Y41" s="45"/>
      <c r="Z41" s="45"/>
    </row>
    <row r="42">
      <c r="A42" s="46">
        <v>10.0</v>
      </c>
      <c r="B42" s="47" t="s">
        <v>914</v>
      </c>
      <c r="C42" s="48" t="s">
        <v>912</v>
      </c>
      <c r="D42" s="47" t="s">
        <v>1163</v>
      </c>
      <c r="E42" s="49" t="s">
        <v>100</v>
      </c>
      <c r="F42" s="49" t="s">
        <v>2714</v>
      </c>
      <c r="G42" s="49" t="s">
        <v>2486</v>
      </c>
      <c r="H42" s="49" t="s">
        <v>2486</v>
      </c>
      <c r="I42" s="49" t="s">
        <v>2488</v>
      </c>
      <c r="J42" s="49" t="s">
        <v>2716</v>
      </c>
      <c r="K42" s="49" t="s">
        <v>2489</v>
      </c>
      <c r="L42" s="45"/>
      <c r="M42" s="45"/>
      <c r="N42" s="45"/>
      <c r="O42" s="45"/>
      <c r="P42" s="45"/>
      <c r="Q42" s="45"/>
      <c r="R42" s="45"/>
      <c r="S42" s="45"/>
      <c r="T42" s="45"/>
      <c r="U42" s="45"/>
      <c r="V42" s="45"/>
      <c r="W42" s="45"/>
      <c r="X42" s="45"/>
      <c r="Y42" s="45"/>
      <c r="Z42" s="45"/>
    </row>
    <row r="43">
      <c r="A43" s="46">
        <v>10.0</v>
      </c>
      <c r="B43" s="47" t="s">
        <v>914</v>
      </c>
      <c r="C43" s="48" t="s">
        <v>912</v>
      </c>
      <c r="D43" s="47" t="s">
        <v>1165</v>
      </c>
      <c r="E43" s="49" t="s">
        <v>135</v>
      </c>
      <c r="F43" s="49" t="s">
        <v>2720</v>
      </c>
      <c r="G43" s="49" t="s">
        <v>2486</v>
      </c>
      <c r="H43" s="49" t="s">
        <v>2486</v>
      </c>
      <c r="I43" s="49" t="s">
        <v>2488</v>
      </c>
      <c r="J43" s="49" t="s">
        <v>1591</v>
      </c>
      <c r="K43" s="49" t="s">
        <v>2489</v>
      </c>
      <c r="L43" s="45"/>
      <c r="M43" s="45"/>
      <c r="N43" s="45"/>
      <c r="O43" s="45"/>
      <c r="P43" s="45"/>
      <c r="Q43" s="45"/>
      <c r="R43" s="45"/>
      <c r="S43" s="45"/>
      <c r="T43" s="45"/>
      <c r="U43" s="45"/>
      <c r="V43" s="45"/>
      <c r="W43" s="45"/>
      <c r="X43" s="45"/>
      <c r="Y43" s="45"/>
      <c r="Z43" s="45"/>
    </row>
    <row r="44">
      <c r="A44" s="46">
        <v>10.0</v>
      </c>
      <c r="B44" s="47" t="s">
        <v>914</v>
      </c>
      <c r="C44" s="48" t="s">
        <v>912</v>
      </c>
      <c r="D44" s="47" t="s">
        <v>1167</v>
      </c>
      <c r="E44" s="49" t="s">
        <v>135</v>
      </c>
      <c r="F44" s="49" t="s">
        <v>2725</v>
      </c>
      <c r="G44" s="49" t="s">
        <v>2486</v>
      </c>
      <c r="H44" s="49" t="s">
        <v>2486</v>
      </c>
      <c r="I44" s="49" t="s">
        <v>2488</v>
      </c>
      <c r="J44" s="49" t="s">
        <v>2708</v>
      </c>
      <c r="K44" s="49" t="s">
        <v>2489</v>
      </c>
      <c r="L44" s="45"/>
      <c r="M44" s="45"/>
      <c r="N44" s="45"/>
      <c r="O44" s="45"/>
      <c r="P44" s="45"/>
      <c r="Q44" s="45"/>
      <c r="R44" s="45"/>
      <c r="S44" s="45"/>
      <c r="T44" s="45"/>
      <c r="U44" s="45"/>
      <c r="V44" s="45"/>
      <c r="W44" s="45"/>
      <c r="X44" s="45"/>
      <c r="Y44" s="45"/>
      <c r="Z44" s="45"/>
    </row>
    <row r="45">
      <c r="A45" s="46">
        <v>11.0</v>
      </c>
      <c r="B45" s="47" t="s">
        <v>958</v>
      </c>
      <c r="C45" s="48" t="s">
        <v>912</v>
      </c>
      <c r="D45" s="47" t="s">
        <v>1277</v>
      </c>
      <c r="E45" s="49" t="s">
        <v>100</v>
      </c>
      <c r="F45" s="49" t="s">
        <v>2730</v>
      </c>
      <c r="G45" s="49" t="s">
        <v>2486</v>
      </c>
      <c r="H45" s="49" t="s">
        <v>2486</v>
      </c>
      <c r="I45" s="49" t="s">
        <v>2488</v>
      </c>
      <c r="J45" s="49" t="s">
        <v>1613</v>
      </c>
      <c r="K45" s="49" t="s">
        <v>2489</v>
      </c>
      <c r="L45" s="45"/>
      <c r="M45" s="45"/>
      <c r="N45" s="45"/>
      <c r="O45" s="45"/>
      <c r="P45" s="45"/>
      <c r="Q45" s="45"/>
      <c r="R45" s="45"/>
      <c r="S45" s="45"/>
      <c r="T45" s="45"/>
      <c r="U45" s="45"/>
      <c r="V45" s="45"/>
      <c r="W45" s="45"/>
      <c r="X45" s="45"/>
      <c r="Y45" s="45"/>
      <c r="Z45" s="45"/>
    </row>
    <row r="46">
      <c r="A46" s="46">
        <v>11.0</v>
      </c>
      <c r="B46" s="47" t="s">
        <v>958</v>
      </c>
      <c r="C46" s="48" t="s">
        <v>912</v>
      </c>
      <c r="D46" s="47" t="s">
        <v>1159</v>
      </c>
      <c r="E46" s="49" t="s">
        <v>100</v>
      </c>
      <c r="F46" s="49" t="s">
        <v>2733</v>
      </c>
      <c r="G46" s="49" t="s">
        <v>2486</v>
      </c>
      <c r="H46" s="49" t="s">
        <v>2486</v>
      </c>
      <c r="I46" s="49" t="s">
        <v>2488</v>
      </c>
      <c r="J46" s="49" t="s">
        <v>2736</v>
      </c>
      <c r="K46" s="49" t="s">
        <v>2489</v>
      </c>
      <c r="L46" s="45"/>
      <c r="M46" s="45"/>
      <c r="N46" s="45"/>
      <c r="O46" s="45"/>
      <c r="P46" s="45"/>
      <c r="Q46" s="45"/>
      <c r="R46" s="45"/>
      <c r="S46" s="45"/>
      <c r="T46" s="45"/>
      <c r="U46" s="45"/>
      <c r="V46" s="45"/>
      <c r="W46" s="45"/>
      <c r="X46" s="45"/>
      <c r="Y46" s="45"/>
      <c r="Z46" s="45"/>
    </row>
    <row r="47">
      <c r="A47" s="46">
        <v>11.0</v>
      </c>
      <c r="B47" s="47" t="s">
        <v>958</v>
      </c>
      <c r="C47" s="48" t="s">
        <v>912</v>
      </c>
      <c r="D47" s="47" t="s">
        <v>1031</v>
      </c>
      <c r="E47" s="49" t="s">
        <v>100</v>
      </c>
      <c r="F47" s="49" t="s">
        <v>2740</v>
      </c>
      <c r="G47" s="49" t="s">
        <v>2486</v>
      </c>
      <c r="H47" s="49" t="s">
        <v>2486</v>
      </c>
      <c r="I47" s="49" t="s">
        <v>2488</v>
      </c>
      <c r="J47" s="49" t="s">
        <v>2741</v>
      </c>
      <c r="K47" s="49" t="s">
        <v>2489</v>
      </c>
      <c r="L47" s="45"/>
      <c r="M47" s="45"/>
      <c r="N47" s="45"/>
      <c r="O47" s="45"/>
      <c r="P47" s="45"/>
      <c r="Q47" s="45"/>
      <c r="R47" s="45"/>
      <c r="S47" s="45"/>
      <c r="T47" s="45"/>
      <c r="U47" s="45"/>
      <c r="V47" s="45"/>
      <c r="W47" s="45"/>
      <c r="X47" s="45"/>
      <c r="Y47" s="45"/>
      <c r="Z47" s="45"/>
    </row>
    <row r="48">
      <c r="A48" s="46">
        <v>11.0</v>
      </c>
      <c r="B48" s="47" t="s">
        <v>958</v>
      </c>
      <c r="C48" s="48" t="s">
        <v>912</v>
      </c>
      <c r="D48" s="47" t="s">
        <v>1168</v>
      </c>
      <c r="E48" s="49" t="s">
        <v>135</v>
      </c>
      <c r="F48" s="49" t="s">
        <v>2742</v>
      </c>
      <c r="G48" s="49" t="s">
        <v>2486</v>
      </c>
      <c r="H48" s="49" t="s">
        <v>2486</v>
      </c>
      <c r="I48" s="49" t="s">
        <v>2488</v>
      </c>
      <c r="J48" s="49" t="s">
        <v>1613</v>
      </c>
      <c r="K48" s="49" t="s">
        <v>2489</v>
      </c>
      <c r="L48" s="45"/>
      <c r="M48" s="45"/>
      <c r="N48" s="45"/>
      <c r="O48" s="45"/>
      <c r="P48" s="45"/>
      <c r="Q48" s="45"/>
      <c r="R48" s="45"/>
      <c r="S48" s="45"/>
      <c r="T48" s="45"/>
      <c r="U48" s="45"/>
      <c r="V48" s="45"/>
      <c r="W48" s="45"/>
      <c r="X48" s="45"/>
      <c r="Y48" s="45"/>
      <c r="Z48" s="45"/>
    </row>
    <row r="49">
      <c r="A49" s="46">
        <v>11.0</v>
      </c>
      <c r="B49" s="47" t="s">
        <v>958</v>
      </c>
      <c r="C49" s="48" t="s">
        <v>912</v>
      </c>
      <c r="D49" s="47" t="s">
        <v>444</v>
      </c>
      <c r="E49" s="49" t="s">
        <v>135</v>
      </c>
      <c r="F49" s="49" t="s">
        <v>2743</v>
      </c>
      <c r="G49" s="49" t="s">
        <v>2486</v>
      </c>
      <c r="H49" s="49" t="s">
        <v>2486</v>
      </c>
      <c r="I49" s="49" t="s">
        <v>2488</v>
      </c>
      <c r="J49" s="49" t="s">
        <v>2736</v>
      </c>
      <c r="K49" s="49" t="s">
        <v>2545</v>
      </c>
      <c r="L49" s="45"/>
      <c r="M49" s="45"/>
      <c r="N49" s="45"/>
      <c r="O49" s="45"/>
      <c r="P49" s="45"/>
      <c r="Q49" s="45"/>
      <c r="R49" s="45"/>
      <c r="S49" s="45"/>
      <c r="T49" s="45"/>
      <c r="U49" s="45"/>
      <c r="V49" s="45"/>
      <c r="W49" s="45"/>
      <c r="X49" s="45"/>
      <c r="Y49" s="45"/>
      <c r="Z49" s="45"/>
    </row>
    <row r="50">
      <c r="A50" s="46">
        <v>12.0</v>
      </c>
      <c r="B50" s="47" t="s">
        <v>417</v>
      </c>
      <c r="C50" s="48" t="s">
        <v>912</v>
      </c>
      <c r="D50" s="47" t="s">
        <v>634</v>
      </c>
      <c r="E50" s="49" t="s">
        <v>100</v>
      </c>
      <c r="F50" s="49" t="s">
        <v>2756</v>
      </c>
      <c r="G50" s="49" t="s">
        <v>2486</v>
      </c>
      <c r="H50" s="49" t="s">
        <v>2486</v>
      </c>
      <c r="I50" s="49" t="s">
        <v>2488</v>
      </c>
      <c r="J50" s="49" t="s">
        <v>1629</v>
      </c>
      <c r="K50" s="49" t="s">
        <v>2532</v>
      </c>
      <c r="L50" s="45"/>
      <c r="M50" s="45"/>
      <c r="N50" s="45"/>
      <c r="O50" s="45"/>
      <c r="P50" s="45"/>
      <c r="Q50" s="45"/>
      <c r="R50" s="45"/>
      <c r="S50" s="45"/>
      <c r="T50" s="45"/>
      <c r="U50" s="45"/>
      <c r="V50" s="45"/>
      <c r="W50" s="45"/>
      <c r="X50" s="45"/>
      <c r="Y50" s="45"/>
      <c r="Z50" s="45"/>
    </row>
    <row r="51">
      <c r="A51" s="46">
        <v>12.0</v>
      </c>
      <c r="B51" s="47" t="s">
        <v>417</v>
      </c>
      <c r="C51" s="48" t="s">
        <v>912</v>
      </c>
      <c r="D51" s="47" t="s">
        <v>401</v>
      </c>
      <c r="E51" s="49" t="s">
        <v>100</v>
      </c>
      <c r="F51" s="49" t="s">
        <v>2762</v>
      </c>
      <c r="G51" s="49" t="s">
        <v>2486</v>
      </c>
      <c r="H51" s="49" t="s">
        <v>2486</v>
      </c>
      <c r="I51" s="49" t="s">
        <v>2488</v>
      </c>
      <c r="J51" s="49" t="s">
        <v>2763</v>
      </c>
      <c r="K51" s="49" t="s">
        <v>2532</v>
      </c>
      <c r="L51" s="45"/>
      <c r="M51" s="45"/>
      <c r="N51" s="45"/>
      <c r="O51" s="45"/>
      <c r="P51" s="45"/>
      <c r="Q51" s="45"/>
      <c r="R51" s="45"/>
      <c r="S51" s="45"/>
      <c r="T51" s="45"/>
      <c r="U51" s="45"/>
      <c r="V51" s="45"/>
      <c r="W51" s="45"/>
      <c r="X51" s="45"/>
      <c r="Y51" s="45"/>
      <c r="Z51" s="45"/>
    </row>
    <row r="52">
      <c r="A52" s="46">
        <v>12.0</v>
      </c>
      <c r="B52" s="47" t="s">
        <v>417</v>
      </c>
      <c r="C52" s="48" t="s">
        <v>912</v>
      </c>
      <c r="D52" s="47" t="s">
        <v>397</v>
      </c>
      <c r="E52" s="49" t="s">
        <v>135</v>
      </c>
      <c r="F52" s="49" t="s">
        <v>2773</v>
      </c>
      <c r="G52" s="49" t="s">
        <v>2486</v>
      </c>
      <c r="H52" s="49" t="s">
        <v>2486</v>
      </c>
      <c r="I52" s="49" t="s">
        <v>2488</v>
      </c>
      <c r="J52" s="49" t="s">
        <v>2774</v>
      </c>
      <c r="K52" s="49" t="s">
        <v>2680</v>
      </c>
      <c r="L52" s="45"/>
      <c r="M52" s="45"/>
      <c r="N52" s="45"/>
      <c r="O52" s="45"/>
      <c r="P52" s="45"/>
      <c r="Q52" s="45"/>
      <c r="R52" s="45"/>
      <c r="S52" s="45"/>
      <c r="T52" s="45"/>
      <c r="U52" s="45"/>
      <c r="V52" s="45"/>
      <c r="W52" s="45"/>
      <c r="X52" s="45"/>
      <c r="Y52" s="45"/>
      <c r="Z52" s="45"/>
    </row>
    <row r="53">
      <c r="A53" s="46">
        <v>13.0</v>
      </c>
      <c r="B53" s="47" t="s">
        <v>1127</v>
      </c>
      <c r="C53" s="48" t="s">
        <v>912</v>
      </c>
      <c r="D53" s="47" t="s">
        <v>453</v>
      </c>
      <c r="E53" s="49" t="s">
        <v>100</v>
      </c>
      <c r="F53" s="49" t="s">
        <v>2779</v>
      </c>
      <c r="G53" s="49" t="s">
        <v>2486</v>
      </c>
      <c r="H53" s="49" t="s">
        <v>2486</v>
      </c>
      <c r="I53" s="49" t="s">
        <v>2488</v>
      </c>
      <c r="J53" s="49" t="s">
        <v>1637</v>
      </c>
      <c r="K53" s="49" t="s">
        <v>2489</v>
      </c>
      <c r="L53" s="45"/>
      <c r="M53" s="45"/>
      <c r="N53" s="45"/>
      <c r="O53" s="45"/>
      <c r="P53" s="45"/>
      <c r="Q53" s="45"/>
      <c r="R53" s="45"/>
      <c r="S53" s="45"/>
      <c r="T53" s="45"/>
      <c r="U53" s="45"/>
      <c r="V53" s="45"/>
      <c r="W53" s="45"/>
      <c r="X53" s="45"/>
      <c r="Y53" s="45"/>
      <c r="Z53" s="45"/>
    </row>
    <row r="54">
      <c r="A54" s="46">
        <v>13.0</v>
      </c>
      <c r="B54" s="47" t="s">
        <v>1127</v>
      </c>
      <c r="C54" s="48" t="s">
        <v>912</v>
      </c>
      <c r="D54" s="47" t="s">
        <v>1047</v>
      </c>
      <c r="E54" s="49" t="s">
        <v>100</v>
      </c>
      <c r="F54" s="49" t="s">
        <v>2782</v>
      </c>
      <c r="G54" s="49" t="s">
        <v>2486</v>
      </c>
      <c r="H54" s="49" t="s">
        <v>2486</v>
      </c>
      <c r="I54" s="49" t="s">
        <v>2488</v>
      </c>
      <c r="J54" s="49" t="s">
        <v>2784</v>
      </c>
      <c r="K54" s="49" t="s">
        <v>2489</v>
      </c>
      <c r="L54" s="45"/>
      <c r="M54" s="45"/>
      <c r="N54" s="45"/>
      <c r="O54" s="45"/>
      <c r="P54" s="45"/>
      <c r="Q54" s="45"/>
      <c r="R54" s="45"/>
      <c r="S54" s="45"/>
      <c r="T54" s="45"/>
      <c r="U54" s="45"/>
      <c r="V54" s="45"/>
      <c r="W54" s="45"/>
      <c r="X54" s="45"/>
      <c r="Y54" s="45"/>
      <c r="Z54" s="45"/>
    </row>
    <row r="55">
      <c r="A55" s="46">
        <v>13.0</v>
      </c>
      <c r="B55" s="47" t="s">
        <v>1127</v>
      </c>
      <c r="C55" s="48" t="s">
        <v>912</v>
      </c>
      <c r="D55" s="47" t="s">
        <v>1178</v>
      </c>
      <c r="E55" s="49" t="s">
        <v>135</v>
      </c>
      <c r="F55" s="49" t="s">
        <v>2790</v>
      </c>
      <c r="G55" s="49" t="s">
        <v>2486</v>
      </c>
      <c r="H55" s="49" t="s">
        <v>2486</v>
      </c>
      <c r="I55" s="49" t="s">
        <v>2488</v>
      </c>
      <c r="J55" s="49" t="s">
        <v>2791</v>
      </c>
      <c r="K55" s="49" t="s">
        <v>2545</v>
      </c>
      <c r="L55" s="45"/>
      <c r="M55" s="45"/>
      <c r="N55" s="45"/>
      <c r="O55" s="45"/>
      <c r="P55" s="45"/>
      <c r="Q55" s="45"/>
      <c r="R55" s="45"/>
      <c r="S55" s="45"/>
      <c r="T55" s="45"/>
      <c r="U55" s="45"/>
      <c r="V55" s="45"/>
      <c r="W55" s="45"/>
      <c r="X55" s="45"/>
      <c r="Y55" s="45"/>
      <c r="Z55" s="45"/>
    </row>
    <row r="56">
      <c r="A56" s="46">
        <v>13.0</v>
      </c>
      <c r="B56" s="47" t="s">
        <v>1127</v>
      </c>
      <c r="C56" s="48" t="s">
        <v>912</v>
      </c>
      <c r="D56" s="47" t="s">
        <v>1177</v>
      </c>
      <c r="E56" s="49" t="s">
        <v>135</v>
      </c>
      <c r="F56" s="49" t="s">
        <v>2793</v>
      </c>
      <c r="G56" s="49" t="s">
        <v>2486</v>
      </c>
      <c r="H56" s="49" t="s">
        <v>2486</v>
      </c>
      <c r="I56" s="49" t="s">
        <v>2488</v>
      </c>
      <c r="J56" s="49" t="s">
        <v>1637</v>
      </c>
      <c r="K56" s="49" t="s">
        <v>2489</v>
      </c>
      <c r="L56" s="45"/>
      <c r="M56" s="45"/>
      <c r="N56" s="45"/>
      <c r="O56" s="45"/>
      <c r="P56" s="45"/>
      <c r="Q56" s="45"/>
      <c r="R56" s="45"/>
      <c r="S56" s="45"/>
      <c r="T56" s="45"/>
      <c r="U56" s="45"/>
      <c r="V56" s="45"/>
      <c r="W56" s="45"/>
      <c r="X56" s="45"/>
      <c r="Y56" s="45"/>
      <c r="Z56" s="45"/>
    </row>
    <row r="57">
      <c r="A57" s="46">
        <v>13.0</v>
      </c>
      <c r="B57" s="47" t="s">
        <v>1127</v>
      </c>
      <c r="C57" s="48" t="s">
        <v>912</v>
      </c>
      <c r="D57" s="47" t="s">
        <v>842</v>
      </c>
      <c r="E57" s="49" t="s">
        <v>135</v>
      </c>
      <c r="F57" s="49" t="s">
        <v>2801</v>
      </c>
      <c r="G57" s="49" t="s">
        <v>2486</v>
      </c>
      <c r="H57" s="49" t="s">
        <v>2486</v>
      </c>
      <c r="I57" s="49" t="s">
        <v>2488</v>
      </c>
      <c r="J57" s="49" t="s">
        <v>2784</v>
      </c>
      <c r="K57" s="49" t="s">
        <v>2489</v>
      </c>
      <c r="L57" s="45"/>
      <c r="M57" s="45"/>
      <c r="N57" s="45"/>
      <c r="O57" s="45"/>
      <c r="P57" s="45"/>
      <c r="Q57" s="45"/>
      <c r="R57" s="45"/>
      <c r="S57" s="45"/>
      <c r="T57" s="45"/>
      <c r="U57" s="45"/>
      <c r="V57" s="45"/>
      <c r="W57" s="45"/>
      <c r="X57" s="45"/>
      <c r="Y57" s="45"/>
      <c r="Z57" s="45"/>
    </row>
    <row r="58">
      <c r="A58" s="46">
        <v>14.0</v>
      </c>
      <c r="B58" s="47" t="s">
        <v>1087</v>
      </c>
      <c r="C58" s="48" t="s">
        <v>912</v>
      </c>
      <c r="D58" s="47" t="s">
        <v>169</v>
      </c>
      <c r="E58" s="49" t="s">
        <v>100</v>
      </c>
      <c r="F58" s="49" t="s">
        <v>2808</v>
      </c>
      <c r="G58" s="49" t="s">
        <v>2486</v>
      </c>
      <c r="H58" s="49" t="s">
        <v>2486</v>
      </c>
      <c r="I58" s="49" t="s">
        <v>2488</v>
      </c>
      <c r="J58" s="49" t="s">
        <v>1671</v>
      </c>
      <c r="K58" s="49" t="s">
        <v>2489</v>
      </c>
      <c r="L58" s="45"/>
      <c r="M58" s="45"/>
      <c r="N58" s="45"/>
      <c r="O58" s="45"/>
      <c r="P58" s="45"/>
      <c r="Q58" s="45"/>
      <c r="R58" s="45"/>
      <c r="S58" s="45"/>
      <c r="T58" s="45"/>
      <c r="U58" s="45"/>
      <c r="V58" s="45"/>
      <c r="W58" s="45"/>
      <c r="X58" s="45"/>
      <c r="Y58" s="45"/>
      <c r="Z58" s="45"/>
    </row>
    <row r="59">
      <c r="A59" s="46">
        <v>14.0</v>
      </c>
      <c r="B59" s="47" t="s">
        <v>1087</v>
      </c>
      <c r="C59" s="48" t="s">
        <v>912</v>
      </c>
      <c r="D59" s="47" t="s">
        <v>883</v>
      </c>
      <c r="E59" s="49" t="s">
        <v>100</v>
      </c>
      <c r="F59" s="49" t="s">
        <v>2813</v>
      </c>
      <c r="G59" s="49" t="s">
        <v>2486</v>
      </c>
      <c r="H59" s="49" t="s">
        <v>2486</v>
      </c>
      <c r="I59" s="49" t="s">
        <v>2488</v>
      </c>
      <c r="J59" s="49" t="s">
        <v>1998</v>
      </c>
      <c r="K59" s="49" t="s">
        <v>2489</v>
      </c>
      <c r="L59" s="45"/>
      <c r="M59" s="45"/>
      <c r="N59" s="45"/>
      <c r="O59" s="45"/>
      <c r="P59" s="45"/>
      <c r="Q59" s="45"/>
      <c r="R59" s="45"/>
      <c r="S59" s="45"/>
      <c r="T59" s="45"/>
      <c r="U59" s="45"/>
      <c r="V59" s="45"/>
      <c r="W59" s="45"/>
      <c r="X59" s="45"/>
      <c r="Y59" s="45"/>
      <c r="Z59" s="45"/>
    </row>
    <row r="60">
      <c r="A60" s="46">
        <v>14.0</v>
      </c>
      <c r="B60" s="47" t="s">
        <v>1087</v>
      </c>
      <c r="C60" s="48" t="s">
        <v>912</v>
      </c>
      <c r="D60" s="47" t="s">
        <v>957</v>
      </c>
      <c r="E60" s="49" t="s">
        <v>100</v>
      </c>
      <c r="F60" s="49" t="s">
        <v>2822</v>
      </c>
      <c r="G60" s="49" t="s">
        <v>2486</v>
      </c>
      <c r="H60" s="49" t="s">
        <v>2486</v>
      </c>
      <c r="I60" s="49" t="s">
        <v>2488</v>
      </c>
      <c r="J60" s="49" t="s">
        <v>2823</v>
      </c>
      <c r="K60" s="49" t="s">
        <v>2489</v>
      </c>
      <c r="L60" s="45"/>
      <c r="M60" s="45"/>
      <c r="N60" s="45"/>
      <c r="O60" s="45"/>
      <c r="P60" s="45"/>
      <c r="Q60" s="45"/>
      <c r="R60" s="45"/>
      <c r="S60" s="45"/>
      <c r="T60" s="45"/>
      <c r="U60" s="45"/>
      <c r="V60" s="45"/>
      <c r="W60" s="45"/>
      <c r="X60" s="45"/>
      <c r="Y60" s="45"/>
      <c r="Z60" s="45"/>
    </row>
    <row r="61">
      <c r="A61" s="46">
        <v>14.0</v>
      </c>
      <c r="B61" s="47" t="s">
        <v>1087</v>
      </c>
      <c r="C61" s="48" t="s">
        <v>912</v>
      </c>
      <c r="D61" s="47" t="s">
        <v>1186</v>
      </c>
      <c r="E61" s="49" t="s">
        <v>100</v>
      </c>
      <c r="F61" s="49" t="s">
        <v>2828</v>
      </c>
      <c r="G61" s="49" t="s">
        <v>2486</v>
      </c>
      <c r="H61" s="49" t="s">
        <v>2486</v>
      </c>
      <c r="I61" s="49" t="s">
        <v>2488</v>
      </c>
      <c r="J61" s="49" t="s">
        <v>1671</v>
      </c>
      <c r="K61" s="49" t="s">
        <v>2489</v>
      </c>
      <c r="L61" s="45"/>
      <c r="M61" s="45"/>
      <c r="N61" s="45"/>
      <c r="O61" s="45"/>
      <c r="P61" s="45"/>
      <c r="Q61" s="45"/>
      <c r="R61" s="45"/>
      <c r="S61" s="45"/>
      <c r="T61" s="45"/>
      <c r="U61" s="45"/>
      <c r="V61" s="45"/>
      <c r="W61" s="45"/>
      <c r="X61" s="45"/>
      <c r="Y61" s="45"/>
      <c r="Z61" s="45"/>
    </row>
    <row r="62">
      <c r="A62" s="46">
        <v>14.0</v>
      </c>
      <c r="B62" s="47" t="s">
        <v>1087</v>
      </c>
      <c r="C62" s="48" t="s">
        <v>912</v>
      </c>
      <c r="D62" s="47" t="s">
        <v>850</v>
      </c>
      <c r="E62" s="49" t="s">
        <v>135</v>
      </c>
      <c r="F62" s="49" t="s">
        <v>2835</v>
      </c>
      <c r="G62" s="49" t="s">
        <v>2486</v>
      </c>
      <c r="H62" s="49" t="s">
        <v>2486</v>
      </c>
      <c r="I62" s="49" t="s">
        <v>2488</v>
      </c>
      <c r="J62" s="49" t="s">
        <v>1998</v>
      </c>
      <c r="K62" s="49" t="s">
        <v>2489</v>
      </c>
      <c r="L62" s="45"/>
      <c r="M62" s="45"/>
      <c r="N62" s="45"/>
      <c r="O62" s="45"/>
      <c r="P62" s="45"/>
      <c r="Q62" s="45"/>
      <c r="R62" s="45"/>
      <c r="S62" s="45"/>
      <c r="T62" s="45"/>
      <c r="U62" s="45"/>
      <c r="V62" s="45"/>
      <c r="W62" s="45"/>
      <c r="X62" s="45"/>
      <c r="Y62" s="45"/>
      <c r="Z62" s="45"/>
    </row>
    <row r="63">
      <c r="A63" s="46">
        <v>15.0</v>
      </c>
      <c r="B63" s="47" t="s">
        <v>1241</v>
      </c>
      <c r="C63" s="48" t="s">
        <v>912</v>
      </c>
      <c r="D63" s="47" t="s">
        <v>87</v>
      </c>
      <c r="E63" s="49" t="s">
        <v>100</v>
      </c>
      <c r="F63" s="49" t="s">
        <v>2841</v>
      </c>
      <c r="G63" s="49" t="s">
        <v>2486</v>
      </c>
      <c r="H63" s="49" t="s">
        <v>2486</v>
      </c>
      <c r="I63" s="49" t="s">
        <v>2488</v>
      </c>
      <c r="J63" s="49" t="s">
        <v>1690</v>
      </c>
      <c r="K63" s="49" t="s">
        <v>2489</v>
      </c>
      <c r="L63" s="45"/>
      <c r="M63" s="45"/>
      <c r="N63" s="45"/>
      <c r="O63" s="45"/>
      <c r="P63" s="45"/>
      <c r="Q63" s="45"/>
      <c r="R63" s="45"/>
      <c r="S63" s="45"/>
      <c r="T63" s="45"/>
      <c r="U63" s="45"/>
      <c r="V63" s="45"/>
      <c r="W63" s="45"/>
      <c r="X63" s="45"/>
      <c r="Y63" s="45"/>
      <c r="Z63" s="45"/>
    </row>
    <row r="64">
      <c r="A64" s="46">
        <v>15.0</v>
      </c>
      <c r="B64" s="47" t="s">
        <v>1241</v>
      </c>
      <c r="C64" s="48" t="s">
        <v>912</v>
      </c>
      <c r="D64" s="47" t="s">
        <v>458</v>
      </c>
      <c r="E64" s="49" t="s">
        <v>100</v>
      </c>
      <c r="F64" s="49" t="s">
        <v>2846</v>
      </c>
      <c r="G64" s="49" t="s">
        <v>2486</v>
      </c>
      <c r="H64" s="49" t="s">
        <v>2486</v>
      </c>
      <c r="I64" s="49" t="s">
        <v>2488</v>
      </c>
      <c r="J64" s="49" t="s">
        <v>2049</v>
      </c>
      <c r="K64" s="49" t="s">
        <v>2489</v>
      </c>
      <c r="L64" s="45"/>
      <c r="M64" s="45"/>
      <c r="N64" s="45"/>
      <c r="O64" s="45"/>
      <c r="P64" s="45"/>
      <c r="Q64" s="45"/>
      <c r="R64" s="45"/>
      <c r="S64" s="45"/>
      <c r="T64" s="45"/>
      <c r="U64" s="45"/>
      <c r="V64" s="45"/>
      <c r="W64" s="45"/>
      <c r="X64" s="45"/>
      <c r="Y64" s="45"/>
      <c r="Z64" s="45"/>
    </row>
    <row r="65">
      <c r="A65" s="46">
        <v>15.0</v>
      </c>
      <c r="B65" s="47" t="s">
        <v>1241</v>
      </c>
      <c r="C65" s="48" t="s">
        <v>912</v>
      </c>
      <c r="D65" s="47" t="s">
        <v>1056</v>
      </c>
      <c r="E65" s="49" t="s">
        <v>135</v>
      </c>
      <c r="F65" s="49" t="s">
        <v>2852</v>
      </c>
      <c r="G65" s="49" t="s">
        <v>2486</v>
      </c>
      <c r="H65" s="49" t="s">
        <v>2486</v>
      </c>
      <c r="I65" s="49" t="s">
        <v>2488</v>
      </c>
      <c r="J65" s="49" t="s">
        <v>1690</v>
      </c>
      <c r="K65" s="49" t="s">
        <v>2489</v>
      </c>
      <c r="L65" s="45"/>
      <c r="M65" s="45"/>
      <c r="N65" s="45"/>
      <c r="O65" s="45"/>
      <c r="P65" s="45"/>
      <c r="Q65" s="45"/>
      <c r="R65" s="45"/>
      <c r="S65" s="45"/>
      <c r="T65" s="45"/>
      <c r="U65" s="45"/>
      <c r="V65" s="45"/>
      <c r="W65" s="45"/>
      <c r="X65" s="45"/>
      <c r="Y65" s="45"/>
      <c r="Z65" s="45"/>
    </row>
    <row r="66">
      <c r="A66" s="46">
        <v>16.0</v>
      </c>
      <c r="B66" s="47" t="s">
        <v>1323</v>
      </c>
      <c r="C66" s="48" t="s">
        <v>912</v>
      </c>
      <c r="D66" s="47" t="s">
        <v>455</v>
      </c>
      <c r="E66" s="49" t="s">
        <v>100</v>
      </c>
      <c r="F66" s="49" t="s">
        <v>2853</v>
      </c>
      <c r="G66" s="49" t="s">
        <v>2486</v>
      </c>
      <c r="H66" s="49" t="s">
        <v>2486</v>
      </c>
      <c r="I66" s="49" t="s">
        <v>2488</v>
      </c>
      <c r="J66" s="49" t="s">
        <v>1718</v>
      </c>
      <c r="K66" s="49" t="s">
        <v>2489</v>
      </c>
      <c r="L66" s="45"/>
      <c r="M66" s="45"/>
      <c r="N66" s="45"/>
      <c r="O66" s="45"/>
      <c r="P66" s="45"/>
      <c r="Q66" s="45"/>
      <c r="R66" s="45"/>
      <c r="S66" s="45"/>
      <c r="T66" s="45"/>
      <c r="U66" s="45"/>
      <c r="V66" s="45"/>
      <c r="W66" s="45"/>
      <c r="X66" s="45"/>
      <c r="Y66" s="45"/>
      <c r="Z66" s="45"/>
    </row>
    <row r="67">
      <c r="A67" s="46">
        <v>16.0</v>
      </c>
      <c r="B67" s="47" t="s">
        <v>1323</v>
      </c>
      <c r="C67" s="48" t="s">
        <v>912</v>
      </c>
      <c r="D67" s="47" t="s">
        <v>1210</v>
      </c>
      <c r="E67" s="49" t="s">
        <v>100</v>
      </c>
      <c r="F67" s="49" t="s">
        <v>2854</v>
      </c>
      <c r="G67" s="49" t="s">
        <v>2486</v>
      </c>
      <c r="H67" s="49" t="s">
        <v>2486</v>
      </c>
      <c r="I67" s="49" t="s">
        <v>2488</v>
      </c>
      <c r="J67" s="49" t="s">
        <v>2117</v>
      </c>
      <c r="K67" s="49" t="s">
        <v>2489</v>
      </c>
      <c r="L67" s="45"/>
      <c r="M67" s="45"/>
      <c r="N67" s="45"/>
      <c r="O67" s="45"/>
      <c r="P67" s="45"/>
      <c r="Q67" s="45"/>
      <c r="R67" s="45"/>
      <c r="S67" s="45"/>
      <c r="T67" s="45"/>
      <c r="U67" s="45"/>
      <c r="V67" s="45"/>
      <c r="W67" s="45"/>
      <c r="X67" s="45"/>
      <c r="Y67" s="45"/>
      <c r="Z67" s="45"/>
    </row>
    <row r="68">
      <c r="A68" s="46">
        <v>16.0</v>
      </c>
      <c r="B68" s="47" t="s">
        <v>1323</v>
      </c>
      <c r="C68" s="48" t="s">
        <v>912</v>
      </c>
      <c r="D68" s="47" t="s">
        <v>1178</v>
      </c>
      <c r="E68" s="49" t="s">
        <v>100</v>
      </c>
      <c r="F68" s="49" t="s">
        <v>2857</v>
      </c>
      <c r="G68" s="49" t="s">
        <v>2486</v>
      </c>
      <c r="H68" s="49" t="s">
        <v>2486</v>
      </c>
      <c r="I68" s="49" t="s">
        <v>2488</v>
      </c>
      <c r="J68" s="49" t="s">
        <v>2121</v>
      </c>
      <c r="K68" s="49" t="s">
        <v>2545</v>
      </c>
      <c r="L68" s="45"/>
      <c r="M68" s="45"/>
      <c r="N68" s="45"/>
      <c r="O68" s="45"/>
      <c r="P68" s="45"/>
      <c r="Q68" s="45"/>
      <c r="R68" s="45"/>
      <c r="S68" s="45"/>
      <c r="T68" s="45"/>
      <c r="U68" s="45"/>
      <c r="V68" s="45"/>
      <c r="W68" s="45"/>
      <c r="X68" s="45"/>
      <c r="Y68" s="45"/>
      <c r="Z68" s="45"/>
    </row>
    <row r="69">
      <c r="A69" s="46">
        <v>16.0</v>
      </c>
      <c r="B69" s="47" t="s">
        <v>1323</v>
      </c>
      <c r="C69" s="48" t="s">
        <v>912</v>
      </c>
      <c r="D69" s="47" t="s">
        <v>1309</v>
      </c>
      <c r="E69" s="49" t="s">
        <v>100</v>
      </c>
      <c r="F69" s="49" t="s">
        <v>2862</v>
      </c>
      <c r="G69" s="49" t="s">
        <v>2486</v>
      </c>
      <c r="H69" s="49" t="s">
        <v>2486</v>
      </c>
      <c r="I69" s="49" t="s">
        <v>2488</v>
      </c>
      <c r="J69" s="49" t="s">
        <v>1718</v>
      </c>
      <c r="K69" s="49" t="s">
        <v>2489</v>
      </c>
      <c r="L69" s="45"/>
      <c r="M69" s="45"/>
      <c r="N69" s="45"/>
      <c r="O69" s="45"/>
      <c r="P69" s="45"/>
      <c r="Q69" s="45"/>
      <c r="R69" s="45"/>
      <c r="S69" s="45"/>
      <c r="T69" s="45"/>
      <c r="U69" s="45"/>
      <c r="V69" s="45"/>
      <c r="W69" s="45"/>
      <c r="X69" s="45"/>
      <c r="Y69" s="45"/>
      <c r="Z69" s="45"/>
    </row>
    <row r="70">
      <c r="A70" s="46">
        <v>16.0</v>
      </c>
      <c r="B70" s="47" t="s">
        <v>1323</v>
      </c>
      <c r="C70" s="48" t="s">
        <v>912</v>
      </c>
      <c r="D70" s="47" t="s">
        <v>965</v>
      </c>
      <c r="E70" s="49" t="s">
        <v>135</v>
      </c>
      <c r="F70" s="49" t="s">
        <v>2868</v>
      </c>
      <c r="G70" s="49" t="s">
        <v>2486</v>
      </c>
      <c r="H70" s="49" t="s">
        <v>2486</v>
      </c>
      <c r="I70" s="49" t="s">
        <v>2488</v>
      </c>
      <c r="J70" s="49" t="s">
        <v>2117</v>
      </c>
      <c r="K70" s="49" t="s">
        <v>2489</v>
      </c>
      <c r="L70" s="45"/>
      <c r="M70" s="45"/>
      <c r="N70" s="45"/>
      <c r="O70" s="45"/>
      <c r="P70" s="45"/>
      <c r="Q70" s="45"/>
      <c r="R70" s="45"/>
      <c r="S70" s="45"/>
      <c r="T70" s="45"/>
      <c r="U70" s="45"/>
      <c r="V70" s="45"/>
      <c r="W70" s="45"/>
      <c r="X70" s="45"/>
      <c r="Y70" s="45"/>
      <c r="Z70" s="45"/>
    </row>
    <row r="71">
      <c r="A71" s="46">
        <v>17.0</v>
      </c>
      <c r="B71" s="47" t="s">
        <v>1188</v>
      </c>
      <c r="C71" s="48" t="s">
        <v>912</v>
      </c>
      <c r="D71" s="47" t="s">
        <v>968</v>
      </c>
      <c r="E71" s="49" t="s">
        <v>100</v>
      </c>
      <c r="F71" s="49" t="s">
        <v>2877</v>
      </c>
      <c r="G71" s="49" t="s">
        <v>2486</v>
      </c>
      <c r="H71" s="49" t="s">
        <v>2486</v>
      </c>
      <c r="I71" s="49" t="s">
        <v>2488</v>
      </c>
      <c r="J71" s="49" t="s">
        <v>1749</v>
      </c>
      <c r="K71" s="49" t="s">
        <v>2489</v>
      </c>
      <c r="L71" s="45"/>
      <c r="M71" s="45"/>
      <c r="N71" s="45"/>
      <c r="O71" s="45"/>
      <c r="P71" s="45"/>
      <c r="Q71" s="45"/>
      <c r="R71" s="45"/>
      <c r="S71" s="45"/>
      <c r="T71" s="45"/>
      <c r="U71" s="45"/>
      <c r="V71" s="45"/>
      <c r="W71" s="45"/>
      <c r="X71" s="45"/>
      <c r="Y71" s="45"/>
      <c r="Z71" s="45"/>
    </row>
    <row r="72">
      <c r="A72" s="46">
        <v>17.0</v>
      </c>
      <c r="B72" s="47" t="s">
        <v>1188</v>
      </c>
      <c r="C72" s="48" t="s">
        <v>912</v>
      </c>
      <c r="D72" s="47" t="s">
        <v>1059</v>
      </c>
      <c r="E72" s="49" t="s">
        <v>100</v>
      </c>
      <c r="F72" s="49" t="s">
        <v>2881</v>
      </c>
      <c r="G72" s="49" t="s">
        <v>2486</v>
      </c>
      <c r="H72" s="49" t="s">
        <v>2486</v>
      </c>
      <c r="I72" s="49" t="s">
        <v>2488</v>
      </c>
      <c r="J72" s="49" t="s">
        <v>2181</v>
      </c>
      <c r="K72" s="49" t="s">
        <v>2489</v>
      </c>
      <c r="L72" s="45"/>
      <c r="M72" s="45"/>
      <c r="N72" s="45"/>
      <c r="O72" s="45"/>
      <c r="P72" s="45"/>
      <c r="Q72" s="45"/>
      <c r="R72" s="45"/>
      <c r="S72" s="45"/>
      <c r="T72" s="45"/>
      <c r="U72" s="45"/>
      <c r="V72" s="45"/>
      <c r="W72" s="45"/>
      <c r="X72" s="45"/>
      <c r="Y72" s="45"/>
      <c r="Z72" s="45"/>
    </row>
    <row r="73">
      <c r="A73" s="46">
        <v>17.0</v>
      </c>
      <c r="B73" s="47" t="s">
        <v>1188</v>
      </c>
      <c r="C73" s="48" t="s">
        <v>912</v>
      </c>
      <c r="D73" s="47" t="s">
        <v>858</v>
      </c>
      <c r="E73" s="49" t="s">
        <v>135</v>
      </c>
      <c r="F73" s="49" t="s">
        <v>2883</v>
      </c>
      <c r="G73" s="49" t="s">
        <v>2486</v>
      </c>
      <c r="H73" s="49" t="s">
        <v>2486</v>
      </c>
      <c r="I73" s="49" t="s">
        <v>2488</v>
      </c>
      <c r="J73" s="49" t="s">
        <v>1749</v>
      </c>
      <c r="K73" s="49" t="s">
        <v>2489</v>
      </c>
      <c r="L73" s="45"/>
      <c r="M73" s="45"/>
      <c r="N73" s="45"/>
      <c r="O73" s="45"/>
      <c r="P73" s="45"/>
      <c r="Q73" s="45"/>
      <c r="R73" s="45"/>
      <c r="S73" s="45"/>
      <c r="T73" s="45"/>
      <c r="U73" s="45"/>
      <c r="V73" s="45"/>
      <c r="W73" s="45"/>
      <c r="X73" s="45"/>
      <c r="Y73" s="45"/>
      <c r="Z73" s="45"/>
    </row>
    <row r="74">
      <c r="A74" s="46">
        <v>18.0</v>
      </c>
      <c r="B74" s="47" t="s">
        <v>1190</v>
      </c>
      <c r="C74" s="48" t="s">
        <v>912</v>
      </c>
      <c r="D74" s="47" t="s">
        <v>1074</v>
      </c>
      <c r="E74" s="49" t="s">
        <v>100</v>
      </c>
      <c r="F74" s="49" t="s">
        <v>2886</v>
      </c>
      <c r="G74" s="49" t="s">
        <v>2486</v>
      </c>
      <c r="H74" s="49" t="s">
        <v>2486</v>
      </c>
      <c r="I74" s="49" t="s">
        <v>2488</v>
      </c>
      <c r="J74" s="49" t="s">
        <v>1774</v>
      </c>
      <c r="K74" s="49" t="s">
        <v>2489</v>
      </c>
      <c r="L74" s="45"/>
      <c r="M74" s="45"/>
      <c r="N74" s="45"/>
      <c r="O74" s="45"/>
      <c r="P74" s="45"/>
      <c r="Q74" s="45"/>
      <c r="R74" s="45"/>
      <c r="S74" s="45"/>
      <c r="T74" s="45"/>
      <c r="U74" s="45"/>
      <c r="V74" s="45"/>
      <c r="W74" s="45"/>
      <c r="X74" s="45"/>
      <c r="Y74" s="45"/>
      <c r="Z74" s="45"/>
    </row>
    <row r="75">
      <c r="A75" s="46">
        <v>18.0</v>
      </c>
      <c r="B75" s="47" t="s">
        <v>1190</v>
      </c>
      <c r="C75" s="48" t="s">
        <v>912</v>
      </c>
      <c r="D75" s="47" t="s">
        <v>1016</v>
      </c>
      <c r="E75" s="49" t="s">
        <v>100</v>
      </c>
      <c r="F75" s="49" t="s">
        <v>2893</v>
      </c>
      <c r="G75" s="49" t="s">
        <v>2486</v>
      </c>
      <c r="H75" s="49" t="s">
        <v>2486</v>
      </c>
      <c r="I75" s="49" t="s">
        <v>2488</v>
      </c>
      <c r="J75" s="49" t="s">
        <v>2245</v>
      </c>
      <c r="K75" s="49" t="s">
        <v>2489</v>
      </c>
      <c r="L75" s="45"/>
      <c r="M75" s="45"/>
      <c r="N75" s="45"/>
      <c r="O75" s="45"/>
      <c r="P75" s="45"/>
      <c r="Q75" s="45"/>
      <c r="R75" s="45"/>
      <c r="S75" s="45"/>
      <c r="T75" s="45"/>
      <c r="U75" s="45"/>
      <c r="V75" s="45"/>
      <c r="W75" s="45"/>
      <c r="X75" s="45"/>
      <c r="Y75" s="45"/>
      <c r="Z75" s="45"/>
    </row>
    <row r="76">
      <c r="A76" s="46">
        <v>18.0</v>
      </c>
      <c r="B76" s="47" t="s">
        <v>1190</v>
      </c>
      <c r="C76" s="48" t="s">
        <v>912</v>
      </c>
      <c r="D76" s="47" t="s">
        <v>1077</v>
      </c>
      <c r="E76" s="49" t="s">
        <v>135</v>
      </c>
      <c r="F76" s="49" t="s">
        <v>2901</v>
      </c>
      <c r="G76" s="49" t="s">
        <v>2486</v>
      </c>
      <c r="H76" s="49" t="s">
        <v>2486</v>
      </c>
      <c r="I76" s="49" t="s">
        <v>2488</v>
      </c>
      <c r="J76" s="49" t="s">
        <v>1774</v>
      </c>
      <c r="K76" s="49" t="s">
        <v>2545</v>
      </c>
      <c r="L76" s="45"/>
      <c r="M76" s="45"/>
      <c r="N76" s="45"/>
      <c r="O76" s="45"/>
      <c r="P76" s="45"/>
      <c r="Q76" s="45"/>
      <c r="R76" s="45"/>
      <c r="S76" s="45"/>
      <c r="T76" s="45"/>
      <c r="U76" s="45"/>
      <c r="V76" s="45"/>
      <c r="W76" s="45"/>
      <c r="X76" s="45"/>
      <c r="Y76" s="45"/>
      <c r="Z76" s="45"/>
    </row>
    <row r="77">
      <c r="A77" s="46">
        <v>19.0</v>
      </c>
      <c r="B77" s="47" t="s">
        <v>86</v>
      </c>
      <c r="C77" s="48" t="s">
        <v>912</v>
      </c>
      <c r="D77" s="47" t="s">
        <v>849</v>
      </c>
      <c r="E77" s="49" t="s">
        <v>100</v>
      </c>
      <c r="F77" s="49" t="s">
        <v>2908</v>
      </c>
      <c r="G77" s="49" t="s">
        <v>2486</v>
      </c>
      <c r="H77" s="49" t="s">
        <v>2486</v>
      </c>
      <c r="I77" s="49" t="s">
        <v>2488</v>
      </c>
      <c r="J77" s="49" t="s">
        <v>1799</v>
      </c>
      <c r="K77" s="49" t="s">
        <v>2489</v>
      </c>
      <c r="L77" s="45"/>
      <c r="M77" s="45"/>
      <c r="N77" s="45"/>
      <c r="O77" s="45"/>
      <c r="P77" s="45"/>
      <c r="Q77" s="45"/>
      <c r="R77" s="45"/>
      <c r="S77" s="45"/>
      <c r="T77" s="45"/>
      <c r="U77" s="45"/>
      <c r="V77" s="45"/>
      <c r="W77" s="45"/>
      <c r="X77" s="45"/>
      <c r="Y77" s="45"/>
      <c r="Z77" s="45"/>
    </row>
    <row r="78">
      <c r="A78" s="46">
        <v>19.0</v>
      </c>
      <c r="B78" s="47" t="s">
        <v>86</v>
      </c>
      <c r="C78" s="48" t="s">
        <v>912</v>
      </c>
      <c r="D78" s="47" t="s">
        <v>941</v>
      </c>
      <c r="E78" s="49" t="s">
        <v>100</v>
      </c>
      <c r="F78" s="49" t="s">
        <v>2913</v>
      </c>
      <c r="G78" s="49" t="s">
        <v>2486</v>
      </c>
      <c r="H78" s="49" t="s">
        <v>2486</v>
      </c>
      <c r="I78" s="49" t="s">
        <v>2488</v>
      </c>
      <c r="J78" s="49" t="s">
        <v>2296</v>
      </c>
      <c r="K78" s="49" t="s">
        <v>2489</v>
      </c>
      <c r="L78" s="45"/>
      <c r="M78" s="45"/>
      <c r="N78" s="45"/>
      <c r="O78" s="45"/>
      <c r="P78" s="45"/>
      <c r="Q78" s="45"/>
      <c r="R78" s="45"/>
      <c r="S78" s="45"/>
      <c r="T78" s="45"/>
      <c r="U78" s="45"/>
      <c r="V78" s="45"/>
      <c r="W78" s="45"/>
      <c r="X78" s="45"/>
      <c r="Y78" s="45"/>
      <c r="Z78" s="45"/>
    </row>
    <row r="79">
      <c r="A79" s="46">
        <v>19.0</v>
      </c>
      <c r="B79" s="47" t="s">
        <v>86</v>
      </c>
      <c r="C79" s="48" t="s">
        <v>912</v>
      </c>
      <c r="D79" s="47" t="s">
        <v>967</v>
      </c>
      <c r="E79" s="49" t="s">
        <v>135</v>
      </c>
      <c r="F79" s="49" t="s">
        <v>2917</v>
      </c>
      <c r="G79" s="49" t="s">
        <v>2486</v>
      </c>
      <c r="H79" s="49" t="s">
        <v>2486</v>
      </c>
      <c r="I79" s="49" t="s">
        <v>2488</v>
      </c>
      <c r="J79" s="49" t="s">
        <v>1799</v>
      </c>
      <c r="K79" s="49" t="s">
        <v>2489</v>
      </c>
      <c r="L79" s="45"/>
      <c r="M79" s="45"/>
      <c r="N79" s="45"/>
      <c r="O79" s="45"/>
      <c r="P79" s="45"/>
      <c r="Q79" s="45"/>
      <c r="R79" s="45"/>
      <c r="S79" s="45"/>
      <c r="T79" s="45"/>
      <c r="U79" s="45"/>
      <c r="V79" s="45"/>
      <c r="W79" s="45"/>
      <c r="X79" s="45"/>
      <c r="Y79" s="45"/>
      <c r="Z79" s="45"/>
    </row>
    <row r="80">
      <c r="A80" s="46">
        <v>19.0</v>
      </c>
      <c r="B80" s="47" t="s">
        <v>86</v>
      </c>
      <c r="C80" s="48" t="s">
        <v>912</v>
      </c>
      <c r="D80" s="47" t="s">
        <v>496</v>
      </c>
      <c r="E80" s="49" t="s">
        <v>135</v>
      </c>
      <c r="F80" s="49" t="s">
        <v>2801</v>
      </c>
      <c r="G80" s="49" t="s">
        <v>2486</v>
      </c>
      <c r="H80" s="49" t="s">
        <v>2486</v>
      </c>
      <c r="I80" s="49" t="s">
        <v>2488</v>
      </c>
      <c r="J80" s="49" t="s">
        <v>2296</v>
      </c>
      <c r="K80" s="49" t="s">
        <v>2489</v>
      </c>
      <c r="L80" s="45"/>
      <c r="M80" s="45"/>
      <c r="N80" s="45"/>
      <c r="O80" s="45"/>
      <c r="P80" s="45"/>
      <c r="Q80" s="45"/>
      <c r="R80" s="45"/>
      <c r="S80" s="45"/>
      <c r="T80" s="45"/>
      <c r="U80" s="45"/>
      <c r="V80" s="45"/>
      <c r="W80" s="45"/>
      <c r="X80" s="45"/>
      <c r="Y80" s="45"/>
      <c r="Z80" s="45"/>
    </row>
    <row r="81">
      <c r="A81" s="46">
        <v>19.0</v>
      </c>
      <c r="B81" s="47" t="s">
        <v>86</v>
      </c>
      <c r="C81" s="48" t="s">
        <v>912</v>
      </c>
      <c r="D81" s="47" t="s">
        <v>1367</v>
      </c>
      <c r="E81" s="49" t="s">
        <v>135</v>
      </c>
      <c r="F81" s="49" t="s">
        <v>2926</v>
      </c>
      <c r="G81" s="49" t="s">
        <v>2486</v>
      </c>
      <c r="H81" s="49" t="s">
        <v>2486</v>
      </c>
      <c r="I81" s="49" t="s">
        <v>2488</v>
      </c>
      <c r="J81" s="49" t="s">
        <v>1799</v>
      </c>
      <c r="K81" s="49" t="s">
        <v>2545</v>
      </c>
      <c r="L81" s="45"/>
      <c r="M81" s="45"/>
      <c r="N81" s="45"/>
      <c r="O81" s="45"/>
      <c r="P81" s="45"/>
      <c r="Q81" s="45"/>
      <c r="R81" s="45"/>
      <c r="S81" s="45"/>
      <c r="T81" s="45"/>
      <c r="U81" s="45"/>
      <c r="V81" s="45"/>
      <c r="W81" s="45"/>
      <c r="X81" s="45"/>
      <c r="Y81" s="45"/>
      <c r="Z81" s="45"/>
    </row>
    <row r="82">
      <c r="A82" s="46">
        <v>20.0</v>
      </c>
      <c r="B82" s="47" t="s">
        <v>1347</v>
      </c>
      <c r="C82" s="48" t="s">
        <v>912</v>
      </c>
      <c r="D82" s="47" t="s">
        <v>1045</v>
      </c>
      <c r="E82" s="49" t="s">
        <v>100</v>
      </c>
      <c r="F82" s="49" t="s">
        <v>2933</v>
      </c>
      <c r="G82" s="49" t="s">
        <v>2486</v>
      </c>
      <c r="H82" s="49" t="s">
        <v>2486</v>
      </c>
      <c r="I82" s="49" t="s">
        <v>2488</v>
      </c>
      <c r="J82" s="49" t="s">
        <v>1829</v>
      </c>
      <c r="K82" s="49" t="s">
        <v>2489</v>
      </c>
      <c r="L82" s="45"/>
      <c r="M82" s="45"/>
      <c r="N82" s="45"/>
      <c r="O82" s="45"/>
      <c r="P82" s="45"/>
      <c r="Q82" s="45"/>
      <c r="R82" s="45"/>
      <c r="S82" s="45"/>
      <c r="T82" s="45"/>
      <c r="U82" s="45"/>
      <c r="V82" s="45"/>
      <c r="W82" s="45"/>
      <c r="X82" s="45"/>
      <c r="Y82" s="45"/>
      <c r="Z82" s="45"/>
    </row>
    <row r="83">
      <c r="A83" s="46">
        <v>20.0</v>
      </c>
      <c r="B83" s="47" t="s">
        <v>1347</v>
      </c>
      <c r="C83" s="48" t="s">
        <v>912</v>
      </c>
      <c r="D83" s="47" t="s">
        <v>1025</v>
      </c>
      <c r="E83" s="49" t="s">
        <v>135</v>
      </c>
      <c r="F83" s="49" t="s">
        <v>2940</v>
      </c>
      <c r="G83" s="49" t="s">
        <v>2486</v>
      </c>
      <c r="H83" s="49" t="s">
        <v>2486</v>
      </c>
      <c r="I83" s="49" t="s">
        <v>2488</v>
      </c>
      <c r="J83" s="49" t="s">
        <v>2348</v>
      </c>
      <c r="K83" s="49" t="s">
        <v>2489</v>
      </c>
      <c r="L83" s="45"/>
      <c r="M83" s="45"/>
      <c r="N83" s="45"/>
      <c r="O83" s="45"/>
      <c r="P83" s="45"/>
      <c r="Q83" s="45"/>
      <c r="R83" s="45"/>
      <c r="S83" s="45"/>
      <c r="T83" s="45"/>
      <c r="U83" s="45"/>
      <c r="V83" s="45"/>
      <c r="W83" s="45"/>
      <c r="X83" s="45"/>
      <c r="Y83" s="45"/>
      <c r="Z83" s="45"/>
    </row>
    <row r="84">
      <c r="A84" s="46">
        <v>20.0</v>
      </c>
      <c r="B84" s="47" t="s">
        <v>1347</v>
      </c>
      <c r="C84" s="48" t="s">
        <v>912</v>
      </c>
      <c r="D84" s="47" t="s">
        <v>695</v>
      </c>
      <c r="E84" s="49" t="s">
        <v>135</v>
      </c>
      <c r="F84" s="49" t="s">
        <v>2949</v>
      </c>
      <c r="G84" s="49" t="s">
        <v>2486</v>
      </c>
      <c r="H84" s="49" t="s">
        <v>2486</v>
      </c>
      <c r="I84" s="49" t="s">
        <v>2488</v>
      </c>
      <c r="J84" s="49" t="s">
        <v>1829</v>
      </c>
      <c r="K84" s="49" t="s">
        <v>2489</v>
      </c>
      <c r="L84" s="45"/>
      <c r="M84" s="45"/>
      <c r="N84" s="45"/>
      <c r="O84" s="45"/>
      <c r="P84" s="45"/>
      <c r="Q84" s="45"/>
      <c r="R84" s="45"/>
      <c r="S84" s="45"/>
      <c r="T84" s="45"/>
      <c r="U84" s="45"/>
      <c r="V84" s="45"/>
      <c r="W84" s="45"/>
      <c r="X84" s="45"/>
      <c r="Y84" s="45"/>
      <c r="Z84" s="45"/>
    </row>
    <row r="85">
      <c r="A85" s="46">
        <v>21.0</v>
      </c>
      <c r="B85" s="47" t="s">
        <v>1304</v>
      </c>
      <c r="C85" s="48" t="s">
        <v>912</v>
      </c>
      <c r="D85" s="47" t="s">
        <v>1193</v>
      </c>
      <c r="E85" s="49" t="s">
        <v>100</v>
      </c>
      <c r="F85" s="49" t="s">
        <v>2963</v>
      </c>
      <c r="G85" s="49" t="s">
        <v>2486</v>
      </c>
      <c r="H85" s="49" t="s">
        <v>2486</v>
      </c>
      <c r="I85" s="49" t="s">
        <v>2488</v>
      </c>
      <c r="J85" s="49" t="s">
        <v>1858</v>
      </c>
      <c r="K85" s="49" t="s">
        <v>2489</v>
      </c>
      <c r="L85" s="45"/>
      <c r="M85" s="45"/>
      <c r="N85" s="45"/>
      <c r="O85" s="45"/>
      <c r="P85" s="45"/>
      <c r="Q85" s="45"/>
      <c r="R85" s="45"/>
      <c r="S85" s="45"/>
      <c r="T85" s="45"/>
      <c r="U85" s="45"/>
      <c r="V85" s="45"/>
      <c r="W85" s="45"/>
      <c r="X85" s="45"/>
      <c r="Y85" s="45"/>
      <c r="Z85" s="45"/>
    </row>
    <row r="86">
      <c r="A86" s="46">
        <v>21.0</v>
      </c>
      <c r="B86" s="47" t="s">
        <v>1304</v>
      </c>
      <c r="C86" s="48" t="s">
        <v>912</v>
      </c>
      <c r="D86" s="47" t="s">
        <v>1184</v>
      </c>
      <c r="E86" s="49" t="s">
        <v>100</v>
      </c>
      <c r="F86" s="49" t="s">
        <v>2969</v>
      </c>
      <c r="G86" s="49" t="s">
        <v>2486</v>
      </c>
      <c r="H86" s="49" t="s">
        <v>2486</v>
      </c>
      <c r="I86" s="49" t="s">
        <v>2488</v>
      </c>
      <c r="J86" s="49" t="s">
        <v>2408</v>
      </c>
      <c r="K86" s="49" t="s">
        <v>2489</v>
      </c>
      <c r="L86" s="45"/>
      <c r="M86" s="45"/>
      <c r="N86" s="45"/>
      <c r="O86" s="45"/>
      <c r="P86" s="45"/>
      <c r="Q86" s="45"/>
      <c r="R86" s="45"/>
      <c r="S86" s="45"/>
      <c r="T86" s="45"/>
      <c r="U86" s="45"/>
      <c r="V86" s="45"/>
      <c r="W86" s="45"/>
      <c r="X86" s="45"/>
      <c r="Y86" s="45"/>
      <c r="Z86" s="45"/>
    </row>
    <row r="87">
      <c r="A87" s="46">
        <v>21.0</v>
      </c>
      <c r="B87" s="47" t="s">
        <v>1304</v>
      </c>
      <c r="C87" s="48" t="s">
        <v>912</v>
      </c>
      <c r="D87" s="47" t="s">
        <v>956</v>
      </c>
      <c r="E87" s="49" t="s">
        <v>100</v>
      </c>
      <c r="F87" s="49" t="s">
        <v>2974</v>
      </c>
      <c r="G87" s="49" t="s">
        <v>2486</v>
      </c>
      <c r="H87" s="49" t="s">
        <v>2486</v>
      </c>
      <c r="I87" s="49" t="s">
        <v>2488</v>
      </c>
      <c r="J87" s="49" t="s">
        <v>1858</v>
      </c>
      <c r="K87" s="49" t="s">
        <v>2489</v>
      </c>
      <c r="L87" s="45"/>
      <c r="M87" s="45"/>
      <c r="N87" s="45"/>
      <c r="O87" s="45"/>
      <c r="P87" s="45"/>
      <c r="Q87" s="45"/>
      <c r="R87" s="45"/>
      <c r="S87" s="45"/>
      <c r="T87" s="45"/>
      <c r="U87" s="45"/>
      <c r="V87" s="45"/>
      <c r="W87" s="45"/>
      <c r="X87" s="45"/>
      <c r="Y87" s="45"/>
      <c r="Z87" s="45"/>
    </row>
    <row r="88">
      <c r="A88" s="46">
        <v>21.0</v>
      </c>
      <c r="B88" s="47" t="s">
        <v>1304</v>
      </c>
      <c r="C88" s="48" t="s">
        <v>912</v>
      </c>
      <c r="D88" s="47" t="s">
        <v>851</v>
      </c>
      <c r="E88" s="49" t="s">
        <v>100</v>
      </c>
      <c r="F88" s="49" t="s">
        <v>2978</v>
      </c>
      <c r="G88" s="49" t="s">
        <v>2486</v>
      </c>
      <c r="H88" s="49" t="s">
        <v>2486</v>
      </c>
      <c r="I88" s="49" t="s">
        <v>2488</v>
      </c>
      <c r="J88" s="49" t="s">
        <v>2408</v>
      </c>
      <c r="K88" s="49" t="s">
        <v>2489</v>
      </c>
      <c r="L88" s="45"/>
      <c r="M88" s="45"/>
      <c r="N88" s="45"/>
      <c r="O88" s="45"/>
      <c r="P88" s="45"/>
      <c r="Q88" s="45"/>
      <c r="R88" s="45"/>
      <c r="S88" s="45"/>
      <c r="T88" s="45"/>
      <c r="U88" s="45"/>
      <c r="V88" s="45"/>
      <c r="W88" s="45"/>
      <c r="X88" s="45"/>
      <c r="Y88" s="45"/>
      <c r="Z88" s="45"/>
    </row>
    <row r="89">
      <c r="A89" s="46">
        <v>21.0</v>
      </c>
      <c r="B89" s="47" t="s">
        <v>1304</v>
      </c>
      <c r="C89" s="48" t="s">
        <v>912</v>
      </c>
      <c r="D89" s="47" t="s">
        <v>1325</v>
      </c>
      <c r="E89" s="49" t="s">
        <v>135</v>
      </c>
      <c r="F89" s="49" t="s">
        <v>2982</v>
      </c>
      <c r="G89" s="49" t="s">
        <v>2486</v>
      </c>
      <c r="H89" s="49" t="s">
        <v>2486</v>
      </c>
      <c r="I89" s="49" t="s">
        <v>2488</v>
      </c>
      <c r="J89" s="49" t="s">
        <v>1858</v>
      </c>
      <c r="K89" s="49" t="s">
        <v>2489</v>
      </c>
      <c r="L89" s="45"/>
      <c r="M89" s="45"/>
      <c r="N89" s="45"/>
      <c r="O89" s="45"/>
      <c r="P89" s="45"/>
      <c r="Q89" s="45"/>
      <c r="R89" s="45"/>
      <c r="S89" s="45"/>
      <c r="T89" s="45"/>
      <c r="U89" s="45"/>
      <c r="V89" s="45"/>
      <c r="W89" s="45"/>
      <c r="X89" s="45"/>
      <c r="Y89" s="45"/>
      <c r="Z89" s="45"/>
    </row>
    <row r="90">
      <c r="A90" s="46">
        <v>22.0</v>
      </c>
      <c r="B90" s="47" t="s">
        <v>403</v>
      </c>
      <c r="C90" s="48" t="s">
        <v>912</v>
      </c>
      <c r="D90" s="47" t="s">
        <v>225</v>
      </c>
      <c r="E90" s="49" t="s">
        <v>100</v>
      </c>
      <c r="F90" s="49" t="s">
        <v>2990</v>
      </c>
      <c r="G90" s="49" t="s">
        <v>2486</v>
      </c>
      <c r="H90" s="49" t="s">
        <v>2486</v>
      </c>
      <c r="I90" s="49" t="s">
        <v>2488</v>
      </c>
      <c r="J90" s="49" t="s">
        <v>1869</v>
      </c>
      <c r="K90" s="49" t="s">
        <v>2545</v>
      </c>
      <c r="L90" s="45"/>
      <c r="M90" s="45"/>
      <c r="N90" s="45"/>
      <c r="O90" s="45"/>
      <c r="P90" s="45"/>
      <c r="Q90" s="45"/>
      <c r="R90" s="45"/>
      <c r="S90" s="45"/>
      <c r="T90" s="45"/>
      <c r="U90" s="45"/>
      <c r="V90" s="45"/>
      <c r="W90" s="45"/>
      <c r="X90" s="45"/>
      <c r="Y90" s="45"/>
      <c r="Z90" s="45"/>
    </row>
    <row r="91">
      <c r="A91" s="46">
        <v>22.0</v>
      </c>
      <c r="B91" s="47" t="s">
        <v>403</v>
      </c>
      <c r="C91" s="48" t="s">
        <v>912</v>
      </c>
      <c r="D91" s="47" t="s">
        <v>397</v>
      </c>
      <c r="E91" s="49" t="s">
        <v>100</v>
      </c>
      <c r="F91" s="49" t="s">
        <v>2993</v>
      </c>
      <c r="G91" s="49" t="s">
        <v>2486</v>
      </c>
      <c r="H91" s="49" t="s">
        <v>2486</v>
      </c>
      <c r="I91" s="49" t="s">
        <v>2488</v>
      </c>
      <c r="J91" s="49" t="s">
        <v>2459</v>
      </c>
      <c r="K91" s="49" t="s">
        <v>2680</v>
      </c>
      <c r="L91" s="45"/>
      <c r="M91" s="45"/>
      <c r="N91" s="45"/>
      <c r="O91" s="45"/>
      <c r="P91" s="45"/>
      <c r="Q91" s="45"/>
      <c r="R91" s="45"/>
      <c r="S91" s="45"/>
      <c r="T91" s="45"/>
      <c r="U91" s="45"/>
      <c r="V91" s="45"/>
      <c r="W91" s="45"/>
      <c r="X91" s="45"/>
      <c r="Y91" s="45"/>
      <c r="Z91" s="45"/>
    </row>
    <row r="92">
      <c r="A92" s="46">
        <v>22.0</v>
      </c>
      <c r="B92" s="47" t="s">
        <v>403</v>
      </c>
      <c r="C92" s="48" t="s">
        <v>912</v>
      </c>
      <c r="D92" s="47" t="s">
        <v>617</v>
      </c>
      <c r="E92" s="49" t="s">
        <v>135</v>
      </c>
      <c r="F92" s="49" t="s">
        <v>2996</v>
      </c>
      <c r="G92" s="49" t="s">
        <v>2486</v>
      </c>
      <c r="H92" s="49" t="s">
        <v>2486</v>
      </c>
      <c r="I92" s="49" t="s">
        <v>2488</v>
      </c>
      <c r="J92" s="49" t="s">
        <v>2454</v>
      </c>
      <c r="K92" s="49" t="s">
        <v>2514</v>
      </c>
      <c r="L92" s="45"/>
      <c r="M92" s="45"/>
      <c r="N92" s="45"/>
      <c r="O92" s="45"/>
      <c r="P92" s="45"/>
      <c r="Q92" s="45"/>
      <c r="R92" s="45"/>
      <c r="S92" s="45"/>
      <c r="T92" s="45"/>
      <c r="U92" s="45"/>
      <c r="V92" s="45"/>
      <c r="W92" s="45"/>
      <c r="X92" s="45"/>
      <c r="Y92" s="45"/>
      <c r="Z92" s="45"/>
    </row>
    <row r="93">
      <c r="A93" s="46">
        <v>22.0</v>
      </c>
      <c r="B93" s="47" t="s">
        <v>403</v>
      </c>
      <c r="C93" s="48" t="s">
        <v>912</v>
      </c>
      <c r="D93" s="47" t="s">
        <v>401</v>
      </c>
      <c r="E93" s="49" t="s">
        <v>135</v>
      </c>
      <c r="F93" s="49" t="s">
        <v>3001</v>
      </c>
      <c r="G93" s="49" t="s">
        <v>2486</v>
      </c>
      <c r="H93" s="49" t="s">
        <v>2486</v>
      </c>
      <c r="I93" s="49" t="s">
        <v>2488</v>
      </c>
      <c r="J93" s="49" t="s">
        <v>1869</v>
      </c>
      <c r="K93" s="49" t="s">
        <v>2532</v>
      </c>
      <c r="L93" s="45"/>
      <c r="M93" s="45"/>
      <c r="N93" s="45"/>
      <c r="O93" s="45"/>
      <c r="P93" s="45"/>
      <c r="Q93" s="45"/>
      <c r="R93" s="45"/>
      <c r="S93" s="45"/>
      <c r="T93" s="45"/>
      <c r="U93" s="45"/>
      <c r="V93" s="45"/>
      <c r="W93" s="45"/>
      <c r="X93" s="45"/>
      <c r="Y93" s="45"/>
      <c r="Z93" s="45"/>
    </row>
    <row r="94">
      <c r="A94" s="46">
        <v>22.0</v>
      </c>
      <c r="B94" s="47" t="s">
        <v>403</v>
      </c>
      <c r="C94" s="48" t="s">
        <v>912</v>
      </c>
      <c r="D94" s="47" t="s">
        <v>634</v>
      </c>
      <c r="E94" s="49" t="s">
        <v>135</v>
      </c>
      <c r="F94" s="49" t="s">
        <v>3003</v>
      </c>
      <c r="G94" s="49" t="s">
        <v>2486</v>
      </c>
      <c r="H94" s="49" t="s">
        <v>2486</v>
      </c>
      <c r="I94" s="49" t="s">
        <v>2488</v>
      </c>
      <c r="J94" s="49" t="s">
        <v>2459</v>
      </c>
      <c r="K94" s="49" t="s">
        <v>2532</v>
      </c>
      <c r="L94" s="45"/>
      <c r="M94" s="45"/>
      <c r="N94" s="45"/>
      <c r="O94" s="45"/>
      <c r="P94" s="45"/>
      <c r="Q94" s="45"/>
      <c r="R94" s="45"/>
      <c r="S94" s="45"/>
      <c r="T94" s="45"/>
      <c r="U94" s="45"/>
      <c r="V94" s="45"/>
      <c r="W94" s="45"/>
      <c r="X94" s="45"/>
      <c r="Y94" s="45"/>
      <c r="Z94" s="45"/>
    </row>
    <row r="95">
      <c r="A95" s="46">
        <v>23.0</v>
      </c>
      <c r="B95" s="47" t="s">
        <v>1359</v>
      </c>
      <c r="C95" s="48" t="s">
        <v>912</v>
      </c>
      <c r="D95" s="47" t="s">
        <v>1053</v>
      </c>
      <c r="E95" s="49" t="s">
        <v>100</v>
      </c>
      <c r="F95" s="49" t="s">
        <v>3014</v>
      </c>
      <c r="G95" s="49" t="s">
        <v>2486</v>
      </c>
      <c r="H95" s="49" t="s">
        <v>2486</v>
      </c>
      <c r="I95" s="49" t="s">
        <v>2488</v>
      </c>
      <c r="J95" s="49" t="s">
        <v>1885</v>
      </c>
      <c r="K95" s="49" t="s">
        <v>2489</v>
      </c>
      <c r="L95" s="45"/>
      <c r="M95" s="45"/>
      <c r="N95" s="45"/>
      <c r="O95" s="45"/>
      <c r="P95" s="45"/>
      <c r="Q95" s="45"/>
      <c r="R95" s="45"/>
      <c r="S95" s="45"/>
      <c r="T95" s="45"/>
      <c r="U95" s="45"/>
      <c r="V95" s="45"/>
      <c r="W95" s="45"/>
      <c r="X95" s="45"/>
      <c r="Y95" s="45"/>
      <c r="Z95" s="45"/>
    </row>
    <row r="96">
      <c r="A96" s="46">
        <v>23.0</v>
      </c>
      <c r="B96" s="47" t="s">
        <v>1359</v>
      </c>
      <c r="C96" s="48" t="s">
        <v>912</v>
      </c>
      <c r="D96" s="47" t="s">
        <v>3019</v>
      </c>
      <c r="E96" s="49" t="s">
        <v>100</v>
      </c>
      <c r="F96" s="49" t="s">
        <v>3027</v>
      </c>
      <c r="G96" s="49" t="s">
        <v>2486</v>
      </c>
      <c r="H96" s="49" t="s">
        <v>2486</v>
      </c>
      <c r="I96" s="49" t="s">
        <v>2488</v>
      </c>
      <c r="J96" s="49" t="s">
        <v>2500</v>
      </c>
      <c r="K96" s="49" t="s">
        <v>2489</v>
      </c>
      <c r="L96" s="45"/>
      <c r="M96" s="45"/>
      <c r="N96" s="45"/>
      <c r="O96" s="45"/>
      <c r="P96" s="45"/>
      <c r="Q96" s="45"/>
      <c r="R96" s="45"/>
      <c r="S96" s="45"/>
      <c r="T96" s="45"/>
      <c r="U96" s="45"/>
      <c r="V96" s="45"/>
      <c r="W96" s="45"/>
      <c r="X96" s="45"/>
      <c r="Y96" s="45"/>
      <c r="Z96" s="45"/>
    </row>
    <row r="97">
      <c r="A97" s="46">
        <v>23.0</v>
      </c>
      <c r="B97" s="47" t="s">
        <v>1359</v>
      </c>
      <c r="C97" s="48" t="s">
        <v>912</v>
      </c>
      <c r="D97" s="47" t="s">
        <v>1207</v>
      </c>
      <c r="E97" s="49" t="s">
        <v>100</v>
      </c>
      <c r="F97" s="49" t="s">
        <v>3040</v>
      </c>
      <c r="G97" s="49" t="s">
        <v>2486</v>
      </c>
      <c r="H97" s="49" t="s">
        <v>2486</v>
      </c>
      <c r="I97" s="49" t="s">
        <v>2488</v>
      </c>
      <c r="J97" s="49" t="s">
        <v>1885</v>
      </c>
      <c r="K97" s="49" t="s">
        <v>2489</v>
      </c>
      <c r="L97" s="45"/>
      <c r="M97" s="45"/>
      <c r="N97" s="45"/>
      <c r="O97" s="45"/>
      <c r="P97" s="45"/>
      <c r="Q97" s="45"/>
      <c r="R97" s="45"/>
      <c r="S97" s="45"/>
      <c r="T97" s="45"/>
      <c r="U97" s="45"/>
      <c r="V97" s="45"/>
      <c r="W97" s="45"/>
      <c r="X97" s="45"/>
      <c r="Y97" s="45"/>
      <c r="Z97" s="45"/>
    </row>
    <row r="98">
      <c r="A98" s="46">
        <v>23.0</v>
      </c>
      <c r="B98" s="47" t="s">
        <v>1359</v>
      </c>
      <c r="C98" s="48" t="s">
        <v>912</v>
      </c>
      <c r="D98" s="47" t="s">
        <v>1211</v>
      </c>
      <c r="E98" s="49" t="s">
        <v>135</v>
      </c>
      <c r="F98" s="49" t="s">
        <v>3044</v>
      </c>
      <c r="G98" s="49" t="s">
        <v>2486</v>
      </c>
      <c r="H98" s="49" t="s">
        <v>2486</v>
      </c>
      <c r="I98" s="49" t="s">
        <v>2488</v>
      </c>
      <c r="J98" s="49" t="s">
        <v>2500</v>
      </c>
      <c r="K98" s="49" t="s">
        <v>2489</v>
      </c>
      <c r="L98" s="45"/>
      <c r="M98" s="45"/>
      <c r="N98" s="45"/>
      <c r="O98" s="45"/>
      <c r="P98" s="45"/>
      <c r="Q98" s="45"/>
      <c r="R98" s="45"/>
      <c r="S98" s="45"/>
      <c r="T98" s="45"/>
      <c r="U98" s="45"/>
      <c r="V98" s="45"/>
      <c r="W98" s="45"/>
      <c r="X98" s="45"/>
      <c r="Y98" s="45"/>
      <c r="Z98" s="45"/>
    </row>
    <row r="99">
      <c r="A99" s="46">
        <v>23.0</v>
      </c>
      <c r="B99" s="47" t="s">
        <v>1359</v>
      </c>
      <c r="C99" s="48" t="s">
        <v>912</v>
      </c>
      <c r="D99" s="47" t="s">
        <v>652</v>
      </c>
      <c r="E99" s="49" t="s">
        <v>135</v>
      </c>
      <c r="F99" s="49" t="s">
        <v>3051</v>
      </c>
      <c r="G99" s="49" t="s">
        <v>2486</v>
      </c>
      <c r="H99" s="49" t="s">
        <v>2486</v>
      </c>
      <c r="I99" s="49" t="s">
        <v>2488</v>
      </c>
      <c r="J99" s="49" t="s">
        <v>1885</v>
      </c>
      <c r="K99" s="49" t="s">
        <v>2489</v>
      </c>
      <c r="L99" s="45"/>
      <c r="M99" s="45"/>
      <c r="N99" s="45"/>
      <c r="O99" s="45"/>
      <c r="P99" s="45"/>
      <c r="Q99" s="45"/>
      <c r="R99" s="45"/>
      <c r="S99" s="45"/>
      <c r="T99" s="45"/>
      <c r="U99" s="45"/>
      <c r="V99" s="45"/>
      <c r="W99" s="45"/>
      <c r="X99" s="45"/>
      <c r="Y99" s="45"/>
      <c r="Z99" s="45"/>
    </row>
    <row r="100">
      <c r="A100" s="46">
        <v>24.0</v>
      </c>
      <c r="B100" s="47" t="s">
        <v>551</v>
      </c>
      <c r="C100" s="48" t="s">
        <v>912</v>
      </c>
      <c r="D100" s="47" t="s">
        <v>404</v>
      </c>
      <c r="E100" s="49" t="s">
        <v>100</v>
      </c>
      <c r="F100" s="49" t="s">
        <v>3057</v>
      </c>
      <c r="G100" s="49" t="s">
        <v>2486</v>
      </c>
      <c r="H100" s="49" t="s">
        <v>2486</v>
      </c>
      <c r="I100" s="49" t="s">
        <v>2488</v>
      </c>
      <c r="J100" s="49" t="s">
        <v>1876</v>
      </c>
      <c r="K100" s="49" t="s">
        <v>2680</v>
      </c>
      <c r="L100" s="45"/>
      <c r="M100" s="45"/>
      <c r="N100" s="45"/>
      <c r="O100" s="45"/>
      <c r="P100" s="45"/>
      <c r="Q100" s="45"/>
      <c r="R100" s="45"/>
      <c r="S100" s="45"/>
      <c r="T100" s="45"/>
      <c r="U100" s="45"/>
      <c r="V100" s="45"/>
      <c r="W100" s="45"/>
      <c r="X100" s="45"/>
      <c r="Y100" s="45"/>
      <c r="Z100" s="45"/>
    </row>
    <row r="101">
      <c r="A101" s="46">
        <v>24.0</v>
      </c>
      <c r="B101" s="47" t="s">
        <v>551</v>
      </c>
      <c r="C101" s="48" t="s">
        <v>912</v>
      </c>
      <c r="D101" s="47" t="s">
        <v>225</v>
      </c>
      <c r="E101" s="49" t="s">
        <v>135</v>
      </c>
      <c r="F101" s="49" t="s">
        <v>3062</v>
      </c>
      <c r="G101" s="49" t="s">
        <v>2486</v>
      </c>
      <c r="H101" s="49" t="s">
        <v>2486</v>
      </c>
      <c r="I101" s="49" t="s">
        <v>2488</v>
      </c>
      <c r="J101" s="49" t="s">
        <v>2576</v>
      </c>
      <c r="K101" s="49" t="s">
        <v>2545</v>
      </c>
      <c r="L101" s="45"/>
      <c r="M101" s="45"/>
      <c r="N101" s="45"/>
      <c r="O101" s="45"/>
      <c r="P101" s="45"/>
      <c r="Q101" s="45"/>
      <c r="R101" s="45"/>
      <c r="S101" s="45"/>
      <c r="T101" s="45"/>
      <c r="U101" s="45"/>
      <c r="V101" s="45"/>
      <c r="W101" s="45"/>
      <c r="X101" s="45"/>
      <c r="Y101" s="45"/>
      <c r="Z101" s="45"/>
    </row>
    <row r="102">
      <c r="A102" s="46">
        <v>25.0</v>
      </c>
      <c r="B102" s="47" t="s">
        <v>1079</v>
      </c>
      <c r="C102" s="48" t="s">
        <v>912</v>
      </c>
      <c r="D102" s="47" t="s">
        <v>1080</v>
      </c>
      <c r="E102" s="49" t="s">
        <v>100</v>
      </c>
      <c r="F102" s="49" t="s">
        <v>3073</v>
      </c>
      <c r="G102" s="49" t="s">
        <v>2486</v>
      </c>
      <c r="H102" s="49" t="s">
        <v>2486</v>
      </c>
      <c r="I102" s="49" t="s">
        <v>2488</v>
      </c>
      <c r="J102" s="49" t="s">
        <v>1906</v>
      </c>
      <c r="K102" s="49" t="s">
        <v>2489</v>
      </c>
      <c r="L102" s="45"/>
      <c r="M102" s="45"/>
      <c r="N102" s="45"/>
      <c r="O102" s="45"/>
      <c r="P102" s="45"/>
      <c r="Q102" s="45"/>
      <c r="R102" s="45"/>
      <c r="S102" s="45"/>
      <c r="T102" s="45"/>
      <c r="U102" s="45"/>
      <c r="V102" s="45"/>
      <c r="W102" s="45"/>
      <c r="X102" s="45"/>
      <c r="Y102" s="45"/>
      <c r="Z102" s="45"/>
    </row>
    <row r="103">
      <c r="A103" s="46">
        <v>25.0</v>
      </c>
      <c r="B103" s="47" t="s">
        <v>1079</v>
      </c>
      <c r="C103" s="48" t="s">
        <v>912</v>
      </c>
      <c r="D103" s="47" t="s">
        <v>475</v>
      </c>
      <c r="E103" s="49" t="s">
        <v>100</v>
      </c>
      <c r="F103" s="49" t="s">
        <v>3077</v>
      </c>
      <c r="G103" s="49" t="s">
        <v>2486</v>
      </c>
      <c r="H103" s="49" t="s">
        <v>2486</v>
      </c>
      <c r="I103" s="49" t="s">
        <v>2488</v>
      </c>
      <c r="J103" s="49" t="s">
        <v>2622</v>
      </c>
      <c r="K103" s="49" t="s">
        <v>2489</v>
      </c>
      <c r="L103" s="45"/>
      <c r="M103" s="45"/>
      <c r="N103" s="45"/>
      <c r="O103" s="45"/>
      <c r="P103" s="45"/>
      <c r="Q103" s="45"/>
      <c r="R103" s="45"/>
      <c r="S103" s="45"/>
      <c r="T103" s="45"/>
      <c r="U103" s="45"/>
      <c r="V103" s="45"/>
      <c r="W103" s="45"/>
      <c r="X103" s="45"/>
      <c r="Y103" s="45"/>
      <c r="Z103" s="45"/>
    </row>
    <row r="104">
      <c r="A104" s="46">
        <v>25.0</v>
      </c>
      <c r="B104" s="47" t="s">
        <v>1079</v>
      </c>
      <c r="C104" s="48" t="s">
        <v>912</v>
      </c>
      <c r="D104" s="47" t="s">
        <v>1084</v>
      </c>
      <c r="E104" s="49" t="s">
        <v>100</v>
      </c>
      <c r="F104" s="49" t="s">
        <v>3081</v>
      </c>
      <c r="G104" s="49" t="s">
        <v>2486</v>
      </c>
      <c r="H104" s="49" t="s">
        <v>2486</v>
      </c>
      <c r="I104" s="49" t="s">
        <v>2488</v>
      </c>
      <c r="J104" s="49" t="s">
        <v>2599</v>
      </c>
      <c r="K104" s="49" t="s">
        <v>2489</v>
      </c>
      <c r="L104" s="45"/>
      <c r="M104" s="45"/>
      <c r="N104" s="45"/>
      <c r="O104" s="45"/>
      <c r="P104" s="45"/>
      <c r="Q104" s="45"/>
      <c r="R104" s="45"/>
      <c r="S104" s="45"/>
      <c r="T104" s="45"/>
      <c r="U104" s="45"/>
      <c r="V104" s="45"/>
      <c r="W104" s="45"/>
      <c r="X104" s="45"/>
      <c r="Y104" s="45"/>
      <c r="Z104" s="45"/>
    </row>
    <row r="105">
      <c r="A105" s="46">
        <v>25.0</v>
      </c>
      <c r="B105" s="47" t="s">
        <v>1079</v>
      </c>
      <c r="C105" s="48" t="s">
        <v>912</v>
      </c>
      <c r="D105" s="47" t="s">
        <v>1317</v>
      </c>
      <c r="E105" s="49" t="s">
        <v>135</v>
      </c>
      <c r="F105" s="49" t="s">
        <v>3085</v>
      </c>
      <c r="G105" s="49" t="s">
        <v>2486</v>
      </c>
      <c r="H105" s="49" t="s">
        <v>2486</v>
      </c>
      <c r="I105" s="49" t="s">
        <v>2488</v>
      </c>
      <c r="J105" s="49" t="s">
        <v>1906</v>
      </c>
      <c r="K105" s="49" t="s">
        <v>2489</v>
      </c>
      <c r="L105" s="45"/>
      <c r="M105" s="45"/>
      <c r="N105" s="45"/>
      <c r="O105" s="45"/>
      <c r="P105" s="45"/>
      <c r="Q105" s="45"/>
      <c r="R105" s="45"/>
      <c r="S105" s="45"/>
      <c r="T105" s="45"/>
      <c r="U105" s="45"/>
      <c r="V105" s="45"/>
      <c r="W105" s="45"/>
      <c r="X105" s="45"/>
      <c r="Y105" s="45"/>
      <c r="Z105" s="45"/>
    </row>
    <row r="106">
      <c r="A106" s="46">
        <v>25.0</v>
      </c>
      <c r="B106" s="47" t="s">
        <v>1079</v>
      </c>
      <c r="C106" s="48" t="s">
        <v>912</v>
      </c>
      <c r="D106" s="47" t="s">
        <v>1367</v>
      </c>
      <c r="E106" s="49" t="s">
        <v>135</v>
      </c>
      <c r="F106" s="49" t="s">
        <v>3089</v>
      </c>
      <c r="G106" s="49" t="s">
        <v>2486</v>
      </c>
      <c r="H106" s="49" t="s">
        <v>2486</v>
      </c>
      <c r="I106" s="49" t="s">
        <v>2488</v>
      </c>
      <c r="J106" s="49" t="s">
        <v>2622</v>
      </c>
      <c r="K106" s="49" t="s">
        <v>2545</v>
      </c>
      <c r="L106" s="45"/>
      <c r="M106" s="45"/>
      <c r="N106" s="45"/>
      <c r="O106" s="45"/>
      <c r="P106" s="45"/>
      <c r="Q106" s="45"/>
      <c r="R106" s="45"/>
      <c r="S106" s="45"/>
      <c r="T106" s="45"/>
      <c r="U106" s="45"/>
      <c r="V106" s="45"/>
      <c r="W106" s="45"/>
      <c r="X106" s="45"/>
      <c r="Y106" s="45"/>
      <c r="Z106" s="45"/>
    </row>
    <row r="107">
      <c r="A107" s="46">
        <v>26.0</v>
      </c>
      <c r="B107" s="47" t="s">
        <v>1314</v>
      </c>
      <c r="C107" s="48" t="s">
        <v>912</v>
      </c>
      <c r="D107" s="47" t="s">
        <v>959</v>
      </c>
      <c r="E107" s="49" t="s">
        <v>100</v>
      </c>
      <c r="F107" s="49" t="s">
        <v>3097</v>
      </c>
      <c r="G107" s="49" t="s">
        <v>2486</v>
      </c>
      <c r="H107" s="49" t="s">
        <v>2486</v>
      </c>
      <c r="I107" s="49" t="s">
        <v>2488</v>
      </c>
      <c r="J107" s="49" t="s">
        <v>1918</v>
      </c>
      <c r="K107" s="49" t="s">
        <v>2489</v>
      </c>
      <c r="L107" s="45"/>
      <c r="M107" s="45"/>
      <c r="N107" s="45"/>
      <c r="O107" s="45"/>
      <c r="P107" s="45"/>
      <c r="Q107" s="45"/>
      <c r="R107" s="45"/>
      <c r="S107" s="45"/>
      <c r="T107" s="45"/>
      <c r="U107" s="45"/>
      <c r="V107" s="45"/>
      <c r="W107" s="45"/>
      <c r="X107" s="45"/>
      <c r="Y107" s="45"/>
      <c r="Z107" s="45"/>
    </row>
    <row r="108">
      <c r="A108" s="46">
        <v>26.0</v>
      </c>
      <c r="B108" s="47" t="s">
        <v>1314</v>
      </c>
      <c r="C108" s="48" t="s">
        <v>912</v>
      </c>
      <c r="D108" s="47" t="s">
        <v>1055</v>
      </c>
      <c r="E108" s="49" t="s">
        <v>100</v>
      </c>
      <c r="F108" s="49" t="s">
        <v>3103</v>
      </c>
      <c r="G108" s="49" t="s">
        <v>2486</v>
      </c>
      <c r="H108" s="49" t="s">
        <v>2486</v>
      </c>
      <c r="I108" s="49" t="s">
        <v>2488</v>
      </c>
      <c r="J108" s="49" t="s">
        <v>2672</v>
      </c>
      <c r="K108" s="49" t="s">
        <v>2489</v>
      </c>
      <c r="L108" s="45"/>
      <c r="M108" s="45"/>
      <c r="N108" s="45"/>
      <c r="O108" s="45"/>
      <c r="P108" s="45"/>
      <c r="Q108" s="45"/>
      <c r="R108" s="45"/>
      <c r="S108" s="45"/>
      <c r="T108" s="45"/>
      <c r="U108" s="45"/>
      <c r="V108" s="45"/>
      <c r="W108" s="45"/>
      <c r="X108" s="45"/>
      <c r="Y108" s="45"/>
      <c r="Z108" s="45"/>
    </row>
    <row r="109">
      <c r="A109" s="46">
        <v>26.0</v>
      </c>
      <c r="B109" s="47" t="s">
        <v>1314</v>
      </c>
      <c r="C109" s="48" t="s">
        <v>912</v>
      </c>
      <c r="D109" s="47" t="s">
        <v>1041</v>
      </c>
      <c r="E109" s="49" t="s">
        <v>100</v>
      </c>
      <c r="F109" s="49" t="s">
        <v>3108</v>
      </c>
      <c r="G109" s="49" t="s">
        <v>2486</v>
      </c>
      <c r="H109" s="49" t="s">
        <v>2486</v>
      </c>
      <c r="I109" s="49" t="s">
        <v>2488</v>
      </c>
      <c r="J109" s="49" t="s">
        <v>2669</v>
      </c>
      <c r="K109" s="49" t="s">
        <v>2489</v>
      </c>
      <c r="L109" s="45"/>
      <c r="M109" s="45"/>
      <c r="N109" s="45"/>
      <c r="O109" s="45"/>
      <c r="P109" s="45"/>
      <c r="Q109" s="45"/>
      <c r="R109" s="45"/>
      <c r="S109" s="45"/>
      <c r="T109" s="45"/>
      <c r="U109" s="45"/>
      <c r="V109" s="45"/>
      <c r="W109" s="45"/>
      <c r="X109" s="45"/>
      <c r="Y109" s="45"/>
      <c r="Z109" s="45"/>
    </row>
    <row r="110">
      <c r="A110" s="46">
        <v>26.0</v>
      </c>
      <c r="B110" s="47" t="s">
        <v>1314</v>
      </c>
      <c r="C110" s="48" t="s">
        <v>912</v>
      </c>
      <c r="D110" s="47" t="s">
        <v>1328</v>
      </c>
      <c r="E110" s="49" t="s">
        <v>100</v>
      </c>
      <c r="F110" s="49" t="s">
        <v>3114</v>
      </c>
      <c r="G110" s="49" t="s">
        <v>2486</v>
      </c>
      <c r="H110" s="49" t="s">
        <v>2486</v>
      </c>
      <c r="I110" s="49" t="s">
        <v>2488</v>
      </c>
      <c r="J110" s="49" t="s">
        <v>1918</v>
      </c>
      <c r="K110" s="49" t="s">
        <v>2489</v>
      </c>
      <c r="L110" s="45"/>
      <c r="M110" s="45"/>
      <c r="N110" s="45"/>
      <c r="O110" s="45"/>
      <c r="P110" s="45"/>
      <c r="Q110" s="45"/>
      <c r="R110" s="45"/>
      <c r="S110" s="45"/>
      <c r="T110" s="45"/>
      <c r="U110" s="45"/>
      <c r="V110" s="45"/>
      <c r="W110" s="45"/>
      <c r="X110" s="45"/>
      <c r="Y110" s="45"/>
      <c r="Z110" s="45"/>
    </row>
    <row r="111">
      <c r="A111" s="46">
        <v>26.0</v>
      </c>
      <c r="B111" s="47" t="s">
        <v>1314</v>
      </c>
      <c r="C111" s="48" t="s">
        <v>912</v>
      </c>
      <c r="D111" s="47" t="s">
        <v>1077</v>
      </c>
      <c r="E111" s="49" t="s">
        <v>135</v>
      </c>
      <c r="F111" s="49" t="s">
        <v>3118</v>
      </c>
      <c r="G111" s="49" t="s">
        <v>2486</v>
      </c>
      <c r="H111" s="49" t="s">
        <v>2486</v>
      </c>
      <c r="I111" s="49" t="s">
        <v>2488</v>
      </c>
      <c r="J111" s="49" t="s">
        <v>2672</v>
      </c>
      <c r="K111" s="49" t="s">
        <v>2545</v>
      </c>
      <c r="L111" s="45"/>
      <c r="M111" s="45"/>
      <c r="N111" s="45"/>
      <c r="O111" s="45"/>
      <c r="P111" s="45"/>
      <c r="Q111" s="45"/>
      <c r="R111" s="45"/>
      <c r="S111" s="45"/>
      <c r="T111" s="45"/>
      <c r="U111" s="45"/>
      <c r="V111" s="45"/>
      <c r="W111" s="45"/>
      <c r="X111" s="45"/>
      <c r="Y111" s="45"/>
      <c r="Z111" s="45"/>
    </row>
    <row r="112">
      <c r="A112" s="46">
        <v>27.0</v>
      </c>
      <c r="B112" s="47" t="s">
        <v>1369</v>
      </c>
      <c r="C112" s="48" t="s">
        <v>912</v>
      </c>
      <c r="D112" s="47" t="s">
        <v>1332</v>
      </c>
      <c r="E112" s="49" t="s">
        <v>100</v>
      </c>
      <c r="F112" s="49" t="s">
        <v>3129</v>
      </c>
      <c r="G112" s="49" t="s">
        <v>2486</v>
      </c>
      <c r="H112" s="49" t="s">
        <v>2486</v>
      </c>
      <c r="I112" s="49" t="s">
        <v>2488</v>
      </c>
      <c r="J112" s="49" t="s">
        <v>1938</v>
      </c>
      <c r="K112" s="49" t="s">
        <v>2489</v>
      </c>
      <c r="L112" s="45"/>
      <c r="M112" s="45"/>
      <c r="N112" s="45"/>
      <c r="O112" s="45"/>
      <c r="P112" s="45"/>
      <c r="Q112" s="45"/>
      <c r="R112" s="45"/>
      <c r="S112" s="45"/>
      <c r="T112" s="45"/>
      <c r="U112" s="45"/>
      <c r="V112" s="45"/>
      <c r="W112" s="45"/>
      <c r="X112" s="45"/>
      <c r="Y112" s="45"/>
      <c r="Z112" s="45"/>
    </row>
    <row r="113">
      <c r="A113" s="46">
        <v>27.0</v>
      </c>
      <c r="B113" s="47" t="s">
        <v>1369</v>
      </c>
      <c r="C113" s="48" t="s">
        <v>912</v>
      </c>
      <c r="D113" s="47" t="s">
        <v>1220</v>
      </c>
      <c r="E113" s="49" t="s">
        <v>100</v>
      </c>
      <c r="F113" s="49" t="s">
        <v>3134</v>
      </c>
      <c r="G113" s="49" t="s">
        <v>2486</v>
      </c>
      <c r="H113" s="49" t="s">
        <v>2486</v>
      </c>
      <c r="I113" s="49" t="s">
        <v>2488</v>
      </c>
      <c r="J113" s="49" t="s">
        <v>2764</v>
      </c>
      <c r="K113" s="49" t="s">
        <v>2489</v>
      </c>
      <c r="L113" s="45"/>
      <c r="M113" s="45"/>
      <c r="N113" s="45"/>
      <c r="O113" s="45"/>
      <c r="P113" s="45"/>
      <c r="Q113" s="45"/>
      <c r="R113" s="45"/>
      <c r="S113" s="45"/>
      <c r="T113" s="45"/>
      <c r="U113" s="45"/>
      <c r="V113" s="45"/>
      <c r="W113" s="45"/>
      <c r="X113" s="45"/>
      <c r="Y113" s="45"/>
      <c r="Z113" s="45"/>
    </row>
    <row r="114">
      <c r="A114" s="46">
        <v>27.0</v>
      </c>
      <c r="B114" s="47" t="s">
        <v>1369</v>
      </c>
      <c r="C114" s="48" t="s">
        <v>912</v>
      </c>
      <c r="D114" s="47" t="s">
        <v>3137</v>
      </c>
      <c r="E114" s="49" t="s">
        <v>100</v>
      </c>
      <c r="F114" s="49" t="s">
        <v>3143</v>
      </c>
      <c r="G114" s="49" t="s">
        <v>2486</v>
      </c>
      <c r="H114" s="49" t="s">
        <v>2486</v>
      </c>
      <c r="I114" s="49" t="s">
        <v>2488</v>
      </c>
      <c r="J114" s="49" t="s">
        <v>2748</v>
      </c>
      <c r="K114" s="49" t="s">
        <v>2489</v>
      </c>
      <c r="L114" s="45"/>
      <c r="M114" s="45"/>
      <c r="N114" s="45"/>
      <c r="O114" s="45"/>
      <c r="P114" s="45"/>
      <c r="Q114" s="45"/>
      <c r="R114" s="45"/>
      <c r="S114" s="45"/>
      <c r="T114" s="45"/>
      <c r="U114" s="45"/>
      <c r="V114" s="45"/>
      <c r="W114" s="45"/>
      <c r="X114" s="45"/>
      <c r="Y114" s="45"/>
      <c r="Z114" s="45"/>
    </row>
    <row r="115">
      <c r="A115" s="46">
        <v>27.0</v>
      </c>
      <c r="B115" s="47" t="s">
        <v>1369</v>
      </c>
      <c r="C115" s="48" t="s">
        <v>912</v>
      </c>
      <c r="D115" s="47" t="s">
        <v>685</v>
      </c>
      <c r="E115" s="49" t="s">
        <v>135</v>
      </c>
      <c r="F115" s="49" t="s">
        <v>3147</v>
      </c>
      <c r="G115" s="49" t="s">
        <v>2486</v>
      </c>
      <c r="H115" s="49" t="s">
        <v>2486</v>
      </c>
      <c r="I115" s="49" t="s">
        <v>2488</v>
      </c>
      <c r="J115" s="49" t="s">
        <v>1938</v>
      </c>
      <c r="K115" s="49" t="s">
        <v>2489</v>
      </c>
      <c r="L115" s="45"/>
      <c r="M115" s="45"/>
      <c r="N115" s="45"/>
      <c r="O115" s="45"/>
      <c r="P115" s="45"/>
      <c r="Q115" s="45"/>
      <c r="R115" s="45"/>
      <c r="S115" s="45"/>
      <c r="T115" s="45"/>
      <c r="U115" s="45"/>
      <c r="V115" s="45"/>
      <c r="W115" s="45"/>
      <c r="X115" s="45"/>
      <c r="Y115" s="45"/>
      <c r="Z115" s="45"/>
    </row>
    <row r="116">
      <c r="A116" s="46">
        <v>28.0</v>
      </c>
      <c r="B116" s="47" t="s">
        <v>283</v>
      </c>
      <c r="C116" s="48" t="s">
        <v>1481</v>
      </c>
      <c r="D116" s="47" t="s">
        <v>292</v>
      </c>
      <c r="E116" s="49" t="s">
        <v>100</v>
      </c>
      <c r="F116" s="49" t="s">
        <v>3152</v>
      </c>
      <c r="G116" s="49" t="s">
        <v>2486</v>
      </c>
      <c r="H116" s="49" t="s">
        <v>2486</v>
      </c>
      <c r="I116" s="49" t="s">
        <v>2488</v>
      </c>
      <c r="J116" s="49" t="s">
        <v>1961</v>
      </c>
      <c r="K116" s="49" t="s">
        <v>2489</v>
      </c>
      <c r="L116" s="45"/>
      <c r="M116" s="45"/>
      <c r="N116" s="45"/>
      <c r="O116" s="45"/>
      <c r="P116" s="45"/>
      <c r="Q116" s="45"/>
      <c r="R116" s="45"/>
      <c r="S116" s="45"/>
      <c r="T116" s="45"/>
      <c r="U116" s="45"/>
      <c r="V116" s="45"/>
      <c r="W116" s="45"/>
      <c r="X116" s="45"/>
      <c r="Y116" s="45"/>
      <c r="Z116" s="45"/>
    </row>
    <row r="117">
      <c r="A117" s="46">
        <v>28.0</v>
      </c>
      <c r="B117" s="47" t="s">
        <v>283</v>
      </c>
      <c r="C117" s="48" t="s">
        <v>1481</v>
      </c>
      <c r="D117" s="47" t="s">
        <v>1104</v>
      </c>
      <c r="E117" s="49" t="s">
        <v>100</v>
      </c>
      <c r="F117" s="49" t="s">
        <v>3158</v>
      </c>
      <c r="G117" s="49" t="s">
        <v>2486</v>
      </c>
      <c r="H117" s="49" t="s">
        <v>2486</v>
      </c>
      <c r="I117" s="49" t="s">
        <v>2488</v>
      </c>
      <c r="J117" s="49" t="s">
        <v>3159</v>
      </c>
      <c r="K117" s="49" t="s">
        <v>2545</v>
      </c>
      <c r="L117" s="45"/>
      <c r="M117" s="45"/>
      <c r="N117" s="45"/>
      <c r="O117" s="45"/>
      <c r="P117" s="45"/>
      <c r="Q117" s="45"/>
      <c r="R117" s="45"/>
      <c r="S117" s="45"/>
      <c r="T117" s="45"/>
      <c r="U117" s="45"/>
      <c r="V117" s="45"/>
      <c r="W117" s="45"/>
      <c r="X117" s="45"/>
      <c r="Y117" s="45"/>
      <c r="Z117" s="45"/>
    </row>
    <row r="118">
      <c r="A118" s="46">
        <v>28.0</v>
      </c>
      <c r="B118" s="47" t="s">
        <v>283</v>
      </c>
      <c r="C118" s="48" t="s">
        <v>1481</v>
      </c>
      <c r="D118" s="47" t="s">
        <v>300</v>
      </c>
      <c r="E118" s="49" t="s">
        <v>100</v>
      </c>
      <c r="F118" s="49" t="s">
        <v>3162</v>
      </c>
      <c r="G118" s="49" t="s">
        <v>2486</v>
      </c>
      <c r="H118" s="49" t="s">
        <v>2486</v>
      </c>
      <c r="I118" s="49" t="s">
        <v>2488</v>
      </c>
      <c r="J118" s="49" t="s">
        <v>3163</v>
      </c>
      <c r="K118" s="49" t="s">
        <v>2545</v>
      </c>
      <c r="L118" s="45"/>
      <c r="M118" s="45"/>
      <c r="N118" s="45"/>
      <c r="O118" s="45"/>
      <c r="P118" s="45"/>
      <c r="Q118" s="45"/>
      <c r="R118" s="45"/>
      <c r="S118" s="45"/>
      <c r="T118" s="45"/>
      <c r="U118" s="45"/>
      <c r="V118" s="45"/>
      <c r="W118" s="45"/>
      <c r="X118" s="45"/>
      <c r="Y118" s="45"/>
      <c r="Z118" s="45"/>
    </row>
    <row r="119">
      <c r="A119" s="46">
        <v>28.0</v>
      </c>
      <c r="B119" s="47" t="s">
        <v>283</v>
      </c>
      <c r="C119" s="48" t="s">
        <v>1481</v>
      </c>
      <c r="D119" s="47" t="s">
        <v>712</v>
      </c>
      <c r="E119" s="49" t="s">
        <v>135</v>
      </c>
      <c r="F119" s="49" t="s">
        <v>3169</v>
      </c>
      <c r="G119" s="49" t="s">
        <v>2486</v>
      </c>
      <c r="H119" s="49" t="s">
        <v>2486</v>
      </c>
      <c r="I119" s="49" t="s">
        <v>2488</v>
      </c>
      <c r="J119" s="49" t="s">
        <v>3171</v>
      </c>
      <c r="K119" s="49" t="s">
        <v>2545</v>
      </c>
      <c r="L119" s="45"/>
      <c r="M119" s="45"/>
      <c r="N119" s="45"/>
      <c r="O119" s="45"/>
      <c r="P119" s="45"/>
      <c r="Q119" s="45"/>
      <c r="R119" s="45"/>
      <c r="S119" s="45"/>
      <c r="T119" s="45"/>
      <c r="U119" s="45"/>
      <c r="V119" s="45"/>
      <c r="W119" s="45"/>
      <c r="X119" s="45"/>
      <c r="Y119" s="45"/>
      <c r="Z119" s="45"/>
    </row>
    <row r="120">
      <c r="A120" s="46">
        <v>28.0</v>
      </c>
      <c r="B120" s="47" t="s">
        <v>283</v>
      </c>
      <c r="C120" s="48" t="s">
        <v>1481</v>
      </c>
      <c r="D120" s="47" t="s">
        <v>303</v>
      </c>
      <c r="E120" s="49" t="s">
        <v>135</v>
      </c>
      <c r="F120" s="49" t="s">
        <v>3172</v>
      </c>
      <c r="G120" s="49" t="s">
        <v>2486</v>
      </c>
      <c r="H120" s="49" t="s">
        <v>2486</v>
      </c>
      <c r="I120" s="49" t="s">
        <v>2488</v>
      </c>
      <c r="J120" s="49" t="s">
        <v>3173</v>
      </c>
      <c r="K120" s="49" t="s">
        <v>2545</v>
      </c>
      <c r="L120" s="45"/>
      <c r="M120" s="45"/>
      <c r="N120" s="45"/>
      <c r="O120" s="45"/>
      <c r="P120" s="45"/>
      <c r="Q120" s="45"/>
      <c r="R120" s="45"/>
      <c r="S120" s="45"/>
      <c r="T120" s="45"/>
      <c r="U120" s="45"/>
      <c r="V120" s="45"/>
      <c r="W120" s="45"/>
      <c r="X120" s="45"/>
      <c r="Y120" s="45"/>
      <c r="Z120" s="45"/>
    </row>
    <row r="121">
      <c r="A121" s="46">
        <v>29.0</v>
      </c>
      <c r="B121" s="47" t="s">
        <v>494</v>
      </c>
      <c r="C121" s="48" t="s">
        <v>1481</v>
      </c>
      <c r="D121" s="47" t="s">
        <v>92</v>
      </c>
      <c r="E121" s="49" t="s">
        <v>100</v>
      </c>
      <c r="F121" s="49" t="s">
        <v>3182</v>
      </c>
      <c r="G121" s="49" t="s">
        <v>2486</v>
      </c>
      <c r="H121" s="49" t="s">
        <v>2486</v>
      </c>
      <c r="I121" s="49" t="s">
        <v>2488</v>
      </c>
      <c r="J121" s="49" t="s">
        <v>1992</v>
      </c>
      <c r="K121" s="49" t="s">
        <v>2489</v>
      </c>
      <c r="L121" s="45"/>
      <c r="M121" s="45"/>
      <c r="N121" s="45"/>
      <c r="O121" s="45"/>
      <c r="P121" s="45"/>
      <c r="Q121" s="45"/>
      <c r="R121" s="45"/>
      <c r="S121" s="45"/>
      <c r="T121" s="45"/>
      <c r="U121" s="45"/>
      <c r="V121" s="45"/>
      <c r="W121" s="45"/>
      <c r="X121" s="45"/>
      <c r="Y121" s="45"/>
      <c r="Z121" s="45"/>
    </row>
    <row r="122">
      <c r="A122" s="46">
        <v>29.0</v>
      </c>
      <c r="B122" s="47" t="s">
        <v>494</v>
      </c>
      <c r="C122" s="48" t="s">
        <v>1481</v>
      </c>
      <c r="D122" s="47" t="s">
        <v>1246</v>
      </c>
      <c r="E122" s="49" t="s">
        <v>100</v>
      </c>
      <c r="F122" s="49" t="s">
        <v>3188</v>
      </c>
      <c r="G122" s="49" t="s">
        <v>2486</v>
      </c>
      <c r="H122" s="49" t="s">
        <v>2486</v>
      </c>
      <c r="I122" s="49" t="s">
        <v>2488</v>
      </c>
      <c r="J122" s="49" t="s">
        <v>3189</v>
      </c>
      <c r="K122" s="49" t="s">
        <v>2489</v>
      </c>
      <c r="L122" s="45"/>
      <c r="M122" s="45"/>
      <c r="N122" s="45"/>
      <c r="O122" s="45"/>
      <c r="P122" s="45"/>
      <c r="Q122" s="45"/>
      <c r="R122" s="45"/>
      <c r="S122" s="45"/>
      <c r="T122" s="45"/>
      <c r="U122" s="45"/>
      <c r="V122" s="45"/>
      <c r="W122" s="45"/>
      <c r="X122" s="45"/>
      <c r="Y122" s="45"/>
      <c r="Z122" s="45"/>
    </row>
    <row r="123">
      <c r="A123" s="46">
        <v>29.0</v>
      </c>
      <c r="B123" s="47" t="s">
        <v>494</v>
      </c>
      <c r="C123" s="48" t="s">
        <v>1481</v>
      </c>
      <c r="D123" s="47" t="s">
        <v>1247</v>
      </c>
      <c r="E123" s="49" t="s">
        <v>100</v>
      </c>
      <c r="F123" s="49" t="s">
        <v>3194</v>
      </c>
      <c r="G123" s="49" t="s">
        <v>2486</v>
      </c>
      <c r="H123" s="49" t="s">
        <v>2486</v>
      </c>
      <c r="I123" s="49" t="s">
        <v>2488</v>
      </c>
      <c r="J123" s="49" t="s">
        <v>2316</v>
      </c>
      <c r="K123" s="49" t="s">
        <v>2489</v>
      </c>
      <c r="L123" s="45"/>
      <c r="M123" s="45"/>
      <c r="N123" s="45"/>
      <c r="O123" s="45"/>
      <c r="P123" s="45"/>
      <c r="Q123" s="45"/>
      <c r="R123" s="45"/>
      <c r="S123" s="45"/>
      <c r="T123" s="45"/>
      <c r="U123" s="45"/>
      <c r="V123" s="45"/>
      <c r="W123" s="45"/>
      <c r="X123" s="45"/>
      <c r="Y123" s="45"/>
      <c r="Z123" s="45"/>
    </row>
    <row r="124">
      <c r="A124" s="46">
        <v>29.0</v>
      </c>
      <c r="B124" s="47" t="s">
        <v>494</v>
      </c>
      <c r="C124" s="48" t="s">
        <v>1481</v>
      </c>
      <c r="D124" s="47" t="s">
        <v>1229</v>
      </c>
      <c r="E124" s="49" t="s">
        <v>135</v>
      </c>
      <c r="F124" s="49" t="s">
        <v>3201</v>
      </c>
      <c r="G124" s="49" t="s">
        <v>2486</v>
      </c>
      <c r="H124" s="49" t="s">
        <v>2486</v>
      </c>
      <c r="I124" s="49" t="s">
        <v>2488</v>
      </c>
      <c r="J124" s="49" t="s">
        <v>1992</v>
      </c>
      <c r="K124" s="49" t="s">
        <v>2489</v>
      </c>
      <c r="L124" s="45"/>
      <c r="M124" s="45"/>
      <c r="N124" s="45"/>
      <c r="O124" s="45"/>
      <c r="P124" s="45"/>
      <c r="Q124" s="45"/>
      <c r="R124" s="45"/>
      <c r="S124" s="45"/>
      <c r="T124" s="45"/>
      <c r="U124" s="45"/>
      <c r="V124" s="45"/>
      <c r="W124" s="45"/>
      <c r="X124" s="45"/>
      <c r="Y124" s="45"/>
      <c r="Z124" s="45"/>
    </row>
    <row r="125">
      <c r="A125" s="46">
        <v>29.0</v>
      </c>
      <c r="B125" s="47" t="s">
        <v>494</v>
      </c>
      <c r="C125" s="48" t="s">
        <v>1481</v>
      </c>
      <c r="D125" s="47" t="s">
        <v>764</v>
      </c>
      <c r="E125" s="49" t="s">
        <v>135</v>
      </c>
      <c r="F125" s="49" t="s">
        <v>3208</v>
      </c>
      <c r="G125" s="49" t="s">
        <v>2486</v>
      </c>
      <c r="H125" s="49" t="s">
        <v>2486</v>
      </c>
      <c r="I125" s="49" t="s">
        <v>2488</v>
      </c>
      <c r="J125" s="49" t="s">
        <v>3189</v>
      </c>
      <c r="K125" s="49" t="s">
        <v>2489</v>
      </c>
      <c r="L125" s="45"/>
      <c r="M125" s="45"/>
      <c r="N125" s="45"/>
      <c r="O125" s="45"/>
      <c r="P125" s="45"/>
      <c r="Q125" s="45"/>
      <c r="R125" s="45"/>
      <c r="S125" s="45"/>
      <c r="T125" s="45"/>
      <c r="U125" s="45"/>
      <c r="V125" s="45"/>
      <c r="W125" s="45"/>
      <c r="X125" s="45"/>
      <c r="Y125" s="45"/>
      <c r="Z125" s="45"/>
    </row>
    <row r="126">
      <c r="A126" s="46">
        <v>30.0</v>
      </c>
      <c r="B126" s="47" t="s">
        <v>861</v>
      </c>
      <c r="C126" s="48" t="s">
        <v>1481</v>
      </c>
      <c r="D126" s="47" t="s">
        <v>945</v>
      </c>
      <c r="E126" s="49" t="s">
        <v>100</v>
      </c>
      <c r="F126" s="49" t="s">
        <v>3219</v>
      </c>
      <c r="G126" s="49" t="s">
        <v>2486</v>
      </c>
      <c r="H126" s="49" t="s">
        <v>2486</v>
      </c>
      <c r="I126" s="49" t="s">
        <v>2488</v>
      </c>
      <c r="J126" s="49" t="s">
        <v>2021</v>
      </c>
      <c r="K126" s="49" t="s">
        <v>2489</v>
      </c>
      <c r="L126" s="45"/>
      <c r="M126" s="45"/>
      <c r="N126" s="45"/>
      <c r="O126" s="45"/>
      <c r="P126" s="45"/>
      <c r="Q126" s="45"/>
      <c r="R126" s="45"/>
      <c r="S126" s="45"/>
      <c r="T126" s="45"/>
      <c r="U126" s="45"/>
      <c r="V126" s="45"/>
      <c r="W126" s="45"/>
      <c r="X126" s="45"/>
      <c r="Y126" s="45"/>
      <c r="Z126" s="45"/>
    </row>
    <row r="127">
      <c r="A127" s="46">
        <v>30.0</v>
      </c>
      <c r="B127" s="47" t="s">
        <v>861</v>
      </c>
      <c r="C127" s="48" t="s">
        <v>1481</v>
      </c>
      <c r="D127" s="47" t="s">
        <v>1322</v>
      </c>
      <c r="E127" s="49" t="s">
        <v>100</v>
      </c>
      <c r="F127" s="49" t="s">
        <v>3224</v>
      </c>
      <c r="G127" s="49" t="s">
        <v>2486</v>
      </c>
      <c r="H127" s="49" t="s">
        <v>2486</v>
      </c>
      <c r="I127" s="49" t="s">
        <v>2488</v>
      </c>
      <c r="J127" s="49" t="s">
        <v>3225</v>
      </c>
      <c r="K127" s="49" t="s">
        <v>2489</v>
      </c>
      <c r="L127" s="45"/>
      <c r="M127" s="45"/>
      <c r="N127" s="45"/>
      <c r="O127" s="45"/>
      <c r="P127" s="45"/>
      <c r="Q127" s="45"/>
      <c r="R127" s="45"/>
      <c r="S127" s="45"/>
      <c r="T127" s="45"/>
      <c r="U127" s="45"/>
      <c r="V127" s="45"/>
      <c r="W127" s="45"/>
      <c r="X127" s="45"/>
      <c r="Y127" s="45"/>
      <c r="Z127" s="45"/>
    </row>
    <row r="128">
      <c r="A128" s="46">
        <v>30.0</v>
      </c>
      <c r="B128" s="47" t="s">
        <v>861</v>
      </c>
      <c r="C128" s="48" t="s">
        <v>1481</v>
      </c>
      <c r="D128" s="47" t="s">
        <v>1116</v>
      </c>
      <c r="E128" s="49" t="s">
        <v>100</v>
      </c>
      <c r="F128" s="49" t="s">
        <v>3231</v>
      </c>
      <c r="G128" s="49" t="s">
        <v>2486</v>
      </c>
      <c r="H128" s="49" t="s">
        <v>2486</v>
      </c>
      <c r="I128" s="49" t="s">
        <v>2488</v>
      </c>
      <c r="J128" s="49" t="s">
        <v>2021</v>
      </c>
      <c r="K128" s="49" t="s">
        <v>2489</v>
      </c>
      <c r="L128" s="45"/>
      <c r="M128" s="45"/>
      <c r="N128" s="45"/>
      <c r="O128" s="45"/>
      <c r="P128" s="45"/>
      <c r="Q128" s="45"/>
      <c r="R128" s="45"/>
      <c r="S128" s="45"/>
      <c r="T128" s="45"/>
      <c r="U128" s="45"/>
      <c r="V128" s="45"/>
      <c r="W128" s="45"/>
      <c r="X128" s="45"/>
      <c r="Y128" s="45"/>
      <c r="Z128" s="45"/>
    </row>
    <row r="129">
      <c r="A129" s="46">
        <v>30.0</v>
      </c>
      <c r="B129" s="47" t="s">
        <v>861</v>
      </c>
      <c r="C129" s="48" t="s">
        <v>1481</v>
      </c>
      <c r="D129" s="47" t="s">
        <v>954</v>
      </c>
      <c r="E129" s="49" t="s">
        <v>100</v>
      </c>
      <c r="F129" s="49" t="s">
        <v>3235</v>
      </c>
      <c r="G129" s="49" t="s">
        <v>2486</v>
      </c>
      <c r="H129" s="49" t="s">
        <v>2486</v>
      </c>
      <c r="I129" s="49" t="s">
        <v>2488</v>
      </c>
      <c r="J129" s="49" t="s">
        <v>3225</v>
      </c>
      <c r="K129" s="49" t="s">
        <v>2489</v>
      </c>
      <c r="L129" s="45"/>
      <c r="M129" s="45"/>
      <c r="N129" s="45"/>
      <c r="O129" s="45"/>
      <c r="P129" s="45"/>
      <c r="Q129" s="45"/>
      <c r="R129" s="45"/>
      <c r="S129" s="45"/>
      <c r="T129" s="45"/>
      <c r="U129" s="45"/>
      <c r="V129" s="45"/>
      <c r="W129" s="45"/>
      <c r="X129" s="45"/>
      <c r="Y129" s="45"/>
      <c r="Z129" s="45"/>
    </row>
    <row r="130">
      <c r="A130" s="46">
        <v>30.0</v>
      </c>
      <c r="B130" s="47" t="s">
        <v>861</v>
      </c>
      <c r="C130" s="48" t="s">
        <v>1481</v>
      </c>
      <c r="D130" s="47" t="s">
        <v>47</v>
      </c>
      <c r="E130" s="49" t="s">
        <v>135</v>
      </c>
      <c r="F130" s="49" t="s">
        <v>3239</v>
      </c>
      <c r="G130" s="49" t="s">
        <v>2486</v>
      </c>
      <c r="H130" s="49" t="s">
        <v>2486</v>
      </c>
      <c r="I130" s="49" t="s">
        <v>2488</v>
      </c>
      <c r="J130" s="49" t="s">
        <v>2021</v>
      </c>
      <c r="K130" s="49" t="s">
        <v>2489</v>
      </c>
      <c r="L130" s="45"/>
      <c r="M130" s="45"/>
      <c r="N130" s="45"/>
      <c r="O130" s="45"/>
      <c r="P130" s="45"/>
      <c r="Q130" s="45"/>
      <c r="R130" s="45"/>
      <c r="S130" s="45"/>
      <c r="T130" s="45"/>
      <c r="U130" s="45"/>
      <c r="V130" s="45"/>
      <c r="W130" s="45"/>
      <c r="X130" s="45"/>
      <c r="Y130" s="45"/>
      <c r="Z130" s="45"/>
    </row>
    <row r="131">
      <c r="A131" s="46">
        <v>31.0</v>
      </c>
      <c r="B131" s="47" t="s">
        <v>1595</v>
      </c>
      <c r="C131" s="48" t="s">
        <v>1481</v>
      </c>
      <c r="D131" s="47" t="s">
        <v>485</v>
      </c>
      <c r="E131" s="49" t="s">
        <v>100</v>
      </c>
      <c r="F131" s="49" t="s">
        <v>3245</v>
      </c>
      <c r="G131" s="49" t="s">
        <v>2486</v>
      </c>
      <c r="H131" s="49" t="s">
        <v>2486</v>
      </c>
      <c r="I131" s="49" t="s">
        <v>2488</v>
      </c>
      <c r="J131" s="49" t="s">
        <v>2044</v>
      </c>
      <c r="K131" s="49" t="s">
        <v>2489</v>
      </c>
      <c r="L131" s="45"/>
      <c r="M131" s="45"/>
      <c r="N131" s="45"/>
      <c r="O131" s="45"/>
      <c r="P131" s="45"/>
      <c r="Q131" s="45"/>
      <c r="R131" s="45"/>
      <c r="S131" s="45"/>
      <c r="T131" s="45"/>
      <c r="U131" s="45"/>
      <c r="V131" s="45"/>
      <c r="W131" s="45"/>
      <c r="X131" s="45"/>
      <c r="Y131" s="45"/>
      <c r="Z131" s="45"/>
    </row>
    <row r="132">
      <c r="A132" s="46">
        <v>31.0</v>
      </c>
      <c r="B132" s="47" t="s">
        <v>1595</v>
      </c>
      <c r="C132" s="48" t="s">
        <v>1481</v>
      </c>
      <c r="D132" s="47" t="s">
        <v>1169</v>
      </c>
      <c r="E132" s="49" t="s">
        <v>100</v>
      </c>
      <c r="F132" s="49" t="s">
        <v>3251</v>
      </c>
      <c r="G132" s="49" t="s">
        <v>2486</v>
      </c>
      <c r="H132" s="49" t="s">
        <v>2486</v>
      </c>
      <c r="I132" s="49" t="s">
        <v>2488</v>
      </c>
      <c r="J132" s="49" t="s">
        <v>3252</v>
      </c>
      <c r="K132" s="49" t="s">
        <v>2489</v>
      </c>
      <c r="L132" s="45"/>
      <c r="M132" s="45"/>
      <c r="N132" s="45"/>
      <c r="O132" s="45"/>
      <c r="P132" s="45"/>
      <c r="Q132" s="45"/>
      <c r="R132" s="45"/>
      <c r="S132" s="45"/>
      <c r="T132" s="45"/>
      <c r="U132" s="45"/>
      <c r="V132" s="45"/>
      <c r="W132" s="45"/>
      <c r="X132" s="45"/>
      <c r="Y132" s="45"/>
      <c r="Z132" s="45"/>
    </row>
    <row r="133">
      <c r="A133" s="46">
        <v>31.0</v>
      </c>
      <c r="B133" s="47" t="s">
        <v>1595</v>
      </c>
      <c r="C133" s="48" t="s">
        <v>1481</v>
      </c>
      <c r="D133" s="47" t="s">
        <v>1103</v>
      </c>
      <c r="E133" s="49" t="s">
        <v>135</v>
      </c>
      <c r="F133" s="49" t="s">
        <v>3253</v>
      </c>
      <c r="G133" s="49" t="s">
        <v>2486</v>
      </c>
      <c r="H133" s="49" t="s">
        <v>2486</v>
      </c>
      <c r="I133" s="49" t="s">
        <v>2488</v>
      </c>
      <c r="J133" s="49" t="s">
        <v>2044</v>
      </c>
      <c r="K133" s="49" t="s">
        <v>2489</v>
      </c>
      <c r="L133" s="45"/>
      <c r="M133" s="45"/>
      <c r="N133" s="45"/>
      <c r="O133" s="45"/>
      <c r="P133" s="45"/>
      <c r="Q133" s="45"/>
      <c r="R133" s="45"/>
      <c r="S133" s="45"/>
      <c r="T133" s="45"/>
      <c r="U133" s="45"/>
      <c r="V133" s="45"/>
      <c r="W133" s="45"/>
      <c r="X133" s="45"/>
      <c r="Y133" s="45"/>
      <c r="Z133" s="45"/>
    </row>
    <row r="134">
      <c r="A134" s="46">
        <v>31.0</v>
      </c>
      <c r="B134" s="47" t="s">
        <v>1595</v>
      </c>
      <c r="C134" s="48" t="s">
        <v>1481</v>
      </c>
      <c r="D134" s="47" t="s">
        <v>876</v>
      </c>
      <c r="E134" s="49" t="s">
        <v>135</v>
      </c>
      <c r="F134" s="49" t="s">
        <v>3257</v>
      </c>
      <c r="G134" s="49" t="s">
        <v>2486</v>
      </c>
      <c r="H134" s="49" t="s">
        <v>2486</v>
      </c>
      <c r="I134" s="49" t="s">
        <v>2488</v>
      </c>
      <c r="J134" s="49" t="s">
        <v>3252</v>
      </c>
      <c r="K134" s="49" t="s">
        <v>2489</v>
      </c>
      <c r="L134" s="45"/>
      <c r="M134" s="45"/>
      <c r="N134" s="45"/>
      <c r="O134" s="45"/>
      <c r="P134" s="45"/>
      <c r="Q134" s="45"/>
      <c r="R134" s="45"/>
      <c r="S134" s="45"/>
      <c r="T134" s="45"/>
      <c r="U134" s="45"/>
      <c r="V134" s="45"/>
      <c r="W134" s="45"/>
      <c r="X134" s="45"/>
      <c r="Y134" s="45"/>
      <c r="Z134" s="45"/>
    </row>
    <row r="135">
      <c r="A135" s="46">
        <v>31.0</v>
      </c>
      <c r="B135" s="47" t="s">
        <v>1595</v>
      </c>
      <c r="C135" s="48" t="s">
        <v>1481</v>
      </c>
      <c r="D135" s="47" t="s">
        <v>371</v>
      </c>
      <c r="E135" s="49" t="s">
        <v>135</v>
      </c>
      <c r="F135" s="49" t="s">
        <v>3260</v>
      </c>
      <c r="G135" s="49" t="s">
        <v>2486</v>
      </c>
      <c r="H135" s="49" t="s">
        <v>2486</v>
      </c>
      <c r="I135" s="49" t="s">
        <v>2488</v>
      </c>
      <c r="J135" s="49" t="s">
        <v>2044</v>
      </c>
      <c r="K135" s="49" t="s">
        <v>2489</v>
      </c>
      <c r="L135" s="45"/>
      <c r="M135" s="45"/>
      <c r="N135" s="45"/>
      <c r="O135" s="45"/>
      <c r="P135" s="45"/>
      <c r="Q135" s="45"/>
      <c r="R135" s="45"/>
      <c r="S135" s="45"/>
      <c r="T135" s="45"/>
      <c r="U135" s="45"/>
      <c r="V135" s="45"/>
      <c r="W135" s="45"/>
      <c r="X135" s="45"/>
      <c r="Y135" s="45"/>
      <c r="Z135" s="45"/>
    </row>
    <row r="136">
      <c r="A136" s="46">
        <v>32.0</v>
      </c>
      <c r="B136" s="47" t="s">
        <v>990</v>
      </c>
      <c r="C136" s="48" t="s">
        <v>1481</v>
      </c>
      <c r="D136" s="47" t="s">
        <v>444</v>
      </c>
      <c r="E136" s="49" t="s">
        <v>100</v>
      </c>
      <c r="F136" s="49" t="s">
        <v>3263</v>
      </c>
      <c r="G136" s="49" t="s">
        <v>2486</v>
      </c>
      <c r="H136" s="49" t="s">
        <v>2486</v>
      </c>
      <c r="I136" s="49" t="s">
        <v>2488</v>
      </c>
      <c r="J136" s="49" t="s">
        <v>2059</v>
      </c>
      <c r="K136" s="49" t="s">
        <v>2545</v>
      </c>
      <c r="L136" s="45"/>
      <c r="M136" s="45"/>
      <c r="N136" s="45"/>
      <c r="O136" s="45"/>
      <c r="P136" s="45"/>
      <c r="Q136" s="45"/>
      <c r="R136" s="45"/>
      <c r="S136" s="45"/>
      <c r="T136" s="45"/>
      <c r="U136" s="45"/>
      <c r="V136" s="45"/>
      <c r="W136" s="45"/>
      <c r="X136" s="45"/>
      <c r="Y136" s="45"/>
      <c r="Z136" s="45"/>
    </row>
    <row r="137">
      <c r="A137" s="46">
        <v>32.0</v>
      </c>
      <c r="B137" s="47" t="s">
        <v>990</v>
      </c>
      <c r="C137" s="48" t="s">
        <v>1481</v>
      </c>
      <c r="D137" s="47" t="s">
        <v>1086</v>
      </c>
      <c r="E137" s="49" t="s">
        <v>135</v>
      </c>
      <c r="F137" s="49" t="s">
        <v>3266</v>
      </c>
      <c r="G137" s="49" t="s">
        <v>2486</v>
      </c>
      <c r="H137" s="49" t="s">
        <v>2486</v>
      </c>
      <c r="I137" s="49" t="s">
        <v>2488</v>
      </c>
      <c r="J137" s="49" t="s">
        <v>3267</v>
      </c>
      <c r="K137" s="49" t="s">
        <v>2489</v>
      </c>
      <c r="L137" s="45"/>
      <c r="M137" s="45"/>
      <c r="N137" s="45"/>
      <c r="O137" s="45"/>
      <c r="P137" s="45"/>
      <c r="Q137" s="45"/>
      <c r="R137" s="45"/>
      <c r="S137" s="45"/>
      <c r="T137" s="45"/>
      <c r="U137" s="45"/>
      <c r="V137" s="45"/>
      <c r="W137" s="45"/>
      <c r="X137" s="45"/>
      <c r="Y137" s="45"/>
      <c r="Z137" s="45"/>
    </row>
    <row r="138">
      <c r="A138" s="46">
        <v>32.0</v>
      </c>
      <c r="B138" s="47" t="s">
        <v>990</v>
      </c>
      <c r="C138" s="48" t="s">
        <v>1481</v>
      </c>
      <c r="D138" s="47" t="s">
        <v>679</v>
      </c>
      <c r="E138" s="49" t="s">
        <v>135</v>
      </c>
      <c r="F138" s="49" t="s">
        <v>3270</v>
      </c>
      <c r="G138" s="49" t="s">
        <v>2486</v>
      </c>
      <c r="H138" s="49" t="s">
        <v>2486</v>
      </c>
      <c r="I138" s="49" t="s">
        <v>2488</v>
      </c>
      <c r="J138" s="49" t="s">
        <v>3271</v>
      </c>
      <c r="K138" s="49" t="s">
        <v>2489</v>
      </c>
      <c r="L138" s="45"/>
      <c r="M138" s="45"/>
      <c r="N138" s="45"/>
      <c r="O138" s="45"/>
      <c r="P138" s="45"/>
      <c r="Q138" s="45"/>
      <c r="R138" s="45"/>
      <c r="S138" s="45"/>
      <c r="T138" s="45"/>
      <c r="U138" s="45"/>
      <c r="V138" s="45"/>
      <c r="W138" s="45"/>
      <c r="X138" s="45"/>
      <c r="Y138" s="45"/>
      <c r="Z138" s="45"/>
    </row>
    <row r="139">
      <c r="A139" s="46">
        <v>32.0</v>
      </c>
      <c r="B139" s="47" t="s">
        <v>990</v>
      </c>
      <c r="C139" s="48" t="s">
        <v>1481</v>
      </c>
      <c r="D139" s="47" t="s">
        <v>875</v>
      </c>
      <c r="E139" s="49" t="s">
        <v>135</v>
      </c>
      <c r="F139" s="49" t="s">
        <v>3276</v>
      </c>
      <c r="G139" s="49" t="s">
        <v>2486</v>
      </c>
      <c r="H139" s="49" t="s">
        <v>2486</v>
      </c>
      <c r="I139" s="49" t="s">
        <v>2488</v>
      </c>
      <c r="J139" s="49" t="s">
        <v>2059</v>
      </c>
      <c r="K139" s="49" t="s">
        <v>2489</v>
      </c>
      <c r="L139" s="45"/>
      <c r="M139" s="45"/>
      <c r="N139" s="45"/>
      <c r="O139" s="45"/>
      <c r="P139" s="45"/>
      <c r="Q139" s="45"/>
      <c r="R139" s="45"/>
      <c r="S139" s="45"/>
      <c r="T139" s="45"/>
      <c r="U139" s="45"/>
      <c r="V139" s="45"/>
      <c r="W139" s="45"/>
      <c r="X139" s="45"/>
      <c r="Y139" s="45"/>
      <c r="Z139" s="45"/>
    </row>
    <row r="140">
      <c r="A140" s="46">
        <v>32.0</v>
      </c>
      <c r="B140" s="47" t="s">
        <v>990</v>
      </c>
      <c r="C140" s="48" t="s">
        <v>1481</v>
      </c>
      <c r="D140" s="47" t="s">
        <v>120</v>
      </c>
      <c r="E140" s="49" t="s">
        <v>135</v>
      </c>
      <c r="F140" s="49" t="s">
        <v>3279</v>
      </c>
      <c r="G140" s="49" t="s">
        <v>2486</v>
      </c>
      <c r="H140" s="49" t="s">
        <v>2486</v>
      </c>
      <c r="I140" s="49" t="s">
        <v>2488</v>
      </c>
      <c r="J140" s="49" t="s">
        <v>3267</v>
      </c>
      <c r="K140" s="49" t="s">
        <v>2489</v>
      </c>
      <c r="L140" s="45"/>
      <c r="M140" s="45"/>
      <c r="N140" s="45"/>
      <c r="O140" s="45"/>
      <c r="P140" s="45"/>
      <c r="Q140" s="45"/>
      <c r="R140" s="45"/>
      <c r="S140" s="45"/>
      <c r="T140" s="45"/>
      <c r="U140" s="45"/>
      <c r="V140" s="45"/>
      <c r="W140" s="45"/>
      <c r="X140" s="45"/>
      <c r="Y140" s="45"/>
      <c r="Z140" s="45"/>
    </row>
    <row r="141">
      <c r="A141" s="46">
        <v>33.0</v>
      </c>
      <c r="B141" s="47" t="s">
        <v>880</v>
      </c>
      <c r="C141" s="48" t="s">
        <v>1481</v>
      </c>
      <c r="D141" s="47" t="s">
        <v>988</v>
      </c>
      <c r="E141" s="49" t="s">
        <v>100</v>
      </c>
      <c r="F141" s="49" t="s">
        <v>3288</v>
      </c>
      <c r="G141" s="49" t="s">
        <v>2486</v>
      </c>
      <c r="H141" s="49" t="s">
        <v>2486</v>
      </c>
      <c r="I141" s="49" t="s">
        <v>2488</v>
      </c>
      <c r="J141" s="49" t="s">
        <v>2078</v>
      </c>
      <c r="K141" s="49" t="s">
        <v>2489</v>
      </c>
      <c r="L141" s="45"/>
      <c r="M141" s="45"/>
      <c r="N141" s="45"/>
      <c r="O141" s="45"/>
      <c r="P141" s="45"/>
      <c r="Q141" s="45"/>
      <c r="R141" s="45"/>
      <c r="S141" s="45"/>
      <c r="T141" s="45"/>
      <c r="U141" s="45"/>
      <c r="V141" s="45"/>
      <c r="W141" s="45"/>
      <c r="X141" s="45"/>
      <c r="Y141" s="45"/>
      <c r="Z141" s="45"/>
    </row>
    <row r="142">
      <c r="A142" s="46">
        <v>33.0</v>
      </c>
      <c r="B142" s="47" t="s">
        <v>880</v>
      </c>
      <c r="C142" s="48" t="s">
        <v>1481</v>
      </c>
      <c r="D142" s="47" t="s">
        <v>1249</v>
      </c>
      <c r="E142" s="49" t="s">
        <v>100</v>
      </c>
      <c r="F142" s="49" t="s">
        <v>3293</v>
      </c>
      <c r="G142" s="49" t="s">
        <v>2486</v>
      </c>
      <c r="H142" s="49" t="s">
        <v>2486</v>
      </c>
      <c r="I142" s="49" t="s">
        <v>2488</v>
      </c>
      <c r="J142" s="49" t="s">
        <v>3294</v>
      </c>
      <c r="K142" s="49" t="s">
        <v>2489</v>
      </c>
      <c r="L142" s="45"/>
      <c r="M142" s="45"/>
      <c r="N142" s="45"/>
      <c r="O142" s="45"/>
      <c r="P142" s="45"/>
      <c r="Q142" s="45"/>
      <c r="R142" s="45"/>
      <c r="S142" s="45"/>
      <c r="T142" s="45"/>
      <c r="U142" s="45"/>
      <c r="V142" s="45"/>
      <c r="W142" s="45"/>
      <c r="X142" s="45"/>
      <c r="Y142" s="45"/>
      <c r="Z142" s="45"/>
    </row>
    <row r="143">
      <c r="A143" s="46">
        <v>33.0</v>
      </c>
      <c r="B143" s="47" t="s">
        <v>880</v>
      </c>
      <c r="C143" s="48" t="s">
        <v>1481</v>
      </c>
      <c r="D143" s="47" t="s">
        <v>1090</v>
      </c>
      <c r="E143" s="49" t="s">
        <v>100</v>
      </c>
      <c r="F143" s="49" t="s">
        <v>3301</v>
      </c>
      <c r="G143" s="49" t="s">
        <v>2486</v>
      </c>
      <c r="H143" s="49" t="s">
        <v>2486</v>
      </c>
      <c r="I143" s="49" t="s">
        <v>2488</v>
      </c>
      <c r="J143" s="49" t="s">
        <v>2078</v>
      </c>
      <c r="K143" s="49" t="s">
        <v>2489</v>
      </c>
      <c r="L143" s="45"/>
      <c r="M143" s="45"/>
      <c r="N143" s="45"/>
      <c r="O143" s="45"/>
      <c r="P143" s="45"/>
      <c r="Q143" s="45"/>
      <c r="R143" s="45"/>
      <c r="S143" s="45"/>
      <c r="T143" s="45"/>
      <c r="U143" s="45"/>
      <c r="V143" s="45"/>
      <c r="W143" s="45"/>
      <c r="X143" s="45"/>
      <c r="Y143" s="45"/>
      <c r="Z143" s="45"/>
    </row>
    <row r="144">
      <c r="A144" s="46">
        <v>33.0</v>
      </c>
      <c r="B144" s="47" t="s">
        <v>880</v>
      </c>
      <c r="C144" s="48" t="s">
        <v>1481</v>
      </c>
      <c r="D144" s="47" t="s">
        <v>1120</v>
      </c>
      <c r="E144" s="49" t="s">
        <v>135</v>
      </c>
      <c r="F144" s="49" t="s">
        <v>3306</v>
      </c>
      <c r="G144" s="49" t="s">
        <v>2486</v>
      </c>
      <c r="H144" s="49" t="s">
        <v>2486</v>
      </c>
      <c r="I144" s="49" t="s">
        <v>2488</v>
      </c>
      <c r="J144" s="49" t="s">
        <v>3294</v>
      </c>
      <c r="K144" s="49" t="s">
        <v>2489</v>
      </c>
      <c r="L144" s="45"/>
      <c r="M144" s="45"/>
      <c r="N144" s="45"/>
      <c r="O144" s="45"/>
      <c r="P144" s="45"/>
      <c r="Q144" s="45"/>
      <c r="R144" s="45"/>
      <c r="S144" s="45"/>
      <c r="T144" s="45"/>
      <c r="U144" s="45"/>
      <c r="V144" s="45"/>
      <c r="W144" s="45"/>
      <c r="X144" s="45"/>
      <c r="Y144" s="45"/>
      <c r="Z144" s="45"/>
    </row>
    <row r="145">
      <c r="A145" s="46">
        <v>33.0</v>
      </c>
      <c r="B145" s="47" t="s">
        <v>880</v>
      </c>
      <c r="C145" s="48" t="s">
        <v>1481</v>
      </c>
      <c r="D145" s="47" t="s">
        <v>888</v>
      </c>
      <c r="E145" s="49" t="s">
        <v>135</v>
      </c>
      <c r="F145" s="49" t="s">
        <v>3311</v>
      </c>
      <c r="G145" s="49" t="s">
        <v>2486</v>
      </c>
      <c r="H145" s="49" t="s">
        <v>2486</v>
      </c>
      <c r="I145" s="49" t="s">
        <v>2488</v>
      </c>
      <c r="J145" s="49" t="s">
        <v>2078</v>
      </c>
      <c r="K145" s="49" t="s">
        <v>2489</v>
      </c>
      <c r="L145" s="45"/>
      <c r="M145" s="45"/>
      <c r="N145" s="45"/>
      <c r="O145" s="45"/>
      <c r="P145" s="45"/>
      <c r="Q145" s="45"/>
      <c r="R145" s="45"/>
      <c r="S145" s="45"/>
      <c r="T145" s="45"/>
      <c r="U145" s="45"/>
      <c r="V145" s="45"/>
      <c r="W145" s="45"/>
      <c r="X145" s="45"/>
      <c r="Y145" s="45"/>
      <c r="Z145" s="45"/>
    </row>
    <row r="146">
      <c r="A146" s="46">
        <v>34.0</v>
      </c>
      <c r="B146" s="47" t="s">
        <v>1225</v>
      </c>
      <c r="C146" s="48" t="s">
        <v>1481</v>
      </c>
      <c r="D146" s="47" t="s">
        <v>1104</v>
      </c>
      <c r="E146" s="49" t="s">
        <v>100</v>
      </c>
      <c r="F146" s="49" t="s">
        <v>3318</v>
      </c>
      <c r="G146" s="49" t="s">
        <v>2486</v>
      </c>
      <c r="H146" s="49" t="s">
        <v>2486</v>
      </c>
      <c r="I146" s="49" t="s">
        <v>2488</v>
      </c>
      <c r="J146" s="49" t="s">
        <v>2103</v>
      </c>
      <c r="K146" s="49" t="s">
        <v>2545</v>
      </c>
      <c r="L146" s="45"/>
      <c r="M146" s="45"/>
      <c r="N146" s="45"/>
      <c r="O146" s="45"/>
      <c r="P146" s="45"/>
      <c r="Q146" s="45"/>
      <c r="R146" s="45"/>
      <c r="S146" s="45"/>
      <c r="T146" s="45"/>
      <c r="U146" s="45"/>
      <c r="V146" s="45"/>
      <c r="W146" s="45"/>
      <c r="X146" s="45"/>
      <c r="Y146" s="45"/>
      <c r="Z146" s="45"/>
    </row>
    <row r="147">
      <c r="A147" s="46">
        <v>34.0</v>
      </c>
      <c r="B147" s="47" t="s">
        <v>1225</v>
      </c>
      <c r="C147" s="48" t="s">
        <v>1481</v>
      </c>
      <c r="D147" s="47" t="s">
        <v>682</v>
      </c>
      <c r="E147" s="49" t="s">
        <v>135</v>
      </c>
      <c r="F147" s="49" t="s">
        <v>3325</v>
      </c>
      <c r="G147" s="49" t="s">
        <v>2486</v>
      </c>
      <c r="H147" s="49" t="s">
        <v>2486</v>
      </c>
      <c r="I147" s="49" t="s">
        <v>2488</v>
      </c>
      <c r="J147" s="49" t="s">
        <v>3326</v>
      </c>
      <c r="K147" s="49" t="s">
        <v>2545</v>
      </c>
      <c r="L147" s="45"/>
      <c r="M147" s="45"/>
      <c r="N147" s="45"/>
      <c r="O147" s="45"/>
      <c r="P147" s="45"/>
      <c r="Q147" s="45"/>
      <c r="R147" s="45"/>
      <c r="S147" s="45"/>
      <c r="T147" s="45"/>
      <c r="U147" s="45"/>
      <c r="V147" s="45"/>
      <c r="W147" s="45"/>
      <c r="X147" s="45"/>
      <c r="Y147" s="45"/>
      <c r="Z147" s="45"/>
    </row>
    <row r="148">
      <c r="A148" s="46">
        <v>34.0</v>
      </c>
      <c r="B148" s="47" t="s">
        <v>1225</v>
      </c>
      <c r="C148" s="48" t="s">
        <v>1481</v>
      </c>
      <c r="D148" s="47" t="s">
        <v>308</v>
      </c>
      <c r="E148" s="49" t="s">
        <v>135</v>
      </c>
      <c r="F148" s="49" t="s">
        <v>3333</v>
      </c>
      <c r="G148" s="49" t="s">
        <v>2486</v>
      </c>
      <c r="H148" s="49" t="s">
        <v>2486</v>
      </c>
      <c r="I148" s="49" t="s">
        <v>2488</v>
      </c>
      <c r="J148" s="49" t="s">
        <v>2103</v>
      </c>
      <c r="K148" s="49" t="s">
        <v>2545</v>
      </c>
      <c r="L148" s="45"/>
      <c r="M148" s="45"/>
      <c r="N148" s="45"/>
      <c r="O148" s="45"/>
      <c r="P148" s="45"/>
      <c r="Q148" s="45"/>
      <c r="R148" s="45"/>
      <c r="S148" s="45"/>
      <c r="T148" s="45"/>
      <c r="U148" s="45"/>
      <c r="V148" s="45"/>
      <c r="W148" s="45"/>
      <c r="X148" s="45"/>
      <c r="Y148" s="45"/>
      <c r="Z148" s="45"/>
    </row>
    <row r="149">
      <c r="A149" s="46">
        <v>35.0</v>
      </c>
      <c r="B149" s="47" t="s">
        <v>51</v>
      </c>
      <c r="C149" s="48" t="s">
        <v>1481</v>
      </c>
      <c r="D149" s="47" t="s">
        <v>524</v>
      </c>
      <c r="E149" s="49" t="s">
        <v>100</v>
      </c>
      <c r="F149" s="49" t="s">
        <v>3338</v>
      </c>
      <c r="G149" s="49" t="s">
        <v>2486</v>
      </c>
      <c r="H149" s="49" t="s">
        <v>2486</v>
      </c>
      <c r="I149" s="49" t="s">
        <v>2488</v>
      </c>
      <c r="J149" s="49" t="s">
        <v>2134</v>
      </c>
      <c r="K149" s="49" t="s">
        <v>2489</v>
      </c>
      <c r="L149" s="45"/>
      <c r="M149" s="45"/>
      <c r="N149" s="45"/>
      <c r="O149" s="45"/>
      <c r="P149" s="45"/>
      <c r="Q149" s="45"/>
      <c r="R149" s="45"/>
      <c r="S149" s="45"/>
      <c r="T149" s="45"/>
      <c r="U149" s="45"/>
      <c r="V149" s="45"/>
      <c r="W149" s="45"/>
      <c r="X149" s="45"/>
      <c r="Y149" s="45"/>
      <c r="Z149" s="45"/>
    </row>
    <row r="150">
      <c r="A150" s="46">
        <v>35.0</v>
      </c>
      <c r="B150" s="47" t="s">
        <v>51</v>
      </c>
      <c r="C150" s="48" t="s">
        <v>1481</v>
      </c>
      <c r="D150" s="47" t="s">
        <v>10</v>
      </c>
      <c r="E150" s="49" t="s">
        <v>100</v>
      </c>
      <c r="F150" s="49" t="s">
        <v>3344</v>
      </c>
      <c r="G150" s="49" t="s">
        <v>2486</v>
      </c>
      <c r="H150" s="49" t="s">
        <v>2486</v>
      </c>
      <c r="I150" s="49" t="s">
        <v>2488</v>
      </c>
      <c r="J150" s="49" t="s">
        <v>3345</v>
      </c>
      <c r="K150" s="49" t="s">
        <v>2489</v>
      </c>
      <c r="L150" s="45"/>
      <c r="M150" s="45"/>
      <c r="N150" s="45"/>
      <c r="O150" s="45"/>
      <c r="P150" s="45"/>
      <c r="Q150" s="45"/>
      <c r="R150" s="45"/>
      <c r="S150" s="45"/>
      <c r="T150" s="45"/>
      <c r="U150" s="45"/>
      <c r="V150" s="45"/>
      <c r="W150" s="45"/>
      <c r="X150" s="45"/>
      <c r="Y150" s="45"/>
      <c r="Z150" s="45"/>
    </row>
    <row r="151">
      <c r="A151" s="46">
        <v>35.0</v>
      </c>
      <c r="B151" s="47" t="s">
        <v>51</v>
      </c>
      <c r="C151" s="48" t="s">
        <v>1481</v>
      </c>
      <c r="D151" s="47" t="s">
        <v>868</v>
      </c>
      <c r="E151" s="49" t="s">
        <v>100</v>
      </c>
      <c r="F151" s="49" t="s">
        <v>3350</v>
      </c>
      <c r="G151" s="49" t="s">
        <v>2486</v>
      </c>
      <c r="H151" s="49" t="s">
        <v>2486</v>
      </c>
      <c r="I151" s="49" t="s">
        <v>2488</v>
      </c>
      <c r="J151" s="49" t="s">
        <v>3351</v>
      </c>
      <c r="K151" s="49" t="s">
        <v>2489</v>
      </c>
      <c r="L151" s="45"/>
      <c r="M151" s="45"/>
      <c r="N151" s="45"/>
      <c r="O151" s="45"/>
      <c r="P151" s="45"/>
      <c r="Q151" s="45"/>
      <c r="R151" s="45"/>
      <c r="S151" s="45"/>
      <c r="T151" s="45"/>
      <c r="U151" s="45"/>
      <c r="V151" s="45"/>
      <c r="W151" s="45"/>
      <c r="X151" s="45"/>
      <c r="Y151" s="45"/>
      <c r="Z151" s="45"/>
    </row>
    <row r="152">
      <c r="A152" s="46">
        <v>35.0</v>
      </c>
      <c r="B152" s="47" t="s">
        <v>51</v>
      </c>
      <c r="C152" s="48" t="s">
        <v>1481</v>
      </c>
      <c r="D152" s="47" t="s">
        <v>877</v>
      </c>
      <c r="E152" s="49" t="s">
        <v>100</v>
      </c>
      <c r="F152" s="49" t="s">
        <v>3356</v>
      </c>
      <c r="G152" s="49" t="s">
        <v>2486</v>
      </c>
      <c r="H152" s="49" t="s">
        <v>2486</v>
      </c>
      <c r="I152" s="49" t="s">
        <v>2488</v>
      </c>
      <c r="J152" s="49" t="s">
        <v>2134</v>
      </c>
      <c r="K152" s="49" t="s">
        <v>2514</v>
      </c>
      <c r="L152" s="45"/>
      <c r="M152" s="45"/>
      <c r="N152" s="45"/>
      <c r="O152" s="45"/>
      <c r="P152" s="45"/>
      <c r="Q152" s="45"/>
      <c r="R152" s="45"/>
      <c r="S152" s="45"/>
      <c r="T152" s="45"/>
      <c r="U152" s="45"/>
      <c r="V152" s="45"/>
      <c r="W152" s="45"/>
      <c r="X152" s="45"/>
      <c r="Y152" s="45"/>
      <c r="Z152" s="45"/>
    </row>
    <row r="153">
      <c r="A153" s="46">
        <v>35.0</v>
      </c>
      <c r="B153" s="47" t="s">
        <v>51</v>
      </c>
      <c r="C153" s="48" t="s">
        <v>1481</v>
      </c>
      <c r="D153" s="47" t="s">
        <v>1063</v>
      </c>
      <c r="E153" s="49" t="s">
        <v>100</v>
      </c>
      <c r="F153" s="49" t="s">
        <v>3362</v>
      </c>
      <c r="G153" s="49" t="s">
        <v>2486</v>
      </c>
      <c r="H153" s="49" t="s">
        <v>2486</v>
      </c>
      <c r="I153" s="49" t="s">
        <v>2488</v>
      </c>
      <c r="J153" s="49" t="s">
        <v>3345</v>
      </c>
      <c r="K153" s="49" t="s">
        <v>2489</v>
      </c>
      <c r="L153" s="45"/>
      <c r="M153" s="45"/>
      <c r="N153" s="45"/>
      <c r="O153" s="45"/>
      <c r="P153" s="45"/>
      <c r="Q153" s="45"/>
      <c r="R153" s="45"/>
      <c r="S153" s="45"/>
      <c r="T153" s="45"/>
      <c r="U153" s="45"/>
      <c r="V153" s="45"/>
      <c r="W153" s="45"/>
      <c r="X153" s="45"/>
      <c r="Y153" s="45"/>
      <c r="Z153" s="45"/>
    </row>
    <row r="154">
      <c r="A154" s="46">
        <v>36.0</v>
      </c>
      <c r="B154" s="47" t="s">
        <v>1126</v>
      </c>
      <c r="C154" s="48" t="s">
        <v>1634</v>
      </c>
      <c r="D154" s="47" t="s">
        <v>889</v>
      </c>
      <c r="E154" s="49" t="s">
        <v>100</v>
      </c>
      <c r="F154" s="49" t="s">
        <v>3372</v>
      </c>
      <c r="G154" s="49" t="s">
        <v>2486</v>
      </c>
      <c r="H154" s="49" t="s">
        <v>2486</v>
      </c>
      <c r="I154" s="49" t="s">
        <v>2488</v>
      </c>
      <c r="J154" s="49" t="s">
        <v>2161</v>
      </c>
      <c r="K154" s="49" t="s">
        <v>2489</v>
      </c>
      <c r="L154" s="45"/>
      <c r="M154" s="45"/>
      <c r="N154" s="45"/>
      <c r="O154" s="45"/>
      <c r="P154" s="45"/>
      <c r="Q154" s="45"/>
      <c r="R154" s="45"/>
      <c r="S154" s="45"/>
      <c r="T154" s="45"/>
      <c r="U154" s="45"/>
      <c r="V154" s="45"/>
      <c r="W154" s="45"/>
      <c r="X154" s="45"/>
      <c r="Y154" s="45"/>
      <c r="Z154" s="45"/>
    </row>
    <row r="155">
      <c r="A155" s="46">
        <v>36.0</v>
      </c>
      <c r="B155" s="47" t="s">
        <v>1126</v>
      </c>
      <c r="C155" s="48" t="s">
        <v>1634</v>
      </c>
      <c r="D155" s="47" t="s">
        <v>1005</v>
      </c>
      <c r="E155" s="49" t="s">
        <v>100</v>
      </c>
      <c r="F155" s="49" t="s">
        <v>3378</v>
      </c>
      <c r="G155" s="49" t="s">
        <v>2486</v>
      </c>
      <c r="H155" s="49" t="s">
        <v>2486</v>
      </c>
      <c r="I155" s="49" t="s">
        <v>2488</v>
      </c>
      <c r="J155" s="49" t="s">
        <v>3379</v>
      </c>
      <c r="K155" s="49" t="s">
        <v>2489</v>
      </c>
      <c r="L155" s="45"/>
      <c r="M155" s="45"/>
      <c r="N155" s="45"/>
      <c r="O155" s="45"/>
      <c r="P155" s="45"/>
      <c r="Q155" s="45"/>
      <c r="R155" s="45"/>
      <c r="S155" s="45"/>
      <c r="T155" s="45"/>
      <c r="U155" s="45"/>
      <c r="V155" s="45"/>
      <c r="W155" s="45"/>
      <c r="X155" s="45"/>
      <c r="Y155" s="45"/>
      <c r="Z155" s="45"/>
    </row>
    <row r="156">
      <c r="A156" s="46">
        <v>36.0</v>
      </c>
      <c r="B156" s="47" t="s">
        <v>1126</v>
      </c>
      <c r="C156" s="48" t="s">
        <v>1634</v>
      </c>
      <c r="D156" s="47" t="s">
        <v>1001</v>
      </c>
      <c r="E156" s="49" t="s">
        <v>100</v>
      </c>
      <c r="F156" s="49" t="s">
        <v>3386</v>
      </c>
      <c r="G156" s="49" t="s">
        <v>2486</v>
      </c>
      <c r="H156" s="49" t="s">
        <v>2486</v>
      </c>
      <c r="I156" s="49" t="s">
        <v>2488</v>
      </c>
      <c r="J156" s="49" t="s">
        <v>2161</v>
      </c>
      <c r="K156" s="49" t="s">
        <v>2489</v>
      </c>
      <c r="L156" s="45"/>
      <c r="M156" s="45"/>
      <c r="N156" s="45"/>
      <c r="O156" s="45"/>
      <c r="P156" s="45"/>
      <c r="Q156" s="45"/>
      <c r="R156" s="45"/>
      <c r="S156" s="45"/>
      <c r="T156" s="45"/>
      <c r="U156" s="45"/>
      <c r="V156" s="45"/>
      <c r="W156" s="45"/>
      <c r="X156" s="45"/>
      <c r="Y156" s="45"/>
      <c r="Z156" s="45"/>
    </row>
    <row r="157">
      <c r="A157" s="46">
        <v>36.0</v>
      </c>
      <c r="B157" s="47" t="s">
        <v>1126</v>
      </c>
      <c r="C157" s="48" t="s">
        <v>1634</v>
      </c>
      <c r="D157" s="47" t="s">
        <v>1147</v>
      </c>
      <c r="E157" s="49" t="s">
        <v>100</v>
      </c>
      <c r="F157" s="49" t="s">
        <v>3394</v>
      </c>
      <c r="G157" s="49" t="s">
        <v>2486</v>
      </c>
      <c r="H157" s="49" t="s">
        <v>2486</v>
      </c>
      <c r="I157" s="49" t="s">
        <v>2488</v>
      </c>
      <c r="J157" s="49" t="s">
        <v>3379</v>
      </c>
      <c r="K157" s="49" t="s">
        <v>2489</v>
      </c>
      <c r="L157" s="45"/>
      <c r="M157" s="45"/>
      <c r="N157" s="45"/>
      <c r="O157" s="45"/>
      <c r="P157" s="45"/>
      <c r="Q157" s="45"/>
      <c r="R157" s="45"/>
      <c r="S157" s="45"/>
      <c r="T157" s="45"/>
      <c r="U157" s="45"/>
      <c r="V157" s="45"/>
      <c r="W157" s="45"/>
      <c r="X157" s="45"/>
      <c r="Y157" s="45"/>
      <c r="Z157" s="45"/>
    </row>
    <row r="158">
      <c r="A158" s="46">
        <v>36.0</v>
      </c>
      <c r="B158" s="47" t="s">
        <v>1126</v>
      </c>
      <c r="C158" s="48" t="s">
        <v>1634</v>
      </c>
      <c r="D158" s="47" t="s">
        <v>160</v>
      </c>
      <c r="E158" s="49" t="s">
        <v>135</v>
      </c>
      <c r="F158" s="49" t="s">
        <v>3400</v>
      </c>
      <c r="G158" s="49" t="s">
        <v>2486</v>
      </c>
      <c r="H158" s="49" t="s">
        <v>2486</v>
      </c>
      <c r="I158" s="49" t="s">
        <v>2488</v>
      </c>
      <c r="J158" s="49" t="s">
        <v>2161</v>
      </c>
      <c r="K158" s="49" t="s">
        <v>2489</v>
      </c>
      <c r="L158" s="45"/>
      <c r="M158" s="45"/>
      <c r="N158" s="45"/>
      <c r="O158" s="45"/>
      <c r="P158" s="45"/>
      <c r="Q158" s="45"/>
      <c r="R158" s="45"/>
      <c r="S158" s="45"/>
      <c r="T158" s="45"/>
      <c r="U158" s="45"/>
      <c r="V158" s="45"/>
      <c r="W158" s="45"/>
      <c r="X158" s="45"/>
      <c r="Y158" s="45"/>
      <c r="Z158" s="45"/>
    </row>
    <row r="159">
      <c r="A159" s="46">
        <v>37.0</v>
      </c>
      <c r="B159" s="47" t="s">
        <v>855</v>
      </c>
      <c r="C159" s="48" t="s">
        <v>1634</v>
      </c>
      <c r="D159" s="47" t="s">
        <v>1121</v>
      </c>
      <c r="E159" s="49" t="s">
        <v>100</v>
      </c>
      <c r="F159" s="49" t="s">
        <v>3403</v>
      </c>
      <c r="G159" s="49" t="s">
        <v>2486</v>
      </c>
      <c r="H159" s="49" t="s">
        <v>2486</v>
      </c>
      <c r="I159" s="49" t="s">
        <v>2488</v>
      </c>
      <c r="J159" s="49" t="s">
        <v>2189</v>
      </c>
      <c r="K159" s="49" t="s">
        <v>2489</v>
      </c>
      <c r="L159" s="45"/>
      <c r="M159" s="45"/>
      <c r="N159" s="45"/>
      <c r="O159" s="45"/>
      <c r="P159" s="45"/>
      <c r="Q159" s="45"/>
      <c r="R159" s="45"/>
      <c r="S159" s="45"/>
      <c r="T159" s="45"/>
      <c r="U159" s="45"/>
      <c r="V159" s="45"/>
      <c r="W159" s="45"/>
      <c r="X159" s="45"/>
      <c r="Y159" s="45"/>
      <c r="Z159" s="45"/>
    </row>
    <row r="160">
      <c r="A160" s="46">
        <v>37.0</v>
      </c>
      <c r="B160" s="47" t="s">
        <v>855</v>
      </c>
      <c r="C160" s="48" t="s">
        <v>1634</v>
      </c>
      <c r="D160" s="47" t="s">
        <v>1124</v>
      </c>
      <c r="E160" s="49" t="s">
        <v>135</v>
      </c>
      <c r="F160" s="49" t="s">
        <v>3406</v>
      </c>
      <c r="G160" s="49" t="s">
        <v>2486</v>
      </c>
      <c r="H160" s="49" t="s">
        <v>2486</v>
      </c>
      <c r="I160" s="49" t="s">
        <v>2488</v>
      </c>
      <c r="J160" s="49" t="s">
        <v>3407</v>
      </c>
      <c r="K160" s="49" t="s">
        <v>2489</v>
      </c>
      <c r="L160" s="45"/>
      <c r="M160" s="45"/>
      <c r="N160" s="45"/>
      <c r="O160" s="45"/>
      <c r="P160" s="45"/>
      <c r="Q160" s="45"/>
      <c r="R160" s="45"/>
      <c r="S160" s="45"/>
      <c r="T160" s="45"/>
      <c r="U160" s="45"/>
      <c r="V160" s="45"/>
      <c r="W160" s="45"/>
      <c r="X160" s="45"/>
      <c r="Y160" s="45"/>
      <c r="Z160" s="45"/>
    </row>
    <row r="161">
      <c r="A161" s="46">
        <v>37.0</v>
      </c>
      <c r="B161" s="47" t="s">
        <v>855</v>
      </c>
      <c r="C161" s="48" t="s">
        <v>1634</v>
      </c>
      <c r="D161" s="47" t="s">
        <v>828</v>
      </c>
      <c r="E161" s="49" t="s">
        <v>135</v>
      </c>
      <c r="F161" s="49" t="s">
        <v>3412</v>
      </c>
      <c r="G161" s="49" t="s">
        <v>2486</v>
      </c>
      <c r="H161" s="49" t="s">
        <v>2486</v>
      </c>
      <c r="I161" s="49" t="s">
        <v>2488</v>
      </c>
      <c r="J161" s="49" t="s">
        <v>3413</v>
      </c>
      <c r="K161" s="49" t="s">
        <v>2489</v>
      </c>
      <c r="L161" s="45"/>
      <c r="M161" s="45"/>
      <c r="N161" s="45"/>
      <c r="O161" s="45"/>
      <c r="P161" s="45"/>
      <c r="Q161" s="45"/>
      <c r="R161" s="45"/>
      <c r="S161" s="45"/>
      <c r="T161" s="45"/>
      <c r="U161" s="45"/>
      <c r="V161" s="45"/>
      <c r="W161" s="45"/>
      <c r="X161" s="45"/>
      <c r="Y161" s="45"/>
      <c r="Z161" s="45"/>
    </row>
    <row r="162">
      <c r="A162" s="46">
        <v>37.0</v>
      </c>
      <c r="B162" s="47" t="s">
        <v>855</v>
      </c>
      <c r="C162" s="48" t="s">
        <v>1634</v>
      </c>
      <c r="D162" s="47" t="s">
        <v>606</v>
      </c>
      <c r="E162" s="49" t="s">
        <v>135</v>
      </c>
      <c r="F162" s="49" t="s">
        <v>3417</v>
      </c>
      <c r="G162" s="49" t="s">
        <v>2486</v>
      </c>
      <c r="H162" s="49" t="s">
        <v>2486</v>
      </c>
      <c r="I162" s="49" t="s">
        <v>2488</v>
      </c>
      <c r="J162" s="49" t="s">
        <v>2189</v>
      </c>
      <c r="K162" s="49" t="s">
        <v>2489</v>
      </c>
      <c r="L162" s="45"/>
      <c r="M162" s="45"/>
      <c r="N162" s="45"/>
      <c r="O162" s="45"/>
      <c r="P162" s="45"/>
      <c r="Q162" s="45"/>
      <c r="R162" s="45"/>
      <c r="S162" s="45"/>
      <c r="T162" s="45"/>
      <c r="U162" s="45"/>
      <c r="V162" s="45"/>
      <c r="W162" s="45"/>
      <c r="X162" s="45"/>
      <c r="Y162" s="45"/>
      <c r="Z162" s="45"/>
    </row>
    <row r="163">
      <c r="A163" s="46">
        <v>38.0</v>
      </c>
      <c r="B163" s="47" t="s">
        <v>95</v>
      </c>
      <c r="C163" s="48" t="s">
        <v>1662</v>
      </c>
      <c r="D163" s="47" t="s">
        <v>66</v>
      </c>
      <c r="E163" s="49" t="s">
        <v>100</v>
      </c>
      <c r="F163" s="49" t="s">
        <v>3421</v>
      </c>
      <c r="G163" s="49" t="s">
        <v>2486</v>
      </c>
      <c r="H163" s="49" t="s">
        <v>2486</v>
      </c>
      <c r="I163" s="49" t="s">
        <v>2488</v>
      </c>
      <c r="J163" s="49" t="s">
        <v>2230</v>
      </c>
      <c r="K163" s="49" t="s">
        <v>2489</v>
      </c>
      <c r="L163" s="45"/>
      <c r="M163" s="45"/>
      <c r="N163" s="45"/>
      <c r="O163" s="45"/>
      <c r="P163" s="45"/>
      <c r="Q163" s="45"/>
      <c r="R163" s="45"/>
      <c r="S163" s="45"/>
      <c r="T163" s="45"/>
      <c r="U163" s="45"/>
      <c r="V163" s="45"/>
      <c r="W163" s="45"/>
      <c r="X163" s="45"/>
      <c r="Y163" s="45"/>
      <c r="Z163" s="45"/>
    </row>
    <row r="164">
      <c r="A164" s="46">
        <v>38.0</v>
      </c>
      <c r="B164" s="47" t="s">
        <v>95</v>
      </c>
      <c r="C164" s="48" t="s">
        <v>1662</v>
      </c>
      <c r="D164" s="47" t="s">
        <v>99</v>
      </c>
      <c r="E164" s="49" t="s">
        <v>100</v>
      </c>
      <c r="F164" s="49" t="s">
        <v>3425</v>
      </c>
      <c r="G164" s="49" t="s">
        <v>2486</v>
      </c>
      <c r="H164" s="49" t="s">
        <v>2486</v>
      </c>
      <c r="I164" s="49" t="s">
        <v>2488</v>
      </c>
      <c r="J164" s="49" t="s">
        <v>3426</v>
      </c>
      <c r="K164" s="49" t="s">
        <v>2489</v>
      </c>
      <c r="L164" s="45"/>
      <c r="M164" s="45"/>
      <c r="N164" s="45"/>
      <c r="O164" s="45"/>
      <c r="P164" s="45"/>
      <c r="Q164" s="45"/>
      <c r="R164" s="45"/>
      <c r="S164" s="45"/>
      <c r="T164" s="45"/>
      <c r="U164" s="45"/>
      <c r="V164" s="45"/>
      <c r="W164" s="45"/>
      <c r="X164" s="45"/>
      <c r="Y164" s="45"/>
      <c r="Z164" s="45"/>
    </row>
    <row r="165">
      <c r="A165" s="46">
        <v>38.0</v>
      </c>
      <c r="B165" s="47" t="s">
        <v>95</v>
      </c>
      <c r="C165" s="48" t="s">
        <v>1662</v>
      </c>
      <c r="D165" s="47" t="s">
        <v>61</v>
      </c>
      <c r="E165" s="49" t="s">
        <v>100</v>
      </c>
      <c r="F165" s="49" t="s">
        <v>3430</v>
      </c>
      <c r="G165" s="49" t="s">
        <v>2486</v>
      </c>
      <c r="H165" s="49" t="s">
        <v>2486</v>
      </c>
      <c r="I165" s="49" t="s">
        <v>2488</v>
      </c>
      <c r="J165" s="49" t="s">
        <v>2230</v>
      </c>
      <c r="K165" s="49" t="s">
        <v>2489</v>
      </c>
      <c r="L165" s="45"/>
      <c r="M165" s="45"/>
      <c r="N165" s="45"/>
      <c r="O165" s="45"/>
      <c r="P165" s="45"/>
      <c r="Q165" s="45"/>
      <c r="R165" s="45"/>
      <c r="S165" s="45"/>
      <c r="T165" s="45"/>
      <c r="U165" s="45"/>
      <c r="V165" s="45"/>
      <c r="W165" s="45"/>
      <c r="X165" s="45"/>
      <c r="Y165" s="45"/>
      <c r="Z165" s="45"/>
    </row>
    <row r="166">
      <c r="A166" s="46">
        <v>38.0</v>
      </c>
      <c r="B166" s="47" t="s">
        <v>95</v>
      </c>
      <c r="C166" s="48" t="s">
        <v>1662</v>
      </c>
      <c r="D166" s="47" t="s">
        <v>1374</v>
      </c>
      <c r="E166" s="49" t="s">
        <v>100</v>
      </c>
      <c r="F166" s="49" t="s">
        <v>3434</v>
      </c>
      <c r="G166" s="49" t="s">
        <v>2486</v>
      </c>
      <c r="H166" s="49" t="s">
        <v>2486</v>
      </c>
      <c r="I166" s="49" t="s">
        <v>2488</v>
      </c>
      <c r="J166" s="49" t="s">
        <v>3426</v>
      </c>
      <c r="K166" s="49" t="s">
        <v>2489</v>
      </c>
      <c r="L166" s="45"/>
      <c r="M166" s="45"/>
      <c r="N166" s="45"/>
      <c r="O166" s="45"/>
      <c r="P166" s="45"/>
      <c r="Q166" s="45"/>
      <c r="R166" s="45"/>
      <c r="S166" s="45"/>
      <c r="T166" s="45"/>
      <c r="U166" s="45"/>
      <c r="V166" s="45"/>
      <c r="W166" s="45"/>
      <c r="X166" s="45"/>
      <c r="Y166" s="45"/>
      <c r="Z166" s="45"/>
    </row>
    <row r="167">
      <c r="A167" s="46">
        <v>39.0</v>
      </c>
      <c r="B167" s="47" t="s">
        <v>173</v>
      </c>
      <c r="C167" s="48" t="s">
        <v>1662</v>
      </c>
      <c r="D167" s="47" t="s">
        <v>1254</v>
      </c>
      <c r="E167" s="49" t="s">
        <v>100</v>
      </c>
      <c r="F167" s="49" t="s">
        <v>3441</v>
      </c>
      <c r="G167" s="49" t="s">
        <v>2486</v>
      </c>
      <c r="H167" s="49" t="s">
        <v>2486</v>
      </c>
      <c r="I167" s="49" t="s">
        <v>2488</v>
      </c>
      <c r="J167" s="49" t="s">
        <v>2254</v>
      </c>
      <c r="K167" s="49" t="s">
        <v>2545</v>
      </c>
      <c r="L167" s="45"/>
      <c r="M167" s="45"/>
      <c r="N167" s="45"/>
      <c r="O167" s="45"/>
      <c r="P167" s="45"/>
      <c r="Q167" s="45"/>
      <c r="R167" s="45"/>
      <c r="S167" s="45"/>
      <c r="T167" s="45"/>
      <c r="U167" s="45"/>
      <c r="V167" s="45"/>
      <c r="W167" s="45"/>
      <c r="X167" s="45"/>
      <c r="Y167" s="45"/>
      <c r="Z167" s="45"/>
    </row>
    <row r="168">
      <c r="A168" s="46">
        <v>39.0</v>
      </c>
      <c r="B168" s="47" t="s">
        <v>173</v>
      </c>
      <c r="C168" s="48" t="s">
        <v>1662</v>
      </c>
      <c r="D168" s="47" t="s">
        <v>993</v>
      </c>
      <c r="E168" s="49" t="s">
        <v>100</v>
      </c>
      <c r="F168" s="49" t="s">
        <v>3447</v>
      </c>
      <c r="G168" s="49" t="s">
        <v>2486</v>
      </c>
      <c r="H168" s="49" t="s">
        <v>2486</v>
      </c>
      <c r="I168" s="49" t="s">
        <v>2488</v>
      </c>
      <c r="J168" s="49" t="s">
        <v>3448</v>
      </c>
      <c r="K168" s="49" t="s">
        <v>2545</v>
      </c>
      <c r="L168" s="45"/>
      <c r="M168" s="45"/>
      <c r="N168" s="45"/>
      <c r="O168" s="45"/>
      <c r="P168" s="45"/>
      <c r="Q168" s="45"/>
      <c r="R168" s="45"/>
      <c r="S168" s="45"/>
      <c r="T168" s="45"/>
      <c r="U168" s="45"/>
      <c r="V168" s="45"/>
      <c r="W168" s="45"/>
      <c r="X168" s="45"/>
      <c r="Y168" s="45"/>
      <c r="Z168" s="45"/>
    </row>
    <row r="169">
      <c r="A169" s="46">
        <v>39.0</v>
      </c>
      <c r="B169" s="47" t="s">
        <v>173</v>
      </c>
      <c r="C169" s="48" t="s">
        <v>1662</v>
      </c>
      <c r="D169" s="47" t="s">
        <v>179</v>
      </c>
      <c r="E169" s="49" t="s">
        <v>100</v>
      </c>
      <c r="F169" s="49" t="s">
        <v>3450</v>
      </c>
      <c r="G169" s="49" t="s">
        <v>2486</v>
      </c>
      <c r="H169" s="49" t="s">
        <v>2486</v>
      </c>
      <c r="I169" s="49" t="s">
        <v>2488</v>
      </c>
      <c r="J169" s="49" t="s">
        <v>3452</v>
      </c>
      <c r="K169" s="49" t="s">
        <v>2489</v>
      </c>
      <c r="L169" s="45"/>
      <c r="M169" s="45"/>
      <c r="N169" s="45"/>
      <c r="O169" s="45"/>
      <c r="P169" s="45"/>
      <c r="Q169" s="45"/>
      <c r="R169" s="45"/>
      <c r="S169" s="45"/>
      <c r="T169" s="45"/>
      <c r="U169" s="45"/>
      <c r="V169" s="45"/>
      <c r="W169" s="45"/>
      <c r="X169" s="45"/>
      <c r="Y169" s="45"/>
      <c r="Z169" s="45"/>
    </row>
    <row r="170">
      <c r="A170" s="46">
        <v>39.0</v>
      </c>
      <c r="B170" s="47" t="s">
        <v>173</v>
      </c>
      <c r="C170" s="48" t="s">
        <v>1662</v>
      </c>
      <c r="D170" s="47" t="s">
        <v>898</v>
      </c>
      <c r="E170" s="49" t="s">
        <v>135</v>
      </c>
      <c r="F170" s="49" t="s">
        <v>3460</v>
      </c>
      <c r="G170" s="49" t="s">
        <v>2486</v>
      </c>
      <c r="H170" s="49" t="s">
        <v>2486</v>
      </c>
      <c r="I170" s="49" t="s">
        <v>2488</v>
      </c>
      <c r="J170" s="49" t="s">
        <v>2254</v>
      </c>
      <c r="K170" s="49" t="s">
        <v>2489</v>
      </c>
      <c r="L170" s="45"/>
      <c r="M170" s="45"/>
      <c r="N170" s="45"/>
      <c r="O170" s="45"/>
      <c r="P170" s="45"/>
      <c r="Q170" s="45"/>
      <c r="R170" s="45"/>
      <c r="S170" s="45"/>
      <c r="T170" s="45"/>
      <c r="U170" s="45"/>
      <c r="V170" s="45"/>
      <c r="W170" s="45"/>
      <c r="X170" s="45"/>
      <c r="Y170" s="45"/>
      <c r="Z170" s="45"/>
    </row>
    <row r="171">
      <c r="A171" s="46">
        <v>39.0</v>
      </c>
      <c r="B171" s="47" t="s">
        <v>173</v>
      </c>
      <c r="C171" s="48" t="s">
        <v>1662</v>
      </c>
      <c r="D171" s="47" t="s">
        <v>824</v>
      </c>
      <c r="E171" s="49" t="s">
        <v>135</v>
      </c>
      <c r="F171" s="49" t="s">
        <v>3467</v>
      </c>
      <c r="G171" s="49" t="s">
        <v>2486</v>
      </c>
      <c r="H171" s="49" t="s">
        <v>2486</v>
      </c>
      <c r="I171" s="49" t="s">
        <v>2488</v>
      </c>
      <c r="J171" s="49" t="s">
        <v>3448</v>
      </c>
      <c r="K171" s="49" t="s">
        <v>2545</v>
      </c>
      <c r="L171" s="45"/>
      <c r="M171" s="45"/>
      <c r="N171" s="45"/>
      <c r="O171" s="45"/>
      <c r="P171" s="45"/>
      <c r="Q171" s="45"/>
      <c r="R171" s="45"/>
      <c r="S171" s="45"/>
      <c r="T171" s="45"/>
      <c r="U171" s="45"/>
      <c r="V171" s="45"/>
      <c r="W171" s="45"/>
      <c r="X171" s="45"/>
      <c r="Y171" s="45"/>
      <c r="Z171" s="45"/>
    </row>
    <row r="172">
      <c r="A172" s="46">
        <v>40.0</v>
      </c>
      <c r="B172" s="47" t="s">
        <v>783</v>
      </c>
      <c r="C172" s="48" t="s">
        <v>1662</v>
      </c>
      <c r="D172" s="47" t="s">
        <v>1257</v>
      </c>
      <c r="E172" s="49" t="s">
        <v>100</v>
      </c>
      <c r="F172" s="49" t="s">
        <v>3472</v>
      </c>
      <c r="G172" s="49" t="s">
        <v>2486</v>
      </c>
      <c r="H172" s="49" t="s">
        <v>2486</v>
      </c>
      <c r="I172" s="49" t="s">
        <v>2488</v>
      </c>
      <c r="J172" s="49" t="s">
        <v>2288</v>
      </c>
      <c r="K172" s="49" t="s">
        <v>2545</v>
      </c>
      <c r="L172" s="45"/>
      <c r="M172" s="45"/>
      <c r="N172" s="45"/>
      <c r="O172" s="45"/>
      <c r="P172" s="45"/>
      <c r="Q172" s="45"/>
      <c r="R172" s="45"/>
      <c r="S172" s="45"/>
      <c r="T172" s="45"/>
      <c r="U172" s="45"/>
      <c r="V172" s="45"/>
      <c r="W172" s="45"/>
      <c r="X172" s="45"/>
      <c r="Y172" s="45"/>
      <c r="Z172" s="45"/>
    </row>
    <row r="173">
      <c r="A173" s="46">
        <v>40.0</v>
      </c>
      <c r="B173" s="47" t="s">
        <v>783</v>
      </c>
      <c r="C173" s="48" t="s">
        <v>1662</v>
      </c>
      <c r="D173" s="47" t="s">
        <v>344</v>
      </c>
      <c r="E173" s="49" t="s">
        <v>100</v>
      </c>
      <c r="F173" s="49" t="s">
        <v>3477</v>
      </c>
      <c r="G173" s="49" t="s">
        <v>2486</v>
      </c>
      <c r="H173" s="49" t="s">
        <v>2486</v>
      </c>
      <c r="I173" s="49" t="s">
        <v>2488</v>
      </c>
      <c r="J173" s="49" t="s">
        <v>3478</v>
      </c>
      <c r="K173" s="49" t="s">
        <v>2514</v>
      </c>
      <c r="L173" s="45"/>
      <c r="M173" s="45"/>
      <c r="N173" s="45"/>
      <c r="O173" s="45"/>
      <c r="P173" s="45"/>
      <c r="Q173" s="45"/>
      <c r="R173" s="45"/>
      <c r="S173" s="45"/>
      <c r="T173" s="45"/>
      <c r="U173" s="45"/>
      <c r="V173" s="45"/>
      <c r="W173" s="45"/>
      <c r="X173" s="45"/>
      <c r="Y173" s="45"/>
      <c r="Z173" s="45"/>
    </row>
    <row r="174">
      <c r="A174" s="46">
        <v>40.0</v>
      </c>
      <c r="B174" s="47" t="s">
        <v>783</v>
      </c>
      <c r="C174" s="48" t="s">
        <v>1662</v>
      </c>
      <c r="D174" s="47" t="s">
        <v>1115</v>
      </c>
      <c r="E174" s="49" t="s">
        <v>100</v>
      </c>
      <c r="F174" s="49" t="s">
        <v>3482</v>
      </c>
      <c r="G174" s="49" t="s">
        <v>2486</v>
      </c>
      <c r="H174" s="49" t="s">
        <v>2486</v>
      </c>
      <c r="I174" s="49" t="s">
        <v>2488</v>
      </c>
      <c r="J174" s="49" t="s">
        <v>2288</v>
      </c>
      <c r="K174" s="49" t="s">
        <v>2545</v>
      </c>
      <c r="L174" s="45"/>
      <c r="M174" s="45"/>
      <c r="N174" s="45"/>
      <c r="O174" s="45"/>
      <c r="P174" s="45"/>
      <c r="Q174" s="45"/>
      <c r="R174" s="45"/>
      <c r="S174" s="45"/>
      <c r="T174" s="45"/>
      <c r="U174" s="45"/>
      <c r="V174" s="45"/>
      <c r="W174" s="45"/>
      <c r="X174" s="45"/>
      <c r="Y174" s="45"/>
      <c r="Z174" s="45"/>
    </row>
    <row r="175">
      <c r="A175" s="46">
        <v>40.0</v>
      </c>
      <c r="B175" s="47" t="s">
        <v>783</v>
      </c>
      <c r="C175" s="48" t="s">
        <v>1662</v>
      </c>
      <c r="D175" s="47" t="s">
        <v>779</v>
      </c>
      <c r="E175" s="49" t="s">
        <v>100</v>
      </c>
      <c r="F175" s="49" t="s">
        <v>3489</v>
      </c>
      <c r="G175" s="49" t="s">
        <v>2486</v>
      </c>
      <c r="H175" s="49" t="s">
        <v>2486</v>
      </c>
      <c r="I175" s="49" t="s">
        <v>2488</v>
      </c>
      <c r="J175" s="49" t="s">
        <v>3478</v>
      </c>
      <c r="K175" s="49" t="s">
        <v>2545</v>
      </c>
      <c r="L175" s="45"/>
      <c r="M175" s="45"/>
      <c r="N175" s="45"/>
      <c r="O175" s="45"/>
      <c r="P175" s="45"/>
      <c r="Q175" s="45"/>
      <c r="R175" s="45"/>
      <c r="S175" s="45"/>
      <c r="T175" s="45"/>
      <c r="U175" s="45"/>
      <c r="V175" s="45"/>
      <c r="W175" s="45"/>
      <c r="X175" s="45"/>
      <c r="Y175" s="45"/>
      <c r="Z175" s="45"/>
    </row>
    <row r="176">
      <c r="A176" s="46">
        <v>41.0</v>
      </c>
      <c r="B176" s="47" t="s">
        <v>1115</v>
      </c>
      <c r="C176" s="48" t="s">
        <v>1662</v>
      </c>
      <c r="D176" s="47" t="s">
        <v>176</v>
      </c>
      <c r="E176" s="49" t="s">
        <v>100</v>
      </c>
      <c r="F176" s="49" t="s">
        <v>3493</v>
      </c>
      <c r="G176" s="49" t="s">
        <v>2486</v>
      </c>
      <c r="H176" s="49" t="s">
        <v>2486</v>
      </c>
      <c r="I176" s="49" t="s">
        <v>2488</v>
      </c>
      <c r="J176" s="49" t="s">
        <v>2310</v>
      </c>
      <c r="K176" s="49" t="s">
        <v>2545</v>
      </c>
      <c r="L176" s="45"/>
      <c r="M176" s="45"/>
      <c r="N176" s="45"/>
      <c r="O176" s="45"/>
      <c r="P176" s="45"/>
      <c r="Q176" s="45"/>
      <c r="R176" s="45"/>
      <c r="S176" s="45"/>
      <c r="T176" s="45"/>
      <c r="U176" s="45"/>
      <c r="V176" s="45"/>
      <c r="W176" s="45"/>
      <c r="X176" s="45"/>
      <c r="Y176" s="45"/>
      <c r="Z176" s="45"/>
    </row>
    <row r="177">
      <c r="A177" s="46">
        <v>41.0</v>
      </c>
      <c r="B177" s="47" t="s">
        <v>1115</v>
      </c>
      <c r="C177" s="48" t="s">
        <v>1662</v>
      </c>
      <c r="D177" s="47" t="s">
        <v>783</v>
      </c>
      <c r="E177" s="49" t="s">
        <v>100</v>
      </c>
      <c r="F177" s="49" t="s">
        <v>3494</v>
      </c>
      <c r="G177" s="49" t="s">
        <v>2486</v>
      </c>
      <c r="H177" s="49" t="s">
        <v>2486</v>
      </c>
      <c r="I177" s="49" t="s">
        <v>2488</v>
      </c>
      <c r="J177" s="49" t="s">
        <v>3495</v>
      </c>
      <c r="K177" s="49" t="s">
        <v>2545</v>
      </c>
      <c r="L177" s="45"/>
      <c r="M177" s="45"/>
      <c r="N177" s="45"/>
      <c r="O177" s="45"/>
      <c r="P177" s="45"/>
      <c r="Q177" s="45"/>
      <c r="R177" s="45"/>
      <c r="S177" s="45"/>
      <c r="T177" s="45"/>
      <c r="U177" s="45"/>
      <c r="V177" s="45"/>
      <c r="W177" s="45"/>
      <c r="X177" s="45"/>
      <c r="Y177" s="45"/>
      <c r="Z177" s="45"/>
    </row>
    <row r="178">
      <c r="A178" s="46">
        <v>41.0</v>
      </c>
      <c r="B178" s="47" t="s">
        <v>1115</v>
      </c>
      <c r="C178" s="48" t="s">
        <v>1662</v>
      </c>
      <c r="D178" s="47" t="s">
        <v>779</v>
      </c>
      <c r="E178" s="49" t="s">
        <v>100</v>
      </c>
      <c r="F178" s="49" t="s">
        <v>3498</v>
      </c>
      <c r="G178" s="49" t="s">
        <v>2486</v>
      </c>
      <c r="H178" s="49" t="s">
        <v>2486</v>
      </c>
      <c r="I178" s="49" t="s">
        <v>2488</v>
      </c>
      <c r="J178" s="49" t="s">
        <v>2310</v>
      </c>
      <c r="K178" s="49" t="s">
        <v>2545</v>
      </c>
      <c r="L178" s="45"/>
      <c r="M178" s="45"/>
      <c r="N178" s="45"/>
      <c r="O178" s="45"/>
      <c r="P178" s="45"/>
      <c r="Q178" s="45"/>
      <c r="R178" s="45"/>
      <c r="S178" s="45"/>
      <c r="T178" s="45"/>
      <c r="U178" s="45"/>
      <c r="V178" s="45"/>
      <c r="W178" s="45"/>
      <c r="X178" s="45"/>
      <c r="Y178" s="45"/>
      <c r="Z178" s="45"/>
    </row>
    <row r="179">
      <c r="A179" s="46">
        <v>41.0</v>
      </c>
      <c r="B179" s="47" t="s">
        <v>1115</v>
      </c>
      <c r="C179" s="48" t="s">
        <v>1662</v>
      </c>
      <c r="D179" s="47" t="s">
        <v>344</v>
      </c>
      <c r="E179" s="49" t="s">
        <v>135</v>
      </c>
      <c r="F179" s="49" t="s">
        <v>3502</v>
      </c>
      <c r="G179" s="49" t="s">
        <v>2486</v>
      </c>
      <c r="H179" s="49" t="s">
        <v>2486</v>
      </c>
      <c r="I179" s="49" t="s">
        <v>2488</v>
      </c>
      <c r="J179" s="49" t="s">
        <v>3495</v>
      </c>
      <c r="K179" s="49" t="s">
        <v>2514</v>
      </c>
      <c r="L179" s="45"/>
      <c r="M179" s="45"/>
      <c r="N179" s="45"/>
      <c r="O179" s="45"/>
      <c r="P179" s="45"/>
      <c r="Q179" s="45"/>
      <c r="R179" s="45"/>
      <c r="S179" s="45"/>
      <c r="T179" s="45"/>
      <c r="U179" s="45"/>
      <c r="V179" s="45"/>
      <c r="W179" s="45"/>
      <c r="X179" s="45"/>
      <c r="Y179" s="45"/>
      <c r="Z179" s="45"/>
    </row>
    <row r="180">
      <c r="A180" s="46">
        <v>42.0</v>
      </c>
      <c r="B180" s="47" t="s">
        <v>340</v>
      </c>
      <c r="C180" s="48" t="s">
        <v>1662</v>
      </c>
      <c r="D180" s="47" t="s">
        <v>1011</v>
      </c>
      <c r="E180" s="49" t="s">
        <v>100</v>
      </c>
      <c r="F180" s="49" t="s">
        <v>3511</v>
      </c>
      <c r="G180" s="49" t="s">
        <v>2486</v>
      </c>
      <c r="H180" s="49" t="s">
        <v>2486</v>
      </c>
      <c r="I180" s="49" t="s">
        <v>2488</v>
      </c>
      <c r="J180" s="49" t="s">
        <v>2331</v>
      </c>
      <c r="K180" s="49" t="s">
        <v>2545</v>
      </c>
      <c r="L180" s="45"/>
      <c r="M180" s="45"/>
      <c r="N180" s="45"/>
      <c r="O180" s="45"/>
      <c r="P180" s="45"/>
      <c r="Q180" s="45"/>
      <c r="R180" s="45"/>
      <c r="S180" s="45"/>
      <c r="T180" s="45"/>
      <c r="U180" s="45"/>
      <c r="V180" s="45"/>
      <c r="W180" s="45"/>
      <c r="X180" s="45"/>
      <c r="Y180" s="45"/>
      <c r="Z180" s="45"/>
    </row>
    <row r="181">
      <c r="A181" s="46">
        <v>42.0</v>
      </c>
      <c r="B181" s="47" t="s">
        <v>340</v>
      </c>
      <c r="C181" s="48" t="s">
        <v>1662</v>
      </c>
      <c r="D181" s="47" t="s">
        <v>337</v>
      </c>
      <c r="E181" s="49" t="s">
        <v>100</v>
      </c>
      <c r="F181" s="49" t="s">
        <v>3518</v>
      </c>
      <c r="G181" s="49" t="s">
        <v>2486</v>
      </c>
      <c r="H181" s="49" t="s">
        <v>2486</v>
      </c>
      <c r="I181" s="49" t="s">
        <v>2488</v>
      </c>
      <c r="J181" s="49" t="s">
        <v>3521</v>
      </c>
      <c r="K181" s="49" t="s">
        <v>2489</v>
      </c>
      <c r="L181" s="45"/>
      <c r="M181" s="45"/>
      <c r="N181" s="45"/>
      <c r="O181" s="45"/>
      <c r="P181" s="45"/>
      <c r="Q181" s="45"/>
      <c r="R181" s="45"/>
      <c r="S181" s="45"/>
      <c r="T181" s="45"/>
      <c r="U181" s="45"/>
      <c r="V181" s="45"/>
      <c r="W181" s="45"/>
      <c r="X181" s="45"/>
      <c r="Y181" s="45"/>
      <c r="Z181" s="45"/>
    </row>
    <row r="182">
      <c r="A182" s="46">
        <v>42.0</v>
      </c>
      <c r="B182" s="47" t="s">
        <v>340</v>
      </c>
      <c r="C182" s="48" t="s">
        <v>1662</v>
      </c>
      <c r="D182" s="47" t="s">
        <v>757</v>
      </c>
      <c r="E182" s="49" t="s">
        <v>100</v>
      </c>
      <c r="F182" s="49" t="s">
        <v>3524</v>
      </c>
      <c r="G182" s="49" t="s">
        <v>2486</v>
      </c>
      <c r="H182" s="49" t="s">
        <v>2486</v>
      </c>
      <c r="I182" s="49" t="s">
        <v>2488</v>
      </c>
      <c r="J182" s="49" t="s">
        <v>2331</v>
      </c>
      <c r="K182" s="49" t="s">
        <v>2545</v>
      </c>
      <c r="L182" s="45"/>
      <c r="M182" s="45"/>
      <c r="N182" s="45"/>
      <c r="O182" s="45"/>
      <c r="P182" s="45"/>
      <c r="Q182" s="45"/>
      <c r="R182" s="45"/>
      <c r="S182" s="45"/>
      <c r="T182" s="45"/>
      <c r="U182" s="45"/>
      <c r="V182" s="45"/>
      <c r="W182" s="45"/>
      <c r="X182" s="45"/>
      <c r="Y182" s="45"/>
      <c r="Z182" s="45"/>
    </row>
    <row r="183">
      <c r="A183" s="46">
        <v>42.0</v>
      </c>
      <c r="B183" s="47" t="s">
        <v>340</v>
      </c>
      <c r="C183" s="48" t="s">
        <v>1662</v>
      </c>
      <c r="D183" s="47" t="s">
        <v>881</v>
      </c>
      <c r="E183" s="49" t="s">
        <v>100</v>
      </c>
      <c r="F183" s="49" t="s">
        <v>3530</v>
      </c>
      <c r="G183" s="49" t="s">
        <v>2486</v>
      </c>
      <c r="H183" s="49" t="s">
        <v>2486</v>
      </c>
      <c r="I183" s="49" t="s">
        <v>2488</v>
      </c>
      <c r="J183" s="49" t="s">
        <v>3521</v>
      </c>
      <c r="K183" s="49" t="s">
        <v>2545</v>
      </c>
      <c r="L183" s="45"/>
      <c r="M183" s="45"/>
      <c r="N183" s="45"/>
      <c r="O183" s="45"/>
      <c r="P183" s="45"/>
      <c r="Q183" s="45"/>
      <c r="R183" s="45"/>
      <c r="S183" s="45"/>
      <c r="T183" s="45"/>
      <c r="U183" s="45"/>
      <c r="V183" s="45"/>
      <c r="W183" s="45"/>
      <c r="X183" s="45"/>
      <c r="Y183" s="45"/>
      <c r="Z183" s="45"/>
    </row>
    <row r="184">
      <c r="A184" s="46">
        <v>42.0</v>
      </c>
      <c r="B184" s="47" t="s">
        <v>340</v>
      </c>
      <c r="C184" s="48" t="s">
        <v>1662</v>
      </c>
      <c r="D184" s="47" t="s">
        <v>960</v>
      </c>
      <c r="E184" s="49" t="s">
        <v>135</v>
      </c>
      <c r="F184" s="49" t="s">
        <v>3533</v>
      </c>
      <c r="G184" s="49" t="s">
        <v>2486</v>
      </c>
      <c r="H184" s="49" t="s">
        <v>2486</v>
      </c>
      <c r="I184" s="49" t="s">
        <v>2488</v>
      </c>
      <c r="J184" s="49" t="s">
        <v>2331</v>
      </c>
      <c r="K184" s="49" t="s">
        <v>2514</v>
      </c>
      <c r="L184" s="45"/>
      <c r="M184" s="45"/>
      <c r="N184" s="45"/>
      <c r="O184" s="45"/>
      <c r="P184" s="45"/>
      <c r="Q184" s="45"/>
      <c r="R184" s="45"/>
      <c r="S184" s="45"/>
      <c r="T184" s="45"/>
      <c r="U184" s="45"/>
      <c r="V184" s="45"/>
      <c r="W184" s="45"/>
      <c r="X184" s="45"/>
      <c r="Y184" s="45"/>
      <c r="Z184" s="45"/>
    </row>
    <row r="185">
      <c r="A185" s="46">
        <v>43.0</v>
      </c>
      <c r="B185" s="47" t="s">
        <v>143</v>
      </c>
      <c r="C185" s="48" t="s">
        <v>1662</v>
      </c>
      <c r="D185" s="47" t="s">
        <v>900</v>
      </c>
      <c r="E185" s="49" t="s">
        <v>100</v>
      </c>
      <c r="F185" s="49" t="s">
        <v>3540</v>
      </c>
      <c r="G185" s="49" t="s">
        <v>2486</v>
      </c>
      <c r="H185" s="49" t="s">
        <v>2486</v>
      </c>
      <c r="I185" s="49" t="s">
        <v>2488</v>
      </c>
      <c r="J185" s="49" t="s">
        <v>2355</v>
      </c>
      <c r="K185" s="49" t="s">
        <v>2489</v>
      </c>
      <c r="L185" s="45"/>
      <c r="M185" s="45"/>
      <c r="N185" s="45"/>
      <c r="O185" s="45"/>
      <c r="P185" s="45"/>
      <c r="Q185" s="45"/>
      <c r="R185" s="45"/>
      <c r="S185" s="45"/>
      <c r="T185" s="45"/>
      <c r="U185" s="45"/>
      <c r="V185" s="45"/>
      <c r="W185" s="45"/>
      <c r="X185" s="45"/>
      <c r="Y185" s="45"/>
      <c r="Z185" s="45"/>
    </row>
    <row r="186">
      <c r="A186" s="46">
        <v>43.0</v>
      </c>
      <c r="B186" s="47" t="s">
        <v>143</v>
      </c>
      <c r="C186" s="48" t="s">
        <v>1662</v>
      </c>
      <c r="D186" s="47" t="s">
        <v>896</v>
      </c>
      <c r="E186" s="49" t="s">
        <v>135</v>
      </c>
      <c r="F186" s="49" t="s">
        <v>3546</v>
      </c>
      <c r="G186" s="49" t="s">
        <v>2486</v>
      </c>
      <c r="H186" s="49" t="s">
        <v>2486</v>
      </c>
      <c r="I186" s="49" t="s">
        <v>2488</v>
      </c>
      <c r="J186" s="49" t="s">
        <v>3548</v>
      </c>
      <c r="K186" s="49" t="s">
        <v>2489</v>
      </c>
      <c r="L186" s="45"/>
      <c r="M186" s="45"/>
      <c r="N186" s="45"/>
      <c r="O186" s="45"/>
      <c r="P186" s="45"/>
      <c r="Q186" s="45"/>
      <c r="R186" s="45"/>
      <c r="S186" s="45"/>
      <c r="T186" s="45"/>
      <c r="U186" s="45"/>
      <c r="V186" s="45"/>
      <c r="W186" s="45"/>
      <c r="X186" s="45"/>
      <c r="Y186" s="45"/>
      <c r="Z186" s="45"/>
    </row>
    <row r="187">
      <c r="A187" s="46">
        <v>43.0</v>
      </c>
      <c r="B187" s="47" t="s">
        <v>143</v>
      </c>
      <c r="C187" s="48" t="s">
        <v>1662</v>
      </c>
      <c r="D187" s="47" t="s">
        <v>960</v>
      </c>
      <c r="E187" s="49" t="s">
        <v>135</v>
      </c>
      <c r="F187" s="49" t="s">
        <v>3551</v>
      </c>
      <c r="G187" s="49" t="s">
        <v>2486</v>
      </c>
      <c r="H187" s="49" t="s">
        <v>2486</v>
      </c>
      <c r="I187" s="49" t="s">
        <v>2488</v>
      </c>
      <c r="J187" s="49" t="s">
        <v>3554</v>
      </c>
      <c r="K187" s="49" t="s">
        <v>2514</v>
      </c>
      <c r="L187" s="45"/>
      <c r="M187" s="45"/>
      <c r="N187" s="45"/>
      <c r="O187" s="45"/>
      <c r="P187" s="45"/>
      <c r="Q187" s="45"/>
      <c r="R187" s="45"/>
      <c r="S187" s="45"/>
      <c r="T187" s="45"/>
      <c r="U187" s="45"/>
      <c r="V187" s="45"/>
      <c r="W187" s="45"/>
      <c r="X187" s="45"/>
      <c r="Y187" s="45"/>
      <c r="Z187" s="45"/>
    </row>
    <row r="188">
      <c r="A188" s="46">
        <v>43.0</v>
      </c>
      <c r="B188" s="47" t="s">
        <v>143</v>
      </c>
      <c r="C188" s="48" t="s">
        <v>1662</v>
      </c>
      <c r="D188" s="47" t="s">
        <v>171</v>
      </c>
      <c r="E188" s="49" t="s">
        <v>135</v>
      </c>
      <c r="F188" s="49" t="s">
        <v>3557</v>
      </c>
      <c r="G188" s="49" t="s">
        <v>2486</v>
      </c>
      <c r="H188" s="49" t="s">
        <v>2486</v>
      </c>
      <c r="I188" s="49" t="s">
        <v>2488</v>
      </c>
      <c r="J188" s="49" t="s">
        <v>2355</v>
      </c>
      <c r="K188" s="49" t="s">
        <v>2514</v>
      </c>
      <c r="L188" s="45"/>
      <c r="M188" s="45"/>
      <c r="N188" s="45"/>
      <c r="O188" s="45"/>
      <c r="P188" s="45"/>
      <c r="Q188" s="45"/>
      <c r="R188" s="45"/>
      <c r="S188" s="45"/>
      <c r="T188" s="45"/>
      <c r="U188" s="45"/>
      <c r="V188" s="45"/>
      <c r="W188" s="45"/>
      <c r="X188" s="45"/>
      <c r="Y188" s="45"/>
      <c r="Z188" s="45"/>
    </row>
    <row r="189">
      <c r="A189" s="46">
        <v>44.0</v>
      </c>
      <c r="B189" s="47" t="s">
        <v>779</v>
      </c>
      <c r="C189" s="48" t="s">
        <v>1662</v>
      </c>
      <c r="D189" s="47" t="s">
        <v>783</v>
      </c>
      <c r="E189" s="49" t="s">
        <v>100</v>
      </c>
      <c r="F189" s="49" t="s">
        <v>3562</v>
      </c>
      <c r="G189" s="49" t="s">
        <v>2486</v>
      </c>
      <c r="H189" s="49" t="s">
        <v>2486</v>
      </c>
      <c r="I189" s="49" t="s">
        <v>2488</v>
      </c>
      <c r="J189" s="49" t="s">
        <v>2381</v>
      </c>
      <c r="K189" s="49" t="s">
        <v>2545</v>
      </c>
      <c r="L189" s="45"/>
      <c r="M189" s="45"/>
      <c r="N189" s="45"/>
      <c r="O189" s="45"/>
      <c r="P189" s="45"/>
      <c r="Q189" s="45"/>
      <c r="R189" s="45"/>
      <c r="S189" s="45"/>
      <c r="T189" s="45"/>
      <c r="U189" s="45"/>
      <c r="V189" s="45"/>
      <c r="W189" s="45"/>
      <c r="X189" s="45"/>
      <c r="Y189" s="45"/>
      <c r="Z189" s="45"/>
    </row>
    <row r="190">
      <c r="A190" s="46">
        <v>44.0</v>
      </c>
      <c r="B190" s="47" t="s">
        <v>779</v>
      </c>
      <c r="C190" s="48" t="s">
        <v>1662</v>
      </c>
      <c r="D190" s="47" t="s">
        <v>1115</v>
      </c>
      <c r="E190" s="49" t="s">
        <v>100</v>
      </c>
      <c r="F190" s="49" t="s">
        <v>3565</v>
      </c>
      <c r="G190" s="49" t="s">
        <v>2486</v>
      </c>
      <c r="H190" s="49" t="s">
        <v>2486</v>
      </c>
      <c r="I190" s="49" t="s">
        <v>2488</v>
      </c>
      <c r="J190" s="49" t="s">
        <v>3566</v>
      </c>
      <c r="K190" s="49" t="s">
        <v>2545</v>
      </c>
      <c r="L190" s="45"/>
      <c r="M190" s="45"/>
      <c r="N190" s="45"/>
      <c r="O190" s="45"/>
      <c r="P190" s="45"/>
      <c r="Q190" s="45"/>
      <c r="R190" s="45"/>
      <c r="S190" s="45"/>
      <c r="T190" s="45"/>
      <c r="U190" s="45"/>
      <c r="V190" s="45"/>
      <c r="W190" s="45"/>
      <c r="X190" s="45"/>
      <c r="Y190" s="45"/>
      <c r="Z190" s="45"/>
    </row>
    <row r="191">
      <c r="A191" s="46">
        <v>44.0</v>
      </c>
      <c r="B191" s="47" t="s">
        <v>779</v>
      </c>
      <c r="C191" s="48" t="s">
        <v>1662</v>
      </c>
      <c r="D191" s="47" t="s">
        <v>176</v>
      </c>
      <c r="E191" s="49" t="s">
        <v>100</v>
      </c>
      <c r="F191" s="49" t="s">
        <v>3571</v>
      </c>
      <c r="G191" s="49" t="s">
        <v>2486</v>
      </c>
      <c r="H191" s="49" t="s">
        <v>2486</v>
      </c>
      <c r="I191" s="49" t="s">
        <v>2488</v>
      </c>
      <c r="J191" s="49" t="s">
        <v>2381</v>
      </c>
      <c r="K191" s="49" t="s">
        <v>2545</v>
      </c>
      <c r="L191" s="45"/>
      <c r="M191" s="45"/>
      <c r="N191" s="45"/>
      <c r="O191" s="45"/>
      <c r="P191" s="45"/>
      <c r="Q191" s="45"/>
      <c r="R191" s="45"/>
      <c r="S191" s="45"/>
      <c r="T191" s="45"/>
      <c r="U191" s="45"/>
      <c r="V191" s="45"/>
      <c r="W191" s="45"/>
      <c r="X191" s="45"/>
      <c r="Y191" s="45"/>
      <c r="Z191" s="45"/>
    </row>
    <row r="192">
      <c r="A192" s="46">
        <v>44.0</v>
      </c>
      <c r="B192" s="47" t="s">
        <v>779</v>
      </c>
      <c r="C192" s="48" t="s">
        <v>1662</v>
      </c>
      <c r="D192" s="47" t="s">
        <v>344</v>
      </c>
      <c r="E192" s="49" t="s">
        <v>100</v>
      </c>
      <c r="F192" s="49" t="s">
        <v>3573</v>
      </c>
      <c r="G192" s="49" t="s">
        <v>2486</v>
      </c>
      <c r="H192" s="49" t="s">
        <v>2486</v>
      </c>
      <c r="I192" s="49" t="s">
        <v>2488</v>
      </c>
      <c r="J192" s="49" t="s">
        <v>3566</v>
      </c>
      <c r="K192" s="49" t="s">
        <v>2514</v>
      </c>
      <c r="L192" s="45"/>
      <c r="M192" s="45"/>
      <c r="N192" s="45"/>
      <c r="O192" s="45"/>
      <c r="P192" s="45"/>
      <c r="Q192" s="45"/>
      <c r="R192" s="45"/>
      <c r="S192" s="45"/>
      <c r="T192" s="45"/>
      <c r="U192" s="45"/>
      <c r="V192" s="45"/>
      <c r="W192" s="45"/>
      <c r="X192" s="45"/>
      <c r="Y192" s="45"/>
      <c r="Z192" s="45"/>
    </row>
    <row r="193">
      <c r="A193" s="46">
        <v>44.0</v>
      </c>
      <c r="B193" s="47" t="s">
        <v>779</v>
      </c>
      <c r="C193" s="48" t="s">
        <v>1662</v>
      </c>
      <c r="D193" s="47" t="s">
        <v>1257</v>
      </c>
      <c r="E193" s="49" t="s">
        <v>135</v>
      </c>
      <c r="F193" s="49" t="s">
        <v>3576</v>
      </c>
      <c r="G193" s="49" t="s">
        <v>2486</v>
      </c>
      <c r="H193" s="49" t="s">
        <v>2486</v>
      </c>
      <c r="I193" s="49" t="s">
        <v>2488</v>
      </c>
      <c r="J193" s="49" t="s">
        <v>2381</v>
      </c>
      <c r="K193" s="49" t="s">
        <v>2545</v>
      </c>
      <c r="L193" s="45"/>
      <c r="M193" s="45"/>
      <c r="N193" s="45"/>
      <c r="O193" s="45"/>
      <c r="P193" s="45"/>
      <c r="Q193" s="45"/>
      <c r="R193" s="45"/>
      <c r="S193" s="45"/>
      <c r="T193" s="45"/>
      <c r="U193" s="45"/>
      <c r="V193" s="45"/>
      <c r="W193" s="45"/>
      <c r="X193" s="45"/>
      <c r="Y193" s="45"/>
      <c r="Z193" s="45"/>
    </row>
    <row r="194">
      <c r="A194" s="46">
        <v>45.0</v>
      </c>
      <c r="B194" s="47" t="s">
        <v>1130</v>
      </c>
      <c r="C194" s="48" t="s">
        <v>1662</v>
      </c>
      <c r="D194" s="47" t="s">
        <v>935</v>
      </c>
      <c r="E194" s="49" t="s">
        <v>100</v>
      </c>
      <c r="F194" s="49" t="s">
        <v>3582</v>
      </c>
      <c r="G194" s="49" t="s">
        <v>2486</v>
      </c>
      <c r="H194" s="49" t="s">
        <v>2486</v>
      </c>
      <c r="I194" s="49" t="s">
        <v>2488</v>
      </c>
      <c r="J194" s="49" t="s">
        <v>2400</v>
      </c>
      <c r="K194" s="49" t="s">
        <v>2489</v>
      </c>
      <c r="L194" s="45"/>
      <c r="M194" s="45"/>
      <c r="N194" s="45"/>
      <c r="O194" s="45"/>
      <c r="P194" s="45"/>
      <c r="Q194" s="45"/>
      <c r="R194" s="45"/>
      <c r="S194" s="45"/>
      <c r="T194" s="45"/>
      <c r="U194" s="45"/>
      <c r="V194" s="45"/>
      <c r="W194" s="45"/>
      <c r="X194" s="45"/>
      <c r="Y194" s="45"/>
      <c r="Z194" s="45"/>
    </row>
    <row r="195">
      <c r="A195" s="46">
        <v>45.0</v>
      </c>
      <c r="B195" s="47" t="s">
        <v>1130</v>
      </c>
      <c r="C195" s="48" t="s">
        <v>1662</v>
      </c>
      <c r="D195" s="47" t="s">
        <v>1134</v>
      </c>
      <c r="E195" s="49" t="s">
        <v>100</v>
      </c>
      <c r="F195" s="49" t="s">
        <v>3585</v>
      </c>
      <c r="G195" s="49" t="s">
        <v>2486</v>
      </c>
      <c r="H195" s="49" t="s">
        <v>2486</v>
      </c>
      <c r="I195" s="49" t="s">
        <v>2488</v>
      </c>
      <c r="J195" s="49" t="s">
        <v>3586</v>
      </c>
      <c r="K195" s="49" t="s">
        <v>2489</v>
      </c>
      <c r="L195" s="45"/>
      <c r="M195" s="45"/>
      <c r="N195" s="45"/>
      <c r="O195" s="45"/>
      <c r="P195" s="45"/>
      <c r="Q195" s="45"/>
      <c r="R195" s="45"/>
      <c r="S195" s="45"/>
      <c r="T195" s="45"/>
      <c r="U195" s="45"/>
      <c r="V195" s="45"/>
      <c r="W195" s="45"/>
      <c r="X195" s="45"/>
      <c r="Y195" s="45"/>
      <c r="Z195" s="45"/>
    </row>
    <row r="196">
      <c r="A196" s="46">
        <v>45.0</v>
      </c>
      <c r="B196" s="47" t="s">
        <v>1130</v>
      </c>
      <c r="C196" s="48" t="s">
        <v>1662</v>
      </c>
      <c r="D196" s="47" t="s">
        <v>171</v>
      </c>
      <c r="E196" s="49" t="s">
        <v>135</v>
      </c>
      <c r="F196" s="49" t="s">
        <v>3587</v>
      </c>
      <c r="G196" s="49" t="s">
        <v>2486</v>
      </c>
      <c r="H196" s="49" t="s">
        <v>2486</v>
      </c>
      <c r="I196" s="49" t="s">
        <v>2488</v>
      </c>
      <c r="J196" s="49" t="s">
        <v>3590</v>
      </c>
      <c r="K196" s="49" t="s">
        <v>2514</v>
      </c>
      <c r="L196" s="45"/>
      <c r="M196" s="45"/>
      <c r="N196" s="45"/>
      <c r="O196" s="45"/>
      <c r="P196" s="45"/>
      <c r="Q196" s="45"/>
      <c r="R196" s="45"/>
      <c r="S196" s="45"/>
      <c r="T196" s="45"/>
      <c r="U196" s="45"/>
      <c r="V196" s="45"/>
      <c r="W196" s="45"/>
      <c r="X196" s="45"/>
      <c r="Y196" s="45"/>
      <c r="Z196" s="45"/>
    </row>
    <row r="197">
      <c r="A197" s="46">
        <v>45.0</v>
      </c>
      <c r="B197" s="47" t="s">
        <v>1130</v>
      </c>
      <c r="C197" s="48" t="s">
        <v>1662</v>
      </c>
      <c r="D197" s="47" t="s">
        <v>738</v>
      </c>
      <c r="E197" s="49" t="s">
        <v>135</v>
      </c>
      <c r="F197" s="49" t="s">
        <v>3595</v>
      </c>
      <c r="G197" s="49" t="s">
        <v>2486</v>
      </c>
      <c r="H197" s="49" t="s">
        <v>2486</v>
      </c>
      <c r="I197" s="49" t="s">
        <v>2488</v>
      </c>
      <c r="J197" s="49" t="s">
        <v>2400</v>
      </c>
      <c r="K197" s="49" t="s">
        <v>2545</v>
      </c>
      <c r="L197" s="45"/>
      <c r="M197" s="45"/>
      <c r="N197" s="45"/>
      <c r="O197" s="45"/>
      <c r="P197" s="45"/>
      <c r="Q197" s="45"/>
      <c r="R197" s="45"/>
      <c r="S197" s="45"/>
      <c r="T197" s="45"/>
      <c r="U197" s="45"/>
      <c r="V197" s="45"/>
      <c r="W197" s="45"/>
      <c r="X197" s="45"/>
      <c r="Y197" s="45"/>
      <c r="Z197" s="45"/>
    </row>
    <row r="198">
      <c r="A198" s="46">
        <v>45.0</v>
      </c>
      <c r="B198" s="47" t="s">
        <v>1130</v>
      </c>
      <c r="C198" s="48" t="s">
        <v>1662</v>
      </c>
      <c r="D198" s="47" t="s">
        <v>1131</v>
      </c>
      <c r="E198" s="49" t="s">
        <v>135</v>
      </c>
      <c r="F198" s="49" t="s">
        <v>3603</v>
      </c>
      <c r="G198" s="49" t="s">
        <v>2486</v>
      </c>
      <c r="H198" s="49" t="s">
        <v>2486</v>
      </c>
      <c r="I198" s="49" t="s">
        <v>2488</v>
      </c>
      <c r="J198" s="49" t="s">
        <v>3586</v>
      </c>
      <c r="K198" s="49" t="s">
        <v>2489</v>
      </c>
      <c r="L198" s="45"/>
      <c r="M198" s="45"/>
      <c r="N198" s="45"/>
      <c r="O198" s="45"/>
      <c r="P198" s="45"/>
      <c r="Q198" s="45"/>
      <c r="R198" s="45"/>
      <c r="S198" s="45"/>
      <c r="T198" s="45"/>
      <c r="U198" s="45"/>
      <c r="V198" s="45"/>
      <c r="W198" s="45"/>
      <c r="X198" s="45"/>
      <c r="Y198" s="45"/>
      <c r="Z198" s="45"/>
    </row>
    <row r="199">
      <c r="A199" s="46">
        <v>46.0</v>
      </c>
      <c r="B199" s="47" t="s">
        <v>576</v>
      </c>
      <c r="C199" s="48" t="s">
        <v>1662</v>
      </c>
      <c r="D199" s="47" t="s">
        <v>173</v>
      </c>
      <c r="E199" s="49" t="s">
        <v>100</v>
      </c>
      <c r="F199" s="49" t="s">
        <v>3609</v>
      </c>
      <c r="G199" s="49" t="s">
        <v>2486</v>
      </c>
      <c r="H199" s="49" t="s">
        <v>2486</v>
      </c>
      <c r="I199" s="49" t="s">
        <v>2488</v>
      </c>
      <c r="J199" s="49" t="s">
        <v>2417</v>
      </c>
      <c r="K199" s="49" t="s">
        <v>2489</v>
      </c>
      <c r="L199" s="45"/>
      <c r="M199" s="45"/>
      <c r="N199" s="45"/>
      <c r="O199" s="45"/>
      <c r="P199" s="45"/>
      <c r="Q199" s="45"/>
      <c r="R199" s="45"/>
      <c r="S199" s="45"/>
      <c r="T199" s="45"/>
      <c r="U199" s="45"/>
      <c r="V199" s="45"/>
      <c r="W199" s="45"/>
      <c r="X199" s="45"/>
      <c r="Y199" s="45"/>
      <c r="Z199" s="45"/>
    </row>
    <row r="200">
      <c r="A200" s="46">
        <v>46.0</v>
      </c>
      <c r="B200" s="47" t="s">
        <v>576</v>
      </c>
      <c r="C200" s="48" t="s">
        <v>1662</v>
      </c>
      <c r="D200" s="47" t="s">
        <v>3611</v>
      </c>
      <c r="E200" s="49" t="s">
        <v>135</v>
      </c>
      <c r="F200" s="49" t="s">
        <v>3616</v>
      </c>
      <c r="G200" s="49" t="s">
        <v>2486</v>
      </c>
      <c r="H200" s="49" t="s">
        <v>2486</v>
      </c>
      <c r="I200" s="49" t="s">
        <v>2488</v>
      </c>
      <c r="J200" s="49" t="s">
        <v>2417</v>
      </c>
      <c r="K200" s="49" t="s">
        <v>2489</v>
      </c>
      <c r="L200" s="45"/>
      <c r="M200" s="45"/>
      <c r="N200" s="45"/>
      <c r="O200" s="45"/>
      <c r="P200" s="45"/>
      <c r="Q200" s="45"/>
      <c r="R200" s="45"/>
      <c r="S200" s="45"/>
      <c r="T200" s="45"/>
      <c r="U200" s="45"/>
      <c r="V200" s="45"/>
      <c r="W200" s="45"/>
      <c r="X200" s="45"/>
      <c r="Y200" s="45"/>
      <c r="Z200" s="45"/>
    </row>
    <row r="201">
      <c r="A201" s="46">
        <v>46.0</v>
      </c>
      <c r="B201" s="47" t="s">
        <v>576</v>
      </c>
      <c r="C201" s="48" t="s">
        <v>1662</v>
      </c>
      <c r="D201" s="47" t="s">
        <v>1254</v>
      </c>
      <c r="E201" s="49" t="s">
        <v>135</v>
      </c>
      <c r="F201" s="49" t="s">
        <v>3621</v>
      </c>
      <c r="G201" s="49" t="s">
        <v>2486</v>
      </c>
      <c r="H201" s="49" t="s">
        <v>2486</v>
      </c>
      <c r="I201" s="49" t="s">
        <v>2488</v>
      </c>
      <c r="J201" s="49" t="s">
        <v>2417</v>
      </c>
      <c r="K201" s="49" t="s">
        <v>2545</v>
      </c>
      <c r="L201" s="45"/>
      <c r="M201" s="45"/>
      <c r="N201" s="45"/>
      <c r="O201" s="45"/>
      <c r="P201" s="45"/>
      <c r="Q201" s="45"/>
      <c r="R201" s="45"/>
      <c r="S201" s="45"/>
      <c r="T201" s="45"/>
      <c r="U201" s="45"/>
      <c r="V201" s="45"/>
      <c r="W201" s="45"/>
      <c r="X201" s="45"/>
      <c r="Y201" s="45"/>
      <c r="Z201" s="45"/>
    </row>
    <row r="202">
      <c r="A202" s="46">
        <v>47.0</v>
      </c>
      <c r="B202" s="47" t="s">
        <v>337</v>
      </c>
      <c r="C202" s="48" t="s">
        <v>1662</v>
      </c>
      <c r="D202" s="47" t="s">
        <v>340</v>
      </c>
      <c r="E202" s="49" t="s">
        <v>100</v>
      </c>
      <c r="F202" s="49" t="s">
        <v>3625</v>
      </c>
      <c r="G202" s="49" t="s">
        <v>2486</v>
      </c>
      <c r="H202" s="49" t="s">
        <v>2486</v>
      </c>
      <c r="I202" s="49" t="s">
        <v>2488</v>
      </c>
      <c r="J202" s="49" t="s">
        <v>2433</v>
      </c>
      <c r="K202" s="49" t="s">
        <v>2489</v>
      </c>
      <c r="L202" s="45"/>
      <c r="M202" s="45"/>
      <c r="N202" s="45"/>
      <c r="O202" s="45"/>
      <c r="P202" s="45"/>
      <c r="Q202" s="45"/>
      <c r="R202" s="45"/>
      <c r="S202" s="45"/>
      <c r="T202" s="45"/>
      <c r="U202" s="45"/>
      <c r="V202" s="45"/>
      <c r="W202" s="45"/>
      <c r="X202" s="45"/>
      <c r="Y202" s="45"/>
      <c r="Z202" s="45"/>
    </row>
    <row r="203">
      <c r="A203" s="46">
        <v>47.0</v>
      </c>
      <c r="B203" s="47" t="s">
        <v>337</v>
      </c>
      <c r="C203" s="48" t="s">
        <v>1662</v>
      </c>
      <c r="D203" s="47" t="s">
        <v>1011</v>
      </c>
      <c r="E203" s="49" t="s">
        <v>100</v>
      </c>
      <c r="F203" s="49" t="s">
        <v>3630</v>
      </c>
      <c r="G203" s="49" t="s">
        <v>2486</v>
      </c>
      <c r="H203" s="49" t="s">
        <v>2486</v>
      </c>
      <c r="I203" s="49" t="s">
        <v>2488</v>
      </c>
      <c r="J203" s="49" t="s">
        <v>3631</v>
      </c>
      <c r="K203" s="49" t="s">
        <v>2545</v>
      </c>
      <c r="L203" s="45"/>
      <c r="M203" s="45"/>
      <c r="N203" s="45"/>
      <c r="O203" s="45"/>
      <c r="P203" s="45"/>
      <c r="Q203" s="45"/>
      <c r="R203" s="45"/>
      <c r="S203" s="45"/>
      <c r="T203" s="45"/>
      <c r="U203" s="45"/>
      <c r="V203" s="45"/>
      <c r="W203" s="45"/>
      <c r="X203" s="45"/>
      <c r="Y203" s="45"/>
      <c r="Z203" s="45"/>
    </row>
    <row r="204">
      <c r="A204" s="46">
        <v>47.0</v>
      </c>
      <c r="B204" s="47" t="s">
        <v>337</v>
      </c>
      <c r="C204" s="48" t="s">
        <v>1662</v>
      </c>
      <c r="D204" s="47" t="s">
        <v>757</v>
      </c>
      <c r="E204" s="49" t="s">
        <v>100</v>
      </c>
      <c r="F204" s="49" t="s">
        <v>3636</v>
      </c>
      <c r="G204" s="49" t="s">
        <v>2486</v>
      </c>
      <c r="H204" s="49" t="s">
        <v>2486</v>
      </c>
      <c r="I204" s="49" t="s">
        <v>2488</v>
      </c>
      <c r="J204" s="49" t="s">
        <v>2433</v>
      </c>
      <c r="K204" s="49" t="s">
        <v>2545</v>
      </c>
      <c r="L204" s="45"/>
      <c r="M204" s="45"/>
      <c r="N204" s="45"/>
      <c r="O204" s="45"/>
      <c r="P204" s="45"/>
      <c r="Q204" s="45"/>
      <c r="R204" s="45"/>
      <c r="S204" s="45"/>
      <c r="T204" s="45"/>
      <c r="U204" s="45"/>
      <c r="V204" s="45"/>
      <c r="W204" s="45"/>
      <c r="X204" s="45"/>
      <c r="Y204" s="45"/>
      <c r="Z204" s="45"/>
    </row>
    <row r="205">
      <c r="A205" s="46">
        <v>47.0</v>
      </c>
      <c r="B205" s="47" t="s">
        <v>337</v>
      </c>
      <c r="C205" s="48" t="s">
        <v>1662</v>
      </c>
      <c r="D205" s="47" t="s">
        <v>881</v>
      </c>
      <c r="E205" s="49" t="s">
        <v>135</v>
      </c>
      <c r="F205" s="49" t="s">
        <v>3641</v>
      </c>
      <c r="G205" s="49" t="s">
        <v>2486</v>
      </c>
      <c r="H205" s="49" t="s">
        <v>2486</v>
      </c>
      <c r="I205" s="49" t="s">
        <v>2488</v>
      </c>
      <c r="J205" s="49" t="s">
        <v>3631</v>
      </c>
      <c r="K205" s="49" t="s">
        <v>2545</v>
      </c>
      <c r="L205" s="45"/>
      <c r="M205" s="45"/>
      <c r="N205" s="45"/>
      <c r="O205" s="45"/>
      <c r="P205" s="45"/>
      <c r="Q205" s="45"/>
      <c r="R205" s="45"/>
      <c r="S205" s="45"/>
      <c r="T205" s="45"/>
      <c r="U205" s="45"/>
      <c r="V205" s="45"/>
      <c r="W205" s="45"/>
      <c r="X205" s="45"/>
      <c r="Y205" s="45"/>
      <c r="Z205" s="45"/>
    </row>
    <row r="206">
      <c r="A206" s="46">
        <v>48.0</v>
      </c>
      <c r="B206" s="47" t="s">
        <v>1128</v>
      </c>
      <c r="C206" s="48" t="s">
        <v>1662</v>
      </c>
      <c r="D206" s="47" t="s">
        <v>1302</v>
      </c>
      <c r="E206" s="49" t="s">
        <v>100</v>
      </c>
      <c r="F206" s="49" t="s">
        <v>3650</v>
      </c>
      <c r="G206" s="49" t="s">
        <v>2486</v>
      </c>
      <c r="H206" s="49" t="s">
        <v>2486</v>
      </c>
      <c r="I206" s="49" t="s">
        <v>2488</v>
      </c>
      <c r="J206" s="49" t="s">
        <v>2451</v>
      </c>
      <c r="K206" s="49" t="s">
        <v>2489</v>
      </c>
      <c r="L206" s="45"/>
      <c r="M206" s="45"/>
      <c r="N206" s="45"/>
      <c r="O206" s="45"/>
      <c r="P206" s="45"/>
      <c r="Q206" s="45"/>
      <c r="R206" s="45"/>
      <c r="S206" s="45"/>
      <c r="T206" s="45"/>
      <c r="U206" s="45"/>
      <c r="V206" s="45"/>
      <c r="W206" s="45"/>
      <c r="X206" s="45"/>
      <c r="Y206" s="45"/>
      <c r="Z206" s="45"/>
    </row>
    <row r="207">
      <c r="A207" s="46">
        <v>48.0</v>
      </c>
      <c r="B207" s="47" t="s">
        <v>1128</v>
      </c>
      <c r="C207" s="48" t="s">
        <v>1662</v>
      </c>
      <c r="D207" s="47" t="s">
        <v>1136</v>
      </c>
      <c r="E207" s="49" t="s">
        <v>100</v>
      </c>
      <c r="F207" s="49" t="s">
        <v>3655</v>
      </c>
      <c r="G207" s="49" t="s">
        <v>2486</v>
      </c>
      <c r="H207" s="49" t="s">
        <v>2486</v>
      </c>
      <c r="I207" s="49" t="s">
        <v>2488</v>
      </c>
      <c r="J207" s="49" t="s">
        <v>3656</v>
      </c>
      <c r="K207" s="49" t="s">
        <v>2489</v>
      </c>
      <c r="L207" s="45"/>
      <c r="M207" s="45"/>
      <c r="N207" s="45"/>
      <c r="O207" s="45"/>
      <c r="P207" s="45"/>
      <c r="Q207" s="45"/>
      <c r="R207" s="45"/>
      <c r="S207" s="45"/>
      <c r="T207" s="45"/>
      <c r="U207" s="45"/>
      <c r="V207" s="45"/>
      <c r="W207" s="45"/>
      <c r="X207" s="45"/>
      <c r="Y207" s="45"/>
      <c r="Z207" s="45"/>
    </row>
    <row r="208">
      <c r="A208" s="46">
        <v>48.0</v>
      </c>
      <c r="B208" s="47" t="s">
        <v>1128</v>
      </c>
      <c r="C208" s="48" t="s">
        <v>1662</v>
      </c>
      <c r="D208" s="47" t="s">
        <v>1113</v>
      </c>
      <c r="E208" s="49" t="s">
        <v>100</v>
      </c>
      <c r="F208" s="49" t="s">
        <v>3662</v>
      </c>
      <c r="G208" s="49" t="s">
        <v>2486</v>
      </c>
      <c r="H208" s="49" t="s">
        <v>2486</v>
      </c>
      <c r="I208" s="49" t="s">
        <v>2488</v>
      </c>
      <c r="J208" s="49" t="s">
        <v>3663</v>
      </c>
      <c r="K208" s="49" t="s">
        <v>2489</v>
      </c>
      <c r="L208" s="45"/>
      <c r="M208" s="45"/>
      <c r="N208" s="45"/>
      <c r="O208" s="45"/>
      <c r="P208" s="45"/>
      <c r="Q208" s="45"/>
      <c r="R208" s="45"/>
      <c r="S208" s="45"/>
      <c r="T208" s="45"/>
      <c r="U208" s="45"/>
      <c r="V208" s="45"/>
      <c r="W208" s="45"/>
      <c r="X208" s="45"/>
      <c r="Y208" s="45"/>
      <c r="Z208" s="45"/>
    </row>
    <row r="209">
      <c r="A209" s="46">
        <v>48.0</v>
      </c>
      <c r="B209" s="47" t="s">
        <v>1128</v>
      </c>
      <c r="C209" s="48" t="s">
        <v>1662</v>
      </c>
      <c r="D209" s="47" t="s">
        <v>824</v>
      </c>
      <c r="E209" s="49" t="s">
        <v>100</v>
      </c>
      <c r="F209" s="49" t="s">
        <v>3666</v>
      </c>
      <c r="G209" s="49" t="s">
        <v>2486</v>
      </c>
      <c r="H209" s="49" t="s">
        <v>2486</v>
      </c>
      <c r="I209" s="49" t="s">
        <v>2488</v>
      </c>
      <c r="J209" s="49" t="s">
        <v>2451</v>
      </c>
      <c r="K209" s="49" t="s">
        <v>2545</v>
      </c>
      <c r="L209" s="45"/>
      <c r="M209" s="45"/>
      <c r="N209" s="45"/>
      <c r="O209" s="45"/>
      <c r="P209" s="45"/>
      <c r="Q209" s="45"/>
      <c r="R209" s="45"/>
      <c r="S209" s="45"/>
      <c r="T209" s="45"/>
      <c r="U209" s="45"/>
      <c r="V209" s="45"/>
      <c r="W209" s="45"/>
      <c r="X209" s="45"/>
      <c r="Y209" s="45"/>
      <c r="Z209" s="45"/>
    </row>
    <row r="210">
      <c r="A210" s="46">
        <v>48.0</v>
      </c>
      <c r="B210" s="47" t="s">
        <v>1128</v>
      </c>
      <c r="C210" s="48" t="s">
        <v>1662</v>
      </c>
      <c r="D210" s="47" t="s">
        <v>947</v>
      </c>
      <c r="E210" s="49" t="s">
        <v>100</v>
      </c>
      <c r="F210" s="49" t="s">
        <v>3672</v>
      </c>
      <c r="G210" s="49" t="s">
        <v>2486</v>
      </c>
      <c r="H210" s="49" t="s">
        <v>2486</v>
      </c>
      <c r="I210" s="49" t="s">
        <v>2488</v>
      </c>
      <c r="J210" s="49" t="s">
        <v>3656</v>
      </c>
      <c r="K210" s="49" t="s">
        <v>2489</v>
      </c>
      <c r="L210" s="45"/>
      <c r="M210" s="45"/>
      <c r="N210" s="45"/>
      <c r="O210" s="45"/>
      <c r="P210" s="45"/>
      <c r="Q210" s="45"/>
      <c r="R210" s="45"/>
      <c r="S210" s="45"/>
      <c r="T210" s="45"/>
      <c r="U210" s="45"/>
      <c r="V210" s="45"/>
      <c r="W210" s="45"/>
      <c r="X210" s="45"/>
      <c r="Y210" s="45"/>
      <c r="Z210" s="45"/>
    </row>
    <row r="211">
      <c r="A211" s="46">
        <v>49.0</v>
      </c>
      <c r="B211" s="47" t="s">
        <v>897</v>
      </c>
      <c r="C211" s="48" t="s">
        <v>1662</v>
      </c>
      <c r="D211" s="47" t="s">
        <v>993</v>
      </c>
      <c r="E211" s="49" t="s">
        <v>100</v>
      </c>
      <c r="F211" s="49" t="s">
        <v>3677</v>
      </c>
      <c r="G211" s="49" t="s">
        <v>2486</v>
      </c>
      <c r="H211" s="49" t="s">
        <v>2486</v>
      </c>
      <c r="I211" s="49" t="s">
        <v>2488</v>
      </c>
      <c r="J211" s="49" t="s">
        <v>2480</v>
      </c>
      <c r="K211" s="49" t="s">
        <v>2545</v>
      </c>
      <c r="L211" s="45"/>
      <c r="M211" s="45"/>
      <c r="N211" s="45"/>
      <c r="O211" s="45"/>
      <c r="P211" s="45"/>
      <c r="Q211" s="45"/>
      <c r="R211" s="45"/>
      <c r="S211" s="45"/>
      <c r="T211" s="45"/>
      <c r="U211" s="45"/>
      <c r="V211" s="45"/>
      <c r="W211" s="45"/>
      <c r="X211" s="45"/>
      <c r="Y211" s="45"/>
      <c r="Z211" s="45"/>
    </row>
    <row r="212">
      <c r="A212" s="46">
        <v>49.0</v>
      </c>
      <c r="B212" s="47" t="s">
        <v>897</v>
      </c>
      <c r="C212" s="48" t="s">
        <v>1662</v>
      </c>
      <c r="D212" s="47" t="s">
        <v>171</v>
      </c>
      <c r="E212" s="49" t="s">
        <v>100</v>
      </c>
      <c r="F212" s="49" t="s">
        <v>3682</v>
      </c>
      <c r="G212" s="49" t="s">
        <v>2486</v>
      </c>
      <c r="H212" s="49" t="s">
        <v>2486</v>
      </c>
      <c r="I212" s="49" t="s">
        <v>2488</v>
      </c>
      <c r="J212" s="49" t="s">
        <v>3683</v>
      </c>
      <c r="K212" s="49" t="s">
        <v>2514</v>
      </c>
      <c r="L212" s="45"/>
      <c r="M212" s="45"/>
      <c r="N212" s="45"/>
      <c r="O212" s="45"/>
      <c r="P212" s="45"/>
      <c r="Q212" s="45"/>
      <c r="R212" s="45"/>
      <c r="S212" s="45"/>
      <c r="T212" s="45"/>
      <c r="U212" s="45"/>
      <c r="V212" s="45"/>
      <c r="W212" s="45"/>
      <c r="X212" s="45"/>
      <c r="Y212" s="45"/>
      <c r="Z212" s="45"/>
    </row>
    <row r="213">
      <c r="A213" s="46">
        <v>49.0</v>
      </c>
      <c r="B213" s="47" t="s">
        <v>897</v>
      </c>
      <c r="C213" s="48" t="s">
        <v>1662</v>
      </c>
      <c r="D213" s="47" t="s">
        <v>960</v>
      </c>
      <c r="E213" s="49" t="s">
        <v>135</v>
      </c>
      <c r="F213" s="49" t="s">
        <v>3685</v>
      </c>
      <c r="G213" s="49" t="s">
        <v>2486</v>
      </c>
      <c r="H213" s="49" t="s">
        <v>2486</v>
      </c>
      <c r="I213" s="49" t="s">
        <v>2488</v>
      </c>
      <c r="J213" s="49" t="s">
        <v>2480</v>
      </c>
      <c r="K213" s="49" t="s">
        <v>2514</v>
      </c>
      <c r="L213" s="45"/>
      <c r="M213" s="45"/>
      <c r="N213" s="45"/>
      <c r="O213" s="45"/>
      <c r="P213" s="45"/>
      <c r="Q213" s="45"/>
      <c r="R213" s="45"/>
      <c r="S213" s="45"/>
      <c r="T213" s="45"/>
      <c r="U213" s="45"/>
      <c r="V213" s="45"/>
      <c r="W213" s="45"/>
      <c r="X213" s="45"/>
      <c r="Y213" s="45"/>
      <c r="Z213" s="45"/>
    </row>
    <row r="214">
      <c r="A214" s="46">
        <v>49.0</v>
      </c>
      <c r="B214" s="47" t="s">
        <v>897</v>
      </c>
      <c r="C214" s="48" t="s">
        <v>1662</v>
      </c>
      <c r="D214" s="47" t="s">
        <v>738</v>
      </c>
      <c r="E214" s="49" t="s">
        <v>135</v>
      </c>
      <c r="F214" s="49" t="s">
        <v>3688</v>
      </c>
      <c r="G214" s="49" t="s">
        <v>2486</v>
      </c>
      <c r="H214" s="49" t="s">
        <v>2486</v>
      </c>
      <c r="I214" s="49" t="s">
        <v>2488</v>
      </c>
      <c r="J214" s="49" t="s">
        <v>3683</v>
      </c>
      <c r="K214" s="49" t="s">
        <v>2545</v>
      </c>
      <c r="L214" s="45"/>
      <c r="M214" s="45"/>
      <c r="N214" s="45"/>
      <c r="O214" s="45"/>
      <c r="P214" s="45"/>
      <c r="Q214" s="45"/>
      <c r="R214" s="45"/>
      <c r="S214" s="45"/>
      <c r="T214" s="45"/>
      <c r="U214" s="45"/>
      <c r="V214" s="45"/>
      <c r="W214" s="45"/>
      <c r="X214" s="45"/>
      <c r="Y214" s="45"/>
      <c r="Z214" s="45"/>
    </row>
    <row r="215">
      <c r="A215" s="46">
        <v>49.0</v>
      </c>
      <c r="B215" s="47" t="s">
        <v>897</v>
      </c>
      <c r="C215" s="48" t="s">
        <v>1662</v>
      </c>
      <c r="D215" s="47" t="s">
        <v>576</v>
      </c>
      <c r="E215" s="49" t="s">
        <v>135</v>
      </c>
      <c r="F215" s="49" t="s">
        <v>3691</v>
      </c>
      <c r="G215" s="49" t="s">
        <v>2486</v>
      </c>
      <c r="H215" s="49" t="s">
        <v>2486</v>
      </c>
      <c r="I215" s="49" t="s">
        <v>2488</v>
      </c>
      <c r="J215" s="49" t="s">
        <v>2480</v>
      </c>
      <c r="K215" s="49" t="s">
        <v>2489</v>
      </c>
      <c r="L215" s="45"/>
      <c r="M215" s="45"/>
      <c r="N215" s="45"/>
      <c r="O215" s="45"/>
      <c r="P215" s="45"/>
      <c r="Q215" s="45"/>
      <c r="R215" s="45"/>
      <c r="S215" s="45"/>
      <c r="T215" s="45"/>
      <c r="U215" s="45"/>
      <c r="V215" s="45"/>
      <c r="W215" s="45"/>
      <c r="X215" s="45"/>
      <c r="Y215" s="45"/>
      <c r="Z215" s="45"/>
    </row>
    <row r="216">
      <c r="A216" s="46">
        <v>50.0</v>
      </c>
      <c r="B216" s="47" t="s">
        <v>165</v>
      </c>
      <c r="C216" s="48" t="s">
        <v>1765</v>
      </c>
      <c r="D216" s="47" t="s">
        <v>400</v>
      </c>
      <c r="E216" s="49" t="s">
        <v>100</v>
      </c>
      <c r="F216" s="49" t="s">
        <v>3699</v>
      </c>
      <c r="G216" s="49" t="s">
        <v>2486</v>
      </c>
      <c r="H216" s="49" t="s">
        <v>2486</v>
      </c>
      <c r="I216" s="49" t="s">
        <v>2488</v>
      </c>
      <c r="J216" s="49" t="s">
        <v>2508</v>
      </c>
      <c r="K216" s="49" t="s">
        <v>2489</v>
      </c>
      <c r="L216" s="45"/>
      <c r="M216" s="45"/>
      <c r="N216" s="45"/>
      <c r="O216" s="45"/>
      <c r="P216" s="45"/>
      <c r="Q216" s="45"/>
      <c r="R216" s="45"/>
      <c r="S216" s="45"/>
      <c r="T216" s="45"/>
      <c r="U216" s="45"/>
      <c r="V216" s="45"/>
      <c r="W216" s="45"/>
      <c r="X216" s="45"/>
      <c r="Y216" s="45"/>
      <c r="Z216" s="45"/>
    </row>
    <row r="217">
      <c r="A217" s="46">
        <v>50.0</v>
      </c>
      <c r="B217" s="47" t="s">
        <v>165</v>
      </c>
      <c r="C217" s="48" t="s">
        <v>1765</v>
      </c>
      <c r="D217" s="47" t="s">
        <v>730</v>
      </c>
      <c r="E217" s="49" t="s">
        <v>100</v>
      </c>
      <c r="F217" s="49" t="s">
        <v>3702</v>
      </c>
      <c r="G217" s="49" t="s">
        <v>2486</v>
      </c>
      <c r="H217" s="49" t="s">
        <v>2486</v>
      </c>
      <c r="I217" s="49" t="s">
        <v>2488</v>
      </c>
      <c r="J217" s="49" t="s">
        <v>3703</v>
      </c>
      <c r="K217" s="49" t="s">
        <v>2489</v>
      </c>
      <c r="L217" s="45"/>
      <c r="M217" s="45"/>
      <c r="N217" s="45"/>
      <c r="O217" s="45"/>
      <c r="P217" s="45"/>
      <c r="Q217" s="45"/>
      <c r="R217" s="45"/>
      <c r="S217" s="45"/>
      <c r="T217" s="45"/>
      <c r="U217" s="45"/>
      <c r="V217" s="45"/>
      <c r="W217" s="45"/>
      <c r="X217" s="45"/>
      <c r="Y217" s="45"/>
      <c r="Z217" s="45"/>
    </row>
    <row r="218">
      <c r="A218" s="46">
        <v>50.0</v>
      </c>
      <c r="B218" s="47" t="s">
        <v>165</v>
      </c>
      <c r="C218" s="48" t="s">
        <v>1765</v>
      </c>
      <c r="D218" s="47" t="s">
        <v>621</v>
      </c>
      <c r="E218" s="49" t="s">
        <v>100</v>
      </c>
      <c r="F218" s="49" t="s">
        <v>3704</v>
      </c>
      <c r="G218" s="49" t="s">
        <v>2486</v>
      </c>
      <c r="H218" s="49" t="s">
        <v>2486</v>
      </c>
      <c r="I218" s="49" t="s">
        <v>2488</v>
      </c>
      <c r="J218" s="49" t="s">
        <v>3705</v>
      </c>
      <c r="K218" s="49" t="s">
        <v>2489</v>
      </c>
      <c r="L218" s="45"/>
      <c r="M218" s="45"/>
      <c r="N218" s="45"/>
      <c r="O218" s="45"/>
      <c r="P218" s="45"/>
      <c r="Q218" s="45"/>
      <c r="R218" s="45"/>
      <c r="S218" s="45"/>
      <c r="T218" s="45"/>
      <c r="U218" s="45"/>
      <c r="V218" s="45"/>
      <c r="W218" s="45"/>
      <c r="X218" s="45"/>
      <c r="Y218" s="45"/>
      <c r="Z218" s="45"/>
    </row>
    <row r="219">
      <c r="A219" s="46">
        <v>50.0</v>
      </c>
      <c r="B219" s="47" t="s">
        <v>165</v>
      </c>
      <c r="C219" s="48" t="s">
        <v>1765</v>
      </c>
      <c r="D219" s="47" t="s">
        <v>804</v>
      </c>
      <c r="E219" s="49" t="s">
        <v>100</v>
      </c>
      <c r="F219" s="49" t="s">
        <v>3708</v>
      </c>
      <c r="G219" s="49" t="s">
        <v>2486</v>
      </c>
      <c r="H219" s="49" t="s">
        <v>2486</v>
      </c>
      <c r="I219" s="49" t="s">
        <v>2488</v>
      </c>
      <c r="J219" s="49" t="s">
        <v>2508</v>
      </c>
      <c r="K219" s="49" t="s">
        <v>2489</v>
      </c>
      <c r="L219" s="45"/>
      <c r="M219" s="45"/>
      <c r="N219" s="45"/>
      <c r="O219" s="45"/>
      <c r="P219" s="45"/>
      <c r="Q219" s="45"/>
      <c r="R219" s="45"/>
      <c r="S219" s="45"/>
      <c r="T219" s="45"/>
      <c r="U219" s="45"/>
      <c r="V219" s="45"/>
      <c r="W219" s="45"/>
      <c r="X219" s="45"/>
      <c r="Y219" s="45"/>
      <c r="Z219" s="45"/>
    </row>
    <row r="220">
      <c r="A220" s="46">
        <v>50.0</v>
      </c>
      <c r="B220" s="47" t="s">
        <v>165</v>
      </c>
      <c r="C220" s="48" t="s">
        <v>1765</v>
      </c>
      <c r="D220" s="47" t="s">
        <v>74</v>
      </c>
      <c r="E220" s="49" t="s">
        <v>135</v>
      </c>
      <c r="F220" s="49" t="s">
        <v>3710</v>
      </c>
      <c r="G220" s="49" t="s">
        <v>2486</v>
      </c>
      <c r="H220" s="49" t="s">
        <v>2486</v>
      </c>
      <c r="I220" s="49" t="s">
        <v>2488</v>
      </c>
      <c r="J220" s="49" t="s">
        <v>3703</v>
      </c>
      <c r="K220" s="49" t="s">
        <v>3711</v>
      </c>
      <c r="L220" s="45"/>
      <c r="M220" s="45"/>
      <c r="N220" s="45"/>
      <c r="O220" s="45"/>
      <c r="P220" s="45"/>
      <c r="Q220" s="45"/>
      <c r="R220" s="45"/>
      <c r="S220" s="45"/>
      <c r="T220" s="45"/>
      <c r="U220" s="45"/>
      <c r="V220" s="45"/>
      <c r="W220" s="45"/>
      <c r="X220" s="45"/>
      <c r="Y220" s="45"/>
      <c r="Z220" s="45"/>
    </row>
    <row r="221">
      <c r="A221" s="46">
        <v>51.0</v>
      </c>
      <c r="B221" s="47" t="s">
        <v>1770</v>
      </c>
      <c r="C221" s="48" t="s">
        <v>1771</v>
      </c>
      <c r="D221" s="47" t="s">
        <v>1235</v>
      </c>
      <c r="E221" s="49" t="s">
        <v>100</v>
      </c>
      <c r="F221" s="49" t="s">
        <v>3718</v>
      </c>
      <c r="G221" s="49" t="s">
        <v>2486</v>
      </c>
      <c r="H221" s="49" t="s">
        <v>2486</v>
      </c>
      <c r="I221" s="49" t="s">
        <v>2488</v>
      </c>
      <c r="J221" s="49" t="s">
        <v>2535</v>
      </c>
      <c r="K221" s="49" t="s">
        <v>2489</v>
      </c>
      <c r="L221" s="45"/>
      <c r="M221" s="45"/>
      <c r="N221" s="45"/>
      <c r="O221" s="45"/>
      <c r="P221" s="45"/>
      <c r="Q221" s="45"/>
      <c r="R221" s="45"/>
      <c r="S221" s="45"/>
      <c r="T221" s="45"/>
      <c r="U221" s="45"/>
      <c r="V221" s="45"/>
      <c r="W221" s="45"/>
      <c r="X221" s="45"/>
      <c r="Y221" s="45"/>
      <c r="Z221" s="45"/>
    </row>
    <row r="222">
      <c r="A222" s="46">
        <v>51.0</v>
      </c>
      <c r="B222" s="47" t="s">
        <v>1770</v>
      </c>
      <c r="C222" s="48" t="s">
        <v>1771</v>
      </c>
      <c r="D222" s="47" t="s">
        <v>1408</v>
      </c>
      <c r="E222" s="49" t="s">
        <v>100</v>
      </c>
      <c r="F222" s="49" t="s">
        <v>3725</v>
      </c>
      <c r="G222" s="49" t="s">
        <v>2486</v>
      </c>
      <c r="H222" s="49" t="s">
        <v>2486</v>
      </c>
      <c r="I222" s="49" t="s">
        <v>2488</v>
      </c>
      <c r="J222" s="49" t="s">
        <v>3726</v>
      </c>
      <c r="K222" s="49" t="s">
        <v>2489</v>
      </c>
      <c r="L222" s="45"/>
      <c r="M222" s="45"/>
      <c r="N222" s="45"/>
      <c r="O222" s="45"/>
      <c r="P222" s="45"/>
      <c r="Q222" s="45"/>
      <c r="R222" s="45"/>
      <c r="S222" s="45"/>
      <c r="T222" s="45"/>
      <c r="U222" s="45"/>
      <c r="V222" s="45"/>
      <c r="W222" s="45"/>
      <c r="X222" s="45"/>
      <c r="Y222" s="45"/>
      <c r="Z222" s="45"/>
    </row>
    <row r="223">
      <c r="A223" s="46">
        <v>51.0</v>
      </c>
      <c r="B223" s="47" t="s">
        <v>1770</v>
      </c>
      <c r="C223" s="48" t="s">
        <v>1771</v>
      </c>
      <c r="D223" s="47" t="s">
        <v>3727</v>
      </c>
      <c r="E223" s="49" t="s">
        <v>100</v>
      </c>
      <c r="F223" s="49" t="s">
        <v>3730</v>
      </c>
      <c r="G223" s="49" t="s">
        <v>2486</v>
      </c>
      <c r="H223" s="49" t="s">
        <v>2486</v>
      </c>
      <c r="I223" s="49" t="s">
        <v>2488</v>
      </c>
      <c r="J223" s="49" t="s">
        <v>2535</v>
      </c>
      <c r="K223" s="49" t="s">
        <v>2489</v>
      </c>
      <c r="L223" s="45"/>
      <c r="M223" s="45"/>
      <c r="N223" s="45"/>
      <c r="O223" s="45"/>
      <c r="P223" s="45"/>
      <c r="Q223" s="45"/>
      <c r="R223" s="45"/>
      <c r="S223" s="45"/>
      <c r="T223" s="45"/>
      <c r="U223" s="45"/>
      <c r="V223" s="45"/>
      <c r="W223" s="45"/>
      <c r="X223" s="45"/>
      <c r="Y223" s="45"/>
      <c r="Z223" s="45"/>
    </row>
    <row r="224">
      <c r="A224" s="46">
        <v>51.0</v>
      </c>
      <c r="B224" s="47" t="s">
        <v>1770</v>
      </c>
      <c r="C224" s="48" t="s">
        <v>1771</v>
      </c>
      <c r="D224" s="47" t="s">
        <v>3733</v>
      </c>
      <c r="E224" s="49" t="s">
        <v>135</v>
      </c>
      <c r="F224" s="49" t="s">
        <v>3734</v>
      </c>
      <c r="G224" s="49" t="s">
        <v>2486</v>
      </c>
      <c r="H224" s="49" t="s">
        <v>2486</v>
      </c>
      <c r="I224" s="49" t="s">
        <v>2488</v>
      </c>
      <c r="J224" s="49" t="s">
        <v>3726</v>
      </c>
      <c r="K224" s="49" t="s">
        <v>2489</v>
      </c>
      <c r="L224" s="45"/>
      <c r="M224" s="45"/>
      <c r="N224" s="45"/>
      <c r="O224" s="45"/>
      <c r="P224" s="45"/>
      <c r="Q224" s="45"/>
      <c r="R224" s="45"/>
      <c r="S224" s="45"/>
      <c r="T224" s="45"/>
      <c r="U224" s="45"/>
      <c r="V224" s="45"/>
      <c r="W224" s="45"/>
      <c r="X224" s="45"/>
      <c r="Y224" s="45"/>
      <c r="Z224" s="45"/>
    </row>
    <row r="225">
      <c r="A225" s="46">
        <v>52.0</v>
      </c>
      <c r="B225" s="47" t="s">
        <v>610</v>
      </c>
      <c r="C225" s="48" t="s">
        <v>1589</v>
      </c>
      <c r="D225" s="47" t="s">
        <v>566</v>
      </c>
      <c r="E225" s="49" t="s">
        <v>100</v>
      </c>
      <c r="F225" s="49" t="s">
        <v>3741</v>
      </c>
      <c r="G225" s="49" t="s">
        <v>2486</v>
      </c>
      <c r="H225" s="49" t="s">
        <v>2486</v>
      </c>
      <c r="I225" s="49" t="s">
        <v>2488</v>
      </c>
      <c r="J225" s="49" t="s">
        <v>2328</v>
      </c>
      <c r="K225" s="49" t="s">
        <v>2489</v>
      </c>
      <c r="L225" s="45"/>
      <c r="M225" s="45"/>
      <c r="N225" s="45"/>
      <c r="O225" s="45"/>
      <c r="P225" s="45"/>
      <c r="Q225" s="45"/>
      <c r="R225" s="45"/>
      <c r="S225" s="45"/>
      <c r="T225" s="45"/>
      <c r="U225" s="45"/>
      <c r="V225" s="45"/>
      <c r="W225" s="45"/>
      <c r="X225" s="45"/>
      <c r="Y225" s="45"/>
      <c r="Z225" s="45"/>
    </row>
    <row r="226">
      <c r="A226" s="46">
        <v>52.0</v>
      </c>
      <c r="B226" s="47" t="s">
        <v>610</v>
      </c>
      <c r="C226" s="48" t="s">
        <v>1589</v>
      </c>
      <c r="D226" s="47" t="s">
        <v>222</v>
      </c>
      <c r="E226" s="49" t="s">
        <v>100</v>
      </c>
      <c r="F226" s="49" t="s">
        <v>3746</v>
      </c>
      <c r="G226" s="49" t="s">
        <v>2486</v>
      </c>
      <c r="H226" s="49" t="s">
        <v>2486</v>
      </c>
      <c r="I226" s="49" t="s">
        <v>2488</v>
      </c>
      <c r="J226" s="49" t="s">
        <v>3747</v>
      </c>
      <c r="K226" s="49" t="s">
        <v>2489</v>
      </c>
      <c r="L226" s="45"/>
      <c r="M226" s="45"/>
      <c r="N226" s="45"/>
      <c r="O226" s="45"/>
      <c r="P226" s="45"/>
      <c r="Q226" s="45"/>
      <c r="R226" s="45"/>
      <c r="S226" s="45"/>
      <c r="T226" s="45"/>
      <c r="U226" s="45"/>
      <c r="V226" s="45"/>
      <c r="W226" s="45"/>
      <c r="X226" s="45"/>
      <c r="Y226" s="45"/>
      <c r="Z226" s="45"/>
    </row>
    <row r="227">
      <c r="A227" s="46">
        <v>52.0</v>
      </c>
      <c r="B227" s="47" t="s">
        <v>610</v>
      </c>
      <c r="C227" s="48" t="s">
        <v>1589</v>
      </c>
      <c r="D227" s="47" t="s">
        <v>35</v>
      </c>
      <c r="E227" s="49" t="s">
        <v>100</v>
      </c>
      <c r="F227" s="49" t="s">
        <v>3753</v>
      </c>
      <c r="G227" s="49" t="s">
        <v>2486</v>
      </c>
      <c r="H227" s="49" t="s">
        <v>2486</v>
      </c>
      <c r="I227" s="49" t="s">
        <v>2488</v>
      </c>
      <c r="J227" s="49" t="s">
        <v>2327</v>
      </c>
      <c r="K227" s="49" t="s">
        <v>2489</v>
      </c>
      <c r="L227" s="45"/>
      <c r="M227" s="45"/>
      <c r="N227" s="45"/>
      <c r="O227" s="45"/>
      <c r="P227" s="45"/>
      <c r="Q227" s="45"/>
      <c r="R227" s="45"/>
      <c r="S227" s="45"/>
      <c r="T227" s="45"/>
      <c r="U227" s="45"/>
      <c r="V227" s="45"/>
      <c r="W227" s="45"/>
      <c r="X227" s="45"/>
      <c r="Y227" s="45"/>
      <c r="Z227" s="45"/>
    </row>
    <row r="228">
      <c r="A228" s="46">
        <v>52.0</v>
      </c>
      <c r="B228" s="47" t="s">
        <v>610</v>
      </c>
      <c r="C228" s="48" t="s">
        <v>1589</v>
      </c>
      <c r="D228" s="47" t="s">
        <v>402</v>
      </c>
      <c r="E228" s="49" t="s">
        <v>100</v>
      </c>
      <c r="F228" s="49" t="s">
        <v>3761</v>
      </c>
      <c r="G228" s="49" t="s">
        <v>2486</v>
      </c>
      <c r="H228" s="49" t="s">
        <v>2486</v>
      </c>
      <c r="I228" s="49" t="s">
        <v>2488</v>
      </c>
      <c r="J228" s="49" t="s">
        <v>3762</v>
      </c>
      <c r="K228" s="49" t="s">
        <v>2489</v>
      </c>
      <c r="L228" s="45"/>
      <c r="M228" s="45"/>
      <c r="N228" s="45"/>
      <c r="O228" s="45"/>
      <c r="P228" s="45"/>
      <c r="Q228" s="45"/>
      <c r="R228" s="45"/>
      <c r="S228" s="45"/>
      <c r="T228" s="45"/>
      <c r="U228" s="45"/>
      <c r="V228" s="45"/>
      <c r="W228" s="45"/>
      <c r="X228" s="45"/>
      <c r="Y228" s="45"/>
      <c r="Z228" s="45"/>
    </row>
    <row r="229">
      <c r="A229" s="46">
        <v>52.0</v>
      </c>
      <c r="B229" s="47" t="s">
        <v>610</v>
      </c>
      <c r="C229" s="48" t="s">
        <v>1589</v>
      </c>
      <c r="D229" s="47" t="s">
        <v>82</v>
      </c>
      <c r="E229" s="49" t="s">
        <v>135</v>
      </c>
      <c r="F229" s="49" t="s">
        <v>3767</v>
      </c>
      <c r="G229" s="49" t="s">
        <v>2486</v>
      </c>
      <c r="H229" s="49" t="s">
        <v>2486</v>
      </c>
      <c r="I229" s="49" t="s">
        <v>2488</v>
      </c>
      <c r="J229" s="49" t="s">
        <v>2328</v>
      </c>
      <c r="K229" s="49" t="s">
        <v>2598</v>
      </c>
      <c r="L229" s="45"/>
      <c r="M229" s="45"/>
      <c r="N229" s="45"/>
      <c r="O229" s="45"/>
      <c r="P229" s="45"/>
      <c r="Q229" s="45"/>
      <c r="R229" s="45"/>
      <c r="S229" s="45"/>
      <c r="T229" s="45"/>
      <c r="U229" s="45"/>
      <c r="V229" s="45"/>
      <c r="W229" s="45"/>
      <c r="X229" s="45"/>
      <c r="Y229" s="45"/>
      <c r="Z229" s="45"/>
    </row>
    <row r="230">
      <c r="A230" s="46">
        <v>53.0</v>
      </c>
      <c r="B230" s="47" t="s">
        <v>1778</v>
      </c>
      <c r="C230" s="48" t="s">
        <v>1589</v>
      </c>
      <c r="D230" s="47" t="s">
        <v>1412</v>
      </c>
      <c r="E230" s="49" t="s">
        <v>100</v>
      </c>
      <c r="F230" s="49" t="s">
        <v>3775</v>
      </c>
      <c r="G230" s="49" t="s">
        <v>2486</v>
      </c>
      <c r="H230" s="49" t="s">
        <v>2486</v>
      </c>
      <c r="I230" s="49" t="s">
        <v>2488</v>
      </c>
      <c r="J230" s="49" t="s">
        <v>2573</v>
      </c>
      <c r="K230" s="49" t="s">
        <v>2489</v>
      </c>
      <c r="L230" s="45"/>
      <c r="M230" s="45"/>
      <c r="N230" s="45"/>
      <c r="O230" s="45"/>
      <c r="P230" s="45"/>
      <c r="Q230" s="45"/>
      <c r="R230" s="45"/>
      <c r="S230" s="45"/>
      <c r="T230" s="45"/>
      <c r="U230" s="45"/>
      <c r="V230" s="45"/>
      <c r="W230" s="45"/>
      <c r="X230" s="45"/>
      <c r="Y230" s="45"/>
      <c r="Z230" s="45"/>
    </row>
    <row r="231">
      <c r="A231" s="46">
        <v>53.0</v>
      </c>
      <c r="B231" s="47" t="s">
        <v>1778</v>
      </c>
      <c r="C231" s="48" t="s">
        <v>1589</v>
      </c>
      <c r="D231" s="47" t="s">
        <v>644</v>
      </c>
      <c r="E231" s="49" t="s">
        <v>100</v>
      </c>
      <c r="F231" s="49" t="s">
        <v>3778</v>
      </c>
      <c r="G231" s="49" t="s">
        <v>2486</v>
      </c>
      <c r="H231" s="49" t="s">
        <v>2486</v>
      </c>
      <c r="I231" s="49" t="s">
        <v>2488</v>
      </c>
      <c r="J231" s="49" t="s">
        <v>3779</v>
      </c>
      <c r="K231" s="49" t="s">
        <v>2598</v>
      </c>
      <c r="L231" s="45"/>
      <c r="M231" s="45"/>
      <c r="N231" s="45"/>
      <c r="O231" s="45"/>
      <c r="P231" s="45"/>
      <c r="Q231" s="45"/>
      <c r="R231" s="45"/>
      <c r="S231" s="45"/>
      <c r="T231" s="45"/>
      <c r="U231" s="45"/>
      <c r="V231" s="45"/>
      <c r="W231" s="45"/>
      <c r="X231" s="45"/>
      <c r="Y231" s="45"/>
      <c r="Z231" s="45"/>
    </row>
    <row r="232">
      <c r="A232" s="46">
        <v>53.0</v>
      </c>
      <c r="B232" s="47" t="s">
        <v>1778</v>
      </c>
      <c r="C232" s="48" t="s">
        <v>1589</v>
      </c>
      <c r="D232" s="47" t="s">
        <v>833</v>
      </c>
      <c r="E232" s="49" t="s">
        <v>135</v>
      </c>
      <c r="F232" s="49" t="s">
        <v>3782</v>
      </c>
      <c r="G232" s="49" t="s">
        <v>2486</v>
      </c>
      <c r="H232" s="49" t="s">
        <v>2486</v>
      </c>
      <c r="I232" s="49" t="s">
        <v>2488</v>
      </c>
      <c r="J232" s="49" t="s">
        <v>2573</v>
      </c>
      <c r="K232" s="49" t="s">
        <v>2489</v>
      </c>
      <c r="L232" s="45"/>
      <c r="M232" s="45"/>
      <c r="N232" s="45"/>
      <c r="O232" s="45"/>
      <c r="P232" s="45"/>
      <c r="Q232" s="45"/>
      <c r="R232" s="45"/>
      <c r="S232" s="45"/>
      <c r="T232" s="45"/>
      <c r="U232" s="45"/>
      <c r="V232" s="45"/>
      <c r="W232" s="45"/>
      <c r="X232" s="45"/>
      <c r="Y232" s="45"/>
      <c r="Z232" s="45"/>
    </row>
    <row r="233">
      <c r="A233" s="46">
        <v>54.0</v>
      </c>
      <c r="B233" s="47" t="s">
        <v>1214</v>
      </c>
      <c r="C233" s="48" t="s">
        <v>1589</v>
      </c>
      <c r="D233" s="47" t="s">
        <v>699</v>
      </c>
      <c r="E233" s="49" t="s">
        <v>100</v>
      </c>
      <c r="F233" s="49" t="s">
        <v>3786</v>
      </c>
      <c r="G233" s="49" t="s">
        <v>2486</v>
      </c>
      <c r="H233" s="49" t="s">
        <v>2486</v>
      </c>
      <c r="I233" s="49" t="s">
        <v>2488</v>
      </c>
      <c r="J233" s="49" t="s">
        <v>2590</v>
      </c>
      <c r="K233" s="49" t="s">
        <v>2489</v>
      </c>
      <c r="L233" s="45"/>
      <c r="M233" s="45"/>
      <c r="N233" s="45"/>
      <c r="O233" s="45"/>
      <c r="P233" s="45"/>
      <c r="Q233" s="45"/>
      <c r="R233" s="45"/>
      <c r="S233" s="45"/>
      <c r="T233" s="45"/>
      <c r="U233" s="45"/>
      <c r="V233" s="45"/>
      <c r="W233" s="45"/>
      <c r="X233" s="45"/>
      <c r="Y233" s="45"/>
      <c r="Z233" s="45"/>
    </row>
    <row r="234">
      <c r="A234" s="46">
        <v>54.0</v>
      </c>
      <c r="B234" s="47" t="s">
        <v>1214</v>
      </c>
      <c r="C234" s="48" t="s">
        <v>1589</v>
      </c>
      <c r="D234" s="47" t="s">
        <v>985</v>
      </c>
      <c r="E234" s="49" t="s">
        <v>100</v>
      </c>
      <c r="F234" s="49" t="s">
        <v>3794</v>
      </c>
      <c r="G234" s="49" t="s">
        <v>2486</v>
      </c>
      <c r="H234" s="49" t="s">
        <v>2486</v>
      </c>
      <c r="I234" s="49" t="s">
        <v>2488</v>
      </c>
      <c r="J234" s="49" t="s">
        <v>3795</v>
      </c>
      <c r="K234" s="49" t="s">
        <v>2489</v>
      </c>
      <c r="L234" s="45"/>
      <c r="M234" s="45"/>
      <c r="N234" s="45"/>
      <c r="O234" s="45"/>
      <c r="P234" s="45"/>
      <c r="Q234" s="45"/>
      <c r="R234" s="45"/>
      <c r="S234" s="45"/>
      <c r="T234" s="45"/>
      <c r="U234" s="45"/>
      <c r="V234" s="45"/>
      <c r="W234" s="45"/>
      <c r="X234" s="45"/>
      <c r="Y234" s="45"/>
      <c r="Z234" s="45"/>
    </row>
    <row r="235">
      <c r="A235" s="46">
        <v>54.0</v>
      </c>
      <c r="B235" s="47" t="s">
        <v>1214</v>
      </c>
      <c r="C235" s="48" t="s">
        <v>1589</v>
      </c>
      <c r="D235" s="47" t="s">
        <v>1054</v>
      </c>
      <c r="E235" s="49" t="s">
        <v>100</v>
      </c>
      <c r="F235" s="49" t="s">
        <v>3799</v>
      </c>
      <c r="G235" s="49" t="s">
        <v>2486</v>
      </c>
      <c r="H235" s="49" t="s">
        <v>2486</v>
      </c>
      <c r="I235" s="49" t="s">
        <v>2488</v>
      </c>
      <c r="J235" s="49" t="s">
        <v>2590</v>
      </c>
      <c r="K235" s="49" t="s">
        <v>2489</v>
      </c>
      <c r="L235" s="45"/>
      <c r="M235" s="45"/>
      <c r="N235" s="45"/>
      <c r="O235" s="45"/>
      <c r="P235" s="45"/>
      <c r="Q235" s="45"/>
      <c r="R235" s="45"/>
      <c r="S235" s="45"/>
      <c r="T235" s="45"/>
      <c r="U235" s="45"/>
      <c r="V235" s="45"/>
      <c r="W235" s="45"/>
      <c r="X235" s="45"/>
      <c r="Y235" s="45"/>
      <c r="Z235" s="45"/>
    </row>
    <row r="236">
      <c r="A236" s="46">
        <v>54.0</v>
      </c>
      <c r="B236" s="47" t="s">
        <v>1214</v>
      </c>
      <c r="C236" s="48" t="s">
        <v>1589</v>
      </c>
      <c r="D236" s="47" t="s">
        <v>1217</v>
      </c>
      <c r="E236" s="49" t="s">
        <v>100</v>
      </c>
      <c r="F236" s="49" t="s">
        <v>3802</v>
      </c>
      <c r="G236" s="49" t="s">
        <v>2486</v>
      </c>
      <c r="H236" s="49" t="s">
        <v>2486</v>
      </c>
      <c r="I236" s="49" t="s">
        <v>2488</v>
      </c>
      <c r="J236" s="49" t="s">
        <v>3795</v>
      </c>
      <c r="K236" s="49" t="s">
        <v>2489</v>
      </c>
      <c r="L236" s="45"/>
      <c r="M236" s="45"/>
      <c r="N236" s="45"/>
      <c r="O236" s="45"/>
      <c r="P236" s="45"/>
      <c r="Q236" s="45"/>
      <c r="R236" s="45"/>
      <c r="S236" s="45"/>
      <c r="T236" s="45"/>
      <c r="U236" s="45"/>
      <c r="V236" s="45"/>
      <c r="W236" s="45"/>
      <c r="X236" s="45"/>
      <c r="Y236" s="45"/>
      <c r="Z236" s="45"/>
    </row>
    <row r="237">
      <c r="A237" s="46">
        <v>54.0</v>
      </c>
      <c r="B237" s="47" t="s">
        <v>1214</v>
      </c>
      <c r="C237" s="48" t="s">
        <v>1589</v>
      </c>
      <c r="D237" s="47" t="s">
        <v>1064</v>
      </c>
      <c r="E237" s="49" t="s">
        <v>135</v>
      </c>
      <c r="F237" s="49" t="s">
        <v>3805</v>
      </c>
      <c r="G237" s="49" t="s">
        <v>2486</v>
      </c>
      <c r="H237" s="49" t="s">
        <v>2486</v>
      </c>
      <c r="I237" s="49" t="s">
        <v>2488</v>
      </c>
      <c r="J237" s="49" t="s">
        <v>2590</v>
      </c>
      <c r="K237" s="49" t="s">
        <v>2489</v>
      </c>
      <c r="L237" s="45"/>
      <c r="M237" s="45"/>
      <c r="N237" s="45"/>
      <c r="O237" s="45"/>
      <c r="P237" s="45"/>
      <c r="Q237" s="45"/>
      <c r="R237" s="45"/>
      <c r="S237" s="45"/>
      <c r="T237" s="45"/>
      <c r="U237" s="45"/>
      <c r="V237" s="45"/>
      <c r="W237" s="45"/>
      <c r="X237" s="45"/>
      <c r="Y237" s="45"/>
      <c r="Z237" s="45"/>
    </row>
    <row r="238">
      <c r="A238" s="46">
        <v>55.0</v>
      </c>
      <c r="B238" s="47" t="s">
        <v>1</v>
      </c>
      <c r="C238" s="48" t="s">
        <v>1589</v>
      </c>
      <c r="D238" s="47" t="s">
        <v>845</v>
      </c>
      <c r="E238" s="49" t="s">
        <v>100</v>
      </c>
      <c r="F238" s="49" t="s">
        <v>3808</v>
      </c>
      <c r="G238" s="49" t="s">
        <v>2486</v>
      </c>
      <c r="H238" s="49" t="s">
        <v>2486</v>
      </c>
      <c r="I238" s="49" t="s">
        <v>2488</v>
      </c>
      <c r="J238" s="49" t="s">
        <v>2615</v>
      </c>
      <c r="K238" s="49" t="s">
        <v>2489</v>
      </c>
      <c r="L238" s="45"/>
      <c r="M238" s="45"/>
      <c r="N238" s="45"/>
      <c r="O238" s="45"/>
      <c r="P238" s="45"/>
      <c r="Q238" s="45"/>
      <c r="R238" s="45"/>
      <c r="S238" s="45"/>
      <c r="T238" s="45"/>
      <c r="U238" s="45"/>
      <c r="V238" s="45"/>
      <c r="W238" s="45"/>
      <c r="X238" s="45"/>
      <c r="Y238" s="45"/>
      <c r="Z238" s="45"/>
    </row>
    <row r="239">
      <c r="A239" s="46">
        <v>55.0</v>
      </c>
      <c r="B239" s="47" t="s">
        <v>1</v>
      </c>
      <c r="C239" s="48" t="s">
        <v>1589</v>
      </c>
      <c r="D239" s="47" t="s">
        <v>1138</v>
      </c>
      <c r="E239" s="49" t="s">
        <v>100</v>
      </c>
      <c r="F239" s="49" t="s">
        <v>3811</v>
      </c>
      <c r="G239" s="49" t="s">
        <v>2486</v>
      </c>
      <c r="H239" s="49" t="s">
        <v>2486</v>
      </c>
      <c r="I239" s="49" t="s">
        <v>2488</v>
      </c>
      <c r="J239" s="49" t="s">
        <v>3812</v>
      </c>
      <c r="K239" s="49" t="s">
        <v>2489</v>
      </c>
      <c r="L239" s="45"/>
      <c r="M239" s="45"/>
      <c r="N239" s="45"/>
      <c r="O239" s="45"/>
      <c r="P239" s="45"/>
      <c r="Q239" s="45"/>
      <c r="R239" s="45"/>
      <c r="S239" s="45"/>
      <c r="T239" s="45"/>
      <c r="U239" s="45"/>
      <c r="V239" s="45"/>
      <c r="W239" s="45"/>
      <c r="X239" s="45"/>
      <c r="Y239" s="45"/>
      <c r="Z239" s="45"/>
    </row>
    <row r="240">
      <c r="A240" s="46">
        <v>55.0</v>
      </c>
      <c r="B240" s="47" t="s">
        <v>1</v>
      </c>
      <c r="C240" s="48" t="s">
        <v>1589</v>
      </c>
      <c r="D240" s="47" t="s">
        <v>29</v>
      </c>
      <c r="E240" s="49" t="s">
        <v>100</v>
      </c>
      <c r="F240" s="49" t="s">
        <v>3817</v>
      </c>
      <c r="G240" s="49" t="s">
        <v>2486</v>
      </c>
      <c r="H240" s="49" t="s">
        <v>2486</v>
      </c>
      <c r="I240" s="49" t="s">
        <v>2488</v>
      </c>
      <c r="J240" s="49" t="s">
        <v>3818</v>
      </c>
      <c r="K240" s="49" t="s">
        <v>2489</v>
      </c>
      <c r="L240" s="45"/>
      <c r="M240" s="45"/>
      <c r="N240" s="45"/>
      <c r="O240" s="45"/>
      <c r="P240" s="45"/>
      <c r="Q240" s="45"/>
      <c r="R240" s="45"/>
      <c r="S240" s="45"/>
      <c r="T240" s="45"/>
      <c r="U240" s="45"/>
      <c r="V240" s="45"/>
      <c r="W240" s="45"/>
      <c r="X240" s="45"/>
      <c r="Y240" s="45"/>
      <c r="Z240" s="45"/>
    </row>
    <row r="241">
      <c r="A241" s="46">
        <v>55.0</v>
      </c>
      <c r="B241" s="47" t="s">
        <v>1</v>
      </c>
      <c r="C241" s="48" t="s">
        <v>1589</v>
      </c>
      <c r="D241" s="47" t="s">
        <v>81</v>
      </c>
      <c r="E241" s="49" t="s">
        <v>135</v>
      </c>
      <c r="F241" s="49" t="s">
        <v>3823</v>
      </c>
      <c r="G241" s="49" t="s">
        <v>2486</v>
      </c>
      <c r="H241" s="49" t="s">
        <v>2486</v>
      </c>
      <c r="I241" s="49" t="s">
        <v>2488</v>
      </c>
      <c r="J241" s="49" t="s">
        <v>2615</v>
      </c>
      <c r="K241" s="49" t="s">
        <v>2545</v>
      </c>
      <c r="L241" s="45"/>
      <c r="M241" s="45"/>
      <c r="N241" s="45"/>
      <c r="O241" s="45"/>
      <c r="P241" s="45"/>
      <c r="Q241" s="45"/>
      <c r="R241" s="45"/>
      <c r="S241" s="45"/>
      <c r="T241" s="45"/>
      <c r="U241" s="45"/>
      <c r="V241" s="45"/>
      <c r="W241" s="45"/>
      <c r="X241" s="45"/>
      <c r="Y241" s="45"/>
      <c r="Z241" s="45"/>
    </row>
    <row r="242">
      <c r="A242" s="46">
        <v>55.0</v>
      </c>
      <c r="B242" s="47" t="s">
        <v>1</v>
      </c>
      <c r="C242" s="48" t="s">
        <v>1589</v>
      </c>
      <c r="D242" s="47" t="s">
        <v>218</v>
      </c>
      <c r="E242" s="49" t="s">
        <v>135</v>
      </c>
      <c r="F242" s="49" t="s">
        <v>3828</v>
      </c>
      <c r="G242" s="49" t="s">
        <v>2486</v>
      </c>
      <c r="H242" s="49" t="s">
        <v>2486</v>
      </c>
      <c r="I242" s="49" t="s">
        <v>2488</v>
      </c>
      <c r="J242" s="49" t="s">
        <v>3812</v>
      </c>
      <c r="K242" s="49" t="s">
        <v>2489</v>
      </c>
      <c r="L242" s="45"/>
      <c r="M242" s="45"/>
      <c r="N242" s="45"/>
      <c r="O242" s="45"/>
      <c r="P242" s="45"/>
      <c r="Q242" s="45"/>
      <c r="R242" s="45"/>
      <c r="S242" s="45"/>
      <c r="T242" s="45"/>
      <c r="U242" s="45"/>
      <c r="V242" s="45"/>
      <c r="W242" s="45"/>
      <c r="X242" s="45"/>
      <c r="Y242" s="45"/>
      <c r="Z242" s="45"/>
    </row>
    <row r="243">
      <c r="A243" s="46">
        <v>56.0</v>
      </c>
      <c r="B243" s="47" t="s">
        <v>392</v>
      </c>
      <c r="C243" s="48" t="s">
        <v>1589</v>
      </c>
      <c r="D243" s="47" t="s">
        <v>232</v>
      </c>
      <c r="E243" s="49" t="s">
        <v>100</v>
      </c>
      <c r="F243" s="49" t="s">
        <v>3832</v>
      </c>
      <c r="G243" s="49" t="s">
        <v>2486</v>
      </c>
      <c r="H243" s="49" t="s">
        <v>2486</v>
      </c>
      <c r="I243" s="49" t="s">
        <v>2488</v>
      </c>
      <c r="J243" s="49" t="s">
        <v>2639</v>
      </c>
      <c r="K243" s="49" t="s">
        <v>2545</v>
      </c>
      <c r="L243" s="45"/>
      <c r="M243" s="45"/>
      <c r="N243" s="45"/>
      <c r="O243" s="45"/>
      <c r="P243" s="45"/>
      <c r="Q243" s="45"/>
      <c r="R243" s="45"/>
      <c r="S243" s="45"/>
      <c r="T243" s="45"/>
      <c r="U243" s="45"/>
      <c r="V243" s="45"/>
      <c r="W243" s="45"/>
      <c r="X243" s="45"/>
      <c r="Y243" s="45"/>
      <c r="Z243" s="45"/>
    </row>
    <row r="244">
      <c r="A244" s="46">
        <v>56.0</v>
      </c>
      <c r="B244" s="47" t="s">
        <v>392</v>
      </c>
      <c r="C244" s="48" t="s">
        <v>1589</v>
      </c>
      <c r="D244" s="47" t="s">
        <v>133</v>
      </c>
      <c r="E244" s="49" t="s">
        <v>100</v>
      </c>
      <c r="F244" s="49" t="s">
        <v>3836</v>
      </c>
      <c r="G244" s="49" t="s">
        <v>2486</v>
      </c>
      <c r="H244" s="49" t="s">
        <v>2486</v>
      </c>
      <c r="I244" s="49" t="s">
        <v>2488</v>
      </c>
      <c r="J244" s="49" t="s">
        <v>3837</v>
      </c>
      <c r="K244" s="49" t="s">
        <v>2489</v>
      </c>
      <c r="L244" s="45"/>
      <c r="M244" s="45"/>
      <c r="N244" s="45"/>
      <c r="O244" s="45"/>
      <c r="P244" s="45"/>
      <c r="Q244" s="45"/>
      <c r="R244" s="45"/>
      <c r="S244" s="45"/>
      <c r="T244" s="45"/>
      <c r="U244" s="45"/>
      <c r="V244" s="45"/>
      <c r="W244" s="45"/>
      <c r="X244" s="45"/>
      <c r="Y244" s="45"/>
      <c r="Z244" s="45"/>
    </row>
    <row r="245">
      <c r="A245" s="46">
        <v>56.0</v>
      </c>
      <c r="B245" s="47" t="s">
        <v>392</v>
      </c>
      <c r="C245" s="48" t="s">
        <v>1589</v>
      </c>
      <c r="D245" s="47" t="s">
        <v>78</v>
      </c>
      <c r="E245" s="49" t="s">
        <v>100</v>
      </c>
      <c r="F245" s="49" t="s">
        <v>3838</v>
      </c>
      <c r="G245" s="49" t="s">
        <v>2486</v>
      </c>
      <c r="H245" s="49" t="s">
        <v>2486</v>
      </c>
      <c r="I245" s="49" t="s">
        <v>2488</v>
      </c>
      <c r="J245" s="49" t="s">
        <v>2639</v>
      </c>
      <c r="K245" s="49" t="s">
        <v>2545</v>
      </c>
      <c r="L245" s="45"/>
      <c r="M245" s="45"/>
      <c r="N245" s="45"/>
      <c r="O245" s="45"/>
      <c r="P245" s="45"/>
      <c r="Q245" s="45"/>
      <c r="R245" s="45"/>
      <c r="S245" s="45"/>
      <c r="T245" s="45"/>
      <c r="U245" s="45"/>
      <c r="V245" s="45"/>
      <c r="W245" s="45"/>
      <c r="X245" s="45"/>
      <c r="Y245" s="45"/>
      <c r="Z245" s="45"/>
    </row>
    <row r="246">
      <c r="A246" s="46">
        <v>56.0</v>
      </c>
      <c r="B246" s="47" t="s">
        <v>392</v>
      </c>
      <c r="C246" s="48" t="s">
        <v>1589</v>
      </c>
      <c r="D246" s="47" t="s">
        <v>749</v>
      </c>
      <c r="E246" s="49" t="s">
        <v>135</v>
      </c>
      <c r="F246" s="49" t="s">
        <v>3839</v>
      </c>
      <c r="G246" s="49" t="s">
        <v>2486</v>
      </c>
      <c r="H246" s="49" t="s">
        <v>2486</v>
      </c>
      <c r="I246" s="49" t="s">
        <v>2488</v>
      </c>
      <c r="J246" s="49" t="s">
        <v>3837</v>
      </c>
      <c r="K246" s="49" t="s">
        <v>2489</v>
      </c>
      <c r="L246" s="45"/>
      <c r="M246" s="45"/>
      <c r="N246" s="45"/>
      <c r="O246" s="45"/>
      <c r="P246" s="45"/>
      <c r="Q246" s="45"/>
      <c r="R246" s="45"/>
      <c r="S246" s="45"/>
      <c r="T246" s="45"/>
      <c r="U246" s="45"/>
      <c r="V246" s="45"/>
      <c r="W246" s="45"/>
      <c r="X246" s="45"/>
      <c r="Y246" s="45"/>
      <c r="Z246" s="45"/>
    </row>
    <row r="247">
      <c r="A247" s="46">
        <v>56.0</v>
      </c>
      <c r="B247" s="47" t="s">
        <v>392</v>
      </c>
      <c r="C247" s="48" t="s">
        <v>1589</v>
      </c>
      <c r="D247" s="47" t="s">
        <v>81</v>
      </c>
      <c r="E247" s="49" t="s">
        <v>135</v>
      </c>
      <c r="F247" s="49" t="s">
        <v>3840</v>
      </c>
      <c r="G247" s="49" t="s">
        <v>2486</v>
      </c>
      <c r="H247" s="49" t="s">
        <v>2486</v>
      </c>
      <c r="I247" s="49" t="s">
        <v>2488</v>
      </c>
      <c r="J247" s="49" t="s">
        <v>2639</v>
      </c>
      <c r="K247" s="49" t="s">
        <v>2545</v>
      </c>
      <c r="L247" s="45"/>
      <c r="M247" s="45"/>
      <c r="N247" s="45"/>
      <c r="O247" s="45"/>
      <c r="P247" s="45"/>
      <c r="Q247" s="45"/>
      <c r="R247" s="45"/>
      <c r="S247" s="45"/>
      <c r="T247" s="45"/>
      <c r="U247" s="45"/>
      <c r="V247" s="45"/>
      <c r="W247" s="45"/>
      <c r="X247" s="45"/>
      <c r="Y247" s="45"/>
      <c r="Z247" s="45"/>
    </row>
    <row r="248">
      <c r="A248" s="46">
        <v>57.0</v>
      </c>
      <c r="B248" s="47" t="s">
        <v>367</v>
      </c>
      <c r="C248" s="48" t="s">
        <v>1598</v>
      </c>
      <c r="D248" s="47" t="s">
        <v>315</v>
      </c>
      <c r="E248" s="49" t="s">
        <v>100</v>
      </c>
      <c r="F248" s="49" t="s">
        <v>3844</v>
      </c>
      <c r="G248" s="49" t="s">
        <v>2486</v>
      </c>
      <c r="H248" s="49" t="s">
        <v>2486</v>
      </c>
      <c r="I248" s="49" t="s">
        <v>2488</v>
      </c>
      <c r="J248" s="49" t="s">
        <v>2673</v>
      </c>
      <c r="K248" s="49" t="s">
        <v>2489</v>
      </c>
      <c r="L248" s="45"/>
      <c r="M248" s="45"/>
      <c r="N248" s="45"/>
      <c r="O248" s="45"/>
      <c r="P248" s="45"/>
      <c r="Q248" s="45"/>
      <c r="R248" s="45"/>
      <c r="S248" s="45"/>
      <c r="T248" s="45"/>
      <c r="U248" s="45"/>
      <c r="V248" s="45"/>
      <c r="W248" s="45"/>
      <c r="X248" s="45"/>
      <c r="Y248" s="45"/>
      <c r="Z248" s="45"/>
    </row>
    <row r="249">
      <c r="A249" s="46">
        <v>57.0</v>
      </c>
      <c r="B249" s="47" t="s">
        <v>367</v>
      </c>
      <c r="C249" s="48" t="s">
        <v>1598</v>
      </c>
      <c r="D249" s="47" t="s">
        <v>1143</v>
      </c>
      <c r="E249" s="49" t="s">
        <v>100</v>
      </c>
      <c r="F249" s="49" t="s">
        <v>3847</v>
      </c>
      <c r="G249" s="49" t="s">
        <v>2486</v>
      </c>
      <c r="H249" s="49" t="s">
        <v>2486</v>
      </c>
      <c r="I249" s="49" t="s">
        <v>2488</v>
      </c>
      <c r="J249" s="49" t="s">
        <v>2346</v>
      </c>
      <c r="K249" s="49" t="s">
        <v>2489</v>
      </c>
      <c r="L249" s="45"/>
      <c r="M249" s="45"/>
      <c r="N249" s="45"/>
      <c r="O249" s="45"/>
      <c r="P249" s="45"/>
      <c r="Q249" s="45"/>
      <c r="R249" s="45"/>
      <c r="S249" s="45"/>
      <c r="T249" s="45"/>
      <c r="U249" s="45"/>
      <c r="V249" s="45"/>
      <c r="W249" s="45"/>
      <c r="X249" s="45"/>
      <c r="Y249" s="45"/>
      <c r="Z249" s="45"/>
    </row>
    <row r="250">
      <c r="A250" s="46">
        <v>57.0</v>
      </c>
      <c r="B250" s="47" t="s">
        <v>367</v>
      </c>
      <c r="C250" s="48" t="s">
        <v>1598</v>
      </c>
      <c r="D250" s="47" t="s">
        <v>229</v>
      </c>
      <c r="E250" s="49" t="s">
        <v>100</v>
      </c>
      <c r="F250" s="49" t="s">
        <v>3853</v>
      </c>
      <c r="G250" s="49" t="s">
        <v>2486</v>
      </c>
      <c r="H250" s="49" t="s">
        <v>2486</v>
      </c>
      <c r="I250" s="49" t="s">
        <v>2488</v>
      </c>
      <c r="J250" s="49" t="s">
        <v>3854</v>
      </c>
      <c r="K250" s="49" t="s">
        <v>2489</v>
      </c>
      <c r="L250" s="45"/>
      <c r="M250" s="45"/>
      <c r="N250" s="45"/>
      <c r="O250" s="45"/>
      <c r="P250" s="45"/>
      <c r="Q250" s="45"/>
      <c r="R250" s="45"/>
      <c r="S250" s="45"/>
      <c r="T250" s="45"/>
      <c r="U250" s="45"/>
      <c r="V250" s="45"/>
      <c r="W250" s="45"/>
      <c r="X250" s="45"/>
      <c r="Y250" s="45"/>
      <c r="Z250" s="45"/>
    </row>
    <row r="251">
      <c r="A251" s="46">
        <v>57.0</v>
      </c>
      <c r="B251" s="47" t="s">
        <v>367</v>
      </c>
      <c r="C251" s="48" t="s">
        <v>1598</v>
      </c>
      <c r="D251" s="47" t="s">
        <v>794</v>
      </c>
      <c r="E251" s="49" t="s">
        <v>100</v>
      </c>
      <c r="F251" s="49" t="s">
        <v>3859</v>
      </c>
      <c r="G251" s="49" t="s">
        <v>2486</v>
      </c>
      <c r="H251" s="49" t="s">
        <v>2486</v>
      </c>
      <c r="I251" s="49" t="s">
        <v>2488</v>
      </c>
      <c r="J251" s="49" t="s">
        <v>3862</v>
      </c>
      <c r="K251" s="49" t="s">
        <v>2489</v>
      </c>
      <c r="L251" s="45"/>
      <c r="M251" s="45"/>
      <c r="N251" s="45"/>
      <c r="O251" s="45"/>
      <c r="P251" s="45"/>
      <c r="Q251" s="45"/>
      <c r="R251" s="45"/>
      <c r="S251" s="45"/>
      <c r="T251" s="45"/>
      <c r="U251" s="45"/>
      <c r="V251" s="45"/>
      <c r="W251" s="45"/>
      <c r="X251" s="45"/>
      <c r="Y251" s="45"/>
      <c r="Z251" s="45"/>
    </row>
    <row r="252">
      <c r="A252" s="46">
        <v>57.0</v>
      </c>
      <c r="B252" s="47" t="s">
        <v>367</v>
      </c>
      <c r="C252" s="48" t="s">
        <v>1598</v>
      </c>
      <c r="D252" s="47" t="s">
        <v>115</v>
      </c>
      <c r="E252" s="49" t="s">
        <v>135</v>
      </c>
      <c r="F252" s="49" t="s">
        <v>3864</v>
      </c>
      <c r="G252" s="49" t="s">
        <v>2486</v>
      </c>
      <c r="H252" s="49" t="s">
        <v>2486</v>
      </c>
      <c r="I252" s="49" t="s">
        <v>2488</v>
      </c>
      <c r="J252" s="49" t="s">
        <v>2673</v>
      </c>
      <c r="K252" s="49" t="s">
        <v>2545</v>
      </c>
      <c r="L252" s="45"/>
      <c r="M252" s="45"/>
      <c r="N252" s="45"/>
      <c r="O252" s="45"/>
      <c r="P252" s="45"/>
      <c r="Q252" s="45"/>
      <c r="R252" s="45"/>
      <c r="S252" s="45"/>
      <c r="T252" s="45"/>
      <c r="U252" s="45"/>
      <c r="V252" s="45"/>
      <c r="W252" s="45"/>
      <c r="X252" s="45"/>
      <c r="Y252" s="45"/>
      <c r="Z252" s="45"/>
    </row>
    <row r="253">
      <c r="A253" s="46">
        <v>58.0</v>
      </c>
      <c r="B253" s="47" t="s">
        <v>109</v>
      </c>
      <c r="C253" s="48" t="s">
        <v>1598</v>
      </c>
      <c r="D253" s="47" t="s">
        <v>85</v>
      </c>
      <c r="E253" s="49" t="s">
        <v>100</v>
      </c>
      <c r="F253" s="49" t="s">
        <v>3868</v>
      </c>
      <c r="G253" s="49" t="s">
        <v>2486</v>
      </c>
      <c r="H253" s="49" t="s">
        <v>2486</v>
      </c>
      <c r="I253" s="49" t="s">
        <v>2488</v>
      </c>
      <c r="J253" s="49" t="s">
        <v>2694</v>
      </c>
      <c r="K253" s="49" t="s">
        <v>2489</v>
      </c>
      <c r="L253" s="45"/>
      <c r="M253" s="45"/>
      <c r="N253" s="45"/>
      <c r="O253" s="45"/>
      <c r="P253" s="45"/>
      <c r="Q253" s="45"/>
      <c r="R253" s="45"/>
      <c r="S253" s="45"/>
      <c r="T253" s="45"/>
      <c r="U253" s="45"/>
      <c r="V253" s="45"/>
      <c r="W253" s="45"/>
      <c r="X253" s="45"/>
      <c r="Y253" s="45"/>
      <c r="Z253" s="45"/>
    </row>
    <row r="254">
      <c r="A254" s="46">
        <v>58.0</v>
      </c>
      <c r="B254" s="47" t="s">
        <v>109</v>
      </c>
      <c r="C254" s="48" t="s">
        <v>1598</v>
      </c>
      <c r="D254" s="47" t="s">
        <v>113</v>
      </c>
      <c r="E254" s="49" t="s">
        <v>100</v>
      </c>
      <c r="F254" s="49" t="s">
        <v>3871</v>
      </c>
      <c r="G254" s="49" t="s">
        <v>2486</v>
      </c>
      <c r="H254" s="49" t="s">
        <v>2486</v>
      </c>
      <c r="I254" s="49" t="s">
        <v>2488</v>
      </c>
      <c r="J254" s="49" t="s">
        <v>3874</v>
      </c>
      <c r="K254" s="49" t="s">
        <v>2489</v>
      </c>
      <c r="L254" s="45"/>
      <c r="M254" s="45"/>
      <c r="N254" s="45"/>
      <c r="O254" s="45"/>
      <c r="P254" s="45"/>
      <c r="Q254" s="45"/>
      <c r="R254" s="45"/>
      <c r="S254" s="45"/>
      <c r="T254" s="45"/>
      <c r="U254" s="45"/>
      <c r="V254" s="45"/>
      <c r="W254" s="45"/>
      <c r="X254" s="45"/>
      <c r="Y254" s="45"/>
      <c r="Z254" s="45"/>
    </row>
    <row r="255">
      <c r="A255" s="46">
        <v>58.0</v>
      </c>
      <c r="B255" s="47" t="s">
        <v>109</v>
      </c>
      <c r="C255" s="48" t="s">
        <v>1598</v>
      </c>
      <c r="D255" s="47" t="s">
        <v>163</v>
      </c>
      <c r="E255" s="49" t="s">
        <v>100</v>
      </c>
      <c r="F255" s="49" t="s">
        <v>3878</v>
      </c>
      <c r="G255" s="49" t="s">
        <v>2486</v>
      </c>
      <c r="H255" s="49" t="s">
        <v>2486</v>
      </c>
      <c r="I255" s="49" t="s">
        <v>2488</v>
      </c>
      <c r="J255" s="49" t="s">
        <v>3880</v>
      </c>
      <c r="K255" s="49" t="s">
        <v>2489</v>
      </c>
      <c r="L255" s="45"/>
      <c r="M255" s="45"/>
      <c r="N255" s="45"/>
      <c r="O255" s="45"/>
      <c r="P255" s="45"/>
      <c r="Q255" s="45"/>
      <c r="R255" s="45"/>
      <c r="S255" s="45"/>
      <c r="T255" s="45"/>
      <c r="U255" s="45"/>
      <c r="V255" s="45"/>
      <c r="W255" s="45"/>
      <c r="X255" s="45"/>
      <c r="Y255" s="45"/>
      <c r="Z255" s="45"/>
    </row>
    <row r="256">
      <c r="A256" s="46">
        <v>58.0</v>
      </c>
      <c r="B256" s="47" t="s">
        <v>109</v>
      </c>
      <c r="C256" s="48" t="s">
        <v>1598</v>
      </c>
      <c r="D256" s="47" t="s">
        <v>853</v>
      </c>
      <c r="E256" s="49" t="s">
        <v>100</v>
      </c>
      <c r="F256" s="49" t="s">
        <v>3887</v>
      </c>
      <c r="G256" s="49" t="s">
        <v>2486</v>
      </c>
      <c r="H256" s="49" t="s">
        <v>2486</v>
      </c>
      <c r="I256" s="49" t="s">
        <v>2488</v>
      </c>
      <c r="J256" s="49" t="s">
        <v>3889</v>
      </c>
      <c r="K256" s="49" t="s">
        <v>2489</v>
      </c>
      <c r="L256" s="45"/>
      <c r="M256" s="45"/>
      <c r="N256" s="45"/>
      <c r="O256" s="45"/>
      <c r="P256" s="45"/>
      <c r="Q256" s="45"/>
      <c r="R256" s="45"/>
      <c r="S256" s="45"/>
      <c r="T256" s="45"/>
      <c r="U256" s="45"/>
      <c r="V256" s="45"/>
      <c r="W256" s="45"/>
      <c r="X256" s="45"/>
      <c r="Y256" s="45"/>
      <c r="Z256" s="45"/>
    </row>
    <row r="257">
      <c r="A257" s="46">
        <v>58.0</v>
      </c>
      <c r="B257" s="47" t="s">
        <v>109</v>
      </c>
      <c r="C257" s="48" t="s">
        <v>1598</v>
      </c>
      <c r="D257" s="47" t="s">
        <v>579</v>
      </c>
      <c r="E257" s="49" t="s">
        <v>135</v>
      </c>
      <c r="F257" s="49" t="s">
        <v>3895</v>
      </c>
      <c r="G257" s="49" t="s">
        <v>2486</v>
      </c>
      <c r="H257" s="49" t="s">
        <v>2486</v>
      </c>
      <c r="I257" s="49" t="s">
        <v>2488</v>
      </c>
      <c r="J257" s="49" t="s">
        <v>2694</v>
      </c>
      <c r="K257" s="49" t="s">
        <v>2489</v>
      </c>
      <c r="L257" s="45"/>
      <c r="M257" s="45"/>
      <c r="N257" s="45"/>
      <c r="O257" s="45"/>
      <c r="P257" s="45"/>
      <c r="Q257" s="45"/>
      <c r="R257" s="45"/>
      <c r="S257" s="45"/>
      <c r="T257" s="45"/>
      <c r="U257" s="45"/>
      <c r="V257" s="45"/>
      <c r="W257" s="45"/>
      <c r="X257" s="45"/>
      <c r="Y257" s="45"/>
      <c r="Z257" s="45"/>
    </row>
    <row r="258">
      <c r="A258" s="46">
        <v>59.0</v>
      </c>
      <c r="B258" s="47" t="s">
        <v>969</v>
      </c>
      <c r="C258" s="48" t="s">
        <v>1598</v>
      </c>
      <c r="D258" s="47" t="s">
        <v>192</v>
      </c>
      <c r="E258" s="49" t="s">
        <v>100</v>
      </c>
      <c r="F258" s="49" t="s">
        <v>3901</v>
      </c>
      <c r="G258" s="49" t="s">
        <v>2486</v>
      </c>
      <c r="H258" s="49" t="s">
        <v>2486</v>
      </c>
      <c r="I258" s="49" t="s">
        <v>2488</v>
      </c>
      <c r="J258" s="49" t="s">
        <v>2715</v>
      </c>
      <c r="K258" s="49" t="s">
        <v>2489</v>
      </c>
      <c r="L258" s="45"/>
      <c r="M258" s="45"/>
      <c r="N258" s="45"/>
      <c r="O258" s="45"/>
      <c r="P258" s="45"/>
      <c r="Q258" s="45"/>
      <c r="R258" s="45"/>
      <c r="S258" s="45"/>
      <c r="T258" s="45"/>
      <c r="U258" s="45"/>
      <c r="V258" s="45"/>
      <c r="W258" s="45"/>
      <c r="X258" s="45"/>
      <c r="Y258" s="45"/>
      <c r="Z258" s="45"/>
    </row>
    <row r="259">
      <c r="A259" s="46">
        <v>59.0</v>
      </c>
      <c r="B259" s="47" t="s">
        <v>969</v>
      </c>
      <c r="C259" s="48" t="s">
        <v>1598</v>
      </c>
      <c r="D259" s="47" t="s">
        <v>56</v>
      </c>
      <c r="E259" s="49" t="s">
        <v>100</v>
      </c>
      <c r="F259" s="49" t="s">
        <v>3907</v>
      </c>
      <c r="G259" s="49" t="s">
        <v>2486</v>
      </c>
      <c r="H259" s="49" t="s">
        <v>2486</v>
      </c>
      <c r="I259" s="49" t="s">
        <v>2488</v>
      </c>
      <c r="J259" s="49" t="s">
        <v>3908</v>
      </c>
      <c r="K259" s="49" t="s">
        <v>2489</v>
      </c>
      <c r="L259" s="45"/>
      <c r="M259" s="45"/>
      <c r="N259" s="45"/>
      <c r="O259" s="45"/>
      <c r="P259" s="45"/>
      <c r="Q259" s="45"/>
      <c r="R259" s="45"/>
      <c r="S259" s="45"/>
      <c r="T259" s="45"/>
      <c r="U259" s="45"/>
      <c r="V259" s="45"/>
      <c r="W259" s="45"/>
      <c r="X259" s="45"/>
      <c r="Y259" s="45"/>
      <c r="Z259" s="45"/>
    </row>
    <row r="260">
      <c r="A260" s="46">
        <v>59.0</v>
      </c>
      <c r="B260" s="47" t="s">
        <v>969</v>
      </c>
      <c r="C260" s="48" t="s">
        <v>1598</v>
      </c>
      <c r="D260" s="47" t="s">
        <v>753</v>
      </c>
      <c r="E260" s="49" t="s">
        <v>135</v>
      </c>
      <c r="F260" s="49" t="s">
        <v>3914</v>
      </c>
      <c r="G260" s="49" t="s">
        <v>2486</v>
      </c>
      <c r="H260" s="49" t="s">
        <v>2486</v>
      </c>
      <c r="I260" s="49" t="s">
        <v>2488</v>
      </c>
      <c r="J260" s="49" t="s">
        <v>3915</v>
      </c>
      <c r="K260" s="49" t="s">
        <v>2489</v>
      </c>
      <c r="L260" s="45"/>
      <c r="M260" s="45"/>
      <c r="N260" s="45"/>
      <c r="O260" s="45"/>
      <c r="P260" s="45"/>
      <c r="Q260" s="45"/>
      <c r="R260" s="45"/>
      <c r="S260" s="45"/>
      <c r="T260" s="45"/>
      <c r="U260" s="45"/>
      <c r="V260" s="45"/>
      <c r="W260" s="45"/>
      <c r="X260" s="45"/>
      <c r="Y260" s="45"/>
      <c r="Z260" s="45"/>
    </row>
    <row r="261">
      <c r="A261" s="46">
        <v>60.0</v>
      </c>
      <c r="B261" s="47" t="s">
        <v>270</v>
      </c>
      <c r="C261" s="48" t="s">
        <v>1492</v>
      </c>
      <c r="D261" s="47" t="s">
        <v>565</v>
      </c>
      <c r="E261" s="49" t="s">
        <v>100</v>
      </c>
      <c r="F261" s="49" t="s">
        <v>3922</v>
      </c>
      <c r="G261" s="49" t="s">
        <v>2486</v>
      </c>
      <c r="H261" s="49" t="s">
        <v>2486</v>
      </c>
      <c r="I261" s="49" t="s">
        <v>2488</v>
      </c>
      <c r="J261" s="49" t="s">
        <v>2738</v>
      </c>
      <c r="K261" s="49" t="s">
        <v>2489</v>
      </c>
      <c r="L261" s="45"/>
      <c r="M261" s="45"/>
      <c r="N261" s="45"/>
      <c r="O261" s="45"/>
      <c r="P261" s="45"/>
      <c r="Q261" s="45"/>
      <c r="R261" s="45"/>
      <c r="S261" s="45"/>
      <c r="T261" s="45"/>
      <c r="U261" s="45"/>
      <c r="V261" s="45"/>
      <c r="W261" s="45"/>
      <c r="X261" s="45"/>
      <c r="Y261" s="45"/>
      <c r="Z261" s="45"/>
    </row>
    <row r="262">
      <c r="A262" s="46">
        <v>60.0</v>
      </c>
      <c r="B262" s="47" t="s">
        <v>270</v>
      </c>
      <c r="C262" s="48" t="s">
        <v>1492</v>
      </c>
      <c r="D262" s="47" t="s">
        <v>558</v>
      </c>
      <c r="E262" s="49" t="s">
        <v>100</v>
      </c>
      <c r="F262" s="49" t="s">
        <v>3926</v>
      </c>
      <c r="G262" s="49" t="s">
        <v>2486</v>
      </c>
      <c r="H262" s="49" t="s">
        <v>2486</v>
      </c>
      <c r="I262" s="49" t="s">
        <v>2488</v>
      </c>
      <c r="J262" s="49" t="s">
        <v>3927</v>
      </c>
      <c r="K262" s="49" t="s">
        <v>2489</v>
      </c>
      <c r="L262" s="45"/>
      <c r="M262" s="45"/>
      <c r="N262" s="45"/>
      <c r="O262" s="45"/>
      <c r="P262" s="45"/>
      <c r="Q262" s="45"/>
      <c r="R262" s="45"/>
      <c r="S262" s="45"/>
      <c r="T262" s="45"/>
      <c r="U262" s="45"/>
      <c r="V262" s="45"/>
      <c r="W262" s="45"/>
      <c r="X262" s="45"/>
      <c r="Y262" s="45"/>
      <c r="Z262" s="45"/>
    </row>
    <row r="263">
      <c r="A263" s="46">
        <v>60.0</v>
      </c>
      <c r="B263" s="47" t="s">
        <v>270</v>
      </c>
      <c r="C263" s="48" t="s">
        <v>1492</v>
      </c>
      <c r="D263" s="47" t="s">
        <v>648</v>
      </c>
      <c r="E263" s="49" t="s">
        <v>100</v>
      </c>
      <c r="F263" s="49" t="s">
        <v>3928</v>
      </c>
      <c r="G263" s="49" t="s">
        <v>2486</v>
      </c>
      <c r="H263" s="49" t="s">
        <v>2486</v>
      </c>
      <c r="I263" s="49" t="s">
        <v>2488</v>
      </c>
      <c r="J263" s="49" t="s">
        <v>3929</v>
      </c>
      <c r="K263" s="49" t="s">
        <v>2489</v>
      </c>
      <c r="L263" s="45"/>
      <c r="M263" s="45"/>
      <c r="N263" s="45"/>
      <c r="O263" s="45"/>
      <c r="P263" s="45"/>
      <c r="Q263" s="45"/>
      <c r="R263" s="45"/>
      <c r="S263" s="45"/>
      <c r="T263" s="45"/>
      <c r="U263" s="45"/>
      <c r="V263" s="45"/>
      <c r="W263" s="45"/>
      <c r="X263" s="45"/>
      <c r="Y263" s="45"/>
      <c r="Z263" s="45"/>
    </row>
    <row r="264">
      <c r="A264" s="46">
        <v>60.0</v>
      </c>
      <c r="B264" s="47" t="s">
        <v>270</v>
      </c>
      <c r="C264" s="48" t="s">
        <v>1492</v>
      </c>
      <c r="D264" s="47" t="s">
        <v>537</v>
      </c>
      <c r="E264" s="49" t="s">
        <v>100</v>
      </c>
      <c r="F264" s="49" t="s">
        <v>3933</v>
      </c>
      <c r="G264" s="49" t="s">
        <v>2486</v>
      </c>
      <c r="H264" s="49" t="s">
        <v>2486</v>
      </c>
      <c r="I264" s="49" t="s">
        <v>2488</v>
      </c>
      <c r="J264" s="49" t="s">
        <v>2738</v>
      </c>
      <c r="K264" s="49" t="s">
        <v>2489</v>
      </c>
      <c r="L264" s="45"/>
      <c r="M264" s="45"/>
      <c r="N264" s="45"/>
      <c r="O264" s="45"/>
      <c r="P264" s="45"/>
      <c r="Q264" s="45"/>
      <c r="R264" s="45"/>
      <c r="S264" s="45"/>
      <c r="T264" s="45"/>
      <c r="U264" s="45"/>
      <c r="V264" s="45"/>
      <c r="W264" s="45"/>
      <c r="X264" s="45"/>
      <c r="Y264" s="45"/>
      <c r="Z264" s="45"/>
    </row>
    <row r="265">
      <c r="A265" s="46">
        <v>60.0</v>
      </c>
      <c r="B265" s="47" t="s">
        <v>270</v>
      </c>
      <c r="C265" s="48" t="s">
        <v>1492</v>
      </c>
      <c r="D265" s="47" t="s">
        <v>263</v>
      </c>
      <c r="E265" s="49" t="s">
        <v>135</v>
      </c>
      <c r="F265" s="49" t="s">
        <v>3937</v>
      </c>
      <c r="G265" s="49" t="s">
        <v>2486</v>
      </c>
      <c r="H265" s="49" t="s">
        <v>2486</v>
      </c>
      <c r="I265" s="49" t="s">
        <v>2488</v>
      </c>
      <c r="J265" s="49" t="s">
        <v>3927</v>
      </c>
      <c r="K265" s="49" t="s">
        <v>2489</v>
      </c>
      <c r="L265" s="45"/>
      <c r="M265" s="45"/>
      <c r="N265" s="45"/>
      <c r="O265" s="45"/>
      <c r="P265" s="45"/>
      <c r="Q265" s="45"/>
      <c r="R265" s="45"/>
      <c r="S265" s="45"/>
      <c r="T265" s="45"/>
      <c r="U265" s="45"/>
      <c r="V265" s="45"/>
      <c r="W265" s="45"/>
      <c r="X265" s="45"/>
      <c r="Y265" s="45"/>
      <c r="Z265" s="45"/>
    </row>
    <row r="266">
      <c r="A266" s="46">
        <v>61.0</v>
      </c>
      <c r="B266" s="47" t="s">
        <v>90</v>
      </c>
      <c r="C266" s="48" t="s">
        <v>1492</v>
      </c>
      <c r="D266" s="47" t="s">
        <v>1003</v>
      </c>
      <c r="E266" s="49" t="s">
        <v>100</v>
      </c>
      <c r="F266" s="49" t="s">
        <v>3940</v>
      </c>
      <c r="G266" s="49" t="s">
        <v>2486</v>
      </c>
      <c r="H266" s="49" t="s">
        <v>2486</v>
      </c>
      <c r="I266" s="49" t="s">
        <v>2488</v>
      </c>
      <c r="J266" s="49" t="s">
        <v>2755</v>
      </c>
      <c r="K266" s="49" t="s">
        <v>2489</v>
      </c>
      <c r="L266" s="45"/>
      <c r="M266" s="45"/>
      <c r="N266" s="45"/>
      <c r="O266" s="45"/>
      <c r="P266" s="45"/>
      <c r="Q266" s="45"/>
      <c r="R266" s="45"/>
      <c r="S266" s="45"/>
      <c r="T266" s="45"/>
      <c r="U266" s="45"/>
      <c r="V266" s="45"/>
      <c r="W266" s="45"/>
      <c r="X266" s="45"/>
      <c r="Y266" s="45"/>
      <c r="Z266" s="45"/>
    </row>
    <row r="267">
      <c r="A267" s="46">
        <v>61.0</v>
      </c>
      <c r="B267" s="47" t="s">
        <v>90</v>
      </c>
      <c r="C267" s="48" t="s">
        <v>1492</v>
      </c>
      <c r="D267" s="47" t="s">
        <v>506</v>
      </c>
      <c r="E267" s="49" t="s">
        <v>100</v>
      </c>
      <c r="F267" s="49" t="s">
        <v>3942</v>
      </c>
      <c r="G267" s="49" t="s">
        <v>2486</v>
      </c>
      <c r="H267" s="49" t="s">
        <v>2486</v>
      </c>
      <c r="I267" s="49" t="s">
        <v>2488</v>
      </c>
      <c r="J267" s="49" t="s">
        <v>3943</v>
      </c>
      <c r="K267" s="49" t="s">
        <v>2489</v>
      </c>
      <c r="L267" s="45"/>
      <c r="M267" s="45"/>
      <c r="N267" s="45"/>
      <c r="O267" s="45"/>
      <c r="P267" s="45"/>
      <c r="Q267" s="45"/>
      <c r="R267" s="45"/>
      <c r="S267" s="45"/>
      <c r="T267" s="45"/>
      <c r="U267" s="45"/>
      <c r="V267" s="45"/>
      <c r="W267" s="45"/>
      <c r="X267" s="45"/>
      <c r="Y267" s="45"/>
      <c r="Z267" s="45"/>
    </row>
    <row r="268">
      <c r="A268" s="46">
        <v>61.0</v>
      </c>
      <c r="B268" s="47" t="s">
        <v>90</v>
      </c>
      <c r="C268" s="48" t="s">
        <v>1492</v>
      </c>
      <c r="D268" s="47" t="s">
        <v>97</v>
      </c>
      <c r="E268" s="49" t="s">
        <v>100</v>
      </c>
      <c r="F268" s="49" t="s">
        <v>3945</v>
      </c>
      <c r="G268" s="49" t="s">
        <v>2486</v>
      </c>
      <c r="H268" s="49" t="s">
        <v>2486</v>
      </c>
      <c r="I268" s="49" t="s">
        <v>2488</v>
      </c>
      <c r="J268" s="49" t="s">
        <v>2755</v>
      </c>
      <c r="K268" s="49" t="s">
        <v>2489</v>
      </c>
      <c r="L268" s="45"/>
      <c r="M268" s="45"/>
      <c r="N268" s="45"/>
      <c r="O268" s="45"/>
      <c r="P268" s="45"/>
      <c r="Q268" s="45"/>
      <c r="R268" s="45"/>
      <c r="S268" s="45"/>
      <c r="T268" s="45"/>
      <c r="U268" s="45"/>
      <c r="V268" s="45"/>
      <c r="W268" s="45"/>
      <c r="X268" s="45"/>
      <c r="Y268" s="45"/>
      <c r="Z268" s="45"/>
    </row>
    <row r="269">
      <c r="A269" s="46">
        <v>61.0</v>
      </c>
      <c r="B269" s="47" t="s">
        <v>90</v>
      </c>
      <c r="C269" s="48" t="s">
        <v>1492</v>
      </c>
      <c r="D269" s="47" t="s">
        <v>527</v>
      </c>
      <c r="E269" s="49" t="s">
        <v>135</v>
      </c>
      <c r="F269" s="49" t="s">
        <v>3948</v>
      </c>
      <c r="G269" s="49" t="s">
        <v>2486</v>
      </c>
      <c r="H269" s="49" t="s">
        <v>2486</v>
      </c>
      <c r="I269" s="49" t="s">
        <v>2488</v>
      </c>
      <c r="J269" s="49" t="s">
        <v>3943</v>
      </c>
      <c r="K269" s="49" t="s">
        <v>2489</v>
      </c>
      <c r="L269" s="45"/>
      <c r="M269" s="45"/>
      <c r="N269" s="45"/>
      <c r="O269" s="45"/>
      <c r="P269" s="45"/>
      <c r="Q269" s="45"/>
      <c r="R269" s="45"/>
      <c r="S269" s="45"/>
      <c r="T269" s="45"/>
      <c r="U269" s="45"/>
      <c r="V269" s="45"/>
      <c r="W269" s="45"/>
      <c r="X269" s="45"/>
      <c r="Y269" s="45"/>
      <c r="Z269" s="45"/>
    </row>
    <row r="270">
      <c r="A270" s="46">
        <v>61.0</v>
      </c>
      <c r="B270" s="47" t="s">
        <v>90</v>
      </c>
      <c r="C270" s="48" t="s">
        <v>1492</v>
      </c>
      <c r="D270" s="47" t="s">
        <v>23</v>
      </c>
      <c r="E270" s="49" t="s">
        <v>135</v>
      </c>
      <c r="F270" s="49" t="s">
        <v>3949</v>
      </c>
      <c r="G270" s="49" t="s">
        <v>2486</v>
      </c>
      <c r="H270" s="49" t="s">
        <v>2486</v>
      </c>
      <c r="I270" s="49" t="s">
        <v>2488</v>
      </c>
      <c r="J270" s="49" t="s">
        <v>2755</v>
      </c>
      <c r="K270" s="49" t="s">
        <v>2489</v>
      </c>
      <c r="L270" s="45"/>
      <c r="M270" s="45"/>
      <c r="N270" s="45"/>
      <c r="O270" s="45"/>
      <c r="P270" s="45"/>
      <c r="Q270" s="45"/>
      <c r="R270" s="45"/>
      <c r="S270" s="45"/>
      <c r="T270" s="45"/>
      <c r="U270" s="45"/>
      <c r="V270" s="45"/>
      <c r="W270" s="45"/>
      <c r="X270" s="45"/>
      <c r="Y270" s="45"/>
      <c r="Z270" s="45"/>
    </row>
    <row r="271">
      <c r="A271" s="46">
        <v>62.0</v>
      </c>
      <c r="B271" s="47" t="s">
        <v>707</v>
      </c>
      <c r="C271" s="48" t="s">
        <v>1492</v>
      </c>
      <c r="D271" s="47" t="s">
        <v>321</v>
      </c>
      <c r="E271" s="49" t="s">
        <v>100</v>
      </c>
      <c r="F271" s="49" t="s">
        <v>3955</v>
      </c>
      <c r="G271" s="49" t="s">
        <v>2486</v>
      </c>
      <c r="H271" s="49" t="s">
        <v>2486</v>
      </c>
      <c r="I271" s="49" t="s">
        <v>2488</v>
      </c>
      <c r="J271" s="49" t="s">
        <v>2783</v>
      </c>
      <c r="K271" s="49" t="s">
        <v>2489</v>
      </c>
      <c r="L271" s="45"/>
      <c r="M271" s="45"/>
      <c r="N271" s="45"/>
      <c r="O271" s="45"/>
      <c r="P271" s="45"/>
      <c r="Q271" s="45"/>
      <c r="R271" s="45"/>
      <c r="S271" s="45"/>
      <c r="T271" s="45"/>
      <c r="U271" s="45"/>
      <c r="V271" s="45"/>
      <c r="W271" s="45"/>
      <c r="X271" s="45"/>
      <c r="Y271" s="45"/>
      <c r="Z271" s="45"/>
    </row>
    <row r="272">
      <c r="A272" s="46">
        <v>62.0</v>
      </c>
      <c r="B272" s="47" t="s">
        <v>707</v>
      </c>
      <c r="C272" s="48" t="s">
        <v>1492</v>
      </c>
      <c r="D272" s="47" t="s">
        <v>813</v>
      </c>
      <c r="E272" s="49" t="s">
        <v>100</v>
      </c>
      <c r="F272" s="49" t="s">
        <v>3956</v>
      </c>
      <c r="G272" s="49" t="s">
        <v>2486</v>
      </c>
      <c r="H272" s="49" t="s">
        <v>2486</v>
      </c>
      <c r="I272" s="49" t="s">
        <v>2488</v>
      </c>
      <c r="J272" s="49" t="s">
        <v>3957</v>
      </c>
      <c r="K272" s="49" t="s">
        <v>2489</v>
      </c>
      <c r="L272" s="45"/>
      <c r="M272" s="45"/>
      <c r="N272" s="45"/>
      <c r="O272" s="45"/>
      <c r="P272" s="45"/>
      <c r="Q272" s="45"/>
      <c r="R272" s="45"/>
      <c r="S272" s="45"/>
      <c r="T272" s="45"/>
      <c r="U272" s="45"/>
      <c r="V272" s="45"/>
      <c r="W272" s="45"/>
      <c r="X272" s="45"/>
      <c r="Y272" s="45"/>
      <c r="Z272" s="45"/>
    </row>
    <row r="273">
      <c r="A273" s="46">
        <v>62.0</v>
      </c>
      <c r="B273" s="47" t="s">
        <v>707</v>
      </c>
      <c r="C273" s="48" t="s">
        <v>1492</v>
      </c>
      <c r="D273" s="47" t="s">
        <v>151</v>
      </c>
      <c r="E273" s="49" t="s">
        <v>100</v>
      </c>
      <c r="F273" s="49" t="s">
        <v>3961</v>
      </c>
      <c r="G273" s="49" t="s">
        <v>2486</v>
      </c>
      <c r="H273" s="49" t="s">
        <v>2486</v>
      </c>
      <c r="I273" s="49" t="s">
        <v>2488</v>
      </c>
      <c r="J273" s="49" t="s">
        <v>2783</v>
      </c>
      <c r="K273" s="49" t="s">
        <v>2489</v>
      </c>
      <c r="L273" s="45"/>
      <c r="M273" s="45"/>
      <c r="N273" s="45"/>
      <c r="O273" s="45"/>
      <c r="P273" s="45"/>
      <c r="Q273" s="45"/>
      <c r="R273" s="45"/>
      <c r="S273" s="45"/>
      <c r="T273" s="45"/>
      <c r="U273" s="45"/>
      <c r="V273" s="45"/>
      <c r="W273" s="45"/>
      <c r="X273" s="45"/>
      <c r="Y273" s="45"/>
      <c r="Z273" s="45"/>
    </row>
    <row r="274">
      <c r="A274" s="46">
        <v>62.0</v>
      </c>
      <c r="B274" s="47" t="s">
        <v>707</v>
      </c>
      <c r="C274" s="48" t="s">
        <v>1492</v>
      </c>
      <c r="D274" s="47" t="s">
        <v>916</v>
      </c>
      <c r="E274" s="49" t="s">
        <v>135</v>
      </c>
      <c r="F274" s="49" t="s">
        <v>3963</v>
      </c>
      <c r="G274" s="49" t="s">
        <v>2486</v>
      </c>
      <c r="H274" s="49" t="s">
        <v>2486</v>
      </c>
      <c r="I274" s="49" t="s">
        <v>2488</v>
      </c>
      <c r="J274" s="49" t="s">
        <v>3957</v>
      </c>
      <c r="K274" s="49" t="s">
        <v>2545</v>
      </c>
      <c r="L274" s="45"/>
      <c r="M274" s="45"/>
      <c r="N274" s="45"/>
      <c r="O274" s="45"/>
      <c r="P274" s="45"/>
      <c r="Q274" s="45"/>
      <c r="R274" s="45"/>
      <c r="S274" s="45"/>
      <c r="T274" s="45"/>
      <c r="U274" s="45"/>
      <c r="V274" s="45"/>
      <c r="W274" s="45"/>
      <c r="X274" s="45"/>
      <c r="Y274" s="45"/>
      <c r="Z274" s="45"/>
    </row>
    <row r="275">
      <c r="A275" s="46">
        <v>62.0</v>
      </c>
      <c r="B275" s="47" t="s">
        <v>707</v>
      </c>
      <c r="C275" s="48" t="s">
        <v>1492</v>
      </c>
      <c r="D275" s="47" t="s">
        <v>1018</v>
      </c>
      <c r="E275" s="49" t="s">
        <v>135</v>
      </c>
      <c r="F275" s="49" t="s">
        <v>3967</v>
      </c>
      <c r="G275" s="49" t="s">
        <v>2486</v>
      </c>
      <c r="H275" s="49" t="s">
        <v>2486</v>
      </c>
      <c r="I275" s="49" t="s">
        <v>2488</v>
      </c>
      <c r="J275" s="49" t="s">
        <v>2783</v>
      </c>
      <c r="K275" s="49" t="s">
        <v>2545</v>
      </c>
      <c r="L275" s="45"/>
      <c r="M275" s="45"/>
      <c r="N275" s="45"/>
      <c r="O275" s="45"/>
      <c r="P275" s="45"/>
      <c r="Q275" s="45"/>
      <c r="R275" s="45"/>
      <c r="S275" s="45"/>
      <c r="T275" s="45"/>
      <c r="U275" s="45"/>
      <c r="V275" s="45"/>
      <c r="W275" s="45"/>
      <c r="X275" s="45"/>
      <c r="Y275" s="45"/>
      <c r="Z275" s="45"/>
    </row>
    <row r="276">
      <c r="A276" s="46">
        <v>63.0</v>
      </c>
      <c r="B276" s="47" t="s">
        <v>773</v>
      </c>
      <c r="C276" s="48" t="s">
        <v>1492</v>
      </c>
      <c r="D276" s="47" t="s">
        <v>544</v>
      </c>
      <c r="E276" s="49" t="s">
        <v>100</v>
      </c>
      <c r="F276" s="49" t="s">
        <v>3969</v>
      </c>
      <c r="G276" s="49" t="s">
        <v>2486</v>
      </c>
      <c r="H276" s="49" t="s">
        <v>2486</v>
      </c>
      <c r="I276" s="49" t="s">
        <v>2488</v>
      </c>
      <c r="J276" s="49" t="s">
        <v>2816</v>
      </c>
      <c r="K276" s="49" t="s">
        <v>2489</v>
      </c>
      <c r="L276" s="45"/>
      <c r="M276" s="45"/>
      <c r="N276" s="45"/>
      <c r="O276" s="45"/>
      <c r="P276" s="45"/>
      <c r="Q276" s="45"/>
      <c r="R276" s="45"/>
      <c r="S276" s="45"/>
      <c r="T276" s="45"/>
      <c r="U276" s="45"/>
      <c r="V276" s="45"/>
      <c r="W276" s="45"/>
      <c r="X276" s="45"/>
      <c r="Y276" s="45"/>
      <c r="Z276" s="45"/>
    </row>
    <row r="277">
      <c r="A277" s="46">
        <v>63.0</v>
      </c>
      <c r="B277" s="47" t="s">
        <v>773</v>
      </c>
      <c r="C277" s="48" t="s">
        <v>1492</v>
      </c>
      <c r="D277" s="47" t="s">
        <v>1266</v>
      </c>
      <c r="E277" s="49" t="s">
        <v>100</v>
      </c>
      <c r="F277" s="49" t="s">
        <v>3970</v>
      </c>
      <c r="G277" s="49" t="s">
        <v>2486</v>
      </c>
      <c r="H277" s="49" t="s">
        <v>2486</v>
      </c>
      <c r="I277" s="49" t="s">
        <v>2488</v>
      </c>
      <c r="J277" s="49" t="s">
        <v>3971</v>
      </c>
      <c r="K277" s="49" t="s">
        <v>2489</v>
      </c>
      <c r="L277" s="45"/>
      <c r="M277" s="45"/>
      <c r="N277" s="45"/>
      <c r="O277" s="45"/>
      <c r="P277" s="45"/>
      <c r="Q277" s="45"/>
      <c r="R277" s="45"/>
      <c r="S277" s="45"/>
      <c r="T277" s="45"/>
      <c r="U277" s="45"/>
      <c r="V277" s="45"/>
      <c r="W277" s="45"/>
      <c r="X277" s="45"/>
      <c r="Y277" s="45"/>
      <c r="Z277" s="45"/>
    </row>
    <row r="278">
      <c r="A278" s="46">
        <v>63.0</v>
      </c>
      <c r="B278" s="47" t="s">
        <v>773</v>
      </c>
      <c r="C278" s="48" t="s">
        <v>1492</v>
      </c>
      <c r="D278" s="47" t="s">
        <v>916</v>
      </c>
      <c r="E278" s="49" t="s">
        <v>100</v>
      </c>
      <c r="F278" s="49" t="s">
        <v>3972</v>
      </c>
      <c r="G278" s="49" t="s">
        <v>2486</v>
      </c>
      <c r="H278" s="49" t="s">
        <v>2486</v>
      </c>
      <c r="I278" s="49" t="s">
        <v>2488</v>
      </c>
      <c r="J278" s="49" t="s">
        <v>2816</v>
      </c>
      <c r="K278" s="49" t="s">
        <v>2545</v>
      </c>
      <c r="L278" s="45"/>
      <c r="M278" s="45"/>
      <c r="N278" s="45"/>
      <c r="O278" s="45"/>
      <c r="P278" s="45"/>
      <c r="Q278" s="45"/>
      <c r="R278" s="45"/>
      <c r="S278" s="45"/>
      <c r="T278" s="45"/>
      <c r="U278" s="45"/>
      <c r="V278" s="45"/>
      <c r="W278" s="45"/>
      <c r="X278" s="45"/>
      <c r="Y278" s="45"/>
      <c r="Z278" s="45"/>
    </row>
    <row r="279">
      <c r="A279" s="46">
        <v>63.0</v>
      </c>
      <c r="B279" s="47" t="s">
        <v>773</v>
      </c>
      <c r="C279" s="48" t="s">
        <v>1492</v>
      </c>
      <c r="D279" s="47" t="s">
        <v>1018</v>
      </c>
      <c r="E279" s="49" t="s">
        <v>100</v>
      </c>
      <c r="F279" s="49" t="s">
        <v>3976</v>
      </c>
      <c r="G279" s="49" t="s">
        <v>2486</v>
      </c>
      <c r="H279" s="49" t="s">
        <v>2486</v>
      </c>
      <c r="I279" s="49" t="s">
        <v>2488</v>
      </c>
      <c r="J279" s="49" t="s">
        <v>3971</v>
      </c>
      <c r="K279" s="49" t="s">
        <v>2545</v>
      </c>
      <c r="L279" s="45"/>
      <c r="M279" s="45"/>
      <c r="N279" s="45"/>
      <c r="O279" s="45"/>
      <c r="P279" s="45"/>
      <c r="Q279" s="45"/>
      <c r="R279" s="45"/>
      <c r="S279" s="45"/>
      <c r="T279" s="45"/>
      <c r="U279" s="45"/>
      <c r="V279" s="45"/>
      <c r="W279" s="45"/>
      <c r="X279" s="45"/>
      <c r="Y279" s="45"/>
      <c r="Z279" s="45"/>
    </row>
    <row r="280">
      <c r="A280" s="46">
        <v>63.0</v>
      </c>
      <c r="B280" s="47" t="s">
        <v>773</v>
      </c>
      <c r="C280" s="48" t="s">
        <v>1492</v>
      </c>
      <c r="D280" s="47" t="s">
        <v>705</v>
      </c>
      <c r="E280" s="49" t="s">
        <v>135</v>
      </c>
      <c r="F280" s="49" t="s">
        <v>3978</v>
      </c>
      <c r="G280" s="49" t="s">
        <v>2486</v>
      </c>
      <c r="H280" s="49" t="s">
        <v>2486</v>
      </c>
      <c r="I280" s="49" t="s">
        <v>2488</v>
      </c>
      <c r="J280" s="49" t="s">
        <v>2816</v>
      </c>
      <c r="K280" s="49" t="s">
        <v>2545</v>
      </c>
      <c r="L280" s="45"/>
      <c r="M280" s="45"/>
      <c r="N280" s="45"/>
      <c r="O280" s="45"/>
      <c r="P280" s="45"/>
      <c r="Q280" s="45"/>
      <c r="R280" s="45"/>
      <c r="S280" s="45"/>
      <c r="T280" s="45"/>
      <c r="U280" s="45"/>
      <c r="V280" s="45"/>
      <c r="W280" s="45"/>
      <c r="X280" s="45"/>
      <c r="Y280" s="45"/>
      <c r="Z280" s="45"/>
    </row>
    <row r="281">
      <c r="A281" s="46">
        <v>64.0</v>
      </c>
      <c r="B281" s="47" t="s">
        <v>980</v>
      </c>
      <c r="C281" s="48" t="s">
        <v>1492</v>
      </c>
      <c r="D281" s="47" t="s">
        <v>1012</v>
      </c>
      <c r="E281" s="49" t="s">
        <v>100</v>
      </c>
      <c r="F281" s="49" t="s">
        <v>3981</v>
      </c>
      <c r="G281" s="49" t="s">
        <v>2486</v>
      </c>
      <c r="H281" s="49" t="s">
        <v>2486</v>
      </c>
      <c r="I281" s="49" t="s">
        <v>2488</v>
      </c>
      <c r="J281" s="49" t="s">
        <v>2863</v>
      </c>
      <c r="K281" s="49" t="s">
        <v>2489</v>
      </c>
      <c r="L281" s="45"/>
      <c r="M281" s="45"/>
      <c r="N281" s="45"/>
      <c r="O281" s="45"/>
      <c r="P281" s="45"/>
      <c r="Q281" s="45"/>
      <c r="R281" s="45"/>
      <c r="S281" s="45"/>
      <c r="T281" s="45"/>
      <c r="U281" s="45"/>
      <c r="V281" s="45"/>
      <c r="W281" s="45"/>
      <c r="X281" s="45"/>
      <c r="Y281" s="45"/>
      <c r="Z281" s="45"/>
    </row>
    <row r="282">
      <c r="A282" s="46">
        <v>64.0</v>
      </c>
      <c r="B282" s="47" t="s">
        <v>980</v>
      </c>
      <c r="C282" s="48" t="s">
        <v>1492</v>
      </c>
      <c r="D282" s="47" t="s">
        <v>1153</v>
      </c>
      <c r="E282" s="49" t="s">
        <v>100</v>
      </c>
      <c r="F282" s="49" t="s">
        <v>3985</v>
      </c>
      <c r="G282" s="49" t="s">
        <v>2486</v>
      </c>
      <c r="H282" s="49" t="s">
        <v>2486</v>
      </c>
      <c r="I282" s="49" t="s">
        <v>2488</v>
      </c>
      <c r="J282" s="49" t="s">
        <v>3986</v>
      </c>
      <c r="K282" s="49" t="s">
        <v>2489</v>
      </c>
      <c r="L282" s="45"/>
      <c r="M282" s="45"/>
      <c r="N282" s="45"/>
      <c r="O282" s="45"/>
      <c r="P282" s="45"/>
      <c r="Q282" s="45"/>
      <c r="R282" s="45"/>
      <c r="S282" s="45"/>
      <c r="T282" s="45"/>
      <c r="U282" s="45"/>
      <c r="V282" s="45"/>
      <c r="W282" s="45"/>
      <c r="X282" s="45"/>
      <c r="Y282" s="45"/>
      <c r="Z282" s="45"/>
    </row>
    <row r="283">
      <c r="A283" s="46">
        <v>64.0</v>
      </c>
      <c r="B283" s="47" t="s">
        <v>980</v>
      </c>
      <c r="C283" s="48" t="s">
        <v>1492</v>
      </c>
      <c r="D283" s="47" t="s">
        <v>675</v>
      </c>
      <c r="E283" s="49" t="s">
        <v>100</v>
      </c>
      <c r="F283" s="49" t="s">
        <v>3989</v>
      </c>
      <c r="G283" s="49" t="s">
        <v>2486</v>
      </c>
      <c r="H283" s="49" t="s">
        <v>2486</v>
      </c>
      <c r="I283" s="49" t="s">
        <v>2488</v>
      </c>
      <c r="J283" s="49" t="s">
        <v>2863</v>
      </c>
      <c r="K283" s="49" t="s">
        <v>2489</v>
      </c>
      <c r="L283" s="45"/>
      <c r="M283" s="45"/>
      <c r="N283" s="45"/>
      <c r="O283" s="45"/>
      <c r="P283" s="45"/>
      <c r="Q283" s="45"/>
      <c r="R283" s="45"/>
      <c r="S283" s="45"/>
      <c r="T283" s="45"/>
      <c r="U283" s="45"/>
      <c r="V283" s="45"/>
      <c r="W283" s="45"/>
      <c r="X283" s="45"/>
      <c r="Y283" s="45"/>
      <c r="Z283" s="45"/>
    </row>
    <row r="284">
      <c r="A284" s="46">
        <v>64.0</v>
      </c>
      <c r="B284" s="47" t="s">
        <v>980</v>
      </c>
      <c r="C284" s="48" t="s">
        <v>1492</v>
      </c>
      <c r="D284" s="47" t="s">
        <v>979</v>
      </c>
      <c r="E284" s="49" t="s">
        <v>100</v>
      </c>
      <c r="F284" s="49" t="s">
        <v>3991</v>
      </c>
      <c r="G284" s="49" t="s">
        <v>2486</v>
      </c>
      <c r="H284" s="49" t="s">
        <v>2486</v>
      </c>
      <c r="I284" s="49" t="s">
        <v>2488</v>
      </c>
      <c r="J284" s="49" t="s">
        <v>3986</v>
      </c>
      <c r="K284" s="49" t="s">
        <v>2489</v>
      </c>
      <c r="L284" s="45"/>
      <c r="M284" s="45"/>
      <c r="N284" s="45"/>
      <c r="O284" s="45"/>
      <c r="P284" s="45"/>
      <c r="Q284" s="45"/>
      <c r="R284" s="45"/>
      <c r="S284" s="45"/>
      <c r="T284" s="45"/>
      <c r="U284" s="45"/>
      <c r="V284" s="45"/>
      <c r="W284" s="45"/>
      <c r="X284" s="45"/>
      <c r="Y284" s="45"/>
      <c r="Z284" s="45"/>
    </row>
    <row r="285">
      <c r="A285" s="46">
        <v>64.0</v>
      </c>
      <c r="B285" s="47" t="s">
        <v>980</v>
      </c>
      <c r="C285" s="48" t="s">
        <v>1492</v>
      </c>
      <c r="D285" s="47" t="s">
        <v>1148</v>
      </c>
      <c r="E285" s="49" t="s">
        <v>100</v>
      </c>
      <c r="F285" s="49" t="s">
        <v>3992</v>
      </c>
      <c r="G285" s="49" t="s">
        <v>2486</v>
      </c>
      <c r="H285" s="49" t="s">
        <v>2486</v>
      </c>
      <c r="I285" s="49" t="s">
        <v>2488</v>
      </c>
      <c r="J285" s="49" t="s">
        <v>2863</v>
      </c>
      <c r="K285" s="49" t="s">
        <v>2489</v>
      </c>
      <c r="L285" s="45"/>
      <c r="M285" s="45"/>
      <c r="N285" s="45"/>
      <c r="O285" s="45"/>
      <c r="P285" s="45"/>
      <c r="Q285" s="45"/>
      <c r="R285" s="45"/>
      <c r="S285" s="45"/>
      <c r="T285" s="45"/>
      <c r="U285" s="45"/>
      <c r="V285" s="45"/>
      <c r="W285" s="45"/>
      <c r="X285" s="45"/>
      <c r="Y285" s="45"/>
      <c r="Z285" s="45"/>
    </row>
    <row r="286">
      <c r="A286" s="46">
        <v>65.0</v>
      </c>
      <c r="B286" s="47" t="s">
        <v>1019</v>
      </c>
      <c r="C286" s="48" t="s">
        <v>1492</v>
      </c>
      <c r="D286" s="47" t="s">
        <v>329</v>
      </c>
      <c r="E286" s="49" t="s">
        <v>100</v>
      </c>
      <c r="F286" s="49" t="s">
        <v>3994</v>
      </c>
      <c r="G286" s="49" t="s">
        <v>2486</v>
      </c>
      <c r="H286" s="49" t="s">
        <v>2486</v>
      </c>
      <c r="I286" s="49" t="s">
        <v>2488</v>
      </c>
      <c r="J286" s="49" t="s">
        <v>2895</v>
      </c>
      <c r="K286" s="49" t="s">
        <v>2489</v>
      </c>
      <c r="L286" s="45"/>
      <c r="M286" s="45"/>
      <c r="N286" s="45"/>
      <c r="O286" s="45"/>
      <c r="P286" s="45"/>
      <c r="Q286" s="45"/>
      <c r="R286" s="45"/>
      <c r="S286" s="45"/>
      <c r="T286" s="45"/>
      <c r="U286" s="45"/>
      <c r="V286" s="45"/>
      <c r="W286" s="45"/>
      <c r="X286" s="45"/>
      <c r="Y286" s="45"/>
      <c r="Z286" s="45"/>
    </row>
    <row r="287">
      <c r="A287" s="46">
        <v>65.0</v>
      </c>
      <c r="B287" s="47" t="s">
        <v>1019</v>
      </c>
      <c r="C287" s="48" t="s">
        <v>1492</v>
      </c>
      <c r="D287" s="47" t="s">
        <v>1015</v>
      </c>
      <c r="E287" s="49" t="s">
        <v>100</v>
      </c>
      <c r="F287" s="49" t="s">
        <v>3996</v>
      </c>
      <c r="G287" s="49" t="s">
        <v>2486</v>
      </c>
      <c r="H287" s="49" t="s">
        <v>2486</v>
      </c>
      <c r="I287" s="49" t="s">
        <v>2488</v>
      </c>
      <c r="J287" s="49" t="s">
        <v>3997</v>
      </c>
      <c r="K287" s="49" t="s">
        <v>2489</v>
      </c>
      <c r="L287" s="45"/>
      <c r="M287" s="45"/>
      <c r="N287" s="45"/>
      <c r="O287" s="45"/>
      <c r="P287" s="45"/>
      <c r="Q287" s="45"/>
      <c r="R287" s="45"/>
      <c r="S287" s="45"/>
      <c r="T287" s="45"/>
      <c r="U287" s="45"/>
      <c r="V287" s="45"/>
      <c r="W287" s="45"/>
      <c r="X287" s="45"/>
      <c r="Y287" s="45"/>
      <c r="Z287" s="45"/>
    </row>
    <row r="288">
      <c r="A288" s="46">
        <v>65.0</v>
      </c>
      <c r="B288" s="47" t="s">
        <v>1019</v>
      </c>
      <c r="C288" s="48" t="s">
        <v>1492</v>
      </c>
      <c r="D288" s="47" t="s">
        <v>89</v>
      </c>
      <c r="E288" s="49" t="s">
        <v>100</v>
      </c>
      <c r="F288" s="49" t="s">
        <v>3998</v>
      </c>
      <c r="G288" s="49" t="s">
        <v>2486</v>
      </c>
      <c r="H288" s="49" t="s">
        <v>2486</v>
      </c>
      <c r="I288" s="49" t="s">
        <v>2488</v>
      </c>
      <c r="J288" s="49" t="s">
        <v>2895</v>
      </c>
      <c r="K288" s="49" t="s">
        <v>2489</v>
      </c>
      <c r="L288" s="45"/>
      <c r="M288" s="45"/>
      <c r="N288" s="45"/>
      <c r="O288" s="45"/>
      <c r="P288" s="45"/>
      <c r="Q288" s="45"/>
      <c r="R288" s="45"/>
      <c r="S288" s="45"/>
      <c r="T288" s="45"/>
      <c r="U288" s="45"/>
      <c r="V288" s="45"/>
      <c r="W288" s="45"/>
      <c r="X288" s="45"/>
      <c r="Y288" s="45"/>
      <c r="Z288" s="45"/>
    </row>
    <row r="289">
      <c r="A289" s="46">
        <v>65.0</v>
      </c>
      <c r="B289" s="47" t="s">
        <v>1019</v>
      </c>
      <c r="C289" s="48" t="s">
        <v>1492</v>
      </c>
      <c r="D289" s="47" t="s">
        <v>153</v>
      </c>
      <c r="E289" s="49" t="s">
        <v>100</v>
      </c>
      <c r="F289" s="49" t="s">
        <v>4001</v>
      </c>
      <c r="G289" s="49" t="s">
        <v>2486</v>
      </c>
      <c r="H289" s="49" t="s">
        <v>2486</v>
      </c>
      <c r="I289" s="49" t="s">
        <v>2488</v>
      </c>
      <c r="J289" s="49" t="s">
        <v>3997</v>
      </c>
      <c r="K289" s="49" t="s">
        <v>2489</v>
      </c>
      <c r="L289" s="45"/>
      <c r="M289" s="45"/>
      <c r="N289" s="45"/>
      <c r="O289" s="45"/>
      <c r="P289" s="45"/>
      <c r="Q289" s="45"/>
      <c r="R289" s="45"/>
      <c r="S289" s="45"/>
      <c r="T289" s="45"/>
      <c r="U289" s="45"/>
      <c r="V289" s="45"/>
      <c r="W289" s="45"/>
      <c r="X289" s="45"/>
      <c r="Y289" s="45"/>
      <c r="Z289" s="45"/>
    </row>
    <row r="290">
      <c r="A290" s="46">
        <v>65.0</v>
      </c>
      <c r="B290" s="47" t="s">
        <v>1019</v>
      </c>
      <c r="C290" s="48" t="s">
        <v>1492</v>
      </c>
      <c r="D290" s="47" t="s">
        <v>462</v>
      </c>
      <c r="E290" s="49" t="s">
        <v>100</v>
      </c>
      <c r="F290" s="49" t="s">
        <v>4002</v>
      </c>
      <c r="G290" s="49" t="s">
        <v>2486</v>
      </c>
      <c r="H290" s="49" t="s">
        <v>2486</v>
      </c>
      <c r="I290" s="49" t="s">
        <v>2488</v>
      </c>
      <c r="J290" s="49" t="s">
        <v>2895</v>
      </c>
      <c r="K290" s="49" t="s">
        <v>2489</v>
      </c>
      <c r="L290" s="45"/>
      <c r="M290" s="45"/>
      <c r="N290" s="45"/>
      <c r="O290" s="45"/>
      <c r="P290" s="45"/>
      <c r="Q290" s="45"/>
      <c r="R290" s="45"/>
      <c r="S290" s="45"/>
      <c r="T290" s="45"/>
      <c r="U290" s="45"/>
      <c r="V290" s="45"/>
      <c r="W290" s="45"/>
      <c r="X290" s="45"/>
      <c r="Y290" s="45"/>
      <c r="Z290" s="45"/>
    </row>
    <row r="291">
      <c r="A291" s="46">
        <v>66.0</v>
      </c>
      <c r="B291" s="47" t="s">
        <v>1531</v>
      </c>
      <c r="C291" s="48" t="s">
        <v>1532</v>
      </c>
      <c r="D291" s="47" t="s">
        <v>119</v>
      </c>
      <c r="E291" s="49" t="s">
        <v>100</v>
      </c>
      <c r="F291" s="49" t="s">
        <v>4006</v>
      </c>
      <c r="G291" s="49" t="s">
        <v>2486</v>
      </c>
      <c r="H291" s="49" t="s">
        <v>2486</v>
      </c>
      <c r="I291" s="49" t="s">
        <v>2488</v>
      </c>
      <c r="J291" s="49" t="s">
        <v>2931</v>
      </c>
      <c r="K291" s="49" t="s">
        <v>2489</v>
      </c>
      <c r="L291" s="45"/>
      <c r="M291" s="45"/>
      <c r="N291" s="45"/>
      <c r="O291" s="45"/>
      <c r="P291" s="45"/>
      <c r="Q291" s="45"/>
      <c r="R291" s="45"/>
      <c r="S291" s="45"/>
      <c r="T291" s="45"/>
      <c r="U291" s="45"/>
      <c r="V291" s="45"/>
      <c r="W291" s="45"/>
      <c r="X291" s="45"/>
      <c r="Y291" s="45"/>
      <c r="Z291" s="45"/>
    </row>
    <row r="292">
      <c r="A292" s="46">
        <v>66.0</v>
      </c>
      <c r="B292" s="47" t="s">
        <v>1531</v>
      </c>
      <c r="C292" s="48" t="s">
        <v>1532</v>
      </c>
      <c r="D292" s="47" t="s">
        <v>380</v>
      </c>
      <c r="E292" s="49" t="s">
        <v>100</v>
      </c>
      <c r="F292" s="49" t="s">
        <v>4008</v>
      </c>
      <c r="G292" s="49" t="s">
        <v>2486</v>
      </c>
      <c r="H292" s="49" t="s">
        <v>2486</v>
      </c>
      <c r="I292" s="49" t="s">
        <v>2488</v>
      </c>
      <c r="J292" s="49" t="s">
        <v>4009</v>
      </c>
      <c r="K292" s="49" t="s">
        <v>2489</v>
      </c>
      <c r="L292" s="45"/>
      <c r="M292" s="45"/>
      <c r="N292" s="45"/>
      <c r="O292" s="45"/>
      <c r="P292" s="45"/>
      <c r="Q292" s="45"/>
      <c r="R292" s="45"/>
      <c r="S292" s="45"/>
      <c r="T292" s="45"/>
      <c r="U292" s="45"/>
      <c r="V292" s="45"/>
      <c r="W292" s="45"/>
      <c r="X292" s="45"/>
      <c r="Y292" s="45"/>
      <c r="Z292" s="45"/>
    </row>
    <row r="293">
      <c r="A293" s="46">
        <v>66.0</v>
      </c>
      <c r="B293" s="47" t="s">
        <v>1531</v>
      </c>
      <c r="C293" s="48" t="s">
        <v>1532</v>
      </c>
      <c r="D293" s="47" t="s">
        <v>118</v>
      </c>
      <c r="E293" s="49" t="s">
        <v>100</v>
      </c>
      <c r="F293" s="49" t="s">
        <v>4011</v>
      </c>
      <c r="G293" s="49" t="s">
        <v>2486</v>
      </c>
      <c r="H293" s="49" t="s">
        <v>2486</v>
      </c>
      <c r="I293" s="49" t="s">
        <v>2488</v>
      </c>
      <c r="J293" s="49" t="s">
        <v>4013</v>
      </c>
      <c r="K293" s="49" t="s">
        <v>2489</v>
      </c>
      <c r="L293" s="45"/>
      <c r="M293" s="45"/>
      <c r="N293" s="45"/>
      <c r="O293" s="45"/>
      <c r="P293" s="45"/>
      <c r="Q293" s="45"/>
      <c r="R293" s="45"/>
      <c r="S293" s="45"/>
      <c r="T293" s="45"/>
      <c r="U293" s="45"/>
      <c r="V293" s="45"/>
      <c r="W293" s="45"/>
      <c r="X293" s="45"/>
      <c r="Y293" s="45"/>
      <c r="Z293" s="45"/>
    </row>
    <row r="294">
      <c r="A294" s="46">
        <v>66.0</v>
      </c>
      <c r="B294" s="47" t="s">
        <v>1531</v>
      </c>
      <c r="C294" s="48" t="s">
        <v>1532</v>
      </c>
      <c r="D294" s="47" t="s">
        <v>115</v>
      </c>
      <c r="E294" s="49" t="s">
        <v>135</v>
      </c>
      <c r="F294" s="49" t="s">
        <v>4016</v>
      </c>
      <c r="G294" s="49" t="s">
        <v>2486</v>
      </c>
      <c r="H294" s="49" t="s">
        <v>2486</v>
      </c>
      <c r="I294" s="49" t="s">
        <v>2488</v>
      </c>
      <c r="J294" s="49" t="s">
        <v>2931</v>
      </c>
      <c r="K294" s="49" t="s">
        <v>2545</v>
      </c>
      <c r="L294" s="45"/>
      <c r="M294" s="45"/>
      <c r="N294" s="45"/>
      <c r="O294" s="45"/>
      <c r="P294" s="45"/>
      <c r="Q294" s="45"/>
      <c r="R294" s="45"/>
      <c r="S294" s="45"/>
      <c r="T294" s="45"/>
      <c r="U294" s="45"/>
      <c r="V294" s="45"/>
      <c r="W294" s="45"/>
      <c r="X294" s="45"/>
      <c r="Y294" s="45"/>
      <c r="Z294" s="45"/>
    </row>
    <row r="295">
      <c r="A295" s="46">
        <v>66.0</v>
      </c>
      <c r="B295" s="47" t="s">
        <v>1531</v>
      </c>
      <c r="C295" s="48" t="s">
        <v>1532</v>
      </c>
      <c r="D295" s="47" t="s">
        <v>531</v>
      </c>
      <c r="E295" s="49" t="s">
        <v>135</v>
      </c>
      <c r="F295" s="49" t="s">
        <v>4017</v>
      </c>
      <c r="G295" s="49" t="s">
        <v>2486</v>
      </c>
      <c r="H295" s="49" t="s">
        <v>2486</v>
      </c>
      <c r="I295" s="49" t="s">
        <v>2488</v>
      </c>
      <c r="J295" s="49" t="s">
        <v>4009</v>
      </c>
      <c r="K295" s="49" t="s">
        <v>2489</v>
      </c>
      <c r="L295" s="45"/>
      <c r="M295" s="45"/>
      <c r="N295" s="45"/>
      <c r="O295" s="45"/>
      <c r="P295" s="45"/>
      <c r="Q295" s="45"/>
      <c r="R295" s="45"/>
      <c r="S295" s="45"/>
      <c r="T295" s="45"/>
      <c r="U295" s="45"/>
      <c r="V295" s="45"/>
      <c r="W295" s="45"/>
      <c r="X295" s="45"/>
      <c r="Y295" s="45"/>
      <c r="Z295" s="45"/>
    </row>
    <row r="296">
      <c r="A296" s="46">
        <v>67.0</v>
      </c>
      <c r="B296" s="47" t="s">
        <v>1540</v>
      </c>
      <c r="C296" s="48" t="s">
        <v>1532</v>
      </c>
      <c r="D296" s="47" t="s">
        <v>949</v>
      </c>
      <c r="E296" s="49" t="s">
        <v>100</v>
      </c>
      <c r="F296" s="49" t="s">
        <v>4020</v>
      </c>
      <c r="G296" s="49" t="s">
        <v>2486</v>
      </c>
      <c r="H296" s="49" t="s">
        <v>2486</v>
      </c>
      <c r="I296" s="49" t="s">
        <v>2488</v>
      </c>
      <c r="J296" s="49" t="s">
        <v>2970</v>
      </c>
      <c r="K296" s="49" t="s">
        <v>2489</v>
      </c>
      <c r="L296" s="45"/>
      <c r="M296" s="45"/>
      <c r="N296" s="45"/>
      <c r="O296" s="45"/>
      <c r="P296" s="45"/>
      <c r="Q296" s="45"/>
      <c r="R296" s="45"/>
      <c r="S296" s="45"/>
      <c r="T296" s="45"/>
      <c r="U296" s="45"/>
      <c r="V296" s="45"/>
      <c r="W296" s="45"/>
      <c r="X296" s="45"/>
      <c r="Y296" s="45"/>
      <c r="Z296" s="45"/>
    </row>
    <row r="297">
      <c r="A297" s="46">
        <v>67.0</v>
      </c>
      <c r="B297" s="47" t="s">
        <v>1540</v>
      </c>
      <c r="C297" s="48" t="s">
        <v>1532</v>
      </c>
      <c r="D297" s="47" t="s">
        <v>1027</v>
      </c>
      <c r="E297" s="49" t="s">
        <v>100</v>
      </c>
      <c r="F297" s="49" t="s">
        <v>4022</v>
      </c>
      <c r="G297" s="49" t="s">
        <v>2486</v>
      </c>
      <c r="H297" s="49" t="s">
        <v>2486</v>
      </c>
      <c r="I297" s="49" t="s">
        <v>2488</v>
      </c>
      <c r="J297" s="49" t="s">
        <v>4023</v>
      </c>
      <c r="K297" s="49" t="s">
        <v>2489</v>
      </c>
      <c r="L297" s="45"/>
      <c r="M297" s="45"/>
      <c r="N297" s="45"/>
      <c r="O297" s="45"/>
      <c r="P297" s="45"/>
      <c r="Q297" s="45"/>
      <c r="R297" s="45"/>
      <c r="S297" s="45"/>
      <c r="T297" s="45"/>
      <c r="U297" s="45"/>
      <c r="V297" s="45"/>
      <c r="W297" s="45"/>
      <c r="X297" s="45"/>
      <c r="Y297" s="45"/>
      <c r="Z297" s="45"/>
    </row>
    <row r="298">
      <c r="A298" s="46">
        <v>67.0</v>
      </c>
      <c r="B298" s="47" t="s">
        <v>1540</v>
      </c>
      <c r="C298" s="48" t="s">
        <v>1532</v>
      </c>
      <c r="D298" s="47" t="s">
        <v>862</v>
      </c>
      <c r="E298" s="49" t="s">
        <v>135</v>
      </c>
      <c r="F298" s="49" t="s">
        <v>4030</v>
      </c>
      <c r="G298" s="49" t="s">
        <v>2486</v>
      </c>
      <c r="H298" s="49" t="s">
        <v>2486</v>
      </c>
      <c r="I298" s="49" t="s">
        <v>2488</v>
      </c>
      <c r="J298" s="49" t="s">
        <v>2970</v>
      </c>
      <c r="K298" s="49" t="s">
        <v>2489</v>
      </c>
      <c r="L298" s="45"/>
      <c r="M298" s="45"/>
      <c r="N298" s="45"/>
      <c r="O298" s="45"/>
      <c r="P298" s="45"/>
      <c r="Q298" s="45"/>
      <c r="R298" s="45"/>
      <c r="S298" s="45"/>
      <c r="T298" s="45"/>
      <c r="U298" s="45"/>
      <c r="V298" s="45"/>
      <c r="W298" s="45"/>
      <c r="X298" s="45"/>
      <c r="Y298" s="45"/>
      <c r="Z298" s="45"/>
    </row>
    <row r="299">
      <c r="A299" s="46">
        <v>67.0</v>
      </c>
      <c r="B299" s="47" t="s">
        <v>1540</v>
      </c>
      <c r="C299" s="48" t="s">
        <v>1532</v>
      </c>
      <c r="D299" s="47" t="s">
        <v>705</v>
      </c>
      <c r="E299" s="49" t="s">
        <v>135</v>
      </c>
      <c r="F299" s="49" t="s">
        <v>4033</v>
      </c>
      <c r="G299" s="49" t="s">
        <v>2486</v>
      </c>
      <c r="H299" s="49" t="s">
        <v>2486</v>
      </c>
      <c r="I299" s="49" t="s">
        <v>2488</v>
      </c>
      <c r="J299" s="49" t="s">
        <v>4023</v>
      </c>
      <c r="K299" s="49" t="s">
        <v>2545</v>
      </c>
      <c r="L299" s="45"/>
      <c r="M299" s="45"/>
      <c r="N299" s="45"/>
      <c r="O299" s="45"/>
      <c r="P299" s="45"/>
      <c r="Q299" s="45"/>
      <c r="R299" s="45"/>
      <c r="S299" s="45"/>
      <c r="T299" s="45"/>
      <c r="U299" s="45"/>
      <c r="V299" s="45"/>
      <c r="W299" s="45"/>
      <c r="X299" s="45"/>
      <c r="Y299" s="45"/>
      <c r="Z299" s="45"/>
    </row>
    <row r="300">
      <c r="A300" s="46">
        <v>67.0</v>
      </c>
      <c r="B300" s="47" t="s">
        <v>1540</v>
      </c>
      <c r="C300" s="48" t="s">
        <v>1532</v>
      </c>
      <c r="D300" s="47" t="s">
        <v>44</v>
      </c>
      <c r="E300" s="49" t="s">
        <v>135</v>
      </c>
      <c r="F300" s="49" t="s">
        <v>4038</v>
      </c>
      <c r="G300" s="49" t="s">
        <v>2486</v>
      </c>
      <c r="H300" s="49" t="s">
        <v>2486</v>
      </c>
      <c r="I300" s="49" t="s">
        <v>2488</v>
      </c>
      <c r="J300" s="49" t="s">
        <v>2970</v>
      </c>
      <c r="K300" s="49" t="s">
        <v>2489</v>
      </c>
      <c r="L300" s="45"/>
      <c r="M300" s="45"/>
      <c r="N300" s="45"/>
      <c r="O300" s="45"/>
      <c r="P300" s="45"/>
      <c r="Q300" s="45"/>
      <c r="R300" s="45"/>
      <c r="S300" s="45"/>
      <c r="T300" s="45"/>
      <c r="U300" s="45"/>
      <c r="V300" s="45"/>
      <c r="W300" s="45"/>
      <c r="X300" s="45"/>
      <c r="Y300" s="45"/>
      <c r="Z300" s="45"/>
    </row>
    <row r="301">
      <c r="A301" s="46">
        <v>68.0</v>
      </c>
      <c r="B301" s="47" t="s">
        <v>411</v>
      </c>
      <c r="C301" s="48" t="s">
        <v>1503</v>
      </c>
      <c r="D301" s="47" t="s">
        <v>952</v>
      </c>
      <c r="E301" s="49" t="s">
        <v>100</v>
      </c>
      <c r="F301" s="49" t="s">
        <v>4047</v>
      </c>
      <c r="G301" s="49" t="s">
        <v>2486</v>
      </c>
      <c r="H301" s="49" t="s">
        <v>2486</v>
      </c>
      <c r="I301" s="49" t="s">
        <v>2488</v>
      </c>
      <c r="J301" s="49" t="s">
        <v>2203</v>
      </c>
      <c r="K301" s="49" t="s">
        <v>4050</v>
      </c>
      <c r="L301" s="45"/>
      <c r="M301" s="45"/>
      <c r="N301" s="45"/>
      <c r="O301" s="45"/>
      <c r="P301" s="45"/>
      <c r="Q301" s="45"/>
      <c r="R301" s="45"/>
      <c r="S301" s="45"/>
      <c r="T301" s="45"/>
      <c r="U301" s="45"/>
      <c r="V301" s="45"/>
      <c r="W301" s="45"/>
      <c r="X301" s="45"/>
      <c r="Y301" s="45"/>
      <c r="Z301" s="45"/>
    </row>
    <row r="302">
      <c r="A302" s="46">
        <v>68.0</v>
      </c>
      <c r="B302" s="47" t="s">
        <v>411</v>
      </c>
      <c r="C302" s="48" t="s">
        <v>1503</v>
      </c>
      <c r="D302" s="47" t="s">
        <v>873</v>
      </c>
      <c r="E302" s="49" t="s">
        <v>100</v>
      </c>
      <c r="F302" s="49" t="s">
        <v>4054</v>
      </c>
      <c r="G302" s="49" t="s">
        <v>2486</v>
      </c>
      <c r="H302" s="49" t="s">
        <v>2486</v>
      </c>
      <c r="I302" s="49" t="s">
        <v>2488</v>
      </c>
      <c r="J302" s="49" t="s">
        <v>4055</v>
      </c>
      <c r="K302" s="49" t="s">
        <v>2489</v>
      </c>
      <c r="L302" s="45"/>
      <c r="M302" s="45"/>
      <c r="N302" s="45"/>
      <c r="O302" s="45"/>
      <c r="P302" s="45"/>
      <c r="Q302" s="45"/>
      <c r="R302" s="45"/>
      <c r="S302" s="45"/>
      <c r="T302" s="45"/>
      <c r="U302" s="45"/>
      <c r="V302" s="45"/>
      <c r="W302" s="45"/>
      <c r="X302" s="45"/>
      <c r="Y302" s="45"/>
      <c r="Z302" s="45"/>
    </row>
    <row r="303">
      <c r="A303" s="46">
        <v>68.0</v>
      </c>
      <c r="B303" s="47" t="s">
        <v>411</v>
      </c>
      <c r="C303" s="48" t="s">
        <v>1503</v>
      </c>
      <c r="D303" s="47" t="s">
        <v>209</v>
      </c>
      <c r="E303" s="49" t="s">
        <v>100</v>
      </c>
      <c r="F303" s="49" t="s">
        <v>4062</v>
      </c>
      <c r="G303" s="49" t="s">
        <v>2486</v>
      </c>
      <c r="H303" s="49" t="s">
        <v>2486</v>
      </c>
      <c r="I303" s="49" t="s">
        <v>2488</v>
      </c>
      <c r="J303" s="49" t="s">
        <v>4063</v>
      </c>
      <c r="K303" s="49" t="s">
        <v>2489</v>
      </c>
      <c r="L303" s="45"/>
      <c r="M303" s="45"/>
      <c r="N303" s="45"/>
      <c r="O303" s="45"/>
      <c r="P303" s="45"/>
      <c r="Q303" s="45"/>
      <c r="R303" s="45"/>
      <c r="S303" s="45"/>
      <c r="T303" s="45"/>
      <c r="U303" s="45"/>
      <c r="V303" s="45"/>
      <c r="W303" s="45"/>
      <c r="X303" s="45"/>
      <c r="Y303" s="45"/>
      <c r="Z303" s="45"/>
    </row>
    <row r="304">
      <c r="A304" s="46">
        <v>68.0</v>
      </c>
      <c r="B304" s="47" t="s">
        <v>411</v>
      </c>
      <c r="C304" s="48" t="s">
        <v>1503</v>
      </c>
      <c r="D304" s="47" t="s">
        <v>913</v>
      </c>
      <c r="E304" s="49" t="s">
        <v>100</v>
      </c>
      <c r="F304" s="49" t="s">
        <v>4067</v>
      </c>
      <c r="G304" s="49" t="s">
        <v>2486</v>
      </c>
      <c r="H304" s="49" t="s">
        <v>2486</v>
      </c>
      <c r="I304" s="49" t="s">
        <v>2488</v>
      </c>
      <c r="J304" s="49" t="s">
        <v>2203</v>
      </c>
      <c r="K304" s="49" t="s">
        <v>2489</v>
      </c>
      <c r="L304" s="45"/>
      <c r="M304" s="45"/>
      <c r="N304" s="45"/>
      <c r="O304" s="45"/>
      <c r="P304" s="45"/>
      <c r="Q304" s="45"/>
      <c r="R304" s="45"/>
      <c r="S304" s="45"/>
      <c r="T304" s="45"/>
      <c r="U304" s="45"/>
      <c r="V304" s="45"/>
      <c r="W304" s="45"/>
      <c r="X304" s="45"/>
      <c r="Y304" s="45"/>
      <c r="Z304" s="45"/>
    </row>
    <row r="305">
      <c r="A305" s="46">
        <v>68.0</v>
      </c>
      <c r="B305" s="47" t="s">
        <v>411</v>
      </c>
      <c r="C305" s="48" t="s">
        <v>1503</v>
      </c>
      <c r="D305" s="47" t="s">
        <v>1135</v>
      </c>
      <c r="E305" s="49" t="s">
        <v>135</v>
      </c>
      <c r="F305" s="49" t="s">
        <v>4071</v>
      </c>
      <c r="G305" s="49" t="s">
        <v>2486</v>
      </c>
      <c r="H305" s="49" t="s">
        <v>2486</v>
      </c>
      <c r="I305" s="49" t="s">
        <v>2488</v>
      </c>
      <c r="J305" s="49" t="s">
        <v>4055</v>
      </c>
      <c r="K305" s="49" t="s">
        <v>2489</v>
      </c>
      <c r="L305" s="45"/>
      <c r="M305" s="45"/>
      <c r="N305" s="45"/>
      <c r="O305" s="45"/>
      <c r="P305" s="45"/>
      <c r="Q305" s="45"/>
      <c r="R305" s="45"/>
      <c r="S305" s="45"/>
      <c r="T305" s="45"/>
      <c r="U305" s="45"/>
      <c r="V305" s="45"/>
      <c r="W305" s="45"/>
      <c r="X305" s="45"/>
      <c r="Y305" s="45"/>
      <c r="Z305" s="45"/>
    </row>
    <row r="306">
      <c r="A306" s="46">
        <v>69.0</v>
      </c>
      <c r="B306" s="47" t="s">
        <v>276</v>
      </c>
      <c r="C306" s="48" t="s">
        <v>1503</v>
      </c>
      <c r="D306" s="47" t="s">
        <v>586</v>
      </c>
      <c r="E306" s="49" t="s">
        <v>100</v>
      </c>
      <c r="F306" s="49" t="s">
        <v>4075</v>
      </c>
      <c r="G306" s="49" t="s">
        <v>2486</v>
      </c>
      <c r="H306" s="49" t="s">
        <v>2486</v>
      </c>
      <c r="I306" s="49" t="s">
        <v>2488</v>
      </c>
      <c r="J306" s="49" t="s">
        <v>2264</v>
      </c>
      <c r="K306" s="49" t="s">
        <v>2489</v>
      </c>
      <c r="L306" s="45"/>
      <c r="M306" s="45"/>
      <c r="N306" s="45"/>
      <c r="O306" s="45"/>
      <c r="P306" s="45"/>
      <c r="Q306" s="45"/>
      <c r="R306" s="45"/>
      <c r="S306" s="45"/>
      <c r="T306" s="45"/>
      <c r="U306" s="45"/>
      <c r="V306" s="45"/>
      <c r="W306" s="45"/>
      <c r="X306" s="45"/>
      <c r="Y306" s="45"/>
      <c r="Z306" s="45"/>
    </row>
    <row r="307">
      <c r="A307" s="46">
        <v>69.0</v>
      </c>
      <c r="B307" s="47" t="s">
        <v>276</v>
      </c>
      <c r="C307" s="48" t="s">
        <v>1503</v>
      </c>
      <c r="D307" s="47" t="s">
        <v>472</v>
      </c>
      <c r="E307" s="49" t="s">
        <v>100</v>
      </c>
      <c r="F307" s="49" t="s">
        <v>4076</v>
      </c>
      <c r="G307" s="49" t="s">
        <v>2486</v>
      </c>
      <c r="H307" s="49" t="s">
        <v>2486</v>
      </c>
      <c r="I307" s="49" t="s">
        <v>2488</v>
      </c>
      <c r="J307" s="49" t="s">
        <v>4077</v>
      </c>
      <c r="K307" s="49" t="s">
        <v>2489</v>
      </c>
      <c r="L307" s="45"/>
      <c r="M307" s="45"/>
      <c r="N307" s="45"/>
      <c r="O307" s="45"/>
      <c r="P307" s="45"/>
      <c r="Q307" s="45"/>
      <c r="R307" s="45"/>
      <c r="S307" s="45"/>
      <c r="T307" s="45"/>
      <c r="U307" s="45"/>
      <c r="V307" s="45"/>
      <c r="W307" s="45"/>
      <c r="X307" s="45"/>
      <c r="Y307" s="45"/>
      <c r="Z307" s="45"/>
    </row>
    <row r="308">
      <c r="A308" s="46">
        <v>69.0</v>
      </c>
      <c r="B308" s="47" t="s">
        <v>276</v>
      </c>
      <c r="C308" s="48" t="s">
        <v>1503</v>
      </c>
      <c r="D308" s="47" t="s">
        <v>26</v>
      </c>
      <c r="E308" s="49" t="s">
        <v>100</v>
      </c>
      <c r="F308" s="49" t="s">
        <v>4079</v>
      </c>
      <c r="G308" s="49" t="s">
        <v>2486</v>
      </c>
      <c r="H308" s="49" t="s">
        <v>2486</v>
      </c>
      <c r="I308" s="49" t="s">
        <v>2488</v>
      </c>
      <c r="J308" s="49" t="s">
        <v>2264</v>
      </c>
      <c r="K308" s="49" t="s">
        <v>2545</v>
      </c>
      <c r="L308" s="45"/>
      <c r="M308" s="45"/>
      <c r="N308" s="45"/>
      <c r="O308" s="45"/>
      <c r="P308" s="45"/>
      <c r="Q308" s="45"/>
      <c r="R308" s="45"/>
      <c r="S308" s="45"/>
      <c r="T308" s="45"/>
      <c r="U308" s="45"/>
      <c r="V308" s="45"/>
      <c r="W308" s="45"/>
      <c r="X308" s="45"/>
      <c r="Y308" s="45"/>
      <c r="Z308" s="45"/>
    </row>
    <row r="309">
      <c r="A309" s="46">
        <v>69.0</v>
      </c>
      <c r="B309" s="47" t="s">
        <v>276</v>
      </c>
      <c r="C309" s="48" t="s">
        <v>1503</v>
      </c>
      <c r="D309" s="47" t="s">
        <v>682</v>
      </c>
      <c r="E309" s="49" t="s">
        <v>135</v>
      </c>
      <c r="F309" s="49" t="s">
        <v>4081</v>
      </c>
      <c r="G309" s="49" t="s">
        <v>2486</v>
      </c>
      <c r="H309" s="49" t="s">
        <v>2486</v>
      </c>
      <c r="I309" s="49" t="s">
        <v>2488</v>
      </c>
      <c r="J309" s="49" t="s">
        <v>4077</v>
      </c>
      <c r="K309" s="49" t="s">
        <v>2545</v>
      </c>
      <c r="L309" s="45"/>
      <c r="M309" s="45"/>
      <c r="N309" s="45"/>
      <c r="O309" s="45"/>
      <c r="P309" s="45"/>
      <c r="Q309" s="45"/>
      <c r="R309" s="45"/>
      <c r="S309" s="45"/>
      <c r="T309" s="45"/>
      <c r="U309" s="45"/>
      <c r="V309" s="45"/>
      <c r="W309" s="45"/>
      <c r="X309" s="45"/>
      <c r="Y309" s="45"/>
      <c r="Z309" s="45"/>
    </row>
    <row r="310">
      <c r="A310" s="46">
        <v>69.0</v>
      </c>
      <c r="B310" s="47" t="s">
        <v>276</v>
      </c>
      <c r="C310" s="48" t="s">
        <v>1503</v>
      </c>
      <c r="D310" s="47" t="s">
        <v>364</v>
      </c>
      <c r="E310" s="49" t="s">
        <v>135</v>
      </c>
      <c r="F310" s="49" t="s">
        <v>4082</v>
      </c>
      <c r="G310" s="49" t="s">
        <v>2486</v>
      </c>
      <c r="H310" s="49" t="s">
        <v>2486</v>
      </c>
      <c r="I310" s="49" t="s">
        <v>2488</v>
      </c>
      <c r="J310" s="49" t="s">
        <v>2264</v>
      </c>
      <c r="K310" s="49" t="s">
        <v>2545</v>
      </c>
      <c r="L310" s="45"/>
      <c r="M310" s="45"/>
      <c r="N310" s="45"/>
      <c r="O310" s="45"/>
      <c r="P310" s="45"/>
      <c r="Q310" s="45"/>
      <c r="R310" s="45"/>
      <c r="S310" s="45"/>
      <c r="T310" s="45"/>
      <c r="U310" s="45"/>
      <c r="V310" s="45"/>
      <c r="W310" s="45"/>
      <c r="X310" s="45"/>
      <c r="Y310" s="45"/>
      <c r="Z310" s="45"/>
    </row>
    <row r="311">
      <c r="A311" s="46">
        <v>70.0</v>
      </c>
      <c r="B311" s="47" t="s">
        <v>918</v>
      </c>
      <c r="C311" s="48" t="s">
        <v>1503</v>
      </c>
      <c r="D311" s="47" t="s">
        <v>691</v>
      </c>
      <c r="E311" s="49" t="s">
        <v>100</v>
      </c>
      <c r="F311" s="49" t="s">
        <v>4089</v>
      </c>
      <c r="G311" s="49" t="s">
        <v>2486</v>
      </c>
      <c r="H311" s="49" t="s">
        <v>2486</v>
      </c>
      <c r="I311" s="49" t="s">
        <v>2488</v>
      </c>
      <c r="J311" s="49" t="s">
        <v>2289</v>
      </c>
      <c r="K311" s="49" t="s">
        <v>2489</v>
      </c>
      <c r="L311" s="45"/>
      <c r="M311" s="45"/>
      <c r="N311" s="45"/>
      <c r="O311" s="45"/>
      <c r="P311" s="45"/>
      <c r="Q311" s="45"/>
      <c r="R311" s="45"/>
      <c r="S311" s="45"/>
      <c r="T311" s="45"/>
      <c r="U311" s="45"/>
      <c r="V311" s="45"/>
      <c r="W311" s="45"/>
      <c r="X311" s="45"/>
      <c r="Y311" s="45"/>
      <c r="Z311" s="45"/>
    </row>
    <row r="312">
      <c r="A312" s="46">
        <v>70.0</v>
      </c>
      <c r="B312" s="47" t="s">
        <v>918</v>
      </c>
      <c r="C312" s="48" t="s">
        <v>1503</v>
      </c>
      <c r="D312" s="47" t="s">
        <v>203</v>
      </c>
      <c r="E312" s="49" t="s">
        <v>100</v>
      </c>
      <c r="F312" s="49" t="s">
        <v>4094</v>
      </c>
      <c r="G312" s="49" t="s">
        <v>2486</v>
      </c>
      <c r="H312" s="49" t="s">
        <v>2486</v>
      </c>
      <c r="I312" s="49" t="s">
        <v>2488</v>
      </c>
      <c r="J312" s="49" t="s">
        <v>2291</v>
      </c>
      <c r="K312" s="49" t="s">
        <v>2489</v>
      </c>
      <c r="L312" s="45"/>
      <c r="M312" s="45"/>
      <c r="N312" s="45"/>
      <c r="O312" s="45"/>
      <c r="P312" s="45"/>
      <c r="Q312" s="45"/>
      <c r="R312" s="45"/>
      <c r="S312" s="45"/>
      <c r="T312" s="45"/>
      <c r="U312" s="45"/>
      <c r="V312" s="45"/>
      <c r="W312" s="45"/>
      <c r="X312" s="45"/>
      <c r="Y312" s="45"/>
      <c r="Z312" s="45"/>
    </row>
    <row r="313">
      <c r="A313" s="46">
        <v>70.0</v>
      </c>
      <c r="B313" s="47" t="s">
        <v>918</v>
      </c>
      <c r="C313" s="48" t="s">
        <v>1503</v>
      </c>
      <c r="D313" s="47" t="s">
        <v>1154</v>
      </c>
      <c r="E313" s="49" t="s">
        <v>100</v>
      </c>
      <c r="F313" s="49" t="s">
        <v>4097</v>
      </c>
      <c r="G313" s="49" t="s">
        <v>2486</v>
      </c>
      <c r="H313" s="49" t="s">
        <v>2486</v>
      </c>
      <c r="I313" s="49" t="s">
        <v>2488</v>
      </c>
      <c r="J313" s="49" t="s">
        <v>2289</v>
      </c>
      <c r="K313" s="49" t="s">
        <v>2489</v>
      </c>
      <c r="L313" s="45"/>
      <c r="M313" s="45"/>
      <c r="N313" s="45"/>
      <c r="O313" s="45"/>
      <c r="P313" s="45"/>
      <c r="Q313" s="45"/>
      <c r="R313" s="45"/>
      <c r="S313" s="45"/>
      <c r="T313" s="45"/>
      <c r="U313" s="45"/>
      <c r="V313" s="45"/>
      <c r="W313" s="45"/>
      <c r="X313" s="45"/>
      <c r="Y313" s="45"/>
      <c r="Z313" s="45"/>
    </row>
    <row r="314">
      <c r="A314" s="46">
        <v>70.0</v>
      </c>
      <c r="B314" s="47" t="s">
        <v>918</v>
      </c>
      <c r="C314" s="48" t="s">
        <v>1503</v>
      </c>
      <c r="D314" s="47" t="s">
        <v>1021</v>
      </c>
      <c r="E314" s="49" t="s">
        <v>100</v>
      </c>
      <c r="F314" s="49" t="s">
        <v>4101</v>
      </c>
      <c r="G314" s="49" t="s">
        <v>2486</v>
      </c>
      <c r="H314" s="49" t="s">
        <v>2486</v>
      </c>
      <c r="I314" s="49" t="s">
        <v>2488</v>
      </c>
      <c r="J314" s="49" t="s">
        <v>2291</v>
      </c>
      <c r="K314" s="49" t="s">
        <v>2489</v>
      </c>
      <c r="L314" s="45"/>
      <c r="M314" s="45"/>
      <c r="N314" s="45"/>
      <c r="O314" s="45"/>
      <c r="P314" s="45"/>
      <c r="Q314" s="45"/>
      <c r="R314" s="45"/>
      <c r="S314" s="45"/>
      <c r="T314" s="45"/>
      <c r="U314" s="45"/>
      <c r="V314" s="45"/>
      <c r="W314" s="45"/>
      <c r="X314" s="45"/>
      <c r="Y314" s="45"/>
      <c r="Z314" s="45"/>
    </row>
    <row r="315">
      <c r="A315" s="46">
        <v>70.0</v>
      </c>
      <c r="B315" s="47" t="s">
        <v>918</v>
      </c>
      <c r="C315" s="48" t="s">
        <v>1503</v>
      </c>
      <c r="D315" s="47" t="s">
        <v>879</v>
      </c>
      <c r="E315" s="49" t="s">
        <v>135</v>
      </c>
      <c r="F315" s="49" t="s">
        <v>4103</v>
      </c>
      <c r="G315" s="49" t="s">
        <v>2486</v>
      </c>
      <c r="H315" s="49" t="s">
        <v>2486</v>
      </c>
      <c r="I315" s="49" t="s">
        <v>2488</v>
      </c>
      <c r="J315" s="49" t="s">
        <v>2289</v>
      </c>
      <c r="K315" s="49" t="s">
        <v>2489</v>
      </c>
      <c r="L315" s="45"/>
      <c r="M315" s="45"/>
      <c r="N315" s="45"/>
      <c r="O315" s="45"/>
      <c r="P315" s="45"/>
      <c r="Q315" s="45"/>
      <c r="R315" s="45"/>
      <c r="S315" s="45"/>
      <c r="T315" s="45"/>
      <c r="U315" s="45"/>
      <c r="V315" s="45"/>
      <c r="W315" s="45"/>
      <c r="X315" s="45"/>
      <c r="Y315" s="45"/>
      <c r="Z315" s="45"/>
    </row>
    <row r="316">
      <c r="A316" s="46">
        <v>71.0</v>
      </c>
      <c r="B316" s="47" t="s">
        <v>306</v>
      </c>
      <c r="C316" s="48" t="s">
        <v>1503</v>
      </c>
      <c r="D316" s="47" t="s">
        <v>287</v>
      </c>
      <c r="E316" s="49" t="s">
        <v>100</v>
      </c>
      <c r="F316" s="49" t="s">
        <v>4105</v>
      </c>
      <c r="G316" s="49" t="s">
        <v>2486</v>
      </c>
      <c r="H316" s="49" t="s">
        <v>2486</v>
      </c>
      <c r="I316" s="49" t="s">
        <v>2488</v>
      </c>
      <c r="J316" s="49" t="s">
        <v>3111</v>
      </c>
      <c r="K316" s="49" t="s">
        <v>2489</v>
      </c>
      <c r="L316" s="45"/>
      <c r="M316" s="45"/>
      <c r="N316" s="45"/>
      <c r="O316" s="45"/>
      <c r="P316" s="45"/>
      <c r="Q316" s="45"/>
      <c r="R316" s="45"/>
      <c r="S316" s="45"/>
      <c r="T316" s="45"/>
      <c r="U316" s="45"/>
      <c r="V316" s="45"/>
      <c r="W316" s="45"/>
      <c r="X316" s="45"/>
      <c r="Y316" s="45"/>
      <c r="Z316" s="45"/>
    </row>
    <row r="317">
      <c r="A317" s="46">
        <v>71.0</v>
      </c>
      <c r="B317" s="47" t="s">
        <v>306</v>
      </c>
      <c r="C317" s="48" t="s">
        <v>1503</v>
      </c>
      <c r="D317" s="47" t="s">
        <v>5</v>
      </c>
      <c r="E317" s="49" t="s">
        <v>100</v>
      </c>
      <c r="F317" s="49" t="s">
        <v>4108</v>
      </c>
      <c r="G317" s="49" t="s">
        <v>2486</v>
      </c>
      <c r="H317" s="49" t="s">
        <v>2486</v>
      </c>
      <c r="I317" s="49" t="s">
        <v>2488</v>
      </c>
      <c r="J317" s="49" t="s">
        <v>4109</v>
      </c>
      <c r="K317" s="49" t="s">
        <v>2489</v>
      </c>
      <c r="L317" s="45"/>
      <c r="M317" s="45"/>
      <c r="N317" s="45"/>
      <c r="O317" s="45"/>
      <c r="P317" s="45"/>
      <c r="Q317" s="45"/>
      <c r="R317" s="45"/>
      <c r="S317" s="45"/>
      <c r="T317" s="45"/>
      <c r="U317" s="45"/>
      <c r="V317" s="45"/>
      <c r="W317" s="45"/>
      <c r="X317" s="45"/>
      <c r="Y317" s="45"/>
      <c r="Z317" s="45"/>
    </row>
    <row r="318">
      <c r="A318" s="46">
        <v>71.0</v>
      </c>
      <c r="B318" s="47" t="s">
        <v>306</v>
      </c>
      <c r="C318" s="48" t="s">
        <v>1503</v>
      </c>
      <c r="D318" s="47" t="s">
        <v>158</v>
      </c>
      <c r="E318" s="49" t="s">
        <v>100</v>
      </c>
      <c r="F318" s="49" t="s">
        <v>4110</v>
      </c>
      <c r="G318" s="49" t="s">
        <v>2486</v>
      </c>
      <c r="H318" s="49" t="s">
        <v>2486</v>
      </c>
      <c r="I318" s="49" t="s">
        <v>2488</v>
      </c>
      <c r="J318" s="49" t="s">
        <v>3111</v>
      </c>
      <c r="K318" s="49" t="s">
        <v>2489</v>
      </c>
      <c r="L318" s="45"/>
      <c r="M318" s="45"/>
      <c r="N318" s="45"/>
      <c r="O318" s="45"/>
      <c r="P318" s="45"/>
      <c r="Q318" s="45"/>
      <c r="R318" s="45"/>
      <c r="S318" s="45"/>
      <c r="T318" s="45"/>
      <c r="U318" s="45"/>
      <c r="V318" s="45"/>
      <c r="W318" s="45"/>
      <c r="X318" s="45"/>
      <c r="Y318" s="45"/>
      <c r="Z318" s="45"/>
    </row>
    <row r="319">
      <c r="A319" s="46">
        <v>71.0</v>
      </c>
      <c r="B319" s="47" t="s">
        <v>306</v>
      </c>
      <c r="C319" s="48" t="s">
        <v>1503</v>
      </c>
      <c r="D319" s="47" t="s">
        <v>308</v>
      </c>
      <c r="E319" s="49" t="s">
        <v>100</v>
      </c>
      <c r="F319" s="49" t="s">
        <v>4113</v>
      </c>
      <c r="G319" s="49" t="s">
        <v>2486</v>
      </c>
      <c r="H319" s="49" t="s">
        <v>2486</v>
      </c>
      <c r="I319" s="49" t="s">
        <v>2488</v>
      </c>
      <c r="J319" s="49" t="s">
        <v>4109</v>
      </c>
      <c r="K319" s="49" t="s">
        <v>2545</v>
      </c>
      <c r="L319" s="45"/>
      <c r="M319" s="45"/>
      <c r="N319" s="45"/>
      <c r="O319" s="45"/>
      <c r="P319" s="45"/>
      <c r="Q319" s="45"/>
      <c r="R319" s="45"/>
      <c r="S319" s="45"/>
      <c r="T319" s="45"/>
      <c r="U319" s="45"/>
      <c r="V319" s="45"/>
      <c r="W319" s="45"/>
      <c r="X319" s="45"/>
      <c r="Y319" s="45"/>
      <c r="Z319" s="45"/>
    </row>
    <row r="320">
      <c r="A320" s="46">
        <v>71.0</v>
      </c>
      <c r="B320" s="47" t="s">
        <v>306</v>
      </c>
      <c r="C320" s="48" t="s">
        <v>1503</v>
      </c>
      <c r="D320" s="47" t="s">
        <v>303</v>
      </c>
      <c r="E320" s="49" t="s">
        <v>135</v>
      </c>
      <c r="F320" s="49" t="s">
        <v>4114</v>
      </c>
      <c r="G320" s="49" t="s">
        <v>2486</v>
      </c>
      <c r="H320" s="49" t="s">
        <v>2486</v>
      </c>
      <c r="I320" s="49" t="s">
        <v>2488</v>
      </c>
      <c r="J320" s="49" t="s">
        <v>3111</v>
      </c>
      <c r="K320" s="49" t="s">
        <v>2545</v>
      </c>
      <c r="L320" s="45"/>
      <c r="M320" s="45"/>
      <c r="N320" s="45"/>
      <c r="O320" s="45"/>
      <c r="P320" s="45"/>
      <c r="Q320" s="45"/>
      <c r="R320" s="45"/>
      <c r="S320" s="45"/>
      <c r="T320" s="45"/>
      <c r="U320" s="45"/>
      <c r="V320" s="45"/>
      <c r="W320" s="45"/>
      <c r="X320" s="45"/>
      <c r="Y320" s="45"/>
      <c r="Z320" s="45"/>
    </row>
    <row r="321">
      <c r="A321" s="46">
        <v>72.0</v>
      </c>
      <c r="B321" s="47" t="s">
        <v>117</v>
      </c>
      <c r="C321" s="48" t="s">
        <v>1503</v>
      </c>
      <c r="D321" s="47" t="s">
        <v>145</v>
      </c>
      <c r="E321" s="49" t="s">
        <v>100</v>
      </c>
      <c r="F321" s="49" t="s">
        <v>4117</v>
      </c>
      <c r="G321" s="49" t="s">
        <v>2486</v>
      </c>
      <c r="H321" s="49" t="s">
        <v>2486</v>
      </c>
      <c r="I321" s="49" t="s">
        <v>2488</v>
      </c>
      <c r="J321" s="49" t="s">
        <v>3153</v>
      </c>
      <c r="K321" s="49" t="s">
        <v>2545</v>
      </c>
      <c r="L321" s="45"/>
      <c r="M321" s="45"/>
      <c r="N321" s="45"/>
      <c r="O321" s="45"/>
      <c r="P321" s="45"/>
      <c r="Q321" s="45"/>
      <c r="R321" s="45"/>
      <c r="S321" s="45"/>
      <c r="T321" s="45"/>
      <c r="U321" s="45"/>
      <c r="V321" s="45"/>
      <c r="W321" s="45"/>
      <c r="X321" s="45"/>
      <c r="Y321" s="45"/>
      <c r="Z321" s="45"/>
    </row>
    <row r="322">
      <c r="A322" s="46">
        <v>72.0</v>
      </c>
      <c r="B322" s="47" t="s">
        <v>117</v>
      </c>
      <c r="C322" s="48" t="s">
        <v>1503</v>
      </c>
      <c r="D322" s="47" t="s">
        <v>243</v>
      </c>
      <c r="E322" s="49" t="s">
        <v>100</v>
      </c>
      <c r="F322" s="49" t="s">
        <v>4120</v>
      </c>
      <c r="G322" s="49" t="s">
        <v>2486</v>
      </c>
      <c r="H322" s="49" t="s">
        <v>2486</v>
      </c>
      <c r="I322" s="49" t="s">
        <v>2488</v>
      </c>
      <c r="J322" s="49" t="s">
        <v>3153</v>
      </c>
      <c r="K322" s="49" t="s">
        <v>2489</v>
      </c>
      <c r="L322" s="45"/>
      <c r="M322" s="45"/>
      <c r="N322" s="45"/>
      <c r="O322" s="45"/>
      <c r="P322" s="45"/>
      <c r="Q322" s="45"/>
      <c r="R322" s="45"/>
      <c r="S322" s="45"/>
      <c r="T322" s="45"/>
      <c r="U322" s="45"/>
      <c r="V322" s="45"/>
      <c r="W322" s="45"/>
      <c r="X322" s="45"/>
      <c r="Y322" s="45"/>
      <c r="Z322" s="45"/>
    </row>
    <row r="323">
      <c r="A323" s="46">
        <v>72.0</v>
      </c>
      <c r="B323" s="47" t="s">
        <v>117</v>
      </c>
      <c r="C323" s="48" t="s">
        <v>1503</v>
      </c>
      <c r="D323" s="47" t="s">
        <v>259</v>
      </c>
      <c r="E323" s="49" t="s">
        <v>100</v>
      </c>
      <c r="F323" s="49" t="s">
        <v>4121</v>
      </c>
      <c r="G323" s="49" t="s">
        <v>2486</v>
      </c>
      <c r="H323" s="49" t="s">
        <v>2486</v>
      </c>
      <c r="I323" s="49" t="s">
        <v>2488</v>
      </c>
      <c r="J323" s="49" t="s">
        <v>3153</v>
      </c>
      <c r="K323" s="49" t="s">
        <v>2489</v>
      </c>
      <c r="L323" s="45"/>
      <c r="M323" s="45"/>
      <c r="N323" s="45"/>
      <c r="O323" s="45"/>
      <c r="P323" s="45"/>
      <c r="Q323" s="45"/>
      <c r="R323" s="45"/>
      <c r="S323" s="45"/>
      <c r="T323" s="45"/>
      <c r="U323" s="45"/>
      <c r="V323" s="45"/>
      <c r="W323" s="45"/>
      <c r="X323" s="45"/>
      <c r="Y323" s="45"/>
      <c r="Z323" s="45"/>
    </row>
    <row r="324">
      <c r="A324" s="46">
        <v>72.0</v>
      </c>
      <c r="B324" s="47" t="s">
        <v>117</v>
      </c>
      <c r="C324" s="48" t="s">
        <v>1503</v>
      </c>
      <c r="D324" s="47" t="s">
        <v>16</v>
      </c>
      <c r="E324" s="49" t="s">
        <v>100</v>
      </c>
      <c r="F324" s="49" t="s">
        <v>4124</v>
      </c>
      <c r="G324" s="49" t="s">
        <v>2486</v>
      </c>
      <c r="H324" s="49" t="s">
        <v>2486</v>
      </c>
      <c r="I324" s="49" t="s">
        <v>2488</v>
      </c>
      <c r="J324" s="49" t="s">
        <v>3153</v>
      </c>
      <c r="K324" s="49" t="s">
        <v>2489</v>
      </c>
      <c r="L324" s="45"/>
      <c r="M324" s="45"/>
      <c r="N324" s="45"/>
      <c r="O324" s="45"/>
      <c r="P324" s="45"/>
      <c r="Q324" s="45"/>
      <c r="R324" s="45"/>
      <c r="S324" s="45"/>
      <c r="T324" s="45"/>
      <c r="U324" s="45"/>
      <c r="V324" s="45"/>
      <c r="W324" s="45"/>
      <c r="X324" s="45"/>
      <c r="Y324" s="45"/>
      <c r="Z324" s="45"/>
    </row>
    <row r="325">
      <c r="A325" s="46">
        <v>72.0</v>
      </c>
      <c r="B325" s="47" t="s">
        <v>117</v>
      </c>
      <c r="C325" s="48" t="s">
        <v>1503</v>
      </c>
      <c r="D325" s="47" t="s">
        <v>26</v>
      </c>
      <c r="E325" s="49" t="s">
        <v>100</v>
      </c>
      <c r="F325" s="49" t="s">
        <v>4126</v>
      </c>
      <c r="G325" s="49" t="s">
        <v>2486</v>
      </c>
      <c r="H325" s="49" t="s">
        <v>2486</v>
      </c>
      <c r="I325" s="49" t="s">
        <v>2488</v>
      </c>
      <c r="J325" s="49" t="s">
        <v>3153</v>
      </c>
      <c r="K325" s="49" t="s">
        <v>2545</v>
      </c>
      <c r="L325" s="45"/>
      <c r="M325" s="45"/>
      <c r="N325" s="45"/>
      <c r="O325" s="45"/>
      <c r="P325" s="45"/>
      <c r="Q325" s="45"/>
      <c r="R325" s="45"/>
      <c r="S325" s="45"/>
      <c r="T325" s="45"/>
      <c r="U325" s="45"/>
      <c r="V325" s="45"/>
      <c r="W325" s="45"/>
      <c r="X325" s="45"/>
      <c r="Y325" s="45"/>
      <c r="Z325" s="45"/>
    </row>
    <row r="326">
      <c r="A326" s="46">
        <v>73.0</v>
      </c>
      <c r="B326" s="47" t="s">
        <v>722</v>
      </c>
      <c r="C326" s="48" t="s">
        <v>1503</v>
      </c>
      <c r="D326" s="47" t="s">
        <v>712</v>
      </c>
      <c r="E326" s="49" t="s">
        <v>100</v>
      </c>
      <c r="F326" s="49" t="s">
        <v>4129</v>
      </c>
      <c r="G326" s="49" t="s">
        <v>2486</v>
      </c>
      <c r="H326" s="49" t="s">
        <v>2486</v>
      </c>
      <c r="I326" s="49" t="s">
        <v>2488</v>
      </c>
      <c r="J326" s="49" t="s">
        <v>3191</v>
      </c>
      <c r="K326" s="49" t="s">
        <v>2545</v>
      </c>
      <c r="L326" s="45"/>
      <c r="M326" s="45"/>
      <c r="N326" s="45"/>
      <c r="O326" s="45"/>
      <c r="P326" s="45"/>
      <c r="Q326" s="45"/>
      <c r="R326" s="45"/>
      <c r="S326" s="45"/>
      <c r="T326" s="45"/>
      <c r="U326" s="45"/>
      <c r="V326" s="45"/>
      <c r="W326" s="45"/>
      <c r="X326" s="45"/>
      <c r="Y326" s="45"/>
      <c r="Z326" s="45"/>
    </row>
    <row r="327">
      <c r="A327" s="46">
        <v>73.0</v>
      </c>
      <c r="B327" s="47" t="s">
        <v>722</v>
      </c>
      <c r="C327" s="48" t="s">
        <v>1503</v>
      </c>
      <c r="D327" s="47" t="s">
        <v>300</v>
      </c>
      <c r="E327" s="49" t="s">
        <v>100</v>
      </c>
      <c r="F327" s="49" t="s">
        <v>4132</v>
      </c>
      <c r="G327" s="49" t="s">
        <v>2486</v>
      </c>
      <c r="H327" s="49" t="s">
        <v>2486</v>
      </c>
      <c r="I327" s="49" t="s">
        <v>2488</v>
      </c>
      <c r="J327" s="49" t="s">
        <v>4133</v>
      </c>
      <c r="K327" s="49" t="s">
        <v>2545</v>
      </c>
      <c r="L327" s="45"/>
      <c r="M327" s="45"/>
      <c r="N327" s="45"/>
      <c r="O327" s="45"/>
      <c r="P327" s="45"/>
      <c r="Q327" s="45"/>
      <c r="R327" s="45"/>
      <c r="S327" s="45"/>
      <c r="T327" s="45"/>
      <c r="U327" s="45"/>
      <c r="V327" s="45"/>
      <c r="W327" s="45"/>
      <c r="X327" s="45"/>
      <c r="Y327" s="45"/>
      <c r="Z327" s="45"/>
    </row>
    <row r="328">
      <c r="A328" s="46">
        <v>73.0</v>
      </c>
      <c r="B328" s="47" t="s">
        <v>722</v>
      </c>
      <c r="C328" s="48" t="s">
        <v>1503</v>
      </c>
      <c r="D328" s="47" t="s">
        <v>311</v>
      </c>
      <c r="E328" s="49" t="s">
        <v>135</v>
      </c>
      <c r="F328" s="49" t="s">
        <v>4136</v>
      </c>
      <c r="G328" s="49" t="s">
        <v>2486</v>
      </c>
      <c r="H328" s="49" t="s">
        <v>2486</v>
      </c>
      <c r="I328" s="49" t="s">
        <v>2488</v>
      </c>
      <c r="J328" s="49" t="s">
        <v>3191</v>
      </c>
      <c r="K328" s="49" t="s">
        <v>2489</v>
      </c>
      <c r="L328" s="45"/>
      <c r="M328" s="45"/>
      <c r="N328" s="45"/>
      <c r="O328" s="45"/>
      <c r="P328" s="45"/>
      <c r="Q328" s="45"/>
      <c r="R328" s="45"/>
      <c r="S328" s="45"/>
      <c r="T328" s="45"/>
      <c r="U328" s="45"/>
      <c r="V328" s="45"/>
      <c r="W328" s="45"/>
      <c r="X328" s="45"/>
      <c r="Y328" s="45"/>
      <c r="Z328" s="45"/>
    </row>
    <row r="329">
      <c r="A329" s="46">
        <v>73.0</v>
      </c>
      <c r="B329" s="47" t="s">
        <v>722</v>
      </c>
      <c r="C329" s="48" t="s">
        <v>1503</v>
      </c>
      <c r="D329" s="47" t="s">
        <v>877</v>
      </c>
      <c r="E329" s="49" t="s">
        <v>135</v>
      </c>
      <c r="F329" s="49" t="s">
        <v>4139</v>
      </c>
      <c r="G329" s="49" t="s">
        <v>2486</v>
      </c>
      <c r="H329" s="49" t="s">
        <v>2486</v>
      </c>
      <c r="I329" s="49" t="s">
        <v>2488</v>
      </c>
      <c r="J329" s="49" t="s">
        <v>4133</v>
      </c>
      <c r="K329" s="49" t="s">
        <v>2514</v>
      </c>
      <c r="L329" s="45"/>
      <c r="M329" s="45"/>
      <c r="N329" s="45"/>
      <c r="O329" s="45"/>
      <c r="P329" s="45"/>
      <c r="Q329" s="45"/>
      <c r="R329" s="45"/>
      <c r="S329" s="45"/>
      <c r="T329" s="45"/>
      <c r="U329" s="45"/>
      <c r="V329" s="45"/>
      <c r="W329" s="45"/>
      <c r="X329" s="45"/>
      <c r="Y329" s="45"/>
      <c r="Z329" s="45"/>
    </row>
    <row r="330">
      <c r="A330" s="46">
        <v>74.0</v>
      </c>
      <c r="B330" s="47" t="s">
        <v>878</v>
      </c>
      <c r="C330" s="48" t="s">
        <v>1503</v>
      </c>
      <c r="D330" s="47" t="s">
        <v>549</v>
      </c>
      <c r="E330" s="49" t="s">
        <v>100</v>
      </c>
      <c r="F330" s="49" t="s">
        <v>4144</v>
      </c>
      <c r="G330" s="49" t="s">
        <v>2486</v>
      </c>
      <c r="H330" s="49" t="s">
        <v>2486</v>
      </c>
      <c r="I330" s="49" t="s">
        <v>2488</v>
      </c>
      <c r="J330" s="49" t="s">
        <v>3232</v>
      </c>
      <c r="K330" s="49" t="s">
        <v>2489</v>
      </c>
      <c r="L330" s="45"/>
      <c r="M330" s="45"/>
      <c r="N330" s="45"/>
      <c r="O330" s="45"/>
      <c r="P330" s="45"/>
      <c r="Q330" s="45"/>
      <c r="R330" s="45"/>
      <c r="S330" s="45"/>
      <c r="T330" s="45"/>
      <c r="U330" s="45"/>
      <c r="V330" s="45"/>
      <c r="W330" s="45"/>
      <c r="X330" s="45"/>
      <c r="Y330" s="45"/>
      <c r="Z330" s="45"/>
    </row>
    <row r="331">
      <c r="A331" s="46">
        <v>74.0</v>
      </c>
      <c r="B331" s="47" t="s">
        <v>878</v>
      </c>
      <c r="C331" s="48" t="s">
        <v>1503</v>
      </c>
      <c r="D331" s="47" t="s">
        <v>364</v>
      </c>
      <c r="E331" s="49" t="s">
        <v>100</v>
      </c>
      <c r="F331" s="49" t="s">
        <v>4146</v>
      </c>
      <c r="G331" s="49" t="s">
        <v>2486</v>
      </c>
      <c r="H331" s="49" t="s">
        <v>2486</v>
      </c>
      <c r="I331" s="49" t="s">
        <v>2488</v>
      </c>
      <c r="J331" s="49" t="s">
        <v>3232</v>
      </c>
      <c r="K331" s="49" t="s">
        <v>2545</v>
      </c>
      <c r="L331" s="45"/>
      <c r="M331" s="45"/>
      <c r="N331" s="45"/>
      <c r="O331" s="45"/>
      <c r="P331" s="45"/>
      <c r="Q331" s="45"/>
      <c r="R331" s="45"/>
      <c r="S331" s="45"/>
      <c r="T331" s="45"/>
      <c r="U331" s="45"/>
      <c r="V331" s="45"/>
      <c r="W331" s="45"/>
      <c r="X331" s="45"/>
      <c r="Y331" s="45"/>
      <c r="Z331" s="45"/>
    </row>
    <row r="332">
      <c r="A332" s="46">
        <v>74.0</v>
      </c>
      <c r="B332" s="47" t="s">
        <v>878</v>
      </c>
      <c r="C332" s="48" t="s">
        <v>1503</v>
      </c>
      <c r="D332" s="47" t="s">
        <v>877</v>
      </c>
      <c r="E332" s="49" t="s">
        <v>135</v>
      </c>
      <c r="F332" s="49" t="s">
        <v>4147</v>
      </c>
      <c r="G332" s="49" t="s">
        <v>2486</v>
      </c>
      <c r="H332" s="49" t="s">
        <v>2486</v>
      </c>
      <c r="I332" s="49" t="s">
        <v>2488</v>
      </c>
      <c r="J332" s="49" t="s">
        <v>3232</v>
      </c>
      <c r="K332" s="49" t="s">
        <v>2514</v>
      </c>
      <c r="L332" s="45"/>
      <c r="M332" s="45"/>
      <c r="N332" s="45"/>
      <c r="O332" s="45"/>
      <c r="P332" s="45"/>
      <c r="Q332" s="45"/>
      <c r="R332" s="45"/>
      <c r="S332" s="45"/>
      <c r="T332" s="45"/>
      <c r="U332" s="45"/>
      <c r="V332" s="45"/>
      <c r="W332" s="45"/>
      <c r="X332" s="45"/>
      <c r="Y332" s="45"/>
      <c r="Z332" s="45"/>
    </row>
    <row r="333">
      <c r="A333" s="46">
        <v>74.0</v>
      </c>
      <c r="B333" s="47" t="s">
        <v>878</v>
      </c>
      <c r="C333" s="48" t="s">
        <v>1503</v>
      </c>
      <c r="D333" s="47" t="s">
        <v>145</v>
      </c>
      <c r="E333" s="49" t="s">
        <v>135</v>
      </c>
      <c r="F333" s="49" t="s">
        <v>4151</v>
      </c>
      <c r="G333" s="49" t="s">
        <v>2486</v>
      </c>
      <c r="H333" s="49" t="s">
        <v>2486</v>
      </c>
      <c r="I333" s="49" t="s">
        <v>2488</v>
      </c>
      <c r="J333" s="49" t="s">
        <v>3232</v>
      </c>
      <c r="K333" s="49" t="s">
        <v>2545</v>
      </c>
      <c r="L333" s="45"/>
      <c r="M333" s="45"/>
      <c r="N333" s="45"/>
      <c r="O333" s="45"/>
      <c r="P333" s="45"/>
      <c r="Q333" s="45"/>
      <c r="R333" s="45"/>
      <c r="S333" s="45"/>
      <c r="T333" s="45"/>
      <c r="U333" s="45"/>
      <c r="V333" s="45"/>
      <c r="W333" s="45"/>
      <c r="X333" s="45"/>
      <c r="Y333" s="45"/>
      <c r="Z333" s="45"/>
    </row>
    <row r="334">
      <c r="A334" s="46">
        <v>75.0</v>
      </c>
      <c r="B334" s="47" t="s">
        <v>1435</v>
      </c>
      <c r="C334" s="48" t="s">
        <v>1852</v>
      </c>
      <c r="D334" s="47" t="s">
        <v>1271</v>
      </c>
      <c r="E334" s="49" t="s">
        <v>100</v>
      </c>
      <c r="F334" s="49" t="s">
        <v>4156</v>
      </c>
      <c r="G334" s="49" t="s">
        <v>2486</v>
      </c>
      <c r="H334" s="49" t="s">
        <v>2486</v>
      </c>
      <c r="I334" s="49" t="s">
        <v>2488</v>
      </c>
      <c r="J334" s="49" t="s">
        <v>3255</v>
      </c>
      <c r="K334" s="49" t="s">
        <v>2489</v>
      </c>
      <c r="L334" s="45"/>
      <c r="M334" s="45"/>
      <c r="N334" s="45"/>
      <c r="O334" s="45"/>
      <c r="P334" s="45"/>
      <c r="Q334" s="45"/>
      <c r="R334" s="45"/>
      <c r="S334" s="45"/>
      <c r="T334" s="45"/>
      <c r="U334" s="45"/>
      <c r="V334" s="45"/>
      <c r="W334" s="45"/>
      <c r="X334" s="45"/>
      <c r="Y334" s="45"/>
      <c r="Z334" s="45"/>
    </row>
    <row r="335">
      <c r="A335" s="46">
        <v>75.0</v>
      </c>
      <c r="B335" s="47" t="s">
        <v>1435</v>
      </c>
      <c r="C335" s="48" t="s">
        <v>1852</v>
      </c>
      <c r="D335" s="47" t="s">
        <v>1274</v>
      </c>
      <c r="E335" s="49" t="s">
        <v>100</v>
      </c>
      <c r="F335" s="49" t="s">
        <v>4164</v>
      </c>
      <c r="G335" s="49" t="s">
        <v>2486</v>
      </c>
      <c r="H335" s="49" t="s">
        <v>2486</v>
      </c>
      <c r="I335" s="49" t="s">
        <v>2488</v>
      </c>
      <c r="J335" s="49" t="s">
        <v>4165</v>
      </c>
      <c r="K335" s="49" t="s">
        <v>2489</v>
      </c>
      <c r="L335" s="45"/>
      <c r="M335" s="45"/>
      <c r="N335" s="45"/>
      <c r="O335" s="45"/>
      <c r="P335" s="45"/>
      <c r="Q335" s="45"/>
      <c r="R335" s="45"/>
      <c r="S335" s="45"/>
      <c r="T335" s="45"/>
      <c r="U335" s="45"/>
      <c r="V335" s="45"/>
      <c r="W335" s="45"/>
      <c r="X335" s="45"/>
      <c r="Y335" s="45"/>
      <c r="Z335" s="45"/>
    </row>
    <row r="336">
      <c r="A336" s="46">
        <v>75.0</v>
      </c>
      <c r="B336" s="47" t="s">
        <v>1435</v>
      </c>
      <c r="C336" s="48" t="s">
        <v>1852</v>
      </c>
      <c r="D336" s="47" t="s">
        <v>1175</v>
      </c>
      <c r="E336" s="49" t="s">
        <v>100</v>
      </c>
      <c r="F336" s="49" t="s">
        <v>4167</v>
      </c>
      <c r="G336" s="49" t="s">
        <v>2486</v>
      </c>
      <c r="H336" s="49" t="s">
        <v>2486</v>
      </c>
      <c r="I336" s="49" t="s">
        <v>2488</v>
      </c>
      <c r="J336" s="49" t="s">
        <v>4169</v>
      </c>
      <c r="K336" s="49" t="s">
        <v>2489</v>
      </c>
      <c r="L336" s="45"/>
      <c r="M336" s="45"/>
      <c r="N336" s="45"/>
      <c r="O336" s="45"/>
      <c r="P336" s="45"/>
      <c r="Q336" s="45"/>
      <c r="R336" s="45"/>
      <c r="S336" s="45"/>
      <c r="T336" s="45"/>
      <c r="U336" s="45"/>
      <c r="V336" s="45"/>
      <c r="W336" s="45"/>
      <c r="X336" s="45"/>
      <c r="Y336" s="45"/>
      <c r="Z336" s="45"/>
    </row>
    <row r="337">
      <c r="A337" s="46">
        <v>75.0</v>
      </c>
      <c r="B337" s="47" t="s">
        <v>1435</v>
      </c>
      <c r="C337" s="48" t="s">
        <v>1852</v>
      </c>
      <c r="D337" s="47" t="s">
        <v>1161</v>
      </c>
      <c r="E337" s="49" t="s">
        <v>100</v>
      </c>
      <c r="F337" s="49" t="s">
        <v>4171</v>
      </c>
      <c r="G337" s="49" t="s">
        <v>2486</v>
      </c>
      <c r="H337" s="49" t="s">
        <v>2486</v>
      </c>
      <c r="I337" s="49" t="s">
        <v>2488</v>
      </c>
      <c r="J337" s="49" t="s">
        <v>3255</v>
      </c>
      <c r="K337" s="49" t="s">
        <v>2489</v>
      </c>
      <c r="L337" s="45"/>
      <c r="M337" s="45"/>
      <c r="N337" s="45"/>
      <c r="O337" s="45"/>
      <c r="P337" s="45"/>
      <c r="Q337" s="45"/>
      <c r="R337" s="45"/>
      <c r="S337" s="45"/>
      <c r="T337" s="45"/>
      <c r="U337" s="45"/>
      <c r="V337" s="45"/>
      <c r="W337" s="45"/>
      <c r="X337" s="45"/>
      <c r="Y337" s="45"/>
      <c r="Z337" s="45"/>
    </row>
    <row r="338">
      <c r="A338" s="46">
        <v>75.0</v>
      </c>
      <c r="B338" s="47" t="s">
        <v>1435</v>
      </c>
      <c r="C338" s="48" t="s">
        <v>1852</v>
      </c>
      <c r="D338" s="47" t="s">
        <v>1446</v>
      </c>
      <c r="E338" s="49" t="s">
        <v>100</v>
      </c>
      <c r="F338" s="49" t="s">
        <v>4176</v>
      </c>
      <c r="G338" s="49" t="s">
        <v>2486</v>
      </c>
      <c r="H338" s="49" t="s">
        <v>2486</v>
      </c>
      <c r="I338" s="49" t="s">
        <v>2488</v>
      </c>
      <c r="J338" s="49" t="s">
        <v>4165</v>
      </c>
      <c r="K338" s="49" t="s">
        <v>2489</v>
      </c>
      <c r="L338" s="45"/>
      <c r="M338" s="45"/>
      <c r="N338" s="45"/>
      <c r="O338" s="45"/>
      <c r="P338" s="45"/>
      <c r="Q338" s="45"/>
      <c r="R338" s="45"/>
      <c r="S338" s="45"/>
      <c r="T338" s="45"/>
      <c r="U338" s="45"/>
      <c r="V338" s="45"/>
      <c r="W338" s="45"/>
      <c r="X338" s="45"/>
      <c r="Y338" s="45"/>
      <c r="Z338" s="45"/>
    </row>
    <row r="339">
      <c r="A339" s="52"/>
      <c r="B339" s="53"/>
      <c r="C339" s="53"/>
      <c r="D339" s="53"/>
      <c r="E339" s="45"/>
      <c r="F339" s="45"/>
      <c r="G339" s="45"/>
      <c r="H339" s="45"/>
      <c r="I339" s="45"/>
      <c r="J339" s="45"/>
      <c r="K339" s="45"/>
      <c r="L339" s="45"/>
      <c r="M339" s="45"/>
      <c r="N339" s="45"/>
      <c r="O339" s="45"/>
      <c r="P339" s="45"/>
      <c r="Q339" s="45"/>
      <c r="R339" s="45"/>
      <c r="S339" s="45"/>
      <c r="T339" s="45"/>
      <c r="U339" s="45"/>
      <c r="V339" s="45"/>
      <c r="W339" s="45"/>
      <c r="X339" s="45"/>
      <c r="Y339" s="45"/>
      <c r="Z339" s="45"/>
    </row>
    <row r="340">
      <c r="A340" s="52"/>
      <c r="B340" s="53"/>
      <c r="C340" s="53"/>
      <c r="D340" s="53"/>
      <c r="E340" s="45"/>
      <c r="F340" s="45"/>
      <c r="G340" s="45"/>
      <c r="H340" s="45"/>
      <c r="I340" s="45"/>
      <c r="J340" s="45"/>
      <c r="K340" s="45"/>
      <c r="L340" s="45"/>
      <c r="M340" s="45"/>
      <c r="N340" s="45"/>
      <c r="O340" s="45"/>
      <c r="P340" s="45"/>
      <c r="Q340" s="45"/>
      <c r="R340" s="45"/>
      <c r="S340" s="45"/>
      <c r="T340" s="45"/>
      <c r="U340" s="45"/>
      <c r="V340" s="45"/>
      <c r="W340" s="45"/>
      <c r="X340" s="45"/>
      <c r="Y340" s="45"/>
      <c r="Z340" s="45"/>
    </row>
    <row r="341">
      <c r="A341" s="52"/>
      <c r="B341" s="53"/>
      <c r="C341" s="53"/>
      <c r="D341" s="53"/>
      <c r="E341" s="45"/>
      <c r="F341" s="45"/>
      <c r="G341" s="45"/>
      <c r="H341" s="45"/>
      <c r="I341" s="45"/>
      <c r="J341" s="45"/>
      <c r="K341" s="45"/>
      <c r="L341" s="45"/>
      <c r="M341" s="45"/>
      <c r="N341" s="45"/>
      <c r="O341" s="45"/>
      <c r="P341" s="45"/>
      <c r="Q341" s="45"/>
      <c r="R341" s="45"/>
      <c r="S341" s="45"/>
      <c r="T341" s="45"/>
      <c r="U341" s="45"/>
      <c r="V341" s="45"/>
      <c r="W341" s="45"/>
      <c r="X341" s="45"/>
      <c r="Y341" s="45"/>
      <c r="Z341" s="45"/>
    </row>
    <row r="342">
      <c r="A342" s="52"/>
      <c r="B342" s="53"/>
      <c r="C342" s="53"/>
      <c r="D342" s="53"/>
      <c r="E342" s="45"/>
      <c r="F342" s="45"/>
      <c r="G342" s="45"/>
      <c r="H342" s="45"/>
      <c r="I342" s="45"/>
      <c r="J342" s="45"/>
      <c r="K342" s="45"/>
      <c r="L342" s="45"/>
      <c r="M342" s="45"/>
      <c r="N342" s="45"/>
      <c r="O342" s="45"/>
      <c r="P342" s="45"/>
      <c r="Q342" s="45"/>
      <c r="R342" s="45"/>
      <c r="S342" s="45"/>
      <c r="T342" s="45"/>
      <c r="U342" s="45"/>
      <c r="V342" s="45"/>
      <c r="W342" s="45"/>
      <c r="X342" s="45"/>
      <c r="Y342" s="45"/>
      <c r="Z342" s="45"/>
    </row>
    <row r="343">
      <c r="A343" s="52"/>
      <c r="B343" s="53"/>
      <c r="C343" s="53"/>
      <c r="D343" s="53"/>
      <c r="E343" s="45"/>
      <c r="F343" s="45"/>
      <c r="G343" s="45"/>
      <c r="H343" s="45"/>
      <c r="I343" s="45"/>
      <c r="J343" s="45"/>
      <c r="K343" s="45"/>
      <c r="L343" s="45"/>
      <c r="M343" s="45"/>
      <c r="N343" s="45"/>
      <c r="O343" s="45"/>
      <c r="P343" s="45"/>
      <c r="Q343" s="45"/>
      <c r="R343" s="45"/>
      <c r="S343" s="45"/>
      <c r="T343" s="45"/>
      <c r="U343" s="45"/>
      <c r="V343" s="45"/>
      <c r="W343" s="45"/>
      <c r="X343" s="45"/>
      <c r="Y343" s="45"/>
      <c r="Z343" s="45"/>
    </row>
    <row r="344">
      <c r="A344" s="52"/>
      <c r="B344" s="53"/>
      <c r="C344" s="53"/>
      <c r="D344" s="53"/>
      <c r="E344" s="45"/>
      <c r="F344" s="45"/>
      <c r="G344" s="45"/>
      <c r="H344" s="45"/>
      <c r="I344" s="45"/>
      <c r="J344" s="45"/>
      <c r="K344" s="45"/>
      <c r="L344" s="45"/>
      <c r="M344" s="45"/>
      <c r="N344" s="45"/>
      <c r="O344" s="45"/>
      <c r="P344" s="45"/>
      <c r="Q344" s="45"/>
      <c r="R344" s="45"/>
      <c r="S344" s="45"/>
      <c r="T344" s="45"/>
      <c r="U344" s="45"/>
      <c r="V344" s="45"/>
      <c r="W344" s="45"/>
      <c r="X344" s="45"/>
      <c r="Y344" s="45"/>
      <c r="Z344" s="45"/>
    </row>
    <row r="345">
      <c r="A345" s="52"/>
      <c r="B345" s="53"/>
      <c r="C345" s="53"/>
      <c r="D345" s="53"/>
      <c r="E345" s="45"/>
      <c r="F345" s="45"/>
      <c r="G345" s="45"/>
      <c r="H345" s="45"/>
      <c r="I345" s="45"/>
      <c r="J345" s="45"/>
      <c r="K345" s="45"/>
      <c r="L345" s="45"/>
      <c r="M345" s="45"/>
      <c r="N345" s="45"/>
      <c r="O345" s="45"/>
      <c r="P345" s="45"/>
      <c r="Q345" s="45"/>
      <c r="R345" s="45"/>
      <c r="S345" s="45"/>
      <c r="T345" s="45"/>
      <c r="U345" s="45"/>
      <c r="V345" s="45"/>
      <c r="W345" s="45"/>
      <c r="X345" s="45"/>
      <c r="Y345" s="45"/>
      <c r="Z345" s="45"/>
    </row>
    <row r="346">
      <c r="A346" s="52"/>
      <c r="B346" s="53"/>
      <c r="C346" s="53"/>
      <c r="D346" s="53"/>
      <c r="E346" s="45"/>
      <c r="F346" s="45"/>
      <c r="G346" s="45"/>
      <c r="H346" s="45"/>
      <c r="I346" s="45"/>
      <c r="J346" s="45"/>
      <c r="K346" s="45"/>
      <c r="L346" s="45"/>
      <c r="M346" s="45"/>
      <c r="N346" s="45"/>
      <c r="O346" s="45"/>
      <c r="P346" s="45"/>
      <c r="Q346" s="45"/>
      <c r="R346" s="45"/>
      <c r="S346" s="45"/>
      <c r="T346" s="45"/>
      <c r="U346" s="45"/>
      <c r="V346" s="45"/>
      <c r="W346" s="45"/>
      <c r="X346" s="45"/>
      <c r="Y346" s="45"/>
      <c r="Z346" s="45"/>
    </row>
    <row r="347">
      <c r="A347" s="52"/>
      <c r="B347" s="53"/>
      <c r="C347" s="53"/>
      <c r="D347" s="53"/>
      <c r="E347" s="45"/>
      <c r="F347" s="45"/>
      <c r="G347" s="45"/>
      <c r="H347" s="45"/>
      <c r="I347" s="45"/>
      <c r="J347" s="45"/>
      <c r="K347" s="45"/>
      <c r="L347" s="45"/>
      <c r="M347" s="45"/>
      <c r="N347" s="45"/>
      <c r="O347" s="45"/>
      <c r="P347" s="45"/>
      <c r="Q347" s="45"/>
      <c r="R347" s="45"/>
      <c r="S347" s="45"/>
      <c r="T347" s="45"/>
      <c r="U347" s="45"/>
      <c r="V347" s="45"/>
      <c r="W347" s="45"/>
      <c r="X347" s="45"/>
      <c r="Y347" s="45"/>
      <c r="Z347" s="45"/>
    </row>
    <row r="348">
      <c r="A348" s="52"/>
      <c r="B348" s="53"/>
      <c r="C348" s="53"/>
      <c r="D348" s="53"/>
      <c r="E348" s="45"/>
      <c r="F348" s="45"/>
      <c r="G348" s="45"/>
      <c r="H348" s="45"/>
      <c r="I348" s="45"/>
      <c r="J348" s="45"/>
      <c r="K348" s="45"/>
      <c r="L348" s="45"/>
      <c r="M348" s="45"/>
      <c r="N348" s="45"/>
      <c r="O348" s="45"/>
      <c r="P348" s="45"/>
      <c r="Q348" s="45"/>
      <c r="R348" s="45"/>
      <c r="S348" s="45"/>
      <c r="T348" s="45"/>
      <c r="U348" s="45"/>
      <c r="V348" s="45"/>
      <c r="W348" s="45"/>
      <c r="X348" s="45"/>
      <c r="Y348" s="45"/>
      <c r="Z348" s="45"/>
    </row>
    <row r="349">
      <c r="A349" s="52"/>
      <c r="B349" s="53"/>
      <c r="C349" s="53"/>
      <c r="D349" s="53"/>
      <c r="E349" s="45"/>
      <c r="F349" s="45"/>
      <c r="G349" s="45"/>
      <c r="H349" s="45"/>
      <c r="I349" s="45"/>
      <c r="J349" s="45"/>
      <c r="K349" s="45"/>
      <c r="L349" s="45"/>
      <c r="M349" s="45"/>
      <c r="N349" s="45"/>
      <c r="O349" s="45"/>
      <c r="P349" s="45"/>
      <c r="Q349" s="45"/>
      <c r="R349" s="45"/>
      <c r="S349" s="45"/>
      <c r="T349" s="45"/>
      <c r="U349" s="45"/>
      <c r="V349" s="45"/>
      <c r="W349" s="45"/>
      <c r="X349" s="45"/>
      <c r="Y349" s="45"/>
      <c r="Z349" s="45"/>
    </row>
    <row r="350">
      <c r="A350" s="52"/>
      <c r="B350" s="53"/>
      <c r="C350" s="53"/>
      <c r="D350" s="53"/>
      <c r="E350" s="45"/>
      <c r="F350" s="45"/>
      <c r="G350" s="45"/>
      <c r="H350" s="45"/>
      <c r="I350" s="45"/>
      <c r="J350" s="45"/>
      <c r="K350" s="45"/>
      <c r="L350" s="45"/>
      <c r="M350" s="45"/>
      <c r="N350" s="45"/>
      <c r="O350" s="45"/>
      <c r="P350" s="45"/>
      <c r="Q350" s="45"/>
      <c r="R350" s="45"/>
      <c r="S350" s="45"/>
      <c r="T350" s="45"/>
      <c r="U350" s="45"/>
      <c r="V350" s="45"/>
      <c r="W350" s="45"/>
      <c r="X350" s="45"/>
      <c r="Y350" s="45"/>
      <c r="Z350" s="45"/>
    </row>
    <row r="351">
      <c r="A351" s="52"/>
      <c r="B351" s="53"/>
      <c r="C351" s="53"/>
      <c r="D351" s="53"/>
      <c r="E351" s="45"/>
      <c r="F351" s="45"/>
      <c r="G351" s="45"/>
      <c r="H351" s="45"/>
      <c r="I351" s="45"/>
      <c r="J351" s="45"/>
      <c r="K351" s="45"/>
      <c r="L351" s="45"/>
      <c r="M351" s="45"/>
      <c r="N351" s="45"/>
      <c r="O351" s="45"/>
      <c r="P351" s="45"/>
      <c r="Q351" s="45"/>
      <c r="R351" s="45"/>
      <c r="S351" s="45"/>
      <c r="T351" s="45"/>
      <c r="U351" s="45"/>
      <c r="V351" s="45"/>
      <c r="W351" s="45"/>
      <c r="X351" s="45"/>
      <c r="Y351" s="45"/>
      <c r="Z351" s="45"/>
    </row>
    <row r="352">
      <c r="A352" s="52"/>
      <c r="B352" s="53"/>
      <c r="C352" s="53"/>
      <c r="D352" s="53"/>
      <c r="E352" s="45"/>
      <c r="F352" s="45"/>
      <c r="G352" s="45"/>
      <c r="H352" s="45"/>
      <c r="I352" s="45"/>
      <c r="J352" s="45"/>
      <c r="K352" s="45"/>
      <c r="L352" s="45"/>
      <c r="M352" s="45"/>
      <c r="N352" s="45"/>
      <c r="O352" s="45"/>
      <c r="P352" s="45"/>
      <c r="Q352" s="45"/>
      <c r="R352" s="45"/>
      <c r="S352" s="45"/>
      <c r="T352" s="45"/>
      <c r="U352" s="45"/>
      <c r="V352" s="45"/>
      <c r="W352" s="45"/>
      <c r="X352" s="45"/>
      <c r="Y352" s="45"/>
      <c r="Z352" s="45"/>
    </row>
    <row r="353">
      <c r="A353" s="52"/>
      <c r="B353" s="53"/>
      <c r="C353" s="53"/>
      <c r="D353" s="53"/>
      <c r="E353" s="45"/>
      <c r="F353" s="45"/>
      <c r="G353" s="45"/>
      <c r="H353" s="45"/>
      <c r="I353" s="45"/>
      <c r="J353" s="45"/>
      <c r="K353" s="45"/>
      <c r="L353" s="45"/>
      <c r="M353" s="45"/>
      <c r="N353" s="45"/>
      <c r="O353" s="45"/>
      <c r="P353" s="45"/>
      <c r="Q353" s="45"/>
      <c r="R353" s="45"/>
      <c r="S353" s="45"/>
      <c r="T353" s="45"/>
      <c r="U353" s="45"/>
      <c r="V353" s="45"/>
      <c r="W353" s="45"/>
      <c r="X353" s="45"/>
      <c r="Y353" s="45"/>
      <c r="Z353" s="45"/>
    </row>
    <row r="354">
      <c r="A354" s="52"/>
      <c r="B354" s="53"/>
      <c r="C354" s="53"/>
      <c r="D354" s="53"/>
      <c r="E354" s="45"/>
      <c r="F354" s="45"/>
      <c r="G354" s="45"/>
      <c r="H354" s="45"/>
      <c r="I354" s="45"/>
      <c r="J354" s="45"/>
      <c r="K354" s="45"/>
      <c r="L354" s="45"/>
      <c r="M354" s="45"/>
      <c r="N354" s="45"/>
      <c r="O354" s="45"/>
      <c r="P354" s="45"/>
      <c r="Q354" s="45"/>
      <c r="R354" s="45"/>
      <c r="S354" s="45"/>
      <c r="T354" s="45"/>
      <c r="U354" s="45"/>
      <c r="V354" s="45"/>
      <c r="W354" s="45"/>
      <c r="X354" s="45"/>
      <c r="Y354" s="45"/>
      <c r="Z354" s="45"/>
    </row>
    <row r="355">
      <c r="A355" s="52"/>
      <c r="B355" s="53"/>
      <c r="C355" s="53"/>
      <c r="D355" s="53"/>
      <c r="E355" s="45"/>
      <c r="F355" s="45"/>
      <c r="G355" s="45"/>
      <c r="H355" s="45"/>
      <c r="I355" s="45"/>
      <c r="J355" s="45"/>
      <c r="K355" s="45"/>
      <c r="L355" s="45"/>
      <c r="M355" s="45"/>
      <c r="N355" s="45"/>
      <c r="O355" s="45"/>
      <c r="P355" s="45"/>
      <c r="Q355" s="45"/>
      <c r="R355" s="45"/>
      <c r="S355" s="45"/>
      <c r="T355" s="45"/>
      <c r="U355" s="45"/>
      <c r="V355" s="45"/>
      <c r="W355" s="45"/>
      <c r="X355" s="45"/>
      <c r="Y355" s="45"/>
      <c r="Z355" s="45"/>
    </row>
    <row r="356">
      <c r="A356" s="52"/>
      <c r="B356" s="53"/>
      <c r="C356" s="53"/>
      <c r="D356" s="53"/>
      <c r="E356" s="45"/>
      <c r="F356" s="45"/>
      <c r="G356" s="45"/>
      <c r="H356" s="45"/>
      <c r="I356" s="45"/>
      <c r="J356" s="45"/>
      <c r="K356" s="45"/>
      <c r="L356" s="45"/>
      <c r="M356" s="45"/>
      <c r="N356" s="45"/>
      <c r="O356" s="45"/>
      <c r="P356" s="45"/>
      <c r="Q356" s="45"/>
      <c r="R356" s="45"/>
      <c r="S356" s="45"/>
      <c r="T356" s="45"/>
      <c r="U356" s="45"/>
      <c r="V356" s="45"/>
      <c r="W356" s="45"/>
      <c r="X356" s="45"/>
      <c r="Y356" s="45"/>
      <c r="Z356" s="45"/>
    </row>
    <row r="357">
      <c r="A357" s="52"/>
      <c r="B357" s="53"/>
      <c r="C357" s="53"/>
      <c r="D357" s="53"/>
      <c r="E357" s="45"/>
      <c r="F357" s="45"/>
      <c r="G357" s="45"/>
      <c r="H357" s="45"/>
      <c r="I357" s="45"/>
      <c r="J357" s="45"/>
      <c r="K357" s="45"/>
      <c r="L357" s="45"/>
      <c r="M357" s="45"/>
      <c r="N357" s="45"/>
      <c r="O357" s="45"/>
      <c r="P357" s="45"/>
      <c r="Q357" s="45"/>
      <c r="R357" s="45"/>
      <c r="S357" s="45"/>
      <c r="T357" s="45"/>
      <c r="U357" s="45"/>
      <c r="V357" s="45"/>
      <c r="W357" s="45"/>
      <c r="X357" s="45"/>
      <c r="Y357" s="45"/>
      <c r="Z357" s="45"/>
    </row>
    <row r="358">
      <c r="A358" s="52"/>
      <c r="B358" s="53"/>
      <c r="C358" s="53"/>
      <c r="D358" s="53"/>
      <c r="E358" s="45"/>
      <c r="F358" s="45"/>
      <c r="G358" s="45"/>
      <c r="H358" s="45"/>
      <c r="I358" s="45"/>
      <c r="J358" s="45"/>
      <c r="K358" s="45"/>
      <c r="L358" s="45"/>
      <c r="M358" s="45"/>
      <c r="N358" s="45"/>
      <c r="O358" s="45"/>
      <c r="P358" s="45"/>
      <c r="Q358" s="45"/>
      <c r="R358" s="45"/>
      <c r="S358" s="45"/>
      <c r="T358" s="45"/>
      <c r="U358" s="45"/>
      <c r="V358" s="45"/>
      <c r="W358" s="45"/>
      <c r="X358" s="45"/>
      <c r="Y358" s="45"/>
      <c r="Z358" s="45"/>
    </row>
    <row r="359">
      <c r="A359" s="52"/>
      <c r="B359" s="53"/>
      <c r="C359" s="53"/>
      <c r="D359" s="53"/>
      <c r="E359" s="45"/>
      <c r="F359" s="45"/>
      <c r="G359" s="45"/>
      <c r="H359" s="45"/>
      <c r="I359" s="45"/>
      <c r="J359" s="45"/>
      <c r="K359" s="45"/>
      <c r="L359" s="45"/>
      <c r="M359" s="45"/>
      <c r="N359" s="45"/>
      <c r="O359" s="45"/>
      <c r="P359" s="45"/>
      <c r="Q359" s="45"/>
      <c r="R359" s="45"/>
      <c r="S359" s="45"/>
      <c r="T359" s="45"/>
      <c r="U359" s="45"/>
      <c r="V359" s="45"/>
      <c r="W359" s="45"/>
      <c r="X359" s="45"/>
      <c r="Y359" s="45"/>
      <c r="Z359" s="45"/>
    </row>
    <row r="360">
      <c r="A360" s="52"/>
      <c r="B360" s="53"/>
      <c r="C360" s="53"/>
      <c r="D360" s="53"/>
      <c r="E360" s="45"/>
      <c r="F360" s="45"/>
      <c r="G360" s="45"/>
      <c r="H360" s="45"/>
      <c r="I360" s="45"/>
      <c r="J360" s="45"/>
      <c r="K360" s="45"/>
      <c r="L360" s="45"/>
      <c r="M360" s="45"/>
      <c r="N360" s="45"/>
      <c r="O360" s="45"/>
      <c r="P360" s="45"/>
      <c r="Q360" s="45"/>
      <c r="R360" s="45"/>
      <c r="S360" s="45"/>
      <c r="T360" s="45"/>
      <c r="U360" s="45"/>
      <c r="V360" s="45"/>
      <c r="W360" s="45"/>
      <c r="X360" s="45"/>
      <c r="Y360" s="45"/>
      <c r="Z360" s="45"/>
    </row>
    <row r="361">
      <c r="A361" s="52"/>
      <c r="B361" s="53"/>
      <c r="C361" s="53"/>
      <c r="D361" s="53"/>
      <c r="E361" s="45"/>
      <c r="F361" s="45"/>
      <c r="G361" s="45"/>
      <c r="H361" s="45"/>
      <c r="I361" s="45"/>
      <c r="J361" s="45"/>
      <c r="K361" s="45"/>
      <c r="L361" s="45"/>
      <c r="M361" s="45"/>
      <c r="N361" s="45"/>
      <c r="O361" s="45"/>
      <c r="P361" s="45"/>
      <c r="Q361" s="45"/>
      <c r="R361" s="45"/>
      <c r="S361" s="45"/>
      <c r="T361" s="45"/>
      <c r="U361" s="45"/>
      <c r="V361" s="45"/>
      <c r="W361" s="45"/>
      <c r="X361" s="45"/>
      <c r="Y361" s="45"/>
      <c r="Z361" s="45"/>
    </row>
    <row r="362">
      <c r="A362" s="52"/>
      <c r="B362" s="53"/>
      <c r="C362" s="53"/>
      <c r="D362" s="53"/>
      <c r="E362" s="45"/>
      <c r="F362" s="45"/>
      <c r="G362" s="45"/>
      <c r="H362" s="45"/>
      <c r="I362" s="45"/>
      <c r="J362" s="45"/>
      <c r="K362" s="45"/>
      <c r="L362" s="45"/>
      <c r="M362" s="45"/>
      <c r="N362" s="45"/>
      <c r="O362" s="45"/>
      <c r="P362" s="45"/>
      <c r="Q362" s="45"/>
      <c r="R362" s="45"/>
      <c r="S362" s="45"/>
      <c r="T362" s="45"/>
      <c r="U362" s="45"/>
      <c r="V362" s="45"/>
      <c r="W362" s="45"/>
      <c r="X362" s="45"/>
      <c r="Y362" s="45"/>
      <c r="Z362" s="45"/>
    </row>
    <row r="363">
      <c r="A363" s="52"/>
      <c r="B363" s="53"/>
      <c r="C363" s="53"/>
      <c r="D363" s="53"/>
      <c r="E363" s="45"/>
      <c r="F363" s="45"/>
      <c r="G363" s="45"/>
      <c r="H363" s="45"/>
      <c r="I363" s="45"/>
      <c r="J363" s="45"/>
      <c r="K363" s="45"/>
      <c r="L363" s="45"/>
      <c r="M363" s="45"/>
      <c r="N363" s="45"/>
      <c r="O363" s="45"/>
      <c r="P363" s="45"/>
      <c r="Q363" s="45"/>
      <c r="R363" s="45"/>
      <c r="S363" s="45"/>
      <c r="T363" s="45"/>
      <c r="U363" s="45"/>
      <c r="V363" s="45"/>
      <c r="W363" s="45"/>
      <c r="X363" s="45"/>
      <c r="Y363" s="45"/>
      <c r="Z363" s="45"/>
    </row>
    <row r="364">
      <c r="A364" s="52"/>
      <c r="B364" s="53"/>
      <c r="C364" s="53"/>
      <c r="D364" s="53"/>
      <c r="E364" s="45"/>
      <c r="F364" s="45"/>
      <c r="G364" s="45"/>
      <c r="H364" s="45"/>
      <c r="I364" s="45"/>
      <c r="J364" s="45"/>
      <c r="K364" s="45"/>
      <c r="L364" s="45"/>
      <c r="M364" s="45"/>
      <c r="N364" s="45"/>
      <c r="O364" s="45"/>
      <c r="P364" s="45"/>
      <c r="Q364" s="45"/>
      <c r="R364" s="45"/>
      <c r="S364" s="45"/>
      <c r="T364" s="45"/>
      <c r="U364" s="45"/>
      <c r="V364" s="45"/>
      <c r="W364" s="45"/>
      <c r="X364" s="45"/>
      <c r="Y364" s="45"/>
      <c r="Z364" s="45"/>
    </row>
    <row r="365">
      <c r="A365" s="52"/>
      <c r="B365" s="53"/>
      <c r="C365" s="53"/>
      <c r="D365" s="53"/>
      <c r="E365" s="45"/>
      <c r="F365" s="45"/>
      <c r="G365" s="45"/>
      <c r="H365" s="45"/>
      <c r="I365" s="45"/>
      <c r="J365" s="45"/>
      <c r="K365" s="45"/>
      <c r="L365" s="45"/>
      <c r="M365" s="45"/>
      <c r="N365" s="45"/>
      <c r="O365" s="45"/>
      <c r="P365" s="45"/>
      <c r="Q365" s="45"/>
      <c r="R365" s="45"/>
      <c r="S365" s="45"/>
      <c r="T365" s="45"/>
      <c r="U365" s="45"/>
      <c r="V365" s="45"/>
      <c r="W365" s="45"/>
      <c r="X365" s="45"/>
      <c r="Y365" s="45"/>
      <c r="Z365" s="45"/>
    </row>
    <row r="366">
      <c r="A366" s="52"/>
      <c r="B366" s="53"/>
      <c r="C366" s="53"/>
      <c r="D366" s="53"/>
      <c r="E366" s="45"/>
      <c r="F366" s="45"/>
      <c r="G366" s="45"/>
      <c r="H366" s="45"/>
      <c r="I366" s="45"/>
      <c r="J366" s="45"/>
      <c r="K366" s="45"/>
      <c r="L366" s="45"/>
      <c r="M366" s="45"/>
      <c r="N366" s="45"/>
      <c r="O366" s="45"/>
      <c r="P366" s="45"/>
      <c r="Q366" s="45"/>
      <c r="R366" s="45"/>
      <c r="S366" s="45"/>
      <c r="T366" s="45"/>
      <c r="U366" s="45"/>
      <c r="V366" s="45"/>
      <c r="W366" s="45"/>
      <c r="X366" s="45"/>
      <c r="Y366" s="45"/>
      <c r="Z366" s="45"/>
    </row>
    <row r="367">
      <c r="A367" s="52"/>
      <c r="B367" s="53"/>
      <c r="C367" s="53"/>
      <c r="D367" s="53"/>
      <c r="E367" s="45"/>
      <c r="F367" s="45"/>
      <c r="G367" s="45"/>
      <c r="H367" s="45"/>
      <c r="I367" s="45"/>
      <c r="J367" s="45"/>
      <c r="K367" s="45"/>
      <c r="L367" s="45"/>
      <c r="M367" s="45"/>
      <c r="N367" s="45"/>
      <c r="O367" s="45"/>
      <c r="P367" s="45"/>
      <c r="Q367" s="45"/>
      <c r="R367" s="45"/>
      <c r="S367" s="45"/>
      <c r="T367" s="45"/>
      <c r="U367" s="45"/>
      <c r="V367" s="45"/>
      <c r="W367" s="45"/>
      <c r="X367" s="45"/>
      <c r="Y367" s="45"/>
      <c r="Z367" s="45"/>
    </row>
    <row r="368">
      <c r="A368" s="52"/>
      <c r="B368" s="53"/>
      <c r="C368" s="53"/>
      <c r="D368" s="53"/>
      <c r="E368" s="45"/>
      <c r="F368" s="45"/>
      <c r="G368" s="45"/>
      <c r="H368" s="45"/>
      <c r="I368" s="45"/>
      <c r="J368" s="45"/>
      <c r="K368" s="45"/>
      <c r="L368" s="45"/>
      <c r="M368" s="45"/>
      <c r="N368" s="45"/>
      <c r="O368" s="45"/>
      <c r="P368" s="45"/>
      <c r="Q368" s="45"/>
      <c r="R368" s="45"/>
      <c r="S368" s="45"/>
      <c r="T368" s="45"/>
      <c r="U368" s="45"/>
      <c r="V368" s="45"/>
      <c r="W368" s="45"/>
      <c r="X368" s="45"/>
      <c r="Y368" s="45"/>
      <c r="Z368" s="45"/>
    </row>
    <row r="369">
      <c r="A369" s="52"/>
      <c r="B369" s="53"/>
      <c r="C369" s="53"/>
      <c r="D369" s="53"/>
      <c r="E369" s="45"/>
      <c r="F369" s="45"/>
      <c r="G369" s="45"/>
      <c r="H369" s="45"/>
      <c r="I369" s="45"/>
      <c r="J369" s="45"/>
      <c r="K369" s="45"/>
      <c r="L369" s="45"/>
      <c r="M369" s="45"/>
      <c r="N369" s="45"/>
      <c r="O369" s="45"/>
      <c r="P369" s="45"/>
      <c r="Q369" s="45"/>
      <c r="R369" s="45"/>
      <c r="S369" s="45"/>
      <c r="T369" s="45"/>
      <c r="U369" s="45"/>
      <c r="V369" s="45"/>
      <c r="W369" s="45"/>
      <c r="X369" s="45"/>
      <c r="Y369" s="45"/>
      <c r="Z369" s="45"/>
    </row>
    <row r="370">
      <c r="A370" s="52"/>
      <c r="B370" s="53"/>
      <c r="C370" s="53"/>
      <c r="D370" s="53"/>
      <c r="E370" s="45"/>
      <c r="F370" s="45"/>
      <c r="G370" s="45"/>
      <c r="H370" s="45"/>
      <c r="I370" s="45"/>
      <c r="J370" s="45"/>
      <c r="K370" s="45"/>
      <c r="L370" s="45"/>
      <c r="M370" s="45"/>
      <c r="N370" s="45"/>
      <c r="O370" s="45"/>
      <c r="P370" s="45"/>
      <c r="Q370" s="45"/>
      <c r="R370" s="45"/>
      <c r="S370" s="45"/>
      <c r="T370" s="45"/>
      <c r="U370" s="45"/>
      <c r="V370" s="45"/>
      <c r="W370" s="45"/>
      <c r="X370" s="45"/>
      <c r="Y370" s="45"/>
      <c r="Z370" s="45"/>
    </row>
    <row r="371">
      <c r="A371" s="52"/>
      <c r="B371" s="53"/>
      <c r="C371" s="53"/>
      <c r="D371" s="53"/>
      <c r="E371" s="45"/>
      <c r="F371" s="45"/>
      <c r="G371" s="45"/>
      <c r="H371" s="45"/>
      <c r="I371" s="45"/>
      <c r="J371" s="45"/>
      <c r="K371" s="45"/>
      <c r="L371" s="45"/>
      <c r="M371" s="45"/>
      <c r="N371" s="45"/>
      <c r="O371" s="45"/>
      <c r="P371" s="45"/>
      <c r="Q371" s="45"/>
      <c r="R371" s="45"/>
      <c r="S371" s="45"/>
      <c r="T371" s="45"/>
      <c r="U371" s="45"/>
      <c r="V371" s="45"/>
      <c r="W371" s="45"/>
      <c r="X371" s="45"/>
      <c r="Y371" s="45"/>
      <c r="Z371" s="45"/>
    </row>
    <row r="372">
      <c r="A372" s="52"/>
      <c r="B372" s="53"/>
      <c r="C372" s="53"/>
      <c r="D372" s="53"/>
      <c r="E372" s="45"/>
      <c r="F372" s="45"/>
      <c r="G372" s="45"/>
      <c r="H372" s="45"/>
      <c r="I372" s="45"/>
      <c r="J372" s="45"/>
      <c r="K372" s="45"/>
      <c r="L372" s="45"/>
      <c r="M372" s="45"/>
      <c r="N372" s="45"/>
      <c r="O372" s="45"/>
      <c r="P372" s="45"/>
      <c r="Q372" s="45"/>
      <c r="R372" s="45"/>
      <c r="S372" s="45"/>
      <c r="T372" s="45"/>
      <c r="U372" s="45"/>
      <c r="V372" s="45"/>
      <c r="W372" s="45"/>
      <c r="X372" s="45"/>
      <c r="Y372" s="45"/>
      <c r="Z372" s="45"/>
    </row>
    <row r="373">
      <c r="A373" s="52"/>
      <c r="B373" s="53"/>
      <c r="C373" s="53"/>
      <c r="D373" s="53"/>
      <c r="E373" s="45"/>
      <c r="F373" s="45"/>
      <c r="G373" s="45"/>
      <c r="H373" s="45"/>
      <c r="I373" s="45"/>
      <c r="J373" s="45"/>
      <c r="K373" s="45"/>
      <c r="L373" s="45"/>
      <c r="M373" s="45"/>
      <c r="N373" s="45"/>
      <c r="O373" s="45"/>
      <c r="P373" s="45"/>
      <c r="Q373" s="45"/>
      <c r="R373" s="45"/>
      <c r="S373" s="45"/>
      <c r="T373" s="45"/>
      <c r="U373" s="45"/>
      <c r="V373" s="45"/>
      <c r="W373" s="45"/>
      <c r="X373" s="45"/>
      <c r="Y373" s="45"/>
      <c r="Z373" s="45"/>
    </row>
    <row r="374">
      <c r="A374" s="52"/>
      <c r="B374" s="53"/>
      <c r="C374" s="53"/>
      <c r="D374" s="53"/>
      <c r="E374" s="45"/>
      <c r="F374" s="45"/>
      <c r="G374" s="45"/>
      <c r="H374" s="45"/>
      <c r="I374" s="45"/>
      <c r="J374" s="45"/>
      <c r="K374" s="45"/>
      <c r="L374" s="45"/>
      <c r="M374" s="45"/>
      <c r="N374" s="45"/>
      <c r="O374" s="45"/>
      <c r="P374" s="45"/>
      <c r="Q374" s="45"/>
      <c r="R374" s="45"/>
      <c r="S374" s="45"/>
      <c r="T374" s="45"/>
      <c r="U374" s="45"/>
      <c r="V374" s="45"/>
      <c r="W374" s="45"/>
      <c r="X374" s="45"/>
      <c r="Y374" s="45"/>
      <c r="Z374" s="45"/>
    </row>
    <row r="375">
      <c r="A375" s="52"/>
      <c r="B375" s="53"/>
      <c r="C375" s="53"/>
      <c r="D375" s="53"/>
      <c r="E375" s="45"/>
      <c r="F375" s="45"/>
      <c r="G375" s="45"/>
      <c r="H375" s="45"/>
      <c r="I375" s="45"/>
      <c r="J375" s="45"/>
      <c r="K375" s="45"/>
      <c r="L375" s="45"/>
      <c r="M375" s="45"/>
      <c r="N375" s="45"/>
      <c r="O375" s="45"/>
      <c r="P375" s="45"/>
      <c r="Q375" s="45"/>
      <c r="R375" s="45"/>
      <c r="S375" s="45"/>
      <c r="T375" s="45"/>
      <c r="U375" s="45"/>
      <c r="V375" s="45"/>
      <c r="W375" s="45"/>
      <c r="X375" s="45"/>
      <c r="Y375" s="45"/>
      <c r="Z375" s="45"/>
    </row>
    <row r="376">
      <c r="A376" s="52"/>
      <c r="B376" s="53"/>
      <c r="C376" s="53"/>
      <c r="D376" s="53"/>
      <c r="E376" s="45"/>
      <c r="F376" s="45"/>
      <c r="G376" s="45"/>
      <c r="H376" s="45"/>
      <c r="I376" s="45"/>
      <c r="J376" s="45"/>
      <c r="K376" s="45"/>
      <c r="L376" s="45"/>
      <c r="M376" s="45"/>
      <c r="N376" s="45"/>
      <c r="O376" s="45"/>
      <c r="P376" s="45"/>
      <c r="Q376" s="45"/>
      <c r="R376" s="45"/>
      <c r="S376" s="45"/>
      <c r="T376" s="45"/>
      <c r="U376" s="45"/>
      <c r="V376" s="45"/>
      <c r="W376" s="45"/>
      <c r="X376" s="45"/>
      <c r="Y376" s="45"/>
      <c r="Z376" s="45"/>
    </row>
    <row r="377">
      <c r="A377" s="52"/>
      <c r="B377" s="53"/>
      <c r="C377" s="53"/>
      <c r="D377" s="53"/>
      <c r="E377" s="45"/>
      <c r="F377" s="45"/>
      <c r="G377" s="45"/>
      <c r="H377" s="45"/>
      <c r="I377" s="45"/>
      <c r="J377" s="45"/>
      <c r="K377" s="45"/>
      <c r="L377" s="45"/>
      <c r="M377" s="45"/>
      <c r="N377" s="45"/>
      <c r="O377" s="45"/>
      <c r="P377" s="45"/>
      <c r="Q377" s="45"/>
      <c r="R377" s="45"/>
      <c r="S377" s="45"/>
      <c r="T377" s="45"/>
      <c r="U377" s="45"/>
      <c r="V377" s="45"/>
      <c r="W377" s="45"/>
      <c r="X377" s="45"/>
      <c r="Y377" s="45"/>
      <c r="Z377" s="45"/>
    </row>
    <row r="378">
      <c r="A378" s="52"/>
      <c r="B378" s="53"/>
      <c r="C378" s="53"/>
      <c r="D378" s="53"/>
      <c r="E378" s="45"/>
      <c r="F378" s="45"/>
      <c r="G378" s="45"/>
      <c r="H378" s="45"/>
      <c r="I378" s="45"/>
      <c r="J378" s="45"/>
      <c r="K378" s="45"/>
      <c r="L378" s="45"/>
      <c r="M378" s="45"/>
      <c r="N378" s="45"/>
      <c r="O378" s="45"/>
      <c r="P378" s="45"/>
      <c r="Q378" s="45"/>
      <c r="R378" s="45"/>
      <c r="S378" s="45"/>
      <c r="T378" s="45"/>
      <c r="U378" s="45"/>
      <c r="V378" s="45"/>
      <c r="W378" s="45"/>
      <c r="X378" s="45"/>
      <c r="Y378" s="45"/>
      <c r="Z378" s="45"/>
    </row>
    <row r="379">
      <c r="A379" s="52"/>
      <c r="B379" s="53"/>
      <c r="C379" s="53"/>
      <c r="D379" s="53"/>
      <c r="E379" s="45"/>
      <c r="F379" s="45"/>
      <c r="G379" s="45"/>
      <c r="H379" s="45"/>
      <c r="I379" s="45"/>
      <c r="J379" s="45"/>
      <c r="K379" s="45"/>
      <c r="L379" s="45"/>
      <c r="M379" s="45"/>
      <c r="N379" s="45"/>
      <c r="O379" s="45"/>
      <c r="P379" s="45"/>
      <c r="Q379" s="45"/>
      <c r="R379" s="45"/>
      <c r="S379" s="45"/>
      <c r="T379" s="45"/>
      <c r="U379" s="45"/>
      <c r="V379" s="45"/>
      <c r="W379" s="45"/>
      <c r="X379" s="45"/>
      <c r="Y379" s="45"/>
      <c r="Z379" s="45"/>
    </row>
    <row r="380">
      <c r="A380" s="52"/>
      <c r="B380" s="53"/>
      <c r="C380" s="53"/>
      <c r="D380" s="53"/>
      <c r="E380" s="45"/>
      <c r="F380" s="45"/>
      <c r="G380" s="45"/>
      <c r="H380" s="45"/>
      <c r="I380" s="45"/>
      <c r="J380" s="45"/>
      <c r="K380" s="45"/>
      <c r="L380" s="45"/>
      <c r="M380" s="45"/>
      <c r="N380" s="45"/>
      <c r="O380" s="45"/>
      <c r="P380" s="45"/>
      <c r="Q380" s="45"/>
      <c r="R380" s="45"/>
      <c r="S380" s="45"/>
      <c r="T380" s="45"/>
      <c r="U380" s="45"/>
      <c r="V380" s="45"/>
      <c r="W380" s="45"/>
      <c r="X380" s="45"/>
      <c r="Y380" s="45"/>
      <c r="Z380" s="45"/>
    </row>
    <row r="381">
      <c r="A381" s="52"/>
      <c r="B381" s="53"/>
      <c r="C381" s="53"/>
      <c r="D381" s="53"/>
      <c r="E381" s="45"/>
      <c r="F381" s="45"/>
      <c r="G381" s="45"/>
      <c r="H381" s="45"/>
      <c r="I381" s="45"/>
      <c r="J381" s="45"/>
      <c r="K381" s="45"/>
      <c r="L381" s="45"/>
      <c r="M381" s="45"/>
      <c r="N381" s="45"/>
      <c r="O381" s="45"/>
      <c r="P381" s="45"/>
      <c r="Q381" s="45"/>
      <c r="R381" s="45"/>
      <c r="S381" s="45"/>
      <c r="T381" s="45"/>
      <c r="U381" s="45"/>
      <c r="V381" s="45"/>
      <c r="W381" s="45"/>
      <c r="X381" s="45"/>
      <c r="Y381" s="45"/>
      <c r="Z381" s="45"/>
    </row>
    <row r="382">
      <c r="A382" s="52"/>
      <c r="B382" s="53"/>
      <c r="C382" s="53"/>
      <c r="D382" s="53"/>
      <c r="E382" s="45"/>
      <c r="F382" s="45"/>
      <c r="G382" s="45"/>
      <c r="H382" s="45"/>
      <c r="I382" s="45"/>
      <c r="J382" s="45"/>
      <c r="K382" s="45"/>
      <c r="L382" s="45"/>
      <c r="M382" s="45"/>
      <c r="N382" s="45"/>
      <c r="O382" s="45"/>
      <c r="P382" s="45"/>
      <c r="Q382" s="45"/>
      <c r="R382" s="45"/>
      <c r="S382" s="45"/>
      <c r="T382" s="45"/>
      <c r="U382" s="45"/>
      <c r="V382" s="45"/>
      <c r="W382" s="45"/>
      <c r="X382" s="45"/>
      <c r="Y382" s="45"/>
      <c r="Z382" s="45"/>
    </row>
    <row r="383">
      <c r="A383" s="52"/>
      <c r="B383" s="53"/>
      <c r="C383" s="53"/>
      <c r="D383" s="53"/>
      <c r="E383" s="45"/>
      <c r="F383" s="45"/>
      <c r="G383" s="45"/>
      <c r="H383" s="45"/>
      <c r="I383" s="45"/>
      <c r="J383" s="45"/>
      <c r="K383" s="45"/>
      <c r="L383" s="45"/>
      <c r="M383" s="45"/>
      <c r="N383" s="45"/>
      <c r="O383" s="45"/>
      <c r="P383" s="45"/>
      <c r="Q383" s="45"/>
      <c r="R383" s="45"/>
      <c r="S383" s="45"/>
      <c r="T383" s="45"/>
      <c r="U383" s="45"/>
      <c r="V383" s="45"/>
      <c r="W383" s="45"/>
      <c r="X383" s="45"/>
      <c r="Y383" s="45"/>
      <c r="Z383" s="45"/>
    </row>
    <row r="384">
      <c r="A384" s="52"/>
      <c r="B384" s="53"/>
      <c r="C384" s="53"/>
      <c r="D384" s="53"/>
      <c r="E384" s="45"/>
      <c r="F384" s="45"/>
      <c r="G384" s="45"/>
      <c r="H384" s="45"/>
      <c r="I384" s="45"/>
      <c r="J384" s="45"/>
      <c r="K384" s="45"/>
      <c r="L384" s="45"/>
      <c r="M384" s="45"/>
      <c r="N384" s="45"/>
      <c r="O384" s="45"/>
      <c r="P384" s="45"/>
      <c r="Q384" s="45"/>
      <c r="R384" s="45"/>
      <c r="S384" s="45"/>
      <c r="T384" s="45"/>
      <c r="U384" s="45"/>
      <c r="V384" s="45"/>
      <c r="W384" s="45"/>
      <c r="X384" s="45"/>
      <c r="Y384" s="45"/>
      <c r="Z384" s="45"/>
    </row>
    <row r="385">
      <c r="A385" s="52"/>
      <c r="B385" s="53"/>
      <c r="C385" s="53"/>
      <c r="D385" s="53"/>
      <c r="E385" s="45"/>
      <c r="F385" s="45"/>
      <c r="G385" s="45"/>
      <c r="H385" s="45"/>
      <c r="I385" s="45"/>
      <c r="J385" s="45"/>
      <c r="K385" s="45"/>
      <c r="L385" s="45"/>
      <c r="M385" s="45"/>
      <c r="N385" s="45"/>
      <c r="O385" s="45"/>
      <c r="P385" s="45"/>
      <c r="Q385" s="45"/>
      <c r="R385" s="45"/>
      <c r="S385" s="45"/>
      <c r="T385" s="45"/>
      <c r="U385" s="45"/>
      <c r="V385" s="45"/>
      <c r="W385" s="45"/>
      <c r="X385" s="45"/>
      <c r="Y385" s="45"/>
      <c r="Z385" s="45"/>
    </row>
    <row r="386">
      <c r="A386" s="52"/>
      <c r="B386" s="53"/>
      <c r="C386" s="53"/>
      <c r="D386" s="53"/>
      <c r="E386" s="45"/>
      <c r="F386" s="45"/>
      <c r="G386" s="45"/>
      <c r="H386" s="45"/>
      <c r="I386" s="45"/>
      <c r="J386" s="45"/>
      <c r="K386" s="45"/>
      <c r="L386" s="45"/>
      <c r="M386" s="45"/>
      <c r="N386" s="45"/>
      <c r="O386" s="45"/>
      <c r="P386" s="45"/>
      <c r="Q386" s="45"/>
      <c r="R386" s="45"/>
      <c r="S386" s="45"/>
      <c r="T386" s="45"/>
      <c r="U386" s="45"/>
      <c r="V386" s="45"/>
      <c r="W386" s="45"/>
      <c r="X386" s="45"/>
      <c r="Y386" s="45"/>
      <c r="Z386" s="45"/>
    </row>
    <row r="387">
      <c r="A387" s="52"/>
      <c r="B387" s="53"/>
      <c r="C387" s="53"/>
      <c r="D387" s="53"/>
      <c r="E387" s="45"/>
      <c r="F387" s="45"/>
      <c r="G387" s="45"/>
      <c r="H387" s="45"/>
      <c r="I387" s="45"/>
      <c r="J387" s="45"/>
      <c r="K387" s="45"/>
      <c r="L387" s="45"/>
      <c r="M387" s="45"/>
      <c r="N387" s="45"/>
      <c r="O387" s="45"/>
      <c r="P387" s="45"/>
      <c r="Q387" s="45"/>
      <c r="R387" s="45"/>
      <c r="S387" s="45"/>
      <c r="T387" s="45"/>
      <c r="U387" s="45"/>
      <c r="V387" s="45"/>
      <c r="W387" s="45"/>
      <c r="X387" s="45"/>
      <c r="Y387" s="45"/>
      <c r="Z387" s="45"/>
    </row>
    <row r="388">
      <c r="A388" s="52"/>
      <c r="B388" s="53"/>
      <c r="C388" s="53"/>
      <c r="D388" s="53"/>
      <c r="E388" s="45"/>
      <c r="F388" s="45"/>
      <c r="G388" s="45"/>
      <c r="H388" s="45"/>
      <c r="I388" s="45"/>
      <c r="J388" s="45"/>
      <c r="K388" s="45"/>
      <c r="L388" s="45"/>
      <c r="M388" s="45"/>
      <c r="N388" s="45"/>
      <c r="O388" s="45"/>
      <c r="P388" s="45"/>
      <c r="Q388" s="45"/>
      <c r="R388" s="45"/>
      <c r="S388" s="45"/>
      <c r="T388" s="45"/>
      <c r="U388" s="45"/>
      <c r="V388" s="45"/>
      <c r="W388" s="45"/>
      <c r="X388" s="45"/>
      <c r="Y388" s="45"/>
      <c r="Z388" s="45"/>
    </row>
    <row r="389">
      <c r="A389" s="52"/>
      <c r="B389" s="53"/>
      <c r="C389" s="53"/>
      <c r="D389" s="53"/>
      <c r="E389" s="45"/>
      <c r="F389" s="45"/>
      <c r="G389" s="45"/>
      <c r="H389" s="45"/>
      <c r="I389" s="45"/>
      <c r="J389" s="45"/>
      <c r="K389" s="45"/>
      <c r="L389" s="45"/>
      <c r="M389" s="45"/>
      <c r="N389" s="45"/>
      <c r="O389" s="45"/>
      <c r="P389" s="45"/>
      <c r="Q389" s="45"/>
      <c r="R389" s="45"/>
      <c r="S389" s="45"/>
      <c r="T389" s="45"/>
      <c r="U389" s="45"/>
      <c r="V389" s="45"/>
      <c r="W389" s="45"/>
      <c r="X389" s="45"/>
      <c r="Y389" s="45"/>
      <c r="Z389" s="45"/>
    </row>
    <row r="390">
      <c r="A390" s="52"/>
      <c r="B390" s="53"/>
      <c r="C390" s="53"/>
      <c r="D390" s="53"/>
      <c r="E390" s="45"/>
      <c r="F390" s="45"/>
      <c r="G390" s="45"/>
      <c r="H390" s="45"/>
      <c r="I390" s="45"/>
      <c r="J390" s="45"/>
      <c r="K390" s="45"/>
      <c r="L390" s="45"/>
      <c r="M390" s="45"/>
      <c r="N390" s="45"/>
      <c r="O390" s="45"/>
      <c r="P390" s="45"/>
      <c r="Q390" s="45"/>
      <c r="R390" s="45"/>
      <c r="S390" s="45"/>
      <c r="T390" s="45"/>
      <c r="U390" s="45"/>
      <c r="V390" s="45"/>
      <c r="W390" s="45"/>
      <c r="X390" s="45"/>
      <c r="Y390" s="45"/>
      <c r="Z390" s="45"/>
    </row>
    <row r="391">
      <c r="A391" s="52"/>
      <c r="B391" s="53"/>
      <c r="C391" s="53"/>
      <c r="D391" s="53"/>
      <c r="E391" s="45"/>
      <c r="F391" s="45"/>
      <c r="G391" s="45"/>
      <c r="H391" s="45"/>
      <c r="I391" s="45"/>
      <c r="J391" s="45"/>
      <c r="K391" s="45"/>
      <c r="L391" s="45"/>
      <c r="M391" s="45"/>
      <c r="N391" s="45"/>
      <c r="O391" s="45"/>
      <c r="P391" s="45"/>
      <c r="Q391" s="45"/>
      <c r="R391" s="45"/>
      <c r="S391" s="45"/>
      <c r="T391" s="45"/>
      <c r="U391" s="45"/>
      <c r="V391" s="45"/>
      <c r="W391" s="45"/>
      <c r="X391" s="45"/>
      <c r="Y391" s="45"/>
      <c r="Z391" s="45"/>
    </row>
    <row r="392">
      <c r="A392" s="52"/>
      <c r="B392" s="53"/>
      <c r="C392" s="53"/>
      <c r="D392" s="53"/>
      <c r="E392" s="45"/>
      <c r="F392" s="45"/>
      <c r="G392" s="45"/>
      <c r="H392" s="45"/>
      <c r="I392" s="45"/>
      <c r="J392" s="45"/>
      <c r="K392" s="45"/>
      <c r="L392" s="45"/>
      <c r="M392" s="45"/>
      <c r="N392" s="45"/>
      <c r="O392" s="45"/>
      <c r="P392" s="45"/>
      <c r="Q392" s="45"/>
      <c r="R392" s="45"/>
      <c r="S392" s="45"/>
      <c r="T392" s="45"/>
      <c r="U392" s="45"/>
      <c r="V392" s="45"/>
      <c r="W392" s="45"/>
      <c r="X392" s="45"/>
      <c r="Y392" s="45"/>
      <c r="Z392" s="45"/>
    </row>
    <row r="393">
      <c r="A393" s="52"/>
      <c r="B393" s="53"/>
      <c r="C393" s="53"/>
      <c r="D393" s="53"/>
      <c r="E393" s="45"/>
      <c r="F393" s="45"/>
      <c r="G393" s="45"/>
      <c r="H393" s="45"/>
      <c r="I393" s="45"/>
      <c r="J393" s="45"/>
      <c r="K393" s="45"/>
      <c r="L393" s="45"/>
      <c r="M393" s="45"/>
      <c r="N393" s="45"/>
      <c r="O393" s="45"/>
      <c r="P393" s="45"/>
      <c r="Q393" s="45"/>
      <c r="R393" s="45"/>
      <c r="S393" s="45"/>
      <c r="T393" s="45"/>
      <c r="U393" s="45"/>
      <c r="V393" s="45"/>
      <c r="W393" s="45"/>
      <c r="X393" s="45"/>
      <c r="Y393" s="45"/>
      <c r="Z393" s="45"/>
    </row>
    <row r="394">
      <c r="A394" s="52"/>
      <c r="B394" s="53"/>
      <c r="C394" s="53"/>
      <c r="D394" s="53"/>
      <c r="E394" s="45"/>
      <c r="F394" s="45"/>
      <c r="G394" s="45"/>
      <c r="H394" s="45"/>
      <c r="I394" s="45"/>
      <c r="J394" s="45"/>
      <c r="K394" s="45"/>
      <c r="L394" s="45"/>
      <c r="M394" s="45"/>
      <c r="N394" s="45"/>
      <c r="O394" s="45"/>
      <c r="P394" s="45"/>
      <c r="Q394" s="45"/>
      <c r="R394" s="45"/>
      <c r="S394" s="45"/>
      <c r="T394" s="45"/>
      <c r="U394" s="45"/>
      <c r="V394" s="45"/>
      <c r="W394" s="45"/>
      <c r="X394" s="45"/>
      <c r="Y394" s="45"/>
      <c r="Z394" s="45"/>
    </row>
    <row r="395">
      <c r="A395" s="52"/>
      <c r="B395" s="53"/>
      <c r="C395" s="53"/>
      <c r="D395" s="53"/>
      <c r="E395" s="45"/>
      <c r="F395" s="45"/>
      <c r="G395" s="45"/>
      <c r="H395" s="45"/>
      <c r="I395" s="45"/>
      <c r="J395" s="45"/>
      <c r="K395" s="45"/>
      <c r="L395" s="45"/>
      <c r="M395" s="45"/>
      <c r="N395" s="45"/>
      <c r="O395" s="45"/>
      <c r="P395" s="45"/>
      <c r="Q395" s="45"/>
      <c r="R395" s="45"/>
      <c r="S395" s="45"/>
      <c r="T395" s="45"/>
      <c r="U395" s="45"/>
      <c r="V395" s="45"/>
      <c r="W395" s="45"/>
      <c r="X395" s="45"/>
      <c r="Y395" s="45"/>
      <c r="Z395" s="45"/>
    </row>
    <row r="396">
      <c r="A396" s="52"/>
      <c r="B396" s="53"/>
      <c r="C396" s="53"/>
      <c r="D396" s="53"/>
      <c r="E396" s="45"/>
      <c r="F396" s="45"/>
      <c r="G396" s="45"/>
      <c r="H396" s="45"/>
      <c r="I396" s="45"/>
      <c r="J396" s="45"/>
      <c r="K396" s="45"/>
      <c r="L396" s="45"/>
      <c r="M396" s="45"/>
      <c r="N396" s="45"/>
      <c r="O396" s="45"/>
      <c r="P396" s="45"/>
      <c r="Q396" s="45"/>
      <c r="R396" s="45"/>
      <c r="S396" s="45"/>
      <c r="T396" s="45"/>
      <c r="U396" s="45"/>
      <c r="V396" s="45"/>
      <c r="W396" s="45"/>
      <c r="X396" s="45"/>
      <c r="Y396" s="45"/>
      <c r="Z396" s="45"/>
    </row>
    <row r="397">
      <c r="A397" s="52"/>
      <c r="B397" s="53"/>
      <c r="C397" s="53"/>
      <c r="D397" s="53"/>
      <c r="E397" s="45"/>
      <c r="F397" s="45"/>
      <c r="G397" s="45"/>
      <c r="H397" s="45"/>
      <c r="I397" s="45"/>
      <c r="J397" s="45"/>
      <c r="K397" s="45"/>
      <c r="L397" s="45"/>
      <c r="M397" s="45"/>
      <c r="N397" s="45"/>
      <c r="O397" s="45"/>
      <c r="P397" s="45"/>
      <c r="Q397" s="45"/>
      <c r="R397" s="45"/>
      <c r="S397" s="45"/>
      <c r="T397" s="45"/>
      <c r="U397" s="45"/>
      <c r="V397" s="45"/>
      <c r="W397" s="45"/>
      <c r="X397" s="45"/>
      <c r="Y397" s="45"/>
      <c r="Z397" s="45"/>
    </row>
    <row r="398">
      <c r="A398" s="52"/>
      <c r="B398" s="53"/>
      <c r="C398" s="53"/>
      <c r="D398" s="53"/>
      <c r="E398" s="45"/>
      <c r="F398" s="45"/>
      <c r="G398" s="45"/>
      <c r="H398" s="45"/>
      <c r="I398" s="45"/>
      <c r="J398" s="45"/>
      <c r="K398" s="45"/>
      <c r="L398" s="45"/>
      <c r="M398" s="45"/>
      <c r="N398" s="45"/>
      <c r="O398" s="45"/>
      <c r="P398" s="45"/>
      <c r="Q398" s="45"/>
      <c r="R398" s="45"/>
      <c r="S398" s="45"/>
      <c r="T398" s="45"/>
      <c r="U398" s="45"/>
      <c r="V398" s="45"/>
      <c r="W398" s="45"/>
      <c r="X398" s="45"/>
      <c r="Y398" s="45"/>
      <c r="Z398" s="45"/>
    </row>
    <row r="399">
      <c r="A399" s="52"/>
      <c r="B399" s="53"/>
      <c r="C399" s="53"/>
      <c r="D399" s="53"/>
      <c r="E399" s="45"/>
      <c r="F399" s="45"/>
      <c r="G399" s="45"/>
      <c r="H399" s="45"/>
      <c r="I399" s="45"/>
      <c r="J399" s="45"/>
      <c r="K399" s="45"/>
      <c r="L399" s="45"/>
      <c r="M399" s="45"/>
      <c r="N399" s="45"/>
      <c r="O399" s="45"/>
      <c r="P399" s="45"/>
      <c r="Q399" s="45"/>
      <c r="R399" s="45"/>
      <c r="S399" s="45"/>
      <c r="T399" s="45"/>
      <c r="U399" s="45"/>
      <c r="V399" s="45"/>
      <c r="W399" s="45"/>
      <c r="X399" s="45"/>
      <c r="Y399" s="45"/>
      <c r="Z399" s="45"/>
    </row>
    <row r="400">
      <c r="A400" s="52"/>
      <c r="B400" s="53"/>
      <c r="C400" s="53"/>
      <c r="D400" s="53"/>
      <c r="E400" s="45"/>
      <c r="F400" s="45"/>
      <c r="G400" s="45"/>
      <c r="H400" s="45"/>
      <c r="I400" s="45"/>
      <c r="J400" s="45"/>
      <c r="K400" s="45"/>
      <c r="L400" s="45"/>
      <c r="M400" s="45"/>
      <c r="N400" s="45"/>
      <c r="O400" s="45"/>
      <c r="P400" s="45"/>
      <c r="Q400" s="45"/>
      <c r="R400" s="45"/>
      <c r="S400" s="45"/>
      <c r="T400" s="45"/>
      <c r="U400" s="45"/>
      <c r="V400" s="45"/>
      <c r="W400" s="45"/>
      <c r="X400" s="45"/>
      <c r="Y400" s="45"/>
      <c r="Z400" s="45"/>
    </row>
    <row r="401">
      <c r="A401" s="52"/>
      <c r="B401" s="53"/>
      <c r="C401" s="53"/>
      <c r="D401" s="53"/>
      <c r="E401" s="45"/>
      <c r="F401" s="45"/>
      <c r="G401" s="45"/>
      <c r="H401" s="45"/>
      <c r="I401" s="45"/>
      <c r="J401" s="45"/>
      <c r="K401" s="45"/>
      <c r="L401" s="45"/>
      <c r="M401" s="45"/>
      <c r="N401" s="45"/>
      <c r="O401" s="45"/>
      <c r="P401" s="45"/>
      <c r="Q401" s="45"/>
      <c r="R401" s="45"/>
      <c r="S401" s="45"/>
      <c r="T401" s="45"/>
      <c r="U401" s="45"/>
      <c r="V401" s="45"/>
      <c r="W401" s="45"/>
      <c r="X401" s="45"/>
      <c r="Y401" s="45"/>
      <c r="Z401" s="45"/>
    </row>
    <row r="402">
      <c r="A402" s="52"/>
      <c r="B402" s="53"/>
      <c r="C402" s="53"/>
      <c r="D402" s="53"/>
      <c r="E402" s="45"/>
      <c r="F402" s="45"/>
      <c r="G402" s="45"/>
      <c r="H402" s="45"/>
      <c r="I402" s="45"/>
      <c r="J402" s="45"/>
      <c r="K402" s="45"/>
      <c r="L402" s="45"/>
      <c r="M402" s="45"/>
      <c r="N402" s="45"/>
      <c r="O402" s="45"/>
      <c r="P402" s="45"/>
      <c r="Q402" s="45"/>
      <c r="R402" s="45"/>
      <c r="S402" s="45"/>
      <c r="T402" s="45"/>
      <c r="U402" s="45"/>
      <c r="V402" s="45"/>
      <c r="W402" s="45"/>
      <c r="X402" s="45"/>
      <c r="Y402" s="45"/>
      <c r="Z402" s="45"/>
    </row>
    <row r="403">
      <c r="A403" s="52"/>
      <c r="B403" s="53"/>
      <c r="C403" s="53"/>
      <c r="D403" s="53"/>
      <c r="E403" s="45"/>
      <c r="F403" s="45"/>
      <c r="G403" s="45"/>
      <c r="H403" s="45"/>
      <c r="I403" s="45"/>
      <c r="J403" s="45"/>
      <c r="K403" s="45"/>
      <c r="L403" s="45"/>
      <c r="M403" s="45"/>
      <c r="N403" s="45"/>
      <c r="O403" s="45"/>
      <c r="P403" s="45"/>
      <c r="Q403" s="45"/>
      <c r="R403" s="45"/>
      <c r="S403" s="45"/>
      <c r="T403" s="45"/>
      <c r="U403" s="45"/>
      <c r="V403" s="45"/>
      <c r="W403" s="45"/>
      <c r="X403" s="45"/>
      <c r="Y403" s="45"/>
      <c r="Z403" s="45"/>
    </row>
    <row r="404">
      <c r="A404" s="52"/>
      <c r="B404" s="53"/>
      <c r="C404" s="53"/>
      <c r="D404" s="53"/>
      <c r="E404" s="45"/>
      <c r="F404" s="45"/>
      <c r="G404" s="45"/>
      <c r="H404" s="45"/>
      <c r="I404" s="45"/>
      <c r="J404" s="45"/>
      <c r="K404" s="45"/>
      <c r="L404" s="45"/>
      <c r="M404" s="45"/>
      <c r="N404" s="45"/>
      <c r="O404" s="45"/>
      <c r="P404" s="45"/>
      <c r="Q404" s="45"/>
      <c r="R404" s="45"/>
      <c r="S404" s="45"/>
      <c r="T404" s="45"/>
      <c r="U404" s="45"/>
      <c r="V404" s="45"/>
      <c r="W404" s="45"/>
      <c r="X404" s="45"/>
      <c r="Y404" s="45"/>
      <c r="Z404" s="45"/>
    </row>
    <row r="405">
      <c r="A405" s="52"/>
      <c r="B405" s="53"/>
      <c r="C405" s="53"/>
      <c r="D405" s="53"/>
      <c r="E405" s="45"/>
      <c r="F405" s="45"/>
      <c r="G405" s="45"/>
      <c r="H405" s="45"/>
      <c r="I405" s="45"/>
      <c r="J405" s="45"/>
      <c r="K405" s="45"/>
      <c r="L405" s="45"/>
      <c r="M405" s="45"/>
      <c r="N405" s="45"/>
      <c r="O405" s="45"/>
      <c r="P405" s="45"/>
      <c r="Q405" s="45"/>
      <c r="R405" s="45"/>
      <c r="S405" s="45"/>
      <c r="T405" s="45"/>
      <c r="U405" s="45"/>
      <c r="V405" s="45"/>
      <c r="W405" s="45"/>
      <c r="X405" s="45"/>
      <c r="Y405" s="45"/>
      <c r="Z405" s="45"/>
    </row>
    <row r="406">
      <c r="A406" s="52"/>
      <c r="B406" s="53"/>
      <c r="C406" s="53"/>
      <c r="D406" s="53"/>
      <c r="E406" s="45"/>
      <c r="F406" s="45"/>
      <c r="G406" s="45"/>
      <c r="H406" s="45"/>
      <c r="I406" s="45"/>
      <c r="J406" s="45"/>
      <c r="K406" s="45"/>
      <c r="L406" s="45"/>
      <c r="M406" s="45"/>
      <c r="N406" s="45"/>
      <c r="O406" s="45"/>
      <c r="P406" s="45"/>
      <c r="Q406" s="45"/>
      <c r="R406" s="45"/>
      <c r="S406" s="45"/>
      <c r="T406" s="45"/>
      <c r="U406" s="45"/>
      <c r="V406" s="45"/>
      <c r="W406" s="45"/>
      <c r="X406" s="45"/>
      <c r="Y406" s="45"/>
      <c r="Z406" s="45"/>
    </row>
    <row r="407">
      <c r="A407" s="52"/>
      <c r="B407" s="53"/>
      <c r="C407" s="53"/>
      <c r="D407" s="53"/>
      <c r="E407" s="45"/>
      <c r="F407" s="45"/>
      <c r="G407" s="45"/>
      <c r="H407" s="45"/>
      <c r="I407" s="45"/>
      <c r="J407" s="45"/>
      <c r="K407" s="45"/>
      <c r="L407" s="45"/>
      <c r="M407" s="45"/>
      <c r="N407" s="45"/>
      <c r="O407" s="45"/>
      <c r="P407" s="45"/>
      <c r="Q407" s="45"/>
      <c r="R407" s="45"/>
      <c r="S407" s="45"/>
      <c r="T407" s="45"/>
      <c r="U407" s="45"/>
      <c r="V407" s="45"/>
      <c r="W407" s="45"/>
      <c r="X407" s="45"/>
      <c r="Y407" s="45"/>
      <c r="Z407" s="45"/>
    </row>
    <row r="408">
      <c r="A408" s="52"/>
      <c r="B408" s="53"/>
      <c r="C408" s="53"/>
      <c r="D408" s="53"/>
      <c r="E408" s="45"/>
      <c r="F408" s="45"/>
      <c r="G408" s="45"/>
      <c r="H408" s="45"/>
      <c r="I408" s="45"/>
      <c r="J408" s="45"/>
      <c r="K408" s="45"/>
      <c r="L408" s="45"/>
      <c r="M408" s="45"/>
      <c r="N408" s="45"/>
      <c r="O408" s="45"/>
      <c r="P408" s="45"/>
      <c r="Q408" s="45"/>
      <c r="R408" s="45"/>
      <c r="S408" s="45"/>
      <c r="T408" s="45"/>
      <c r="U408" s="45"/>
      <c r="V408" s="45"/>
      <c r="W408" s="45"/>
      <c r="X408" s="45"/>
      <c r="Y408" s="45"/>
      <c r="Z408" s="45"/>
    </row>
    <row r="409">
      <c r="A409" s="52"/>
      <c r="B409" s="53"/>
      <c r="C409" s="53"/>
      <c r="D409" s="53"/>
      <c r="E409" s="45"/>
      <c r="F409" s="45"/>
      <c r="G409" s="45"/>
      <c r="H409" s="45"/>
      <c r="I409" s="45"/>
      <c r="J409" s="45"/>
      <c r="K409" s="45"/>
      <c r="L409" s="45"/>
      <c r="M409" s="45"/>
      <c r="N409" s="45"/>
      <c r="O409" s="45"/>
      <c r="P409" s="45"/>
      <c r="Q409" s="45"/>
      <c r="R409" s="45"/>
      <c r="S409" s="45"/>
      <c r="T409" s="45"/>
      <c r="U409" s="45"/>
      <c r="V409" s="45"/>
      <c r="W409" s="45"/>
      <c r="X409" s="45"/>
      <c r="Y409" s="45"/>
      <c r="Z409" s="45"/>
    </row>
    <row r="410">
      <c r="A410" s="52"/>
      <c r="B410" s="53"/>
      <c r="C410" s="53"/>
      <c r="D410" s="53"/>
      <c r="E410" s="45"/>
      <c r="F410" s="45"/>
      <c r="G410" s="45"/>
      <c r="H410" s="45"/>
      <c r="I410" s="45"/>
      <c r="J410" s="45"/>
      <c r="K410" s="45"/>
      <c r="L410" s="45"/>
      <c r="M410" s="45"/>
      <c r="N410" s="45"/>
      <c r="O410" s="45"/>
      <c r="P410" s="45"/>
      <c r="Q410" s="45"/>
      <c r="R410" s="45"/>
      <c r="S410" s="45"/>
      <c r="T410" s="45"/>
      <c r="U410" s="45"/>
      <c r="V410" s="45"/>
      <c r="W410" s="45"/>
      <c r="X410" s="45"/>
      <c r="Y410" s="45"/>
      <c r="Z410" s="45"/>
    </row>
    <row r="411">
      <c r="A411" s="52"/>
      <c r="B411" s="53"/>
      <c r="C411" s="53"/>
      <c r="D411" s="53"/>
      <c r="E411" s="45"/>
      <c r="F411" s="45"/>
      <c r="G411" s="45"/>
      <c r="H411" s="45"/>
      <c r="I411" s="45"/>
      <c r="J411" s="45"/>
      <c r="K411" s="45"/>
      <c r="L411" s="45"/>
      <c r="M411" s="45"/>
      <c r="N411" s="45"/>
      <c r="O411" s="45"/>
      <c r="P411" s="45"/>
      <c r="Q411" s="45"/>
      <c r="R411" s="45"/>
      <c r="S411" s="45"/>
      <c r="T411" s="45"/>
      <c r="U411" s="45"/>
      <c r="V411" s="45"/>
      <c r="W411" s="45"/>
      <c r="X411" s="45"/>
      <c r="Y411" s="45"/>
      <c r="Z411" s="45"/>
    </row>
    <row r="412">
      <c r="A412" s="52"/>
      <c r="B412" s="53"/>
      <c r="C412" s="53"/>
      <c r="D412" s="53"/>
      <c r="E412" s="45"/>
      <c r="F412" s="45"/>
      <c r="G412" s="45"/>
      <c r="H412" s="45"/>
      <c r="I412" s="45"/>
      <c r="J412" s="45"/>
      <c r="K412" s="45"/>
      <c r="L412" s="45"/>
      <c r="M412" s="45"/>
      <c r="N412" s="45"/>
      <c r="O412" s="45"/>
      <c r="P412" s="45"/>
      <c r="Q412" s="45"/>
      <c r="R412" s="45"/>
      <c r="S412" s="45"/>
      <c r="T412" s="45"/>
      <c r="U412" s="45"/>
      <c r="V412" s="45"/>
      <c r="W412" s="45"/>
      <c r="X412" s="45"/>
      <c r="Y412" s="45"/>
      <c r="Z412" s="45"/>
    </row>
    <row r="413">
      <c r="A413" s="52"/>
      <c r="B413" s="53"/>
      <c r="C413" s="53"/>
      <c r="D413" s="53"/>
      <c r="E413" s="45"/>
      <c r="F413" s="45"/>
      <c r="G413" s="45"/>
      <c r="H413" s="45"/>
      <c r="I413" s="45"/>
      <c r="J413" s="45"/>
      <c r="K413" s="45"/>
      <c r="L413" s="45"/>
      <c r="M413" s="45"/>
      <c r="N413" s="45"/>
      <c r="O413" s="45"/>
      <c r="P413" s="45"/>
      <c r="Q413" s="45"/>
      <c r="R413" s="45"/>
      <c r="S413" s="45"/>
      <c r="T413" s="45"/>
      <c r="U413" s="45"/>
      <c r="V413" s="45"/>
      <c r="W413" s="45"/>
      <c r="X413" s="45"/>
      <c r="Y413" s="45"/>
      <c r="Z413" s="45"/>
    </row>
    <row r="414">
      <c r="A414" s="52"/>
      <c r="B414" s="53"/>
      <c r="C414" s="53"/>
      <c r="D414" s="53"/>
      <c r="E414" s="45"/>
      <c r="F414" s="45"/>
      <c r="G414" s="45"/>
      <c r="H414" s="45"/>
      <c r="I414" s="45"/>
      <c r="J414" s="45"/>
      <c r="K414" s="45"/>
      <c r="L414" s="45"/>
      <c r="M414" s="45"/>
      <c r="N414" s="45"/>
      <c r="O414" s="45"/>
      <c r="P414" s="45"/>
      <c r="Q414" s="45"/>
      <c r="R414" s="45"/>
      <c r="S414" s="45"/>
      <c r="T414" s="45"/>
      <c r="U414" s="45"/>
      <c r="V414" s="45"/>
      <c r="W414" s="45"/>
      <c r="X414" s="45"/>
      <c r="Y414" s="45"/>
      <c r="Z414" s="45"/>
    </row>
    <row r="415">
      <c r="A415" s="52"/>
      <c r="B415" s="53"/>
      <c r="C415" s="53"/>
      <c r="D415" s="53"/>
      <c r="E415" s="45"/>
      <c r="F415" s="45"/>
      <c r="G415" s="45"/>
      <c r="H415" s="45"/>
      <c r="I415" s="45"/>
      <c r="J415" s="45"/>
      <c r="K415" s="45"/>
      <c r="L415" s="45"/>
      <c r="M415" s="45"/>
      <c r="N415" s="45"/>
      <c r="O415" s="45"/>
      <c r="P415" s="45"/>
      <c r="Q415" s="45"/>
      <c r="R415" s="45"/>
      <c r="S415" s="45"/>
      <c r="T415" s="45"/>
      <c r="U415" s="45"/>
      <c r="V415" s="45"/>
      <c r="W415" s="45"/>
      <c r="X415" s="45"/>
      <c r="Y415" s="45"/>
      <c r="Z415" s="45"/>
    </row>
    <row r="416">
      <c r="A416" s="52"/>
      <c r="B416" s="53"/>
      <c r="C416" s="53"/>
      <c r="D416" s="53"/>
      <c r="E416" s="45"/>
      <c r="F416" s="45"/>
      <c r="G416" s="45"/>
      <c r="H416" s="45"/>
      <c r="I416" s="45"/>
      <c r="J416" s="45"/>
      <c r="K416" s="45"/>
      <c r="L416" s="45"/>
      <c r="M416" s="45"/>
      <c r="N416" s="45"/>
      <c r="O416" s="45"/>
      <c r="P416" s="45"/>
      <c r="Q416" s="45"/>
      <c r="R416" s="45"/>
      <c r="S416" s="45"/>
      <c r="T416" s="45"/>
      <c r="U416" s="45"/>
      <c r="V416" s="45"/>
      <c r="W416" s="45"/>
      <c r="X416" s="45"/>
      <c r="Y416" s="45"/>
      <c r="Z416" s="45"/>
    </row>
    <row r="417">
      <c r="A417" s="52"/>
      <c r="B417" s="53"/>
      <c r="C417" s="53"/>
      <c r="D417" s="53"/>
      <c r="E417" s="45"/>
      <c r="F417" s="45"/>
      <c r="G417" s="45"/>
      <c r="H417" s="45"/>
      <c r="I417" s="45"/>
      <c r="J417" s="45"/>
      <c r="K417" s="45"/>
      <c r="L417" s="45"/>
      <c r="M417" s="45"/>
      <c r="N417" s="45"/>
      <c r="O417" s="45"/>
      <c r="P417" s="45"/>
      <c r="Q417" s="45"/>
      <c r="R417" s="45"/>
      <c r="S417" s="45"/>
      <c r="T417" s="45"/>
      <c r="U417" s="45"/>
      <c r="V417" s="45"/>
      <c r="W417" s="45"/>
      <c r="X417" s="45"/>
      <c r="Y417" s="45"/>
      <c r="Z417" s="45"/>
    </row>
    <row r="418">
      <c r="A418" s="52"/>
      <c r="B418" s="53"/>
      <c r="C418" s="53"/>
      <c r="D418" s="53"/>
      <c r="E418" s="45"/>
      <c r="F418" s="45"/>
      <c r="G418" s="45"/>
      <c r="H418" s="45"/>
      <c r="I418" s="45"/>
      <c r="J418" s="45"/>
      <c r="K418" s="45"/>
      <c r="L418" s="45"/>
      <c r="M418" s="45"/>
      <c r="N418" s="45"/>
      <c r="O418" s="45"/>
      <c r="P418" s="45"/>
      <c r="Q418" s="45"/>
      <c r="R418" s="45"/>
      <c r="S418" s="45"/>
      <c r="T418" s="45"/>
      <c r="U418" s="45"/>
      <c r="V418" s="45"/>
      <c r="W418" s="45"/>
      <c r="X418" s="45"/>
      <c r="Y418" s="45"/>
      <c r="Z418" s="45"/>
    </row>
    <row r="419">
      <c r="A419" s="52"/>
      <c r="B419" s="53"/>
      <c r="C419" s="53"/>
      <c r="D419" s="53"/>
      <c r="E419" s="45"/>
      <c r="F419" s="45"/>
      <c r="G419" s="45"/>
      <c r="H419" s="45"/>
      <c r="I419" s="45"/>
      <c r="J419" s="45"/>
      <c r="K419" s="45"/>
      <c r="L419" s="45"/>
      <c r="M419" s="45"/>
      <c r="N419" s="45"/>
      <c r="O419" s="45"/>
      <c r="P419" s="45"/>
      <c r="Q419" s="45"/>
      <c r="R419" s="45"/>
      <c r="S419" s="45"/>
      <c r="T419" s="45"/>
      <c r="U419" s="45"/>
      <c r="V419" s="45"/>
      <c r="W419" s="45"/>
      <c r="X419" s="45"/>
      <c r="Y419" s="45"/>
      <c r="Z419" s="45"/>
    </row>
    <row r="420">
      <c r="A420" s="52"/>
      <c r="B420" s="53"/>
      <c r="C420" s="53"/>
      <c r="D420" s="53"/>
      <c r="E420" s="45"/>
      <c r="F420" s="45"/>
      <c r="G420" s="45"/>
      <c r="H420" s="45"/>
      <c r="I420" s="45"/>
      <c r="J420" s="45"/>
      <c r="K420" s="45"/>
      <c r="L420" s="45"/>
      <c r="M420" s="45"/>
      <c r="N420" s="45"/>
      <c r="O420" s="45"/>
      <c r="P420" s="45"/>
      <c r="Q420" s="45"/>
      <c r="R420" s="45"/>
      <c r="S420" s="45"/>
      <c r="T420" s="45"/>
      <c r="U420" s="45"/>
      <c r="V420" s="45"/>
      <c r="W420" s="45"/>
      <c r="X420" s="45"/>
      <c r="Y420" s="45"/>
      <c r="Z420" s="45"/>
    </row>
    <row r="421">
      <c r="A421" s="52"/>
      <c r="B421" s="53"/>
      <c r="C421" s="53"/>
      <c r="D421" s="53"/>
      <c r="E421" s="45"/>
      <c r="F421" s="45"/>
      <c r="G421" s="45"/>
      <c r="H421" s="45"/>
      <c r="I421" s="45"/>
      <c r="J421" s="45"/>
      <c r="K421" s="45"/>
      <c r="L421" s="45"/>
      <c r="M421" s="45"/>
      <c r="N421" s="45"/>
      <c r="O421" s="45"/>
      <c r="P421" s="45"/>
      <c r="Q421" s="45"/>
      <c r="R421" s="45"/>
      <c r="S421" s="45"/>
      <c r="T421" s="45"/>
      <c r="U421" s="45"/>
      <c r="V421" s="45"/>
      <c r="W421" s="45"/>
      <c r="X421" s="45"/>
      <c r="Y421" s="45"/>
      <c r="Z421" s="45"/>
    </row>
    <row r="422">
      <c r="A422" s="52"/>
      <c r="B422" s="53"/>
      <c r="C422" s="53"/>
      <c r="D422" s="53"/>
      <c r="E422" s="45"/>
      <c r="F422" s="45"/>
      <c r="G422" s="45"/>
      <c r="H422" s="45"/>
      <c r="I422" s="45"/>
      <c r="J422" s="45"/>
      <c r="K422" s="45"/>
      <c r="L422" s="45"/>
      <c r="M422" s="45"/>
      <c r="N422" s="45"/>
      <c r="O422" s="45"/>
      <c r="P422" s="45"/>
      <c r="Q422" s="45"/>
      <c r="R422" s="45"/>
      <c r="S422" s="45"/>
      <c r="T422" s="45"/>
      <c r="U422" s="45"/>
      <c r="V422" s="45"/>
      <c r="W422" s="45"/>
      <c r="X422" s="45"/>
      <c r="Y422" s="45"/>
      <c r="Z422" s="45"/>
    </row>
    <row r="423">
      <c r="A423" s="52"/>
      <c r="B423" s="53"/>
      <c r="C423" s="53"/>
      <c r="D423" s="53"/>
      <c r="E423" s="45"/>
      <c r="F423" s="45"/>
      <c r="G423" s="45"/>
      <c r="H423" s="45"/>
      <c r="I423" s="45"/>
      <c r="J423" s="45"/>
      <c r="K423" s="45"/>
      <c r="L423" s="45"/>
      <c r="M423" s="45"/>
      <c r="N423" s="45"/>
      <c r="O423" s="45"/>
      <c r="P423" s="45"/>
      <c r="Q423" s="45"/>
      <c r="R423" s="45"/>
      <c r="S423" s="45"/>
      <c r="T423" s="45"/>
      <c r="U423" s="45"/>
      <c r="V423" s="45"/>
      <c r="W423" s="45"/>
      <c r="X423" s="45"/>
      <c r="Y423" s="45"/>
      <c r="Z423" s="45"/>
    </row>
    <row r="424">
      <c r="A424" s="52"/>
      <c r="B424" s="53"/>
      <c r="C424" s="53"/>
      <c r="D424" s="53"/>
      <c r="E424" s="45"/>
      <c r="F424" s="45"/>
      <c r="G424" s="45"/>
      <c r="H424" s="45"/>
      <c r="I424" s="45"/>
      <c r="J424" s="45"/>
      <c r="K424" s="45"/>
      <c r="L424" s="45"/>
      <c r="M424" s="45"/>
      <c r="N424" s="45"/>
      <c r="O424" s="45"/>
      <c r="P424" s="45"/>
      <c r="Q424" s="45"/>
      <c r="R424" s="45"/>
      <c r="S424" s="45"/>
      <c r="T424" s="45"/>
      <c r="U424" s="45"/>
      <c r="V424" s="45"/>
      <c r="W424" s="45"/>
      <c r="X424" s="45"/>
      <c r="Y424" s="45"/>
      <c r="Z424" s="45"/>
    </row>
    <row r="425">
      <c r="A425" s="52"/>
      <c r="B425" s="53"/>
      <c r="C425" s="53"/>
      <c r="D425" s="53"/>
      <c r="E425" s="45"/>
      <c r="F425" s="45"/>
      <c r="G425" s="45"/>
      <c r="H425" s="45"/>
      <c r="I425" s="45"/>
      <c r="J425" s="45"/>
      <c r="K425" s="45"/>
      <c r="L425" s="45"/>
      <c r="M425" s="45"/>
      <c r="N425" s="45"/>
      <c r="O425" s="45"/>
      <c r="P425" s="45"/>
      <c r="Q425" s="45"/>
      <c r="R425" s="45"/>
      <c r="S425" s="45"/>
      <c r="T425" s="45"/>
      <c r="U425" s="45"/>
      <c r="V425" s="45"/>
      <c r="W425" s="45"/>
      <c r="X425" s="45"/>
      <c r="Y425" s="45"/>
      <c r="Z425" s="45"/>
    </row>
    <row r="426">
      <c r="A426" s="52"/>
      <c r="B426" s="53"/>
      <c r="C426" s="53"/>
      <c r="D426" s="53"/>
      <c r="E426" s="45"/>
      <c r="F426" s="45"/>
      <c r="G426" s="45"/>
      <c r="H426" s="45"/>
      <c r="I426" s="45"/>
      <c r="J426" s="45"/>
      <c r="K426" s="45"/>
      <c r="L426" s="45"/>
      <c r="M426" s="45"/>
      <c r="N426" s="45"/>
      <c r="O426" s="45"/>
      <c r="P426" s="45"/>
      <c r="Q426" s="45"/>
      <c r="R426" s="45"/>
      <c r="S426" s="45"/>
      <c r="T426" s="45"/>
      <c r="U426" s="45"/>
      <c r="V426" s="45"/>
      <c r="W426" s="45"/>
      <c r="X426" s="45"/>
      <c r="Y426" s="45"/>
      <c r="Z426" s="45"/>
    </row>
    <row r="427">
      <c r="A427" s="52"/>
      <c r="B427" s="53"/>
      <c r="C427" s="53"/>
      <c r="D427" s="53"/>
      <c r="E427" s="45"/>
      <c r="F427" s="45"/>
      <c r="G427" s="45"/>
      <c r="H427" s="45"/>
      <c r="I427" s="45"/>
      <c r="J427" s="45"/>
      <c r="K427" s="45"/>
      <c r="L427" s="45"/>
      <c r="M427" s="45"/>
      <c r="N427" s="45"/>
      <c r="O427" s="45"/>
      <c r="P427" s="45"/>
      <c r="Q427" s="45"/>
      <c r="R427" s="45"/>
      <c r="S427" s="45"/>
      <c r="T427" s="45"/>
      <c r="U427" s="45"/>
      <c r="V427" s="45"/>
      <c r="W427" s="45"/>
      <c r="X427" s="45"/>
      <c r="Y427" s="45"/>
      <c r="Z427" s="45"/>
    </row>
    <row r="428">
      <c r="A428" s="52"/>
      <c r="B428" s="53"/>
      <c r="C428" s="53"/>
      <c r="D428" s="53"/>
      <c r="E428" s="45"/>
      <c r="F428" s="45"/>
      <c r="G428" s="45"/>
      <c r="H428" s="45"/>
      <c r="I428" s="45"/>
      <c r="J428" s="45"/>
      <c r="K428" s="45"/>
      <c r="L428" s="45"/>
      <c r="M428" s="45"/>
      <c r="N428" s="45"/>
      <c r="O428" s="45"/>
      <c r="P428" s="45"/>
      <c r="Q428" s="45"/>
      <c r="R428" s="45"/>
      <c r="S428" s="45"/>
      <c r="T428" s="45"/>
      <c r="U428" s="45"/>
      <c r="V428" s="45"/>
      <c r="W428" s="45"/>
      <c r="X428" s="45"/>
      <c r="Y428" s="45"/>
      <c r="Z428" s="45"/>
    </row>
    <row r="429">
      <c r="A429" s="52"/>
      <c r="B429" s="53"/>
      <c r="C429" s="53"/>
      <c r="D429" s="53"/>
      <c r="E429" s="45"/>
      <c r="F429" s="45"/>
      <c r="G429" s="45"/>
      <c r="H429" s="45"/>
      <c r="I429" s="45"/>
      <c r="J429" s="45"/>
      <c r="K429" s="45"/>
      <c r="L429" s="45"/>
      <c r="M429" s="45"/>
      <c r="N429" s="45"/>
      <c r="O429" s="45"/>
      <c r="P429" s="45"/>
      <c r="Q429" s="45"/>
      <c r="R429" s="45"/>
      <c r="S429" s="45"/>
      <c r="T429" s="45"/>
      <c r="U429" s="45"/>
      <c r="V429" s="45"/>
      <c r="W429" s="45"/>
      <c r="X429" s="45"/>
      <c r="Y429" s="45"/>
      <c r="Z429" s="45"/>
    </row>
    <row r="430">
      <c r="A430" s="52"/>
      <c r="B430" s="53"/>
      <c r="C430" s="53"/>
      <c r="D430" s="53"/>
      <c r="E430" s="45"/>
      <c r="F430" s="45"/>
      <c r="G430" s="45"/>
      <c r="H430" s="45"/>
      <c r="I430" s="45"/>
      <c r="J430" s="45"/>
      <c r="K430" s="45"/>
      <c r="L430" s="45"/>
      <c r="M430" s="45"/>
      <c r="N430" s="45"/>
      <c r="O430" s="45"/>
      <c r="P430" s="45"/>
      <c r="Q430" s="45"/>
      <c r="R430" s="45"/>
      <c r="S430" s="45"/>
      <c r="T430" s="45"/>
      <c r="U430" s="45"/>
      <c r="V430" s="45"/>
      <c r="W430" s="45"/>
      <c r="X430" s="45"/>
      <c r="Y430" s="45"/>
      <c r="Z430" s="45"/>
    </row>
    <row r="431">
      <c r="A431" s="52"/>
      <c r="B431" s="53"/>
      <c r="C431" s="53"/>
      <c r="D431" s="53"/>
      <c r="E431" s="45"/>
      <c r="F431" s="45"/>
      <c r="G431" s="45"/>
      <c r="H431" s="45"/>
      <c r="I431" s="45"/>
      <c r="J431" s="45"/>
      <c r="K431" s="45"/>
      <c r="L431" s="45"/>
      <c r="M431" s="45"/>
      <c r="N431" s="45"/>
      <c r="O431" s="45"/>
      <c r="P431" s="45"/>
      <c r="Q431" s="45"/>
      <c r="R431" s="45"/>
      <c r="S431" s="45"/>
      <c r="T431" s="45"/>
      <c r="U431" s="45"/>
      <c r="V431" s="45"/>
      <c r="W431" s="45"/>
      <c r="X431" s="45"/>
      <c r="Y431" s="45"/>
      <c r="Z431" s="45"/>
    </row>
    <row r="432">
      <c r="A432" s="52"/>
      <c r="B432" s="53"/>
      <c r="C432" s="53"/>
      <c r="D432" s="53"/>
      <c r="E432" s="45"/>
      <c r="F432" s="45"/>
      <c r="G432" s="45"/>
      <c r="H432" s="45"/>
      <c r="I432" s="45"/>
      <c r="J432" s="45"/>
      <c r="K432" s="45"/>
      <c r="L432" s="45"/>
      <c r="M432" s="45"/>
      <c r="N432" s="45"/>
      <c r="O432" s="45"/>
      <c r="P432" s="45"/>
      <c r="Q432" s="45"/>
      <c r="R432" s="45"/>
      <c r="S432" s="45"/>
      <c r="T432" s="45"/>
      <c r="U432" s="45"/>
      <c r="V432" s="45"/>
      <c r="W432" s="45"/>
      <c r="X432" s="45"/>
      <c r="Y432" s="45"/>
      <c r="Z432" s="45"/>
    </row>
    <row r="433">
      <c r="A433" s="52"/>
      <c r="B433" s="53"/>
      <c r="C433" s="53"/>
      <c r="D433" s="53"/>
      <c r="E433" s="45"/>
      <c r="F433" s="45"/>
      <c r="G433" s="45"/>
      <c r="H433" s="45"/>
      <c r="I433" s="45"/>
      <c r="J433" s="45"/>
      <c r="K433" s="45"/>
      <c r="L433" s="45"/>
      <c r="M433" s="45"/>
      <c r="N433" s="45"/>
      <c r="O433" s="45"/>
      <c r="P433" s="45"/>
      <c r="Q433" s="45"/>
      <c r="R433" s="45"/>
      <c r="S433" s="45"/>
      <c r="T433" s="45"/>
      <c r="U433" s="45"/>
      <c r="V433" s="45"/>
      <c r="W433" s="45"/>
      <c r="X433" s="45"/>
      <c r="Y433" s="45"/>
      <c r="Z433" s="45"/>
    </row>
    <row r="434">
      <c r="A434" s="52"/>
      <c r="B434" s="53"/>
      <c r="C434" s="53"/>
      <c r="D434" s="53"/>
      <c r="E434" s="45"/>
      <c r="F434" s="45"/>
      <c r="G434" s="45"/>
      <c r="H434" s="45"/>
      <c r="I434" s="45"/>
      <c r="J434" s="45"/>
      <c r="K434" s="45"/>
      <c r="L434" s="45"/>
      <c r="M434" s="45"/>
      <c r="N434" s="45"/>
      <c r="O434" s="45"/>
      <c r="P434" s="45"/>
      <c r="Q434" s="45"/>
      <c r="R434" s="45"/>
      <c r="S434" s="45"/>
      <c r="T434" s="45"/>
      <c r="U434" s="45"/>
      <c r="V434" s="45"/>
      <c r="W434" s="45"/>
      <c r="X434" s="45"/>
      <c r="Y434" s="45"/>
      <c r="Z434" s="45"/>
    </row>
    <row r="435">
      <c r="A435" s="52"/>
      <c r="B435" s="53"/>
      <c r="C435" s="53"/>
      <c r="D435" s="53"/>
      <c r="E435" s="45"/>
      <c r="F435" s="45"/>
      <c r="G435" s="45"/>
      <c r="H435" s="45"/>
      <c r="I435" s="45"/>
      <c r="J435" s="45"/>
      <c r="K435" s="45"/>
      <c r="L435" s="45"/>
      <c r="M435" s="45"/>
      <c r="N435" s="45"/>
      <c r="O435" s="45"/>
      <c r="P435" s="45"/>
      <c r="Q435" s="45"/>
      <c r="R435" s="45"/>
      <c r="S435" s="45"/>
      <c r="T435" s="45"/>
      <c r="U435" s="45"/>
      <c r="V435" s="45"/>
      <c r="W435" s="45"/>
      <c r="X435" s="45"/>
      <c r="Y435" s="45"/>
      <c r="Z435" s="45"/>
    </row>
    <row r="436">
      <c r="A436" s="52"/>
      <c r="B436" s="53"/>
      <c r="C436" s="53"/>
      <c r="D436" s="53"/>
      <c r="E436" s="45"/>
      <c r="F436" s="45"/>
      <c r="G436" s="45"/>
      <c r="H436" s="45"/>
      <c r="I436" s="45"/>
      <c r="J436" s="45"/>
      <c r="K436" s="45"/>
      <c r="L436" s="45"/>
      <c r="M436" s="45"/>
      <c r="N436" s="45"/>
      <c r="O436" s="45"/>
      <c r="P436" s="45"/>
      <c r="Q436" s="45"/>
      <c r="R436" s="45"/>
      <c r="S436" s="45"/>
      <c r="T436" s="45"/>
      <c r="U436" s="45"/>
      <c r="V436" s="45"/>
      <c r="W436" s="45"/>
      <c r="X436" s="45"/>
      <c r="Y436" s="45"/>
      <c r="Z436" s="45"/>
    </row>
    <row r="437">
      <c r="A437" s="52"/>
      <c r="B437" s="53"/>
      <c r="C437" s="53"/>
      <c r="D437" s="53"/>
      <c r="E437" s="45"/>
      <c r="F437" s="45"/>
      <c r="G437" s="45"/>
      <c r="H437" s="45"/>
      <c r="I437" s="45"/>
      <c r="J437" s="45"/>
      <c r="K437" s="45"/>
      <c r="L437" s="45"/>
      <c r="M437" s="45"/>
      <c r="N437" s="45"/>
      <c r="O437" s="45"/>
      <c r="P437" s="45"/>
      <c r="Q437" s="45"/>
      <c r="R437" s="45"/>
      <c r="S437" s="45"/>
      <c r="T437" s="45"/>
      <c r="U437" s="45"/>
      <c r="V437" s="45"/>
      <c r="W437" s="45"/>
      <c r="X437" s="45"/>
      <c r="Y437" s="45"/>
      <c r="Z437" s="45"/>
    </row>
    <row r="438">
      <c r="A438" s="52"/>
      <c r="B438" s="53"/>
      <c r="C438" s="53"/>
      <c r="D438" s="53"/>
      <c r="E438" s="45"/>
      <c r="F438" s="45"/>
      <c r="G438" s="45"/>
      <c r="H438" s="45"/>
      <c r="I438" s="45"/>
      <c r="J438" s="45"/>
      <c r="K438" s="45"/>
      <c r="L438" s="45"/>
      <c r="M438" s="45"/>
      <c r="N438" s="45"/>
      <c r="O438" s="45"/>
      <c r="P438" s="45"/>
      <c r="Q438" s="45"/>
      <c r="R438" s="45"/>
      <c r="S438" s="45"/>
      <c r="T438" s="45"/>
      <c r="U438" s="45"/>
      <c r="V438" s="45"/>
      <c r="W438" s="45"/>
      <c r="X438" s="45"/>
      <c r="Y438" s="45"/>
      <c r="Z438" s="45"/>
    </row>
    <row r="439">
      <c r="A439" s="52"/>
      <c r="B439" s="53"/>
      <c r="C439" s="53"/>
      <c r="D439" s="53"/>
      <c r="E439" s="45"/>
      <c r="F439" s="45"/>
      <c r="G439" s="45"/>
      <c r="H439" s="45"/>
      <c r="I439" s="45"/>
      <c r="J439" s="45"/>
      <c r="K439" s="45"/>
      <c r="L439" s="45"/>
      <c r="M439" s="45"/>
      <c r="N439" s="45"/>
      <c r="O439" s="45"/>
      <c r="P439" s="45"/>
      <c r="Q439" s="45"/>
      <c r="R439" s="45"/>
      <c r="S439" s="45"/>
      <c r="T439" s="45"/>
      <c r="U439" s="45"/>
      <c r="V439" s="45"/>
      <c r="W439" s="45"/>
      <c r="X439" s="45"/>
      <c r="Y439" s="45"/>
      <c r="Z439" s="45"/>
    </row>
    <row r="440">
      <c r="A440" s="52"/>
      <c r="B440" s="53"/>
      <c r="C440" s="53"/>
      <c r="D440" s="53"/>
      <c r="E440" s="45"/>
      <c r="F440" s="45"/>
      <c r="G440" s="45"/>
      <c r="H440" s="45"/>
      <c r="I440" s="45"/>
      <c r="J440" s="45"/>
      <c r="K440" s="45"/>
      <c r="L440" s="45"/>
      <c r="M440" s="45"/>
      <c r="N440" s="45"/>
      <c r="O440" s="45"/>
      <c r="P440" s="45"/>
      <c r="Q440" s="45"/>
      <c r="R440" s="45"/>
      <c r="S440" s="45"/>
      <c r="T440" s="45"/>
      <c r="U440" s="45"/>
      <c r="V440" s="45"/>
      <c r="W440" s="45"/>
      <c r="X440" s="45"/>
      <c r="Y440" s="45"/>
      <c r="Z440" s="45"/>
    </row>
    <row r="441">
      <c r="A441" s="52"/>
      <c r="B441" s="53"/>
      <c r="C441" s="53"/>
      <c r="D441" s="53"/>
      <c r="E441" s="45"/>
      <c r="F441" s="45"/>
      <c r="G441" s="45"/>
      <c r="H441" s="45"/>
      <c r="I441" s="45"/>
      <c r="J441" s="45"/>
      <c r="K441" s="45"/>
      <c r="L441" s="45"/>
      <c r="M441" s="45"/>
      <c r="N441" s="45"/>
      <c r="O441" s="45"/>
      <c r="P441" s="45"/>
      <c r="Q441" s="45"/>
      <c r="R441" s="45"/>
      <c r="S441" s="45"/>
      <c r="T441" s="45"/>
      <c r="U441" s="45"/>
      <c r="V441" s="45"/>
      <c r="W441" s="45"/>
      <c r="X441" s="45"/>
      <c r="Y441" s="45"/>
      <c r="Z441" s="45"/>
    </row>
    <row r="442">
      <c r="A442" s="52"/>
      <c r="B442" s="53"/>
      <c r="C442" s="53"/>
      <c r="D442" s="53"/>
      <c r="E442" s="45"/>
      <c r="F442" s="45"/>
      <c r="G442" s="45"/>
      <c r="H442" s="45"/>
      <c r="I442" s="45"/>
      <c r="J442" s="45"/>
      <c r="K442" s="45"/>
      <c r="L442" s="45"/>
      <c r="M442" s="45"/>
      <c r="N442" s="45"/>
      <c r="O442" s="45"/>
      <c r="P442" s="45"/>
      <c r="Q442" s="45"/>
      <c r="R442" s="45"/>
      <c r="S442" s="45"/>
      <c r="T442" s="45"/>
      <c r="U442" s="45"/>
      <c r="V442" s="45"/>
      <c r="W442" s="45"/>
      <c r="X442" s="45"/>
      <c r="Y442" s="45"/>
      <c r="Z442" s="45"/>
    </row>
    <row r="443">
      <c r="A443" s="52"/>
      <c r="B443" s="53"/>
      <c r="C443" s="53"/>
      <c r="D443" s="53"/>
      <c r="E443" s="45"/>
      <c r="F443" s="45"/>
      <c r="G443" s="45"/>
      <c r="H443" s="45"/>
      <c r="I443" s="45"/>
      <c r="J443" s="45"/>
      <c r="K443" s="45"/>
      <c r="L443" s="45"/>
      <c r="M443" s="45"/>
      <c r="N443" s="45"/>
      <c r="O443" s="45"/>
      <c r="P443" s="45"/>
      <c r="Q443" s="45"/>
      <c r="R443" s="45"/>
      <c r="S443" s="45"/>
      <c r="T443" s="45"/>
      <c r="U443" s="45"/>
      <c r="V443" s="45"/>
      <c r="W443" s="45"/>
      <c r="X443" s="45"/>
      <c r="Y443" s="45"/>
      <c r="Z443" s="45"/>
    </row>
    <row r="444">
      <c r="A444" s="52"/>
      <c r="B444" s="53"/>
      <c r="C444" s="53"/>
      <c r="D444" s="53"/>
      <c r="E444" s="45"/>
      <c r="F444" s="45"/>
      <c r="G444" s="45"/>
      <c r="H444" s="45"/>
      <c r="I444" s="45"/>
      <c r="J444" s="45"/>
      <c r="K444" s="45"/>
      <c r="L444" s="45"/>
      <c r="M444" s="45"/>
      <c r="N444" s="45"/>
      <c r="O444" s="45"/>
      <c r="P444" s="45"/>
      <c r="Q444" s="45"/>
      <c r="R444" s="45"/>
      <c r="S444" s="45"/>
      <c r="T444" s="45"/>
      <c r="U444" s="45"/>
      <c r="V444" s="45"/>
      <c r="W444" s="45"/>
      <c r="X444" s="45"/>
      <c r="Y444" s="45"/>
      <c r="Z444" s="45"/>
    </row>
    <row r="445">
      <c r="A445" s="52"/>
      <c r="B445" s="53"/>
      <c r="C445" s="53"/>
      <c r="D445" s="53"/>
      <c r="E445" s="45"/>
      <c r="F445" s="45"/>
      <c r="G445" s="45"/>
      <c r="H445" s="45"/>
      <c r="I445" s="45"/>
      <c r="J445" s="45"/>
      <c r="K445" s="45"/>
      <c r="L445" s="45"/>
      <c r="M445" s="45"/>
      <c r="N445" s="45"/>
      <c r="O445" s="45"/>
      <c r="P445" s="45"/>
      <c r="Q445" s="45"/>
      <c r="R445" s="45"/>
      <c r="S445" s="45"/>
      <c r="T445" s="45"/>
      <c r="U445" s="45"/>
      <c r="V445" s="45"/>
      <c r="W445" s="45"/>
      <c r="X445" s="45"/>
      <c r="Y445" s="45"/>
      <c r="Z445" s="45"/>
    </row>
    <row r="446">
      <c r="A446" s="52"/>
      <c r="B446" s="53"/>
      <c r="C446" s="53"/>
      <c r="D446" s="53"/>
      <c r="E446" s="45"/>
      <c r="F446" s="45"/>
      <c r="G446" s="45"/>
      <c r="H446" s="45"/>
      <c r="I446" s="45"/>
      <c r="J446" s="45"/>
      <c r="K446" s="45"/>
      <c r="L446" s="45"/>
      <c r="M446" s="45"/>
      <c r="N446" s="45"/>
      <c r="O446" s="45"/>
      <c r="P446" s="45"/>
      <c r="Q446" s="45"/>
      <c r="R446" s="45"/>
      <c r="S446" s="45"/>
      <c r="T446" s="45"/>
      <c r="U446" s="45"/>
      <c r="V446" s="45"/>
      <c r="W446" s="45"/>
      <c r="X446" s="45"/>
      <c r="Y446" s="45"/>
      <c r="Z446" s="45"/>
    </row>
    <row r="447">
      <c r="A447" s="52"/>
      <c r="B447" s="53"/>
      <c r="C447" s="53"/>
      <c r="D447" s="53"/>
      <c r="E447" s="45"/>
      <c r="F447" s="45"/>
      <c r="G447" s="45"/>
      <c r="H447" s="45"/>
      <c r="I447" s="45"/>
      <c r="J447" s="45"/>
      <c r="K447" s="45"/>
      <c r="L447" s="45"/>
      <c r="M447" s="45"/>
      <c r="N447" s="45"/>
      <c r="O447" s="45"/>
      <c r="P447" s="45"/>
      <c r="Q447" s="45"/>
      <c r="R447" s="45"/>
      <c r="S447" s="45"/>
      <c r="T447" s="45"/>
      <c r="U447" s="45"/>
      <c r="V447" s="45"/>
      <c r="W447" s="45"/>
      <c r="X447" s="45"/>
      <c r="Y447" s="45"/>
      <c r="Z447" s="45"/>
    </row>
    <row r="448">
      <c r="A448" s="52"/>
      <c r="B448" s="53"/>
      <c r="C448" s="53"/>
      <c r="D448" s="53"/>
      <c r="E448" s="45"/>
      <c r="F448" s="45"/>
      <c r="G448" s="45"/>
      <c r="H448" s="45"/>
      <c r="I448" s="45"/>
      <c r="J448" s="45"/>
      <c r="K448" s="45"/>
      <c r="L448" s="45"/>
      <c r="M448" s="45"/>
      <c r="N448" s="45"/>
      <c r="O448" s="45"/>
      <c r="P448" s="45"/>
      <c r="Q448" s="45"/>
      <c r="R448" s="45"/>
      <c r="S448" s="45"/>
      <c r="T448" s="45"/>
      <c r="U448" s="45"/>
      <c r="V448" s="45"/>
      <c r="W448" s="45"/>
      <c r="X448" s="45"/>
      <c r="Y448" s="45"/>
      <c r="Z448" s="45"/>
    </row>
    <row r="449">
      <c r="A449" s="52"/>
      <c r="B449" s="53"/>
      <c r="C449" s="53"/>
      <c r="D449" s="53"/>
      <c r="E449" s="45"/>
      <c r="F449" s="45"/>
      <c r="G449" s="45"/>
      <c r="H449" s="45"/>
      <c r="I449" s="45"/>
      <c r="J449" s="45"/>
      <c r="K449" s="45"/>
      <c r="L449" s="45"/>
      <c r="M449" s="45"/>
      <c r="N449" s="45"/>
      <c r="O449" s="45"/>
      <c r="P449" s="45"/>
      <c r="Q449" s="45"/>
      <c r="R449" s="45"/>
      <c r="S449" s="45"/>
      <c r="T449" s="45"/>
      <c r="U449" s="45"/>
      <c r="V449" s="45"/>
      <c r="W449" s="45"/>
      <c r="X449" s="45"/>
      <c r="Y449" s="45"/>
      <c r="Z449" s="45"/>
    </row>
    <row r="450">
      <c r="A450" s="52"/>
      <c r="B450" s="53"/>
      <c r="C450" s="53"/>
      <c r="D450" s="53"/>
      <c r="E450" s="45"/>
      <c r="F450" s="45"/>
      <c r="G450" s="45"/>
      <c r="H450" s="45"/>
      <c r="I450" s="45"/>
      <c r="J450" s="45"/>
      <c r="K450" s="45"/>
      <c r="L450" s="45"/>
      <c r="M450" s="45"/>
      <c r="N450" s="45"/>
      <c r="O450" s="45"/>
      <c r="P450" s="45"/>
      <c r="Q450" s="45"/>
      <c r="R450" s="45"/>
      <c r="S450" s="45"/>
      <c r="T450" s="45"/>
      <c r="U450" s="45"/>
      <c r="V450" s="45"/>
      <c r="W450" s="45"/>
      <c r="X450" s="45"/>
      <c r="Y450" s="45"/>
      <c r="Z450" s="45"/>
    </row>
    <row r="451">
      <c r="A451" s="52"/>
      <c r="B451" s="53"/>
      <c r="C451" s="53"/>
      <c r="D451" s="53"/>
      <c r="E451" s="45"/>
      <c r="F451" s="45"/>
      <c r="G451" s="45"/>
      <c r="H451" s="45"/>
      <c r="I451" s="45"/>
      <c r="J451" s="45"/>
      <c r="K451" s="45"/>
      <c r="L451" s="45"/>
      <c r="M451" s="45"/>
      <c r="N451" s="45"/>
      <c r="O451" s="45"/>
      <c r="P451" s="45"/>
      <c r="Q451" s="45"/>
      <c r="R451" s="45"/>
      <c r="S451" s="45"/>
      <c r="T451" s="45"/>
      <c r="U451" s="45"/>
      <c r="V451" s="45"/>
      <c r="W451" s="45"/>
      <c r="X451" s="45"/>
      <c r="Y451" s="45"/>
      <c r="Z451" s="45"/>
    </row>
    <row r="452">
      <c r="A452" s="52"/>
      <c r="B452" s="53"/>
      <c r="C452" s="53"/>
      <c r="D452" s="53"/>
      <c r="E452" s="45"/>
      <c r="F452" s="45"/>
      <c r="G452" s="45"/>
      <c r="H452" s="45"/>
      <c r="I452" s="45"/>
      <c r="J452" s="45"/>
      <c r="K452" s="45"/>
      <c r="L452" s="45"/>
      <c r="M452" s="45"/>
      <c r="N452" s="45"/>
      <c r="O452" s="45"/>
      <c r="P452" s="45"/>
      <c r="Q452" s="45"/>
      <c r="R452" s="45"/>
      <c r="S452" s="45"/>
      <c r="T452" s="45"/>
      <c r="U452" s="45"/>
      <c r="V452" s="45"/>
      <c r="W452" s="45"/>
      <c r="X452" s="45"/>
      <c r="Y452" s="45"/>
      <c r="Z452" s="45"/>
    </row>
    <row r="453">
      <c r="A453" s="52"/>
      <c r="B453" s="53"/>
      <c r="C453" s="53"/>
      <c r="D453" s="53"/>
      <c r="E453" s="45"/>
      <c r="F453" s="45"/>
      <c r="G453" s="45"/>
      <c r="H453" s="45"/>
      <c r="I453" s="45"/>
      <c r="J453" s="45"/>
      <c r="K453" s="45"/>
      <c r="L453" s="45"/>
      <c r="M453" s="45"/>
      <c r="N453" s="45"/>
      <c r="O453" s="45"/>
      <c r="P453" s="45"/>
      <c r="Q453" s="45"/>
      <c r="R453" s="45"/>
      <c r="S453" s="45"/>
      <c r="T453" s="45"/>
      <c r="U453" s="45"/>
      <c r="V453" s="45"/>
      <c r="W453" s="45"/>
      <c r="X453" s="45"/>
      <c r="Y453" s="45"/>
      <c r="Z453" s="45"/>
    </row>
    <row r="454">
      <c r="A454" s="52"/>
      <c r="B454" s="53"/>
      <c r="C454" s="53"/>
      <c r="D454" s="53"/>
      <c r="E454" s="45"/>
      <c r="F454" s="45"/>
      <c r="G454" s="45"/>
      <c r="H454" s="45"/>
      <c r="I454" s="45"/>
      <c r="J454" s="45"/>
      <c r="K454" s="45"/>
      <c r="L454" s="45"/>
      <c r="M454" s="45"/>
      <c r="N454" s="45"/>
      <c r="O454" s="45"/>
      <c r="P454" s="45"/>
      <c r="Q454" s="45"/>
      <c r="R454" s="45"/>
      <c r="S454" s="45"/>
      <c r="T454" s="45"/>
      <c r="U454" s="45"/>
      <c r="V454" s="45"/>
      <c r="W454" s="45"/>
      <c r="X454" s="45"/>
      <c r="Y454" s="45"/>
      <c r="Z454" s="45"/>
    </row>
    <row r="455">
      <c r="A455" s="52"/>
      <c r="B455" s="53"/>
      <c r="C455" s="53"/>
      <c r="D455" s="53"/>
      <c r="E455" s="45"/>
      <c r="F455" s="45"/>
      <c r="G455" s="45"/>
      <c r="H455" s="45"/>
      <c r="I455" s="45"/>
      <c r="J455" s="45"/>
      <c r="K455" s="45"/>
      <c r="L455" s="45"/>
      <c r="M455" s="45"/>
      <c r="N455" s="45"/>
      <c r="O455" s="45"/>
      <c r="P455" s="45"/>
      <c r="Q455" s="45"/>
      <c r="R455" s="45"/>
      <c r="S455" s="45"/>
      <c r="T455" s="45"/>
      <c r="U455" s="45"/>
      <c r="V455" s="45"/>
      <c r="W455" s="45"/>
      <c r="X455" s="45"/>
      <c r="Y455" s="45"/>
      <c r="Z455" s="45"/>
    </row>
    <row r="456">
      <c r="A456" s="52"/>
      <c r="B456" s="53"/>
      <c r="C456" s="53"/>
      <c r="D456" s="53"/>
      <c r="E456" s="45"/>
      <c r="F456" s="45"/>
      <c r="G456" s="45"/>
      <c r="H456" s="45"/>
      <c r="I456" s="45"/>
      <c r="J456" s="45"/>
      <c r="K456" s="45"/>
      <c r="L456" s="45"/>
      <c r="M456" s="45"/>
      <c r="N456" s="45"/>
      <c r="O456" s="45"/>
      <c r="P456" s="45"/>
      <c r="Q456" s="45"/>
      <c r="R456" s="45"/>
      <c r="S456" s="45"/>
      <c r="T456" s="45"/>
      <c r="U456" s="45"/>
      <c r="V456" s="45"/>
      <c r="W456" s="45"/>
      <c r="X456" s="45"/>
      <c r="Y456" s="45"/>
      <c r="Z456" s="45"/>
    </row>
    <row r="457">
      <c r="A457" s="52"/>
      <c r="B457" s="53"/>
      <c r="C457" s="53"/>
      <c r="D457" s="53"/>
      <c r="E457" s="45"/>
      <c r="F457" s="45"/>
      <c r="G457" s="45"/>
      <c r="H457" s="45"/>
      <c r="I457" s="45"/>
      <c r="J457" s="45"/>
      <c r="K457" s="45"/>
      <c r="L457" s="45"/>
      <c r="M457" s="45"/>
      <c r="N457" s="45"/>
      <c r="O457" s="45"/>
      <c r="P457" s="45"/>
      <c r="Q457" s="45"/>
      <c r="R457" s="45"/>
      <c r="S457" s="45"/>
      <c r="T457" s="45"/>
      <c r="U457" s="45"/>
      <c r="V457" s="45"/>
      <c r="W457" s="45"/>
      <c r="X457" s="45"/>
      <c r="Y457" s="45"/>
      <c r="Z457" s="45"/>
    </row>
    <row r="458">
      <c r="A458" s="52"/>
      <c r="B458" s="53"/>
      <c r="C458" s="53"/>
      <c r="D458" s="53"/>
      <c r="E458" s="45"/>
      <c r="F458" s="45"/>
      <c r="G458" s="45"/>
      <c r="H458" s="45"/>
      <c r="I458" s="45"/>
      <c r="J458" s="45"/>
      <c r="K458" s="45"/>
      <c r="L458" s="45"/>
      <c r="M458" s="45"/>
      <c r="N458" s="45"/>
      <c r="O458" s="45"/>
      <c r="P458" s="45"/>
      <c r="Q458" s="45"/>
      <c r="R458" s="45"/>
      <c r="S458" s="45"/>
      <c r="T458" s="45"/>
      <c r="U458" s="45"/>
      <c r="V458" s="45"/>
      <c r="W458" s="45"/>
      <c r="X458" s="45"/>
      <c r="Y458" s="45"/>
      <c r="Z458" s="45"/>
    </row>
    <row r="459">
      <c r="A459" s="52"/>
      <c r="B459" s="53"/>
      <c r="C459" s="53"/>
      <c r="D459" s="53"/>
      <c r="E459" s="45"/>
      <c r="F459" s="45"/>
      <c r="G459" s="45"/>
      <c r="H459" s="45"/>
      <c r="I459" s="45"/>
      <c r="J459" s="45"/>
      <c r="K459" s="45"/>
      <c r="L459" s="45"/>
      <c r="M459" s="45"/>
      <c r="N459" s="45"/>
      <c r="O459" s="45"/>
      <c r="P459" s="45"/>
      <c r="Q459" s="45"/>
      <c r="R459" s="45"/>
      <c r="S459" s="45"/>
      <c r="T459" s="45"/>
      <c r="U459" s="45"/>
      <c r="V459" s="45"/>
      <c r="W459" s="45"/>
      <c r="X459" s="45"/>
      <c r="Y459" s="45"/>
      <c r="Z459" s="45"/>
    </row>
    <row r="460">
      <c r="A460" s="52"/>
      <c r="B460" s="53"/>
      <c r="C460" s="53"/>
      <c r="D460" s="53"/>
      <c r="E460" s="45"/>
      <c r="F460" s="45"/>
      <c r="G460" s="45"/>
      <c r="H460" s="45"/>
      <c r="I460" s="45"/>
      <c r="J460" s="45"/>
      <c r="K460" s="45"/>
      <c r="L460" s="45"/>
      <c r="M460" s="45"/>
      <c r="N460" s="45"/>
      <c r="O460" s="45"/>
      <c r="P460" s="45"/>
      <c r="Q460" s="45"/>
      <c r="R460" s="45"/>
      <c r="S460" s="45"/>
      <c r="T460" s="45"/>
      <c r="U460" s="45"/>
      <c r="V460" s="45"/>
      <c r="W460" s="45"/>
      <c r="X460" s="45"/>
      <c r="Y460" s="45"/>
      <c r="Z460" s="45"/>
    </row>
    <row r="461">
      <c r="A461" s="52"/>
      <c r="B461" s="53"/>
      <c r="C461" s="53"/>
      <c r="D461" s="53"/>
      <c r="E461" s="45"/>
      <c r="F461" s="45"/>
      <c r="G461" s="45"/>
      <c r="H461" s="45"/>
      <c r="I461" s="45"/>
      <c r="J461" s="45"/>
      <c r="K461" s="45"/>
      <c r="L461" s="45"/>
      <c r="M461" s="45"/>
      <c r="N461" s="45"/>
      <c r="O461" s="45"/>
      <c r="P461" s="45"/>
      <c r="Q461" s="45"/>
      <c r="R461" s="45"/>
      <c r="S461" s="45"/>
      <c r="T461" s="45"/>
      <c r="U461" s="45"/>
      <c r="V461" s="45"/>
      <c r="W461" s="45"/>
      <c r="X461" s="45"/>
      <c r="Y461" s="45"/>
      <c r="Z461" s="45"/>
    </row>
    <row r="462">
      <c r="A462" s="52"/>
      <c r="B462" s="53"/>
      <c r="C462" s="53"/>
      <c r="D462" s="53"/>
      <c r="E462" s="45"/>
      <c r="F462" s="45"/>
      <c r="G462" s="45"/>
      <c r="H462" s="45"/>
      <c r="I462" s="45"/>
      <c r="J462" s="45"/>
      <c r="K462" s="45"/>
      <c r="L462" s="45"/>
      <c r="M462" s="45"/>
      <c r="N462" s="45"/>
      <c r="O462" s="45"/>
      <c r="P462" s="45"/>
      <c r="Q462" s="45"/>
      <c r="R462" s="45"/>
      <c r="S462" s="45"/>
      <c r="T462" s="45"/>
      <c r="U462" s="45"/>
      <c r="V462" s="45"/>
      <c r="W462" s="45"/>
      <c r="X462" s="45"/>
      <c r="Y462" s="45"/>
      <c r="Z462" s="45"/>
    </row>
    <row r="463">
      <c r="A463" s="52"/>
      <c r="B463" s="53"/>
      <c r="C463" s="53"/>
      <c r="D463" s="53"/>
      <c r="E463" s="45"/>
      <c r="F463" s="45"/>
      <c r="G463" s="45"/>
      <c r="H463" s="45"/>
      <c r="I463" s="45"/>
      <c r="J463" s="45"/>
      <c r="K463" s="45"/>
      <c r="L463" s="45"/>
      <c r="M463" s="45"/>
      <c r="N463" s="45"/>
      <c r="O463" s="45"/>
      <c r="P463" s="45"/>
      <c r="Q463" s="45"/>
      <c r="R463" s="45"/>
      <c r="S463" s="45"/>
      <c r="T463" s="45"/>
      <c r="U463" s="45"/>
      <c r="V463" s="45"/>
      <c r="W463" s="45"/>
      <c r="X463" s="45"/>
      <c r="Y463" s="45"/>
      <c r="Z463" s="45"/>
    </row>
    <row r="464">
      <c r="A464" s="52"/>
      <c r="B464" s="53"/>
      <c r="C464" s="53"/>
      <c r="D464" s="53"/>
      <c r="E464" s="45"/>
      <c r="F464" s="45"/>
      <c r="G464" s="45"/>
      <c r="H464" s="45"/>
      <c r="I464" s="45"/>
      <c r="J464" s="45"/>
      <c r="K464" s="45"/>
      <c r="L464" s="45"/>
      <c r="M464" s="45"/>
      <c r="N464" s="45"/>
      <c r="O464" s="45"/>
      <c r="P464" s="45"/>
      <c r="Q464" s="45"/>
      <c r="R464" s="45"/>
      <c r="S464" s="45"/>
      <c r="T464" s="45"/>
      <c r="U464" s="45"/>
      <c r="V464" s="45"/>
      <c r="W464" s="45"/>
      <c r="X464" s="45"/>
      <c r="Y464" s="45"/>
      <c r="Z464" s="45"/>
    </row>
    <row r="465">
      <c r="A465" s="52"/>
      <c r="B465" s="53"/>
      <c r="C465" s="53"/>
      <c r="D465" s="53"/>
      <c r="E465" s="45"/>
      <c r="F465" s="45"/>
      <c r="G465" s="45"/>
      <c r="H465" s="45"/>
      <c r="I465" s="45"/>
      <c r="J465" s="45"/>
      <c r="K465" s="45"/>
      <c r="L465" s="45"/>
      <c r="M465" s="45"/>
      <c r="N465" s="45"/>
      <c r="O465" s="45"/>
      <c r="P465" s="45"/>
      <c r="Q465" s="45"/>
      <c r="R465" s="45"/>
      <c r="S465" s="45"/>
      <c r="T465" s="45"/>
      <c r="U465" s="45"/>
      <c r="V465" s="45"/>
      <c r="W465" s="45"/>
      <c r="X465" s="45"/>
      <c r="Y465" s="45"/>
      <c r="Z465" s="45"/>
    </row>
    <row r="466">
      <c r="A466" s="52"/>
      <c r="B466" s="53"/>
      <c r="C466" s="53"/>
      <c r="D466" s="53"/>
      <c r="E466" s="45"/>
      <c r="F466" s="45"/>
      <c r="G466" s="45"/>
      <c r="H466" s="45"/>
      <c r="I466" s="45"/>
      <c r="J466" s="45"/>
      <c r="K466" s="45"/>
      <c r="L466" s="45"/>
      <c r="M466" s="45"/>
      <c r="N466" s="45"/>
      <c r="O466" s="45"/>
      <c r="P466" s="45"/>
      <c r="Q466" s="45"/>
      <c r="R466" s="45"/>
      <c r="S466" s="45"/>
      <c r="T466" s="45"/>
      <c r="U466" s="45"/>
      <c r="V466" s="45"/>
      <c r="W466" s="45"/>
      <c r="X466" s="45"/>
      <c r="Y466" s="45"/>
      <c r="Z466" s="45"/>
    </row>
    <row r="467">
      <c r="A467" s="52"/>
      <c r="B467" s="53"/>
      <c r="C467" s="53"/>
      <c r="D467" s="53"/>
      <c r="E467" s="45"/>
      <c r="F467" s="45"/>
      <c r="G467" s="45"/>
      <c r="H467" s="45"/>
      <c r="I467" s="45"/>
      <c r="J467" s="45"/>
      <c r="K467" s="45"/>
      <c r="L467" s="45"/>
      <c r="M467" s="45"/>
      <c r="N467" s="45"/>
      <c r="O467" s="45"/>
      <c r="P467" s="45"/>
      <c r="Q467" s="45"/>
      <c r="R467" s="45"/>
      <c r="S467" s="45"/>
      <c r="T467" s="45"/>
      <c r="U467" s="45"/>
      <c r="V467" s="45"/>
      <c r="W467" s="45"/>
      <c r="X467" s="45"/>
      <c r="Y467" s="45"/>
      <c r="Z467" s="45"/>
    </row>
    <row r="468">
      <c r="A468" s="52"/>
      <c r="B468" s="53"/>
      <c r="C468" s="53"/>
      <c r="D468" s="53"/>
      <c r="E468" s="45"/>
      <c r="F468" s="45"/>
      <c r="G468" s="45"/>
      <c r="H468" s="45"/>
      <c r="I468" s="45"/>
      <c r="J468" s="45"/>
      <c r="K468" s="45"/>
      <c r="L468" s="45"/>
      <c r="M468" s="45"/>
      <c r="N468" s="45"/>
      <c r="O468" s="45"/>
      <c r="P468" s="45"/>
      <c r="Q468" s="45"/>
      <c r="R468" s="45"/>
      <c r="S468" s="45"/>
      <c r="T468" s="45"/>
      <c r="U468" s="45"/>
      <c r="V468" s="45"/>
      <c r="W468" s="45"/>
      <c r="X468" s="45"/>
      <c r="Y468" s="45"/>
      <c r="Z468" s="45"/>
    </row>
    <row r="469">
      <c r="A469" s="52"/>
      <c r="B469" s="53"/>
      <c r="C469" s="53"/>
      <c r="D469" s="53"/>
      <c r="E469" s="45"/>
      <c r="F469" s="45"/>
      <c r="G469" s="45"/>
      <c r="H469" s="45"/>
      <c r="I469" s="45"/>
      <c r="J469" s="45"/>
      <c r="K469" s="45"/>
      <c r="L469" s="45"/>
      <c r="M469" s="45"/>
      <c r="N469" s="45"/>
      <c r="O469" s="45"/>
      <c r="P469" s="45"/>
      <c r="Q469" s="45"/>
      <c r="R469" s="45"/>
      <c r="S469" s="45"/>
      <c r="T469" s="45"/>
      <c r="U469" s="45"/>
      <c r="V469" s="45"/>
      <c r="W469" s="45"/>
      <c r="X469" s="45"/>
      <c r="Y469" s="45"/>
      <c r="Z469" s="45"/>
    </row>
    <row r="470">
      <c r="A470" s="52"/>
      <c r="B470" s="53"/>
      <c r="C470" s="53"/>
      <c r="D470" s="53"/>
      <c r="E470" s="45"/>
      <c r="F470" s="45"/>
      <c r="G470" s="45"/>
      <c r="H470" s="45"/>
      <c r="I470" s="45"/>
      <c r="J470" s="45"/>
      <c r="K470" s="45"/>
      <c r="L470" s="45"/>
      <c r="M470" s="45"/>
      <c r="N470" s="45"/>
      <c r="O470" s="45"/>
      <c r="P470" s="45"/>
      <c r="Q470" s="45"/>
      <c r="R470" s="45"/>
      <c r="S470" s="45"/>
      <c r="T470" s="45"/>
      <c r="U470" s="45"/>
      <c r="V470" s="45"/>
      <c r="W470" s="45"/>
      <c r="X470" s="45"/>
      <c r="Y470" s="45"/>
      <c r="Z470" s="45"/>
    </row>
    <row r="471">
      <c r="A471" s="52"/>
      <c r="B471" s="53"/>
      <c r="C471" s="53"/>
      <c r="D471" s="53"/>
      <c r="E471" s="45"/>
      <c r="F471" s="45"/>
      <c r="G471" s="45"/>
      <c r="H471" s="45"/>
      <c r="I471" s="45"/>
      <c r="J471" s="45"/>
      <c r="K471" s="45"/>
      <c r="L471" s="45"/>
      <c r="M471" s="45"/>
      <c r="N471" s="45"/>
      <c r="O471" s="45"/>
      <c r="P471" s="45"/>
      <c r="Q471" s="45"/>
      <c r="R471" s="45"/>
      <c r="S471" s="45"/>
      <c r="T471" s="45"/>
      <c r="U471" s="45"/>
      <c r="V471" s="45"/>
      <c r="W471" s="45"/>
      <c r="X471" s="45"/>
      <c r="Y471" s="45"/>
      <c r="Z471" s="45"/>
    </row>
    <row r="472">
      <c r="A472" s="52"/>
      <c r="B472" s="53"/>
      <c r="C472" s="53"/>
      <c r="D472" s="53"/>
      <c r="E472" s="45"/>
      <c r="F472" s="45"/>
      <c r="G472" s="45"/>
      <c r="H472" s="45"/>
      <c r="I472" s="45"/>
      <c r="J472" s="45"/>
      <c r="K472" s="45"/>
      <c r="L472" s="45"/>
      <c r="M472" s="45"/>
      <c r="N472" s="45"/>
      <c r="O472" s="45"/>
      <c r="P472" s="45"/>
      <c r="Q472" s="45"/>
      <c r="R472" s="45"/>
      <c r="S472" s="45"/>
      <c r="T472" s="45"/>
      <c r="U472" s="45"/>
      <c r="V472" s="45"/>
      <c r="W472" s="45"/>
      <c r="X472" s="45"/>
      <c r="Y472" s="45"/>
      <c r="Z472" s="45"/>
    </row>
    <row r="473">
      <c r="A473" s="52"/>
      <c r="B473" s="53"/>
      <c r="C473" s="53"/>
      <c r="D473" s="53"/>
      <c r="E473" s="45"/>
      <c r="F473" s="45"/>
      <c r="G473" s="45"/>
      <c r="H473" s="45"/>
      <c r="I473" s="45"/>
      <c r="J473" s="45"/>
      <c r="K473" s="45"/>
      <c r="L473" s="45"/>
      <c r="M473" s="45"/>
      <c r="N473" s="45"/>
      <c r="O473" s="45"/>
      <c r="P473" s="45"/>
      <c r="Q473" s="45"/>
      <c r="R473" s="45"/>
      <c r="S473" s="45"/>
      <c r="T473" s="45"/>
      <c r="U473" s="45"/>
      <c r="V473" s="45"/>
      <c r="W473" s="45"/>
      <c r="X473" s="45"/>
      <c r="Y473" s="45"/>
      <c r="Z473" s="45"/>
    </row>
    <row r="474">
      <c r="A474" s="52"/>
      <c r="B474" s="53"/>
      <c r="C474" s="53"/>
      <c r="D474" s="53"/>
      <c r="E474" s="45"/>
      <c r="F474" s="45"/>
      <c r="G474" s="45"/>
      <c r="H474" s="45"/>
      <c r="I474" s="45"/>
      <c r="J474" s="45"/>
      <c r="K474" s="45"/>
      <c r="L474" s="45"/>
      <c r="M474" s="45"/>
      <c r="N474" s="45"/>
      <c r="O474" s="45"/>
      <c r="P474" s="45"/>
      <c r="Q474" s="45"/>
      <c r="R474" s="45"/>
      <c r="S474" s="45"/>
      <c r="T474" s="45"/>
      <c r="U474" s="45"/>
      <c r="V474" s="45"/>
      <c r="W474" s="45"/>
      <c r="X474" s="45"/>
      <c r="Y474" s="45"/>
      <c r="Z474" s="45"/>
    </row>
    <row r="475">
      <c r="A475" s="52"/>
      <c r="B475" s="53"/>
      <c r="C475" s="53"/>
      <c r="D475" s="53"/>
      <c r="E475" s="45"/>
      <c r="F475" s="45"/>
      <c r="G475" s="45"/>
      <c r="H475" s="45"/>
      <c r="I475" s="45"/>
      <c r="J475" s="45"/>
      <c r="K475" s="45"/>
      <c r="L475" s="45"/>
      <c r="M475" s="45"/>
      <c r="N475" s="45"/>
      <c r="O475" s="45"/>
      <c r="P475" s="45"/>
      <c r="Q475" s="45"/>
      <c r="R475" s="45"/>
      <c r="S475" s="45"/>
      <c r="T475" s="45"/>
      <c r="U475" s="45"/>
      <c r="V475" s="45"/>
      <c r="W475" s="45"/>
      <c r="X475" s="45"/>
      <c r="Y475" s="45"/>
      <c r="Z475" s="45"/>
    </row>
    <row r="476">
      <c r="A476" s="52"/>
      <c r="B476" s="53"/>
      <c r="C476" s="53"/>
      <c r="D476" s="53"/>
      <c r="E476" s="45"/>
      <c r="F476" s="45"/>
      <c r="G476" s="45"/>
      <c r="H476" s="45"/>
      <c r="I476" s="45"/>
      <c r="J476" s="45"/>
      <c r="K476" s="45"/>
      <c r="L476" s="45"/>
      <c r="M476" s="45"/>
      <c r="N476" s="45"/>
      <c r="O476" s="45"/>
      <c r="P476" s="45"/>
      <c r="Q476" s="45"/>
      <c r="R476" s="45"/>
      <c r="S476" s="45"/>
      <c r="T476" s="45"/>
      <c r="U476" s="45"/>
      <c r="V476" s="45"/>
      <c r="W476" s="45"/>
      <c r="X476" s="45"/>
      <c r="Y476" s="45"/>
      <c r="Z476" s="45"/>
    </row>
    <row r="477">
      <c r="A477" s="52"/>
      <c r="B477" s="53"/>
      <c r="C477" s="53"/>
      <c r="D477" s="53"/>
      <c r="E477" s="45"/>
      <c r="F477" s="45"/>
      <c r="G477" s="45"/>
      <c r="H477" s="45"/>
      <c r="I477" s="45"/>
      <c r="J477" s="45"/>
      <c r="K477" s="45"/>
      <c r="L477" s="45"/>
      <c r="M477" s="45"/>
      <c r="N477" s="45"/>
      <c r="O477" s="45"/>
      <c r="P477" s="45"/>
      <c r="Q477" s="45"/>
      <c r="R477" s="45"/>
      <c r="S477" s="45"/>
      <c r="T477" s="45"/>
      <c r="U477" s="45"/>
      <c r="V477" s="45"/>
      <c r="W477" s="45"/>
      <c r="X477" s="45"/>
      <c r="Y477" s="45"/>
      <c r="Z477" s="45"/>
    </row>
    <row r="478">
      <c r="A478" s="52"/>
      <c r="B478" s="53"/>
      <c r="C478" s="53"/>
      <c r="D478" s="53"/>
      <c r="E478" s="45"/>
      <c r="F478" s="45"/>
      <c r="G478" s="45"/>
      <c r="H478" s="45"/>
      <c r="I478" s="45"/>
      <c r="J478" s="45"/>
      <c r="K478" s="45"/>
      <c r="L478" s="45"/>
      <c r="M478" s="45"/>
      <c r="N478" s="45"/>
      <c r="O478" s="45"/>
      <c r="P478" s="45"/>
      <c r="Q478" s="45"/>
      <c r="R478" s="45"/>
      <c r="S478" s="45"/>
      <c r="T478" s="45"/>
      <c r="U478" s="45"/>
      <c r="V478" s="45"/>
      <c r="W478" s="45"/>
      <c r="X478" s="45"/>
      <c r="Y478" s="45"/>
      <c r="Z478" s="45"/>
    </row>
    <row r="479">
      <c r="A479" s="52"/>
      <c r="B479" s="53"/>
      <c r="C479" s="53"/>
      <c r="D479" s="53"/>
      <c r="E479" s="45"/>
      <c r="F479" s="45"/>
      <c r="G479" s="45"/>
      <c r="H479" s="45"/>
      <c r="I479" s="45"/>
      <c r="J479" s="45"/>
      <c r="K479" s="45"/>
      <c r="L479" s="45"/>
      <c r="M479" s="45"/>
      <c r="N479" s="45"/>
      <c r="O479" s="45"/>
      <c r="P479" s="45"/>
      <c r="Q479" s="45"/>
      <c r="R479" s="45"/>
      <c r="S479" s="45"/>
      <c r="T479" s="45"/>
      <c r="U479" s="45"/>
      <c r="V479" s="45"/>
      <c r="W479" s="45"/>
      <c r="X479" s="45"/>
      <c r="Y479" s="45"/>
      <c r="Z479" s="45"/>
    </row>
    <row r="480">
      <c r="A480" s="52"/>
      <c r="B480" s="53"/>
      <c r="C480" s="53"/>
      <c r="D480" s="53"/>
      <c r="E480" s="45"/>
      <c r="F480" s="45"/>
      <c r="G480" s="45"/>
      <c r="H480" s="45"/>
      <c r="I480" s="45"/>
      <c r="J480" s="45"/>
      <c r="K480" s="45"/>
      <c r="L480" s="45"/>
      <c r="M480" s="45"/>
      <c r="N480" s="45"/>
      <c r="O480" s="45"/>
      <c r="P480" s="45"/>
      <c r="Q480" s="45"/>
      <c r="R480" s="45"/>
      <c r="S480" s="45"/>
      <c r="T480" s="45"/>
      <c r="U480" s="45"/>
      <c r="V480" s="45"/>
      <c r="W480" s="45"/>
      <c r="X480" s="45"/>
      <c r="Y480" s="45"/>
      <c r="Z480" s="45"/>
    </row>
    <row r="481">
      <c r="A481" s="52"/>
      <c r="B481" s="53"/>
      <c r="C481" s="53"/>
      <c r="D481" s="53"/>
      <c r="E481" s="45"/>
      <c r="F481" s="45"/>
      <c r="G481" s="45"/>
      <c r="H481" s="45"/>
      <c r="I481" s="45"/>
      <c r="J481" s="45"/>
      <c r="K481" s="45"/>
      <c r="L481" s="45"/>
      <c r="M481" s="45"/>
      <c r="N481" s="45"/>
      <c r="O481" s="45"/>
      <c r="P481" s="45"/>
      <c r="Q481" s="45"/>
      <c r="R481" s="45"/>
      <c r="S481" s="45"/>
      <c r="T481" s="45"/>
      <c r="U481" s="45"/>
      <c r="V481" s="45"/>
      <c r="W481" s="45"/>
      <c r="X481" s="45"/>
      <c r="Y481" s="45"/>
      <c r="Z481" s="45"/>
    </row>
    <row r="482">
      <c r="A482" s="52"/>
      <c r="B482" s="53"/>
      <c r="C482" s="53"/>
      <c r="D482" s="53"/>
      <c r="E482" s="45"/>
      <c r="F482" s="45"/>
      <c r="G482" s="45"/>
      <c r="H482" s="45"/>
      <c r="I482" s="45"/>
      <c r="J482" s="45"/>
      <c r="K482" s="45"/>
      <c r="L482" s="45"/>
      <c r="M482" s="45"/>
      <c r="N482" s="45"/>
      <c r="O482" s="45"/>
      <c r="P482" s="45"/>
      <c r="Q482" s="45"/>
      <c r="R482" s="45"/>
      <c r="S482" s="45"/>
      <c r="T482" s="45"/>
      <c r="U482" s="45"/>
      <c r="V482" s="45"/>
      <c r="W482" s="45"/>
      <c r="X482" s="45"/>
      <c r="Y482" s="45"/>
      <c r="Z482" s="45"/>
    </row>
    <row r="483">
      <c r="A483" s="52"/>
      <c r="B483" s="53"/>
      <c r="C483" s="53"/>
      <c r="D483" s="53"/>
      <c r="E483" s="45"/>
      <c r="F483" s="45"/>
      <c r="G483" s="45"/>
      <c r="H483" s="45"/>
      <c r="I483" s="45"/>
      <c r="J483" s="45"/>
      <c r="K483" s="45"/>
      <c r="L483" s="45"/>
      <c r="M483" s="45"/>
      <c r="N483" s="45"/>
      <c r="O483" s="45"/>
      <c r="P483" s="45"/>
      <c r="Q483" s="45"/>
      <c r="R483" s="45"/>
      <c r="S483" s="45"/>
      <c r="T483" s="45"/>
      <c r="U483" s="45"/>
      <c r="V483" s="45"/>
      <c r="W483" s="45"/>
      <c r="X483" s="45"/>
      <c r="Y483" s="45"/>
      <c r="Z483" s="45"/>
    </row>
    <row r="484">
      <c r="A484" s="52"/>
      <c r="B484" s="53"/>
      <c r="C484" s="53"/>
      <c r="D484" s="53"/>
      <c r="E484" s="45"/>
      <c r="F484" s="45"/>
      <c r="G484" s="45"/>
      <c r="H484" s="45"/>
      <c r="I484" s="45"/>
      <c r="J484" s="45"/>
      <c r="K484" s="45"/>
      <c r="L484" s="45"/>
      <c r="M484" s="45"/>
      <c r="N484" s="45"/>
      <c r="O484" s="45"/>
      <c r="P484" s="45"/>
      <c r="Q484" s="45"/>
      <c r="R484" s="45"/>
      <c r="S484" s="45"/>
      <c r="T484" s="45"/>
      <c r="U484" s="45"/>
      <c r="V484" s="45"/>
      <c r="W484" s="45"/>
      <c r="X484" s="45"/>
      <c r="Y484" s="45"/>
      <c r="Z484" s="45"/>
    </row>
    <row r="485">
      <c r="A485" s="52"/>
      <c r="B485" s="53"/>
      <c r="C485" s="53"/>
      <c r="D485" s="53"/>
      <c r="E485" s="45"/>
      <c r="F485" s="45"/>
      <c r="G485" s="45"/>
      <c r="H485" s="45"/>
      <c r="I485" s="45"/>
      <c r="J485" s="45"/>
      <c r="K485" s="45"/>
      <c r="L485" s="45"/>
      <c r="M485" s="45"/>
      <c r="N485" s="45"/>
      <c r="O485" s="45"/>
      <c r="P485" s="45"/>
      <c r="Q485" s="45"/>
      <c r="R485" s="45"/>
      <c r="S485" s="45"/>
      <c r="T485" s="45"/>
      <c r="U485" s="45"/>
      <c r="V485" s="45"/>
      <c r="W485" s="45"/>
      <c r="X485" s="45"/>
      <c r="Y485" s="45"/>
      <c r="Z485" s="45"/>
    </row>
    <row r="486">
      <c r="A486" s="52"/>
      <c r="B486" s="53"/>
      <c r="C486" s="53"/>
      <c r="D486" s="53"/>
      <c r="E486" s="45"/>
      <c r="F486" s="45"/>
      <c r="G486" s="45"/>
      <c r="H486" s="45"/>
      <c r="I486" s="45"/>
      <c r="J486" s="45"/>
      <c r="K486" s="45"/>
      <c r="L486" s="45"/>
      <c r="M486" s="45"/>
      <c r="N486" s="45"/>
      <c r="O486" s="45"/>
      <c r="P486" s="45"/>
      <c r="Q486" s="45"/>
      <c r="R486" s="45"/>
      <c r="S486" s="45"/>
      <c r="T486" s="45"/>
      <c r="U486" s="45"/>
      <c r="V486" s="45"/>
      <c r="W486" s="45"/>
      <c r="X486" s="45"/>
      <c r="Y486" s="45"/>
      <c r="Z486" s="45"/>
    </row>
    <row r="487">
      <c r="A487" s="52"/>
      <c r="B487" s="53"/>
      <c r="C487" s="53"/>
      <c r="D487" s="53"/>
      <c r="E487" s="45"/>
      <c r="F487" s="45"/>
      <c r="G487" s="45"/>
      <c r="H487" s="45"/>
      <c r="I487" s="45"/>
      <c r="J487" s="45"/>
      <c r="K487" s="45"/>
      <c r="L487" s="45"/>
      <c r="M487" s="45"/>
      <c r="N487" s="45"/>
      <c r="O487" s="45"/>
      <c r="P487" s="45"/>
      <c r="Q487" s="45"/>
      <c r="R487" s="45"/>
      <c r="S487" s="45"/>
      <c r="T487" s="45"/>
      <c r="U487" s="45"/>
      <c r="V487" s="45"/>
      <c r="W487" s="45"/>
      <c r="X487" s="45"/>
      <c r="Y487" s="45"/>
      <c r="Z487" s="45"/>
    </row>
    <row r="488">
      <c r="A488" s="52"/>
      <c r="B488" s="53"/>
      <c r="C488" s="53"/>
      <c r="D488" s="53"/>
      <c r="E488" s="45"/>
      <c r="F488" s="45"/>
      <c r="G488" s="45"/>
      <c r="H488" s="45"/>
      <c r="I488" s="45"/>
      <c r="J488" s="45"/>
      <c r="K488" s="45"/>
      <c r="L488" s="45"/>
      <c r="M488" s="45"/>
      <c r="N488" s="45"/>
      <c r="O488" s="45"/>
      <c r="P488" s="45"/>
      <c r="Q488" s="45"/>
      <c r="R488" s="45"/>
      <c r="S488" s="45"/>
      <c r="T488" s="45"/>
      <c r="U488" s="45"/>
      <c r="V488" s="45"/>
      <c r="W488" s="45"/>
      <c r="X488" s="45"/>
      <c r="Y488" s="45"/>
      <c r="Z488" s="45"/>
    </row>
    <row r="489">
      <c r="A489" s="52"/>
      <c r="B489" s="53"/>
      <c r="C489" s="53"/>
      <c r="D489" s="53"/>
      <c r="E489" s="45"/>
      <c r="F489" s="45"/>
      <c r="G489" s="45"/>
      <c r="H489" s="45"/>
      <c r="I489" s="45"/>
      <c r="J489" s="45"/>
      <c r="K489" s="45"/>
      <c r="L489" s="45"/>
      <c r="M489" s="45"/>
      <c r="N489" s="45"/>
      <c r="O489" s="45"/>
      <c r="P489" s="45"/>
      <c r="Q489" s="45"/>
      <c r="R489" s="45"/>
      <c r="S489" s="45"/>
      <c r="T489" s="45"/>
      <c r="U489" s="45"/>
      <c r="V489" s="45"/>
      <c r="W489" s="45"/>
      <c r="X489" s="45"/>
      <c r="Y489" s="45"/>
      <c r="Z489" s="45"/>
    </row>
    <row r="490">
      <c r="A490" s="52"/>
      <c r="B490" s="53"/>
      <c r="C490" s="53"/>
      <c r="D490" s="53"/>
      <c r="E490" s="45"/>
      <c r="F490" s="45"/>
      <c r="G490" s="45"/>
      <c r="H490" s="45"/>
      <c r="I490" s="45"/>
      <c r="J490" s="45"/>
      <c r="K490" s="45"/>
      <c r="L490" s="45"/>
      <c r="M490" s="45"/>
      <c r="N490" s="45"/>
      <c r="O490" s="45"/>
      <c r="P490" s="45"/>
      <c r="Q490" s="45"/>
      <c r="R490" s="45"/>
      <c r="S490" s="45"/>
      <c r="T490" s="45"/>
      <c r="U490" s="45"/>
      <c r="V490" s="45"/>
      <c r="W490" s="45"/>
      <c r="X490" s="45"/>
      <c r="Y490" s="45"/>
      <c r="Z490" s="45"/>
    </row>
    <row r="491">
      <c r="A491" s="52"/>
      <c r="B491" s="53"/>
      <c r="C491" s="53"/>
      <c r="D491" s="53"/>
      <c r="E491" s="45"/>
      <c r="F491" s="45"/>
      <c r="G491" s="45"/>
      <c r="H491" s="45"/>
      <c r="I491" s="45"/>
      <c r="J491" s="45"/>
      <c r="K491" s="45"/>
      <c r="L491" s="45"/>
      <c r="M491" s="45"/>
      <c r="N491" s="45"/>
      <c r="O491" s="45"/>
      <c r="P491" s="45"/>
      <c r="Q491" s="45"/>
      <c r="R491" s="45"/>
      <c r="S491" s="45"/>
      <c r="T491" s="45"/>
      <c r="U491" s="45"/>
      <c r="V491" s="45"/>
      <c r="W491" s="45"/>
      <c r="X491" s="45"/>
      <c r="Y491" s="45"/>
      <c r="Z491" s="45"/>
    </row>
    <row r="492">
      <c r="A492" s="52"/>
      <c r="B492" s="53"/>
      <c r="C492" s="53"/>
      <c r="D492" s="53"/>
      <c r="E492" s="45"/>
      <c r="F492" s="45"/>
      <c r="G492" s="45"/>
      <c r="H492" s="45"/>
      <c r="I492" s="45"/>
      <c r="J492" s="45"/>
      <c r="K492" s="45"/>
      <c r="L492" s="45"/>
      <c r="M492" s="45"/>
      <c r="N492" s="45"/>
      <c r="O492" s="45"/>
      <c r="P492" s="45"/>
      <c r="Q492" s="45"/>
      <c r="R492" s="45"/>
      <c r="S492" s="45"/>
      <c r="T492" s="45"/>
      <c r="U492" s="45"/>
      <c r="V492" s="45"/>
      <c r="W492" s="45"/>
      <c r="X492" s="45"/>
      <c r="Y492" s="45"/>
      <c r="Z492" s="45"/>
    </row>
    <row r="493">
      <c r="A493" s="52"/>
      <c r="B493" s="53"/>
      <c r="C493" s="53"/>
      <c r="D493" s="53"/>
      <c r="E493" s="45"/>
      <c r="F493" s="45"/>
      <c r="G493" s="45"/>
      <c r="H493" s="45"/>
      <c r="I493" s="45"/>
      <c r="J493" s="45"/>
      <c r="K493" s="45"/>
      <c r="L493" s="45"/>
      <c r="M493" s="45"/>
      <c r="N493" s="45"/>
      <c r="O493" s="45"/>
      <c r="P493" s="45"/>
      <c r="Q493" s="45"/>
      <c r="R493" s="45"/>
      <c r="S493" s="45"/>
      <c r="T493" s="45"/>
      <c r="U493" s="45"/>
      <c r="V493" s="45"/>
      <c r="W493" s="45"/>
      <c r="X493" s="45"/>
      <c r="Y493" s="45"/>
      <c r="Z493" s="45"/>
    </row>
    <row r="494">
      <c r="A494" s="52"/>
      <c r="B494" s="53"/>
      <c r="C494" s="53"/>
      <c r="D494" s="53"/>
      <c r="E494" s="45"/>
      <c r="F494" s="45"/>
      <c r="G494" s="45"/>
      <c r="H494" s="45"/>
      <c r="I494" s="45"/>
      <c r="J494" s="45"/>
      <c r="K494" s="45"/>
      <c r="L494" s="45"/>
      <c r="M494" s="45"/>
      <c r="N494" s="45"/>
      <c r="O494" s="45"/>
      <c r="P494" s="45"/>
      <c r="Q494" s="45"/>
      <c r="R494" s="45"/>
      <c r="S494" s="45"/>
      <c r="T494" s="45"/>
      <c r="U494" s="45"/>
      <c r="V494" s="45"/>
      <c r="W494" s="45"/>
      <c r="X494" s="45"/>
      <c r="Y494" s="45"/>
      <c r="Z494" s="45"/>
    </row>
    <row r="495">
      <c r="A495" s="52"/>
      <c r="B495" s="53"/>
      <c r="C495" s="53"/>
      <c r="D495" s="53"/>
      <c r="E495" s="45"/>
      <c r="F495" s="45"/>
      <c r="G495" s="45"/>
      <c r="H495" s="45"/>
      <c r="I495" s="45"/>
      <c r="J495" s="45"/>
      <c r="K495" s="45"/>
      <c r="L495" s="45"/>
      <c r="M495" s="45"/>
      <c r="N495" s="45"/>
      <c r="O495" s="45"/>
      <c r="P495" s="45"/>
      <c r="Q495" s="45"/>
      <c r="R495" s="45"/>
      <c r="S495" s="45"/>
      <c r="T495" s="45"/>
      <c r="U495" s="45"/>
      <c r="V495" s="45"/>
      <c r="W495" s="45"/>
      <c r="X495" s="45"/>
      <c r="Y495" s="45"/>
      <c r="Z495" s="45"/>
    </row>
    <row r="496">
      <c r="A496" s="52"/>
      <c r="B496" s="53"/>
      <c r="C496" s="53"/>
      <c r="D496" s="53"/>
      <c r="E496" s="45"/>
      <c r="F496" s="45"/>
      <c r="G496" s="45"/>
      <c r="H496" s="45"/>
      <c r="I496" s="45"/>
      <c r="J496" s="45"/>
      <c r="K496" s="45"/>
      <c r="L496" s="45"/>
      <c r="M496" s="45"/>
      <c r="N496" s="45"/>
      <c r="O496" s="45"/>
      <c r="P496" s="45"/>
      <c r="Q496" s="45"/>
      <c r="R496" s="45"/>
      <c r="S496" s="45"/>
      <c r="T496" s="45"/>
      <c r="U496" s="45"/>
      <c r="V496" s="45"/>
      <c r="W496" s="45"/>
      <c r="X496" s="45"/>
      <c r="Y496" s="45"/>
      <c r="Z496" s="45"/>
    </row>
    <row r="497">
      <c r="A497" s="52"/>
      <c r="B497" s="53"/>
      <c r="C497" s="53"/>
      <c r="D497" s="53"/>
      <c r="E497" s="45"/>
      <c r="F497" s="45"/>
      <c r="G497" s="45"/>
      <c r="H497" s="45"/>
      <c r="I497" s="45"/>
      <c r="J497" s="45"/>
      <c r="K497" s="45"/>
      <c r="L497" s="45"/>
      <c r="M497" s="45"/>
      <c r="N497" s="45"/>
      <c r="O497" s="45"/>
      <c r="P497" s="45"/>
      <c r="Q497" s="45"/>
      <c r="R497" s="45"/>
      <c r="S497" s="45"/>
      <c r="T497" s="45"/>
      <c r="U497" s="45"/>
      <c r="V497" s="45"/>
      <c r="W497" s="45"/>
      <c r="X497" s="45"/>
      <c r="Y497" s="45"/>
      <c r="Z497" s="45"/>
    </row>
    <row r="498">
      <c r="A498" s="52"/>
      <c r="B498" s="53"/>
      <c r="C498" s="53"/>
      <c r="D498" s="53"/>
      <c r="E498" s="45"/>
      <c r="F498" s="45"/>
      <c r="G498" s="45"/>
      <c r="H498" s="45"/>
      <c r="I498" s="45"/>
      <c r="J498" s="45"/>
      <c r="K498" s="45"/>
      <c r="L498" s="45"/>
      <c r="M498" s="45"/>
      <c r="N498" s="45"/>
      <c r="O498" s="45"/>
      <c r="P498" s="45"/>
      <c r="Q498" s="45"/>
      <c r="R498" s="45"/>
      <c r="S498" s="45"/>
      <c r="T498" s="45"/>
      <c r="U498" s="45"/>
      <c r="V498" s="45"/>
      <c r="W498" s="45"/>
      <c r="X498" s="45"/>
      <c r="Y498" s="45"/>
      <c r="Z498" s="45"/>
    </row>
    <row r="499">
      <c r="A499" s="52"/>
      <c r="B499" s="53"/>
      <c r="C499" s="53"/>
      <c r="D499" s="53"/>
      <c r="E499" s="45"/>
      <c r="F499" s="45"/>
      <c r="G499" s="45"/>
      <c r="H499" s="45"/>
      <c r="I499" s="45"/>
      <c r="J499" s="45"/>
      <c r="K499" s="45"/>
      <c r="L499" s="45"/>
      <c r="M499" s="45"/>
      <c r="N499" s="45"/>
      <c r="O499" s="45"/>
      <c r="P499" s="45"/>
      <c r="Q499" s="45"/>
      <c r="R499" s="45"/>
      <c r="S499" s="45"/>
      <c r="T499" s="45"/>
      <c r="U499" s="45"/>
      <c r="V499" s="45"/>
      <c r="W499" s="45"/>
      <c r="X499" s="45"/>
      <c r="Y499" s="45"/>
      <c r="Z499" s="45"/>
    </row>
    <row r="500">
      <c r="A500" s="52"/>
      <c r="B500" s="53"/>
      <c r="C500" s="53"/>
      <c r="D500" s="53"/>
      <c r="E500" s="45"/>
      <c r="F500" s="45"/>
      <c r="G500" s="45"/>
      <c r="H500" s="45"/>
      <c r="I500" s="45"/>
      <c r="J500" s="45"/>
      <c r="K500" s="45"/>
      <c r="L500" s="45"/>
      <c r="M500" s="45"/>
      <c r="N500" s="45"/>
      <c r="O500" s="45"/>
      <c r="P500" s="45"/>
      <c r="Q500" s="45"/>
      <c r="R500" s="45"/>
      <c r="S500" s="45"/>
      <c r="T500" s="45"/>
      <c r="U500" s="45"/>
      <c r="V500" s="45"/>
      <c r="W500" s="45"/>
      <c r="X500" s="45"/>
      <c r="Y500" s="45"/>
      <c r="Z500" s="45"/>
    </row>
    <row r="501">
      <c r="A501" s="52"/>
      <c r="B501" s="53"/>
      <c r="C501" s="53"/>
      <c r="D501" s="53"/>
      <c r="E501" s="45"/>
      <c r="F501" s="45"/>
      <c r="G501" s="45"/>
      <c r="H501" s="45"/>
      <c r="I501" s="45"/>
      <c r="J501" s="45"/>
      <c r="K501" s="45"/>
      <c r="L501" s="45"/>
      <c r="M501" s="45"/>
      <c r="N501" s="45"/>
      <c r="O501" s="45"/>
      <c r="P501" s="45"/>
      <c r="Q501" s="45"/>
      <c r="R501" s="45"/>
      <c r="S501" s="45"/>
      <c r="T501" s="45"/>
      <c r="U501" s="45"/>
      <c r="V501" s="45"/>
      <c r="W501" s="45"/>
      <c r="X501" s="45"/>
      <c r="Y501" s="45"/>
      <c r="Z501" s="45"/>
    </row>
    <row r="502">
      <c r="A502" s="52"/>
      <c r="B502" s="53"/>
      <c r="C502" s="53"/>
      <c r="D502" s="53"/>
      <c r="E502" s="45"/>
      <c r="F502" s="45"/>
      <c r="G502" s="45"/>
      <c r="H502" s="45"/>
      <c r="I502" s="45"/>
      <c r="J502" s="45"/>
      <c r="K502" s="45"/>
      <c r="L502" s="45"/>
      <c r="M502" s="45"/>
      <c r="N502" s="45"/>
      <c r="O502" s="45"/>
      <c r="P502" s="45"/>
      <c r="Q502" s="45"/>
      <c r="R502" s="45"/>
      <c r="S502" s="45"/>
      <c r="T502" s="45"/>
      <c r="U502" s="45"/>
      <c r="V502" s="45"/>
      <c r="W502" s="45"/>
      <c r="X502" s="45"/>
      <c r="Y502" s="45"/>
      <c r="Z502" s="45"/>
    </row>
    <row r="503">
      <c r="A503" s="52"/>
      <c r="B503" s="53"/>
      <c r="C503" s="53"/>
      <c r="D503" s="53"/>
      <c r="E503" s="45"/>
      <c r="F503" s="45"/>
      <c r="G503" s="45"/>
      <c r="H503" s="45"/>
      <c r="I503" s="45"/>
      <c r="J503" s="45"/>
      <c r="K503" s="45"/>
      <c r="L503" s="45"/>
      <c r="M503" s="45"/>
      <c r="N503" s="45"/>
      <c r="O503" s="45"/>
      <c r="P503" s="45"/>
      <c r="Q503" s="45"/>
      <c r="R503" s="45"/>
      <c r="S503" s="45"/>
      <c r="T503" s="45"/>
      <c r="U503" s="45"/>
      <c r="V503" s="45"/>
      <c r="W503" s="45"/>
      <c r="X503" s="45"/>
      <c r="Y503" s="45"/>
      <c r="Z503" s="45"/>
    </row>
    <row r="504">
      <c r="A504" s="52"/>
      <c r="B504" s="53"/>
      <c r="C504" s="53"/>
      <c r="D504" s="53"/>
      <c r="E504" s="45"/>
      <c r="F504" s="45"/>
      <c r="G504" s="45"/>
      <c r="H504" s="45"/>
      <c r="I504" s="45"/>
      <c r="J504" s="45"/>
      <c r="K504" s="45"/>
      <c r="L504" s="45"/>
      <c r="M504" s="45"/>
      <c r="N504" s="45"/>
      <c r="O504" s="45"/>
      <c r="P504" s="45"/>
      <c r="Q504" s="45"/>
      <c r="R504" s="45"/>
      <c r="S504" s="45"/>
      <c r="T504" s="45"/>
      <c r="U504" s="45"/>
      <c r="V504" s="45"/>
      <c r="W504" s="45"/>
      <c r="X504" s="45"/>
      <c r="Y504" s="45"/>
      <c r="Z504" s="45"/>
    </row>
    <row r="505">
      <c r="A505" s="52"/>
      <c r="B505" s="53"/>
      <c r="C505" s="53"/>
      <c r="D505" s="53"/>
      <c r="E505" s="45"/>
      <c r="F505" s="45"/>
      <c r="G505" s="45"/>
      <c r="H505" s="45"/>
      <c r="I505" s="45"/>
      <c r="J505" s="45"/>
      <c r="K505" s="45"/>
      <c r="L505" s="45"/>
      <c r="M505" s="45"/>
      <c r="N505" s="45"/>
      <c r="O505" s="45"/>
      <c r="P505" s="45"/>
      <c r="Q505" s="45"/>
      <c r="R505" s="45"/>
      <c r="S505" s="45"/>
      <c r="T505" s="45"/>
      <c r="U505" s="45"/>
      <c r="V505" s="45"/>
      <c r="W505" s="45"/>
      <c r="X505" s="45"/>
      <c r="Y505" s="45"/>
      <c r="Z505" s="45"/>
    </row>
    <row r="506">
      <c r="A506" s="52"/>
      <c r="B506" s="53"/>
      <c r="C506" s="53"/>
      <c r="D506" s="53"/>
      <c r="E506" s="45"/>
      <c r="F506" s="45"/>
      <c r="G506" s="45"/>
      <c r="H506" s="45"/>
      <c r="I506" s="45"/>
      <c r="J506" s="45"/>
      <c r="K506" s="45"/>
      <c r="L506" s="45"/>
      <c r="M506" s="45"/>
      <c r="N506" s="45"/>
      <c r="O506" s="45"/>
      <c r="P506" s="45"/>
      <c r="Q506" s="45"/>
      <c r="R506" s="45"/>
      <c r="S506" s="45"/>
      <c r="T506" s="45"/>
      <c r="U506" s="45"/>
      <c r="V506" s="45"/>
      <c r="W506" s="45"/>
      <c r="X506" s="45"/>
      <c r="Y506" s="45"/>
      <c r="Z506" s="45"/>
    </row>
    <row r="507">
      <c r="A507" s="52"/>
      <c r="B507" s="53"/>
      <c r="C507" s="53"/>
      <c r="D507" s="53"/>
      <c r="E507" s="45"/>
      <c r="F507" s="45"/>
      <c r="G507" s="45"/>
      <c r="H507" s="45"/>
      <c r="I507" s="45"/>
      <c r="J507" s="45"/>
      <c r="K507" s="45"/>
      <c r="L507" s="45"/>
      <c r="M507" s="45"/>
      <c r="N507" s="45"/>
      <c r="O507" s="45"/>
      <c r="P507" s="45"/>
      <c r="Q507" s="45"/>
      <c r="R507" s="45"/>
      <c r="S507" s="45"/>
      <c r="T507" s="45"/>
      <c r="U507" s="45"/>
      <c r="V507" s="45"/>
      <c r="W507" s="45"/>
      <c r="X507" s="45"/>
      <c r="Y507" s="45"/>
      <c r="Z507" s="45"/>
    </row>
    <row r="508">
      <c r="A508" s="52"/>
      <c r="B508" s="53"/>
      <c r="C508" s="53"/>
      <c r="D508" s="53"/>
      <c r="E508" s="45"/>
      <c r="F508" s="45"/>
      <c r="G508" s="45"/>
      <c r="H508" s="45"/>
      <c r="I508" s="45"/>
      <c r="J508" s="45"/>
      <c r="K508" s="45"/>
      <c r="L508" s="45"/>
      <c r="M508" s="45"/>
      <c r="N508" s="45"/>
      <c r="O508" s="45"/>
      <c r="P508" s="45"/>
      <c r="Q508" s="45"/>
      <c r="R508" s="45"/>
      <c r="S508" s="45"/>
      <c r="T508" s="45"/>
      <c r="U508" s="45"/>
      <c r="V508" s="45"/>
      <c r="W508" s="45"/>
      <c r="X508" s="45"/>
      <c r="Y508" s="45"/>
      <c r="Z508" s="45"/>
    </row>
    <row r="509">
      <c r="A509" s="52"/>
      <c r="B509" s="53"/>
      <c r="C509" s="53"/>
      <c r="D509" s="53"/>
      <c r="E509" s="45"/>
      <c r="F509" s="45"/>
      <c r="G509" s="45"/>
      <c r="H509" s="45"/>
      <c r="I509" s="45"/>
      <c r="J509" s="45"/>
      <c r="K509" s="45"/>
      <c r="L509" s="45"/>
      <c r="M509" s="45"/>
      <c r="N509" s="45"/>
      <c r="O509" s="45"/>
      <c r="P509" s="45"/>
      <c r="Q509" s="45"/>
      <c r="R509" s="45"/>
      <c r="S509" s="45"/>
      <c r="T509" s="45"/>
      <c r="U509" s="45"/>
      <c r="V509" s="45"/>
      <c r="W509" s="45"/>
      <c r="X509" s="45"/>
      <c r="Y509" s="45"/>
      <c r="Z509" s="45"/>
    </row>
    <row r="510">
      <c r="A510" s="52"/>
      <c r="B510" s="53"/>
      <c r="C510" s="53"/>
      <c r="D510" s="53"/>
      <c r="E510" s="45"/>
      <c r="F510" s="45"/>
      <c r="G510" s="45"/>
      <c r="H510" s="45"/>
      <c r="I510" s="45"/>
      <c r="J510" s="45"/>
      <c r="K510" s="45"/>
      <c r="L510" s="45"/>
      <c r="M510" s="45"/>
      <c r="N510" s="45"/>
      <c r="O510" s="45"/>
      <c r="P510" s="45"/>
      <c r="Q510" s="45"/>
      <c r="R510" s="45"/>
      <c r="S510" s="45"/>
      <c r="T510" s="45"/>
      <c r="U510" s="45"/>
      <c r="V510" s="45"/>
      <c r="W510" s="45"/>
      <c r="X510" s="45"/>
      <c r="Y510" s="45"/>
      <c r="Z510" s="45"/>
    </row>
    <row r="511">
      <c r="A511" s="52"/>
      <c r="B511" s="53"/>
      <c r="C511" s="53"/>
      <c r="D511" s="53"/>
      <c r="E511" s="45"/>
      <c r="F511" s="45"/>
      <c r="G511" s="45"/>
      <c r="H511" s="45"/>
      <c r="I511" s="45"/>
      <c r="J511" s="45"/>
      <c r="K511" s="45"/>
      <c r="L511" s="45"/>
      <c r="M511" s="45"/>
      <c r="N511" s="45"/>
      <c r="O511" s="45"/>
      <c r="P511" s="45"/>
      <c r="Q511" s="45"/>
      <c r="R511" s="45"/>
      <c r="S511" s="45"/>
      <c r="T511" s="45"/>
      <c r="U511" s="45"/>
      <c r="V511" s="45"/>
      <c r="W511" s="45"/>
      <c r="X511" s="45"/>
      <c r="Y511" s="45"/>
      <c r="Z511" s="45"/>
    </row>
    <row r="512">
      <c r="A512" s="52"/>
      <c r="B512" s="53"/>
      <c r="C512" s="53"/>
      <c r="D512" s="53"/>
      <c r="E512" s="45"/>
      <c r="F512" s="45"/>
      <c r="G512" s="45"/>
      <c r="H512" s="45"/>
      <c r="I512" s="45"/>
      <c r="J512" s="45"/>
      <c r="K512" s="45"/>
      <c r="L512" s="45"/>
      <c r="M512" s="45"/>
      <c r="N512" s="45"/>
      <c r="O512" s="45"/>
      <c r="P512" s="45"/>
      <c r="Q512" s="45"/>
      <c r="R512" s="45"/>
      <c r="S512" s="45"/>
      <c r="T512" s="45"/>
      <c r="U512" s="45"/>
      <c r="V512" s="45"/>
      <c r="W512" s="45"/>
      <c r="X512" s="45"/>
      <c r="Y512" s="45"/>
      <c r="Z512" s="45"/>
    </row>
    <row r="513">
      <c r="A513" s="52"/>
      <c r="B513" s="53"/>
      <c r="C513" s="53"/>
      <c r="D513" s="53"/>
      <c r="E513" s="45"/>
      <c r="F513" s="45"/>
      <c r="G513" s="45"/>
      <c r="H513" s="45"/>
      <c r="I513" s="45"/>
      <c r="J513" s="45"/>
      <c r="K513" s="45"/>
      <c r="L513" s="45"/>
      <c r="M513" s="45"/>
      <c r="N513" s="45"/>
      <c r="O513" s="45"/>
      <c r="P513" s="45"/>
      <c r="Q513" s="45"/>
      <c r="R513" s="45"/>
      <c r="S513" s="45"/>
      <c r="T513" s="45"/>
      <c r="U513" s="45"/>
      <c r="V513" s="45"/>
      <c r="W513" s="45"/>
      <c r="X513" s="45"/>
      <c r="Y513" s="45"/>
      <c r="Z513" s="45"/>
    </row>
    <row r="514">
      <c r="A514" s="52"/>
      <c r="B514" s="53"/>
      <c r="C514" s="53"/>
      <c r="D514" s="53"/>
      <c r="E514" s="45"/>
      <c r="F514" s="45"/>
      <c r="G514" s="45"/>
      <c r="H514" s="45"/>
      <c r="I514" s="45"/>
      <c r="J514" s="45"/>
      <c r="K514" s="45"/>
      <c r="L514" s="45"/>
      <c r="M514" s="45"/>
      <c r="N514" s="45"/>
      <c r="O514" s="45"/>
      <c r="P514" s="45"/>
      <c r="Q514" s="45"/>
      <c r="R514" s="45"/>
      <c r="S514" s="45"/>
      <c r="T514" s="45"/>
      <c r="U514" s="45"/>
      <c r="V514" s="45"/>
      <c r="W514" s="45"/>
      <c r="X514" s="45"/>
      <c r="Y514" s="45"/>
      <c r="Z514" s="45"/>
    </row>
    <row r="515">
      <c r="A515" s="52"/>
      <c r="B515" s="53"/>
      <c r="C515" s="53"/>
      <c r="D515" s="53"/>
      <c r="E515" s="45"/>
      <c r="F515" s="45"/>
      <c r="G515" s="45"/>
      <c r="H515" s="45"/>
      <c r="I515" s="45"/>
      <c r="J515" s="45"/>
      <c r="K515" s="45"/>
      <c r="L515" s="45"/>
      <c r="M515" s="45"/>
      <c r="N515" s="45"/>
      <c r="O515" s="45"/>
      <c r="P515" s="45"/>
      <c r="Q515" s="45"/>
      <c r="R515" s="45"/>
      <c r="S515" s="45"/>
      <c r="T515" s="45"/>
      <c r="U515" s="45"/>
      <c r="V515" s="45"/>
      <c r="W515" s="45"/>
      <c r="X515" s="45"/>
      <c r="Y515" s="45"/>
      <c r="Z515" s="45"/>
    </row>
    <row r="516">
      <c r="A516" s="52"/>
      <c r="B516" s="53"/>
      <c r="C516" s="53"/>
      <c r="D516" s="53"/>
      <c r="E516" s="45"/>
      <c r="F516" s="45"/>
      <c r="G516" s="45"/>
      <c r="H516" s="45"/>
      <c r="I516" s="45"/>
      <c r="J516" s="45"/>
      <c r="K516" s="45"/>
      <c r="L516" s="45"/>
      <c r="M516" s="45"/>
      <c r="N516" s="45"/>
      <c r="O516" s="45"/>
      <c r="P516" s="45"/>
      <c r="Q516" s="45"/>
      <c r="R516" s="45"/>
      <c r="S516" s="45"/>
      <c r="T516" s="45"/>
      <c r="U516" s="45"/>
      <c r="V516" s="45"/>
      <c r="W516" s="45"/>
      <c r="X516" s="45"/>
      <c r="Y516" s="45"/>
      <c r="Z516" s="45"/>
    </row>
    <row r="517">
      <c r="A517" s="52"/>
      <c r="B517" s="53"/>
      <c r="C517" s="53"/>
      <c r="D517" s="53"/>
      <c r="E517" s="45"/>
      <c r="F517" s="45"/>
      <c r="G517" s="45"/>
      <c r="H517" s="45"/>
      <c r="I517" s="45"/>
      <c r="J517" s="45"/>
      <c r="K517" s="45"/>
      <c r="L517" s="45"/>
      <c r="M517" s="45"/>
      <c r="N517" s="45"/>
      <c r="O517" s="45"/>
      <c r="P517" s="45"/>
      <c r="Q517" s="45"/>
      <c r="R517" s="45"/>
      <c r="S517" s="45"/>
      <c r="T517" s="45"/>
      <c r="U517" s="45"/>
      <c r="V517" s="45"/>
      <c r="W517" s="45"/>
      <c r="X517" s="45"/>
      <c r="Y517" s="45"/>
      <c r="Z517" s="45"/>
    </row>
    <row r="518">
      <c r="A518" s="52"/>
      <c r="B518" s="53"/>
      <c r="C518" s="53"/>
      <c r="D518" s="53"/>
      <c r="E518" s="45"/>
      <c r="F518" s="45"/>
      <c r="G518" s="45"/>
      <c r="H518" s="45"/>
      <c r="I518" s="45"/>
      <c r="J518" s="45"/>
      <c r="K518" s="45"/>
      <c r="L518" s="45"/>
      <c r="M518" s="45"/>
      <c r="N518" s="45"/>
      <c r="O518" s="45"/>
      <c r="P518" s="45"/>
      <c r="Q518" s="45"/>
      <c r="R518" s="45"/>
      <c r="S518" s="45"/>
      <c r="T518" s="45"/>
      <c r="U518" s="45"/>
      <c r="V518" s="45"/>
      <c r="W518" s="45"/>
      <c r="X518" s="45"/>
      <c r="Y518" s="45"/>
      <c r="Z518" s="45"/>
    </row>
    <row r="519">
      <c r="A519" s="52"/>
      <c r="B519" s="53"/>
      <c r="C519" s="53"/>
      <c r="D519" s="53"/>
      <c r="E519" s="45"/>
      <c r="F519" s="45"/>
      <c r="G519" s="45"/>
      <c r="H519" s="45"/>
      <c r="I519" s="45"/>
      <c r="J519" s="45"/>
      <c r="K519" s="45"/>
      <c r="L519" s="45"/>
      <c r="M519" s="45"/>
      <c r="N519" s="45"/>
      <c r="O519" s="45"/>
      <c r="P519" s="45"/>
      <c r="Q519" s="45"/>
      <c r="R519" s="45"/>
      <c r="S519" s="45"/>
      <c r="T519" s="45"/>
      <c r="U519" s="45"/>
      <c r="V519" s="45"/>
      <c r="W519" s="45"/>
      <c r="X519" s="45"/>
      <c r="Y519" s="45"/>
      <c r="Z519" s="45"/>
    </row>
    <row r="520">
      <c r="A520" s="52"/>
      <c r="B520" s="53"/>
      <c r="C520" s="53"/>
      <c r="D520" s="53"/>
      <c r="E520" s="45"/>
      <c r="F520" s="45"/>
      <c r="G520" s="45"/>
      <c r="H520" s="45"/>
      <c r="I520" s="45"/>
      <c r="J520" s="45"/>
      <c r="K520" s="45"/>
      <c r="L520" s="45"/>
      <c r="M520" s="45"/>
      <c r="N520" s="45"/>
      <c r="O520" s="45"/>
      <c r="P520" s="45"/>
      <c r="Q520" s="45"/>
      <c r="R520" s="45"/>
      <c r="S520" s="45"/>
      <c r="T520" s="45"/>
      <c r="U520" s="45"/>
      <c r="V520" s="45"/>
      <c r="W520" s="45"/>
      <c r="X520" s="45"/>
      <c r="Y520" s="45"/>
      <c r="Z520" s="45"/>
    </row>
    <row r="521">
      <c r="A521" s="52"/>
      <c r="B521" s="53"/>
      <c r="C521" s="53"/>
      <c r="D521" s="53"/>
      <c r="E521" s="45"/>
      <c r="F521" s="45"/>
      <c r="G521" s="45"/>
      <c r="H521" s="45"/>
      <c r="I521" s="45"/>
      <c r="J521" s="45"/>
      <c r="K521" s="45"/>
      <c r="L521" s="45"/>
      <c r="M521" s="45"/>
      <c r="N521" s="45"/>
      <c r="O521" s="45"/>
      <c r="P521" s="45"/>
      <c r="Q521" s="45"/>
      <c r="R521" s="45"/>
      <c r="S521" s="45"/>
      <c r="T521" s="45"/>
      <c r="U521" s="45"/>
      <c r="V521" s="45"/>
      <c r="W521" s="45"/>
      <c r="X521" s="45"/>
      <c r="Y521" s="45"/>
      <c r="Z521" s="45"/>
    </row>
    <row r="522">
      <c r="A522" s="52"/>
      <c r="B522" s="53"/>
      <c r="C522" s="53"/>
      <c r="D522" s="53"/>
      <c r="E522" s="45"/>
      <c r="F522" s="45"/>
      <c r="G522" s="45"/>
      <c r="H522" s="45"/>
      <c r="I522" s="45"/>
      <c r="J522" s="45"/>
      <c r="K522" s="45"/>
      <c r="L522" s="45"/>
      <c r="M522" s="45"/>
      <c r="N522" s="45"/>
      <c r="O522" s="45"/>
      <c r="P522" s="45"/>
      <c r="Q522" s="45"/>
      <c r="R522" s="45"/>
      <c r="S522" s="45"/>
      <c r="T522" s="45"/>
      <c r="U522" s="45"/>
      <c r="V522" s="45"/>
      <c r="W522" s="45"/>
      <c r="X522" s="45"/>
      <c r="Y522" s="45"/>
      <c r="Z522" s="45"/>
    </row>
    <row r="523">
      <c r="A523" s="52"/>
      <c r="B523" s="53"/>
      <c r="C523" s="53"/>
      <c r="D523" s="53"/>
      <c r="E523" s="45"/>
      <c r="F523" s="45"/>
      <c r="G523" s="45"/>
      <c r="H523" s="45"/>
      <c r="I523" s="45"/>
      <c r="J523" s="45"/>
      <c r="K523" s="45"/>
      <c r="L523" s="45"/>
      <c r="M523" s="45"/>
      <c r="N523" s="45"/>
      <c r="O523" s="45"/>
      <c r="P523" s="45"/>
      <c r="Q523" s="45"/>
      <c r="R523" s="45"/>
      <c r="S523" s="45"/>
      <c r="T523" s="45"/>
      <c r="U523" s="45"/>
      <c r="V523" s="45"/>
      <c r="W523" s="45"/>
      <c r="X523" s="45"/>
      <c r="Y523" s="45"/>
      <c r="Z523" s="45"/>
    </row>
    <row r="524">
      <c r="A524" s="52"/>
      <c r="B524" s="53"/>
      <c r="C524" s="53"/>
      <c r="D524" s="53"/>
      <c r="E524" s="45"/>
      <c r="F524" s="45"/>
      <c r="G524" s="45"/>
      <c r="H524" s="45"/>
      <c r="I524" s="45"/>
      <c r="J524" s="45"/>
      <c r="K524" s="45"/>
      <c r="L524" s="45"/>
      <c r="M524" s="45"/>
      <c r="N524" s="45"/>
      <c r="O524" s="45"/>
      <c r="P524" s="45"/>
      <c r="Q524" s="45"/>
      <c r="R524" s="45"/>
      <c r="S524" s="45"/>
      <c r="T524" s="45"/>
      <c r="U524" s="45"/>
      <c r="V524" s="45"/>
      <c r="W524" s="45"/>
      <c r="X524" s="45"/>
      <c r="Y524" s="45"/>
      <c r="Z524" s="45"/>
    </row>
    <row r="525">
      <c r="A525" s="52"/>
      <c r="B525" s="53"/>
      <c r="C525" s="53"/>
      <c r="D525" s="53"/>
      <c r="E525" s="45"/>
      <c r="F525" s="45"/>
      <c r="G525" s="45"/>
      <c r="H525" s="45"/>
      <c r="I525" s="45"/>
      <c r="J525" s="45"/>
      <c r="K525" s="45"/>
      <c r="L525" s="45"/>
      <c r="M525" s="45"/>
      <c r="N525" s="45"/>
      <c r="O525" s="45"/>
      <c r="P525" s="45"/>
      <c r="Q525" s="45"/>
      <c r="R525" s="45"/>
      <c r="S525" s="45"/>
      <c r="T525" s="45"/>
      <c r="U525" s="45"/>
      <c r="V525" s="45"/>
      <c r="W525" s="45"/>
      <c r="X525" s="45"/>
      <c r="Y525" s="45"/>
      <c r="Z525" s="45"/>
    </row>
    <row r="526">
      <c r="A526" s="52"/>
      <c r="B526" s="53"/>
      <c r="C526" s="53"/>
      <c r="D526" s="53"/>
      <c r="E526" s="45"/>
      <c r="F526" s="45"/>
      <c r="G526" s="45"/>
      <c r="H526" s="45"/>
      <c r="I526" s="45"/>
      <c r="J526" s="45"/>
      <c r="K526" s="45"/>
      <c r="L526" s="45"/>
      <c r="M526" s="45"/>
      <c r="N526" s="45"/>
      <c r="O526" s="45"/>
      <c r="P526" s="45"/>
      <c r="Q526" s="45"/>
      <c r="R526" s="45"/>
      <c r="S526" s="45"/>
      <c r="T526" s="45"/>
      <c r="U526" s="45"/>
      <c r="V526" s="45"/>
      <c r="W526" s="45"/>
      <c r="X526" s="45"/>
      <c r="Y526" s="45"/>
      <c r="Z526" s="45"/>
    </row>
    <row r="527">
      <c r="A527" s="52"/>
      <c r="B527" s="53"/>
      <c r="C527" s="53"/>
      <c r="D527" s="53"/>
      <c r="E527" s="45"/>
      <c r="F527" s="45"/>
      <c r="G527" s="45"/>
      <c r="H527" s="45"/>
      <c r="I527" s="45"/>
      <c r="J527" s="45"/>
      <c r="K527" s="45"/>
      <c r="L527" s="45"/>
      <c r="M527" s="45"/>
      <c r="N527" s="45"/>
      <c r="O527" s="45"/>
      <c r="P527" s="45"/>
      <c r="Q527" s="45"/>
      <c r="R527" s="45"/>
      <c r="S527" s="45"/>
      <c r="T527" s="45"/>
      <c r="U527" s="45"/>
      <c r="V527" s="45"/>
      <c r="W527" s="45"/>
      <c r="X527" s="45"/>
      <c r="Y527" s="45"/>
      <c r="Z527" s="45"/>
    </row>
    <row r="528">
      <c r="A528" s="52"/>
      <c r="B528" s="53"/>
      <c r="C528" s="53"/>
      <c r="D528" s="53"/>
      <c r="E528" s="45"/>
      <c r="F528" s="45"/>
      <c r="G528" s="45"/>
      <c r="H528" s="45"/>
      <c r="I528" s="45"/>
      <c r="J528" s="45"/>
      <c r="K528" s="45"/>
      <c r="L528" s="45"/>
      <c r="M528" s="45"/>
      <c r="N528" s="45"/>
      <c r="O528" s="45"/>
      <c r="P528" s="45"/>
      <c r="Q528" s="45"/>
      <c r="R528" s="45"/>
      <c r="S528" s="45"/>
      <c r="T528" s="45"/>
      <c r="U528" s="45"/>
      <c r="V528" s="45"/>
      <c r="W528" s="45"/>
      <c r="X528" s="45"/>
      <c r="Y528" s="45"/>
      <c r="Z528" s="45"/>
    </row>
    <row r="529">
      <c r="A529" s="52"/>
      <c r="B529" s="53"/>
      <c r="C529" s="53"/>
      <c r="D529" s="53"/>
      <c r="E529" s="45"/>
      <c r="F529" s="45"/>
      <c r="G529" s="45"/>
      <c r="H529" s="45"/>
      <c r="I529" s="45"/>
      <c r="J529" s="45"/>
      <c r="K529" s="45"/>
      <c r="L529" s="45"/>
      <c r="M529" s="45"/>
      <c r="N529" s="45"/>
      <c r="O529" s="45"/>
      <c r="P529" s="45"/>
      <c r="Q529" s="45"/>
      <c r="R529" s="45"/>
      <c r="S529" s="45"/>
      <c r="T529" s="45"/>
      <c r="U529" s="45"/>
      <c r="V529" s="45"/>
      <c r="W529" s="45"/>
      <c r="X529" s="45"/>
      <c r="Y529" s="45"/>
      <c r="Z529" s="45"/>
    </row>
    <row r="530">
      <c r="A530" s="52"/>
      <c r="B530" s="53"/>
      <c r="C530" s="53"/>
      <c r="D530" s="53"/>
      <c r="E530" s="45"/>
      <c r="F530" s="45"/>
      <c r="G530" s="45"/>
      <c r="H530" s="45"/>
      <c r="I530" s="45"/>
      <c r="J530" s="45"/>
      <c r="K530" s="45"/>
      <c r="L530" s="45"/>
      <c r="M530" s="45"/>
      <c r="N530" s="45"/>
      <c r="O530" s="45"/>
      <c r="P530" s="45"/>
      <c r="Q530" s="45"/>
      <c r="R530" s="45"/>
      <c r="S530" s="45"/>
      <c r="T530" s="45"/>
      <c r="U530" s="45"/>
      <c r="V530" s="45"/>
      <c r="W530" s="45"/>
      <c r="X530" s="45"/>
      <c r="Y530" s="45"/>
      <c r="Z530" s="45"/>
    </row>
    <row r="531">
      <c r="A531" s="52"/>
      <c r="B531" s="53"/>
      <c r="C531" s="53"/>
      <c r="D531" s="53"/>
      <c r="E531" s="45"/>
      <c r="F531" s="45"/>
      <c r="G531" s="45"/>
      <c r="H531" s="45"/>
      <c r="I531" s="45"/>
      <c r="J531" s="45"/>
      <c r="K531" s="45"/>
      <c r="L531" s="45"/>
      <c r="M531" s="45"/>
      <c r="N531" s="45"/>
      <c r="O531" s="45"/>
      <c r="P531" s="45"/>
      <c r="Q531" s="45"/>
      <c r="R531" s="45"/>
      <c r="S531" s="45"/>
      <c r="T531" s="45"/>
      <c r="U531" s="45"/>
      <c r="V531" s="45"/>
      <c r="W531" s="45"/>
      <c r="X531" s="45"/>
      <c r="Y531" s="45"/>
      <c r="Z531" s="45"/>
    </row>
    <row r="532">
      <c r="A532" s="52"/>
      <c r="B532" s="53"/>
      <c r="C532" s="53"/>
      <c r="D532" s="53"/>
      <c r="E532" s="45"/>
      <c r="F532" s="45"/>
      <c r="G532" s="45"/>
      <c r="H532" s="45"/>
      <c r="I532" s="45"/>
      <c r="J532" s="45"/>
      <c r="K532" s="45"/>
      <c r="L532" s="45"/>
      <c r="M532" s="45"/>
      <c r="N532" s="45"/>
      <c r="O532" s="45"/>
      <c r="P532" s="45"/>
      <c r="Q532" s="45"/>
      <c r="R532" s="45"/>
      <c r="S532" s="45"/>
      <c r="T532" s="45"/>
      <c r="U532" s="45"/>
      <c r="V532" s="45"/>
      <c r="W532" s="45"/>
      <c r="X532" s="45"/>
      <c r="Y532" s="45"/>
      <c r="Z532" s="45"/>
    </row>
    <row r="533">
      <c r="A533" s="52"/>
      <c r="B533" s="53"/>
      <c r="C533" s="53"/>
      <c r="D533" s="53"/>
      <c r="E533" s="45"/>
      <c r="F533" s="45"/>
      <c r="G533" s="45"/>
      <c r="H533" s="45"/>
      <c r="I533" s="45"/>
      <c r="J533" s="45"/>
      <c r="K533" s="45"/>
      <c r="L533" s="45"/>
      <c r="M533" s="45"/>
      <c r="N533" s="45"/>
      <c r="O533" s="45"/>
      <c r="P533" s="45"/>
      <c r="Q533" s="45"/>
      <c r="R533" s="45"/>
      <c r="S533" s="45"/>
      <c r="T533" s="45"/>
      <c r="U533" s="45"/>
      <c r="V533" s="45"/>
      <c r="W533" s="45"/>
      <c r="X533" s="45"/>
      <c r="Y533" s="45"/>
      <c r="Z533" s="45"/>
    </row>
    <row r="534">
      <c r="A534" s="52"/>
      <c r="B534" s="53"/>
      <c r="C534" s="53"/>
      <c r="D534" s="53"/>
      <c r="E534" s="45"/>
      <c r="F534" s="45"/>
      <c r="G534" s="45"/>
      <c r="H534" s="45"/>
      <c r="I534" s="45"/>
      <c r="J534" s="45"/>
      <c r="K534" s="45"/>
      <c r="L534" s="45"/>
      <c r="M534" s="45"/>
      <c r="N534" s="45"/>
      <c r="O534" s="45"/>
      <c r="P534" s="45"/>
      <c r="Q534" s="45"/>
      <c r="R534" s="45"/>
      <c r="S534" s="45"/>
      <c r="T534" s="45"/>
      <c r="U534" s="45"/>
      <c r="V534" s="45"/>
      <c r="W534" s="45"/>
      <c r="X534" s="45"/>
      <c r="Y534" s="45"/>
      <c r="Z534" s="45"/>
    </row>
    <row r="535">
      <c r="A535" s="52"/>
      <c r="B535" s="53"/>
      <c r="C535" s="53"/>
      <c r="D535" s="53"/>
      <c r="E535" s="45"/>
      <c r="F535" s="45"/>
      <c r="G535" s="45"/>
      <c r="H535" s="45"/>
      <c r="I535" s="45"/>
      <c r="J535" s="45"/>
      <c r="K535" s="45"/>
      <c r="L535" s="45"/>
      <c r="M535" s="45"/>
      <c r="N535" s="45"/>
      <c r="O535" s="45"/>
      <c r="P535" s="45"/>
      <c r="Q535" s="45"/>
      <c r="R535" s="45"/>
      <c r="S535" s="45"/>
      <c r="T535" s="45"/>
      <c r="U535" s="45"/>
      <c r="V535" s="45"/>
      <c r="W535" s="45"/>
      <c r="X535" s="45"/>
      <c r="Y535" s="45"/>
      <c r="Z535" s="45"/>
    </row>
    <row r="536">
      <c r="A536" s="52"/>
      <c r="B536" s="53"/>
      <c r="C536" s="53"/>
      <c r="D536" s="53"/>
      <c r="E536" s="45"/>
      <c r="F536" s="45"/>
      <c r="G536" s="45"/>
      <c r="H536" s="45"/>
      <c r="I536" s="45"/>
      <c r="J536" s="45"/>
      <c r="K536" s="45"/>
      <c r="L536" s="45"/>
      <c r="M536" s="45"/>
      <c r="N536" s="45"/>
      <c r="O536" s="45"/>
      <c r="P536" s="45"/>
      <c r="Q536" s="45"/>
      <c r="R536" s="45"/>
      <c r="S536" s="45"/>
      <c r="T536" s="45"/>
      <c r="U536" s="45"/>
      <c r="V536" s="45"/>
      <c r="W536" s="45"/>
      <c r="X536" s="45"/>
      <c r="Y536" s="45"/>
      <c r="Z536" s="45"/>
    </row>
    <row r="537">
      <c r="A537" s="52"/>
      <c r="B537" s="53"/>
      <c r="C537" s="53"/>
      <c r="D537" s="53"/>
      <c r="E537" s="45"/>
      <c r="F537" s="45"/>
      <c r="G537" s="45"/>
      <c r="H537" s="45"/>
      <c r="I537" s="45"/>
      <c r="J537" s="45"/>
      <c r="K537" s="45"/>
      <c r="L537" s="45"/>
      <c r="M537" s="45"/>
      <c r="N537" s="45"/>
      <c r="O537" s="45"/>
      <c r="P537" s="45"/>
      <c r="Q537" s="45"/>
      <c r="R537" s="45"/>
      <c r="S537" s="45"/>
      <c r="T537" s="45"/>
      <c r="U537" s="45"/>
      <c r="V537" s="45"/>
      <c r="W537" s="45"/>
      <c r="X537" s="45"/>
      <c r="Y537" s="45"/>
      <c r="Z537" s="45"/>
    </row>
    <row r="538">
      <c r="A538" s="52"/>
      <c r="B538" s="53"/>
      <c r="C538" s="53"/>
      <c r="D538" s="53"/>
      <c r="E538" s="45"/>
      <c r="F538" s="45"/>
      <c r="G538" s="45"/>
      <c r="H538" s="45"/>
      <c r="I538" s="45"/>
      <c r="J538" s="45"/>
      <c r="K538" s="45"/>
      <c r="L538" s="45"/>
      <c r="M538" s="45"/>
      <c r="N538" s="45"/>
      <c r="O538" s="45"/>
      <c r="P538" s="45"/>
      <c r="Q538" s="45"/>
      <c r="R538" s="45"/>
      <c r="S538" s="45"/>
      <c r="T538" s="45"/>
      <c r="U538" s="45"/>
      <c r="V538" s="45"/>
      <c r="W538" s="45"/>
      <c r="X538" s="45"/>
      <c r="Y538" s="45"/>
      <c r="Z538" s="45"/>
    </row>
    <row r="539">
      <c r="A539" s="52"/>
      <c r="B539" s="53"/>
      <c r="C539" s="53"/>
      <c r="D539" s="53"/>
      <c r="E539" s="45"/>
      <c r="F539" s="45"/>
      <c r="G539" s="45"/>
      <c r="H539" s="45"/>
      <c r="I539" s="45"/>
      <c r="J539" s="45"/>
      <c r="K539" s="45"/>
      <c r="L539" s="45"/>
      <c r="M539" s="45"/>
      <c r="N539" s="45"/>
      <c r="O539" s="45"/>
      <c r="P539" s="45"/>
      <c r="Q539" s="45"/>
      <c r="R539" s="45"/>
      <c r="S539" s="45"/>
      <c r="T539" s="45"/>
      <c r="U539" s="45"/>
      <c r="V539" s="45"/>
      <c r="W539" s="45"/>
      <c r="X539" s="45"/>
      <c r="Y539" s="45"/>
      <c r="Z539" s="45"/>
    </row>
    <row r="540">
      <c r="A540" s="52"/>
      <c r="B540" s="53"/>
      <c r="C540" s="53"/>
      <c r="D540" s="53"/>
      <c r="E540" s="45"/>
      <c r="F540" s="45"/>
      <c r="G540" s="45"/>
      <c r="H540" s="45"/>
      <c r="I540" s="45"/>
      <c r="J540" s="45"/>
      <c r="K540" s="45"/>
      <c r="L540" s="45"/>
      <c r="M540" s="45"/>
      <c r="N540" s="45"/>
      <c r="O540" s="45"/>
      <c r="P540" s="45"/>
      <c r="Q540" s="45"/>
      <c r="R540" s="45"/>
      <c r="S540" s="45"/>
      <c r="T540" s="45"/>
      <c r="U540" s="45"/>
      <c r="V540" s="45"/>
      <c r="W540" s="45"/>
      <c r="X540" s="45"/>
      <c r="Y540" s="45"/>
      <c r="Z540" s="45"/>
    </row>
    <row r="541">
      <c r="A541" s="52"/>
      <c r="B541" s="53"/>
      <c r="C541" s="53"/>
      <c r="D541" s="53"/>
      <c r="E541" s="45"/>
      <c r="F541" s="45"/>
      <c r="G541" s="45"/>
      <c r="H541" s="45"/>
      <c r="I541" s="45"/>
      <c r="J541" s="45"/>
      <c r="K541" s="45"/>
      <c r="L541" s="45"/>
      <c r="M541" s="45"/>
      <c r="N541" s="45"/>
      <c r="O541" s="45"/>
      <c r="P541" s="45"/>
      <c r="Q541" s="45"/>
      <c r="R541" s="45"/>
      <c r="S541" s="45"/>
      <c r="T541" s="45"/>
      <c r="U541" s="45"/>
      <c r="V541" s="45"/>
      <c r="W541" s="45"/>
      <c r="X541" s="45"/>
      <c r="Y541" s="45"/>
      <c r="Z541" s="45"/>
    </row>
    <row r="542">
      <c r="A542" s="52"/>
      <c r="B542" s="53"/>
      <c r="C542" s="53"/>
      <c r="D542" s="53"/>
      <c r="E542" s="45"/>
      <c r="F542" s="45"/>
      <c r="G542" s="45"/>
      <c r="H542" s="45"/>
      <c r="I542" s="45"/>
      <c r="J542" s="45"/>
      <c r="K542" s="45"/>
      <c r="L542" s="45"/>
      <c r="M542" s="45"/>
      <c r="N542" s="45"/>
      <c r="O542" s="45"/>
      <c r="P542" s="45"/>
      <c r="Q542" s="45"/>
      <c r="R542" s="45"/>
      <c r="S542" s="45"/>
      <c r="T542" s="45"/>
      <c r="U542" s="45"/>
      <c r="V542" s="45"/>
      <c r="W542" s="45"/>
      <c r="X542" s="45"/>
      <c r="Y542" s="45"/>
      <c r="Z542" s="45"/>
    </row>
    <row r="543">
      <c r="A543" s="52"/>
      <c r="B543" s="53"/>
      <c r="C543" s="53"/>
      <c r="D543" s="53"/>
      <c r="E543" s="45"/>
      <c r="F543" s="45"/>
      <c r="G543" s="45"/>
      <c r="H543" s="45"/>
      <c r="I543" s="45"/>
      <c r="J543" s="45"/>
      <c r="K543" s="45"/>
      <c r="L543" s="45"/>
      <c r="M543" s="45"/>
      <c r="N543" s="45"/>
      <c r="O543" s="45"/>
      <c r="P543" s="45"/>
      <c r="Q543" s="45"/>
      <c r="R543" s="45"/>
      <c r="S543" s="45"/>
      <c r="T543" s="45"/>
      <c r="U543" s="45"/>
      <c r="V543" s="45"/>
      <c r="W543" s="45"/>
      <c r="X543" s="45"/>
      <c r="Y543" s="45"/>
      <c r="Z543" s="45"/>
    </row>
    <row r="544">
      <c r="A544" s="52"/>
      <c r="B544" s="53"/>
      <c r="C544" s="53"/>
      <c r="D544" s="53"/>
      <c r="E544" s="45"/>
      <c r="F544" s="45"/>
      <c r="G544" s="45"/>
      <c r="H544" s="45"/>
      <c r="I544" s="45"/>
      <c r="J544" s="45"/>
      <c r="K544" s="45"/>
      <c r="L544" s="45"/>
      <c r="M544" s="45"/>
      <c r="N544" s="45"/>
      <c r="O544" s="45"/>
      <c r="P544" s="45"/>
      <c r="Q544" s="45"/>
      <c r="R544" s="45"/>
      <c r="S544" s="45"/>
      <c r="T544" s="45"/>
      <c r="U544" s="45"/>
      <c r="V544" s="45"/>
      <c r="W544" s="45"/>
      <c r="X544" s="45"/>
      <c r="Y544" s="45"/>
      <c r="Z544" s="45"/>
    </row>
    <row r="545">
      <c r="A545" s="52"/>
      <c r="B545" s="53"/>
      <c r="C545" s="53"/>
      <c r="D545" s="53"/>
      <c r="E545" s="45"/>
      <c r="F545" s="45"/>
      <c r="G545" s="45"/>
      <c r="H545" s="45"/>
      <c r="I545" s="45"/>
      <c r="J545" s="45"/>
      <c r="K545" s="45"/>
      <c r="L545" s="45"/>
      <c r="M545" s="45"/>
      <c r="N545" s="45"/>
      <c r="O545" s="45"/>
      <c r="P545" s="45"/>
      <c r="Q545" s="45"/>
      <c r="R545" s="45"/>
      <c r="S545" s="45"/>
      <c r="T545" s="45"/>
      <c r="U545" s="45"/>
      <c r="V545" s="45"/>
      <c r="W545" s="45"/>
      <c r="X545" s="45"/>
      <c r="Y545" s="45"/>
      <c r="Z545" s="45"/>
    </row>
    <row r="546">
      <c r="A546" s="52"/>
      <c r="B546" s="53"/>
      <c r="C546" s="53"/>
      <c r="D546" s="53"/>
      <c r="E546" s="45"/>
      <c r="F546" s="45"/>
      <c r="G546" s="45"/>
      <c r="H546" s="45"/>
      <c r="I546" s="45"/>
      <c r="J546" s="45"/>
      <c r="K546" s="45"/>
      <c r="L546" s="45"/>
      <c r="M546" s="45"/>
      <c r="N546" s="45"/>
      <c r="O546" s="45"/>
      <c r="P546" s="45"/>
      <c r="Q546" s="45"/>
      <c r="R546" s="45"/>
      <c r="S546" s="45"/>
      <c r="T546" s="45"/>
      <c r="U546" s="45"/>
      <c r="V546" s="45"/>
      <c r="W546" s="45"/>
      <c r="X546" s="45"/>
      <c r="Y546" s="45"/>
      <c r="Z546" s="45"/>
    </row>
    <row r="547">
      <c r="A547" s="52"/>
      <c r="B547" s="53"/>
      <c r="C547" s="53"/>
      <c r="D547" s="53"/>
      <c r="E547" s="45"/>
      <c r="F547" s="45"/>
      <c r="G547" s="45"/>
      <c r="H547" s="45"/>
      <c r="I547" s="45"/>
      <c r="J547" s="45"/>
      <c r="K547" s="45"/>
      <c r="L547" s="45"/>
      <c r="M547" s="45"/>
      <c r="N547" s="45"/>
      <c r="O547" s="45"/>
      <c r="P547" s="45"/>
      <c r="Q547" s="45"/>
      <c r="R547" s="45"/>
      <c r="S547" s="45"/>
      <c r="T547" s="45"/>
      <c r="U547" s="45"/>
      <c r="V547" s="45"/>
      <c r="W547" s="45"/>
      <c r="X547" s="45"/>
      <c r="Y547" s="45"/>
      <c r="Z547" s="45"/>
    </row>
    <row r="548">
      <c r="A548" s="52"/>
      <c r="B548" s="53"/>
      <c r="C548" s="53"/>
      <c r="D548" s="53"/>
      <c r="E548" s="45"/>
      <c r="F548" s="45"/>
      <c r="G548" s="45"/>
      <c r="H548" s="45"/>
      <c r="I548" s="45"/>
      <c r="J548" s="45"/>
      <c r="K548" s="45"/>
      <c r="L548" s="45"/>
      <c r="M548" s="45"/>
      <c r="N548" s="45"/>
      <c r="O548" s="45"/>
      <c r="P548" s="45"/>
      <c r="Q548" s="45"/>
      <c r="R548" s="45"/>
      <c r="S548" s="45"/>
      <c r="T548" s="45"/>
      <c r="U548" s="45"/>
      <c r="V548" s="45"/>
      <c r="W548" s="45"/>
      <c r="X548" s="45"/>
      <c r="Y548" s="45"/>
      <c r="Z548" s="45"/>
    </row>
    <row r="549">
      <c r="A549" s="52"/>
      <c r="B549" s="53"/>
      <c r="C549" s="53"/>
      <c r="D549" s="53"/>
      <c r="E549" s="45"/>
      <c r="F549" s="45"/>
      <c r="G549" s="45"/>
      <c r="H549" s="45"/>
      <c r="I549" s="45"/>
      <c r="J549" s="45"/>
      <c r="K549" s="45"/>
      <c r="L549" s="45"/>
      <c r="M549" s="45"/>
      <c r="N549" s="45"/>
      <c r="O549" s="45"/>
      <c r="P549" s="45"/>
      <c r="Q549" s="45"/>
      <c r="R549" s="45"/>
      <c r="S549" s="45"/>
      <c r="T549" s="45"/>
      <c r="U549" s="45"/>
      <c r="V549" s="45"/>
      <c r="W549" s="45"/>
      <c r="X549" s="45"/>
      <c r="Y549" s="45"/>
      <c r="Z549" s="45"/>
    </row>
    <row r="550">
      <c r="A550" s="52"/>
      <c r="B550" s="53"/>
      <c r="C550" s="53"/>
      <c r="D550" s="53"/>
      <c r="E550" s="45"/>
      <c r="F550" s="45"/>
      <c r="G550" s="45"/>
      <c r="H550" s="45"/>
      <c r="I550" s="45"/>
      <c r="J550" s="45"/>
      <c r="K550" s="45"/>
      <c r="L550" s="45"/>
      <c r="M550" s="45"/>
      <c r="N550" s="45"/>
      <c r="O550" s="45"/>
      <c r="P550" s="45"/>
      <c r="Q550" s="45"/>
      <c r="R550" s="45"/>
      <c r="S550" s="45"/>
      <c r="T550" s="45"/>
      <c r="U550" s="45"/>
      <c r="V550" s="45"/>
      <c r="W550" s="45"/>
      <c r="X550" s="45"/>
      <c r="Y550" s="45"/>
      <c r="Z550" s="45"/>
    </row>
    <row r="551">
      <c r="A551" s="52"/>
      <c r="B551" s="53"/>
      <c r="C551" s="53"/>
      <c r="D551" s="53"/>
      <c r="E551" s="45"/>
      <c r="F551" s="45"/>
      <c r="G551" s="45"/>
      <c r="H551" s="45"/>
      <c r="I551" s="45"/>
      <c r="J551" s="45"/>
      <c r="K551" s="45"/>
      <c r="L551" s="45"/>
      <c r="M551" s="45"/>
      <c r="N551" s="45"/>
      <c r="O551" s="45"/>
      <c r="P551" s="45"/>
      <c r="Q551" s="45"/>
      <c r="R551" s="45"/>
      <c r="S551" s="45"/>
      <c r="T551" s="45"/>
      <c r="U551" s="45"/>
      <c r="V551" s="45"/>
      <c r="W551" s="45"/>
      <c r="X551" s="45"/>
      <c r="Y551" s="45"/>
      <c r="Z551" s="45"/>
    </row>
    <row r="552">
      <c r="A552" s="52"/>
      <c r="B552" s="53"/>
      <c r="C552" s="53"/>
      <c r="D552" s="53"/>
      <c r="E552" s="45"/>
      <c r="F552" s="45"/>
      <c r="G552" s="45"/>
      <c r="H552" s="45"/>
      <c r="I552" s="45"/>
      <c r="J552" s="45"/>
      <c r="K552" s="45"/>
      <c r="L552" s="45"/>
      <c r="M552" s="45"/>
      <c r="N552" s="45"/>
      <c r="O552" s="45"/>
      <c r="P552" s="45"/>
      <c r="Q552" s="45"/>
      <c r="R552" s="45"/>
      <c r="S552" s="45"/>
      <c r="T552" s="45"/>
      <c r="U552" s="45"/>
      <c r="V552" s="45"/>
      <c r="W552" s="45"/>
      <c r="X552" s="45"/>
      <c r="Y552" s="45"/>
      <c r="Z552" s="45"/>
    </row>
    <row r="553">
      <c r="A553" s="52"/>
      <c r="B553" s="53"/>
      <c r="C553" s="53"/>
      <c r="D553" s="53"/>
      <c r="E553" s="45"/>
      <c r="F553" s="45"/>
      <c r="G553" s="45"/>
      <c r="H553" s="45"/>
      <c r="I553" s="45"/>
      <c r="J553" s="45"/>
      <c r="K553" s="45"/>
      <c r="L553" s="45"/>
      <c r="M553" s="45"/>
      <c r="N553" s="45"/>
      <c r="O553" s="45"/>
      <c r="P553" s="45"/>
      <c r="Q553" s="45"/>
      <c r="R553" s="45"/>
      <c r="S553" s="45"/>
      <c r="T553" s="45"/>
      <c r="U553" s="45"/>
      <c r="V553" s="45"/>
      <c r="W553" s="45"/>
      <c r="X553" s="45"/>
      <c r="Y553" s="45"/>
      <c r="Z553" s="45"/>
    </row>
    <row r="554">
      <c r="A554" s="52"/>
      <c r="B554" s="53"/>
      <c r="C554" s="53"/>
      <c r="D554" s="53"/>
      <c r="E554" s="45"/>
      <c r="F554" s="45"/>
      <c r="G554" s="45"/>
      <c r="H554" s="45"/>
      <c r="I554" s="45"/>
      <c r="J554" s="45"/>
      <c r="K554" s="45"/>
      <c r="L554" s="45"/>
      <c r="M554" s="45"/>
      <c r="N554" s="45"/>
      <c r="O554" s="45"/>
      <c r="P554" s="45"/>
      <c r="Q554" s="45"/>
      <c r="R554" s="45"/>
      <c r="S554" s="45"/>
      <c r="T554" s="45"/>
      <c r="U554" s="45"/>
      <c r="V554" s="45"/>
      <c r="W554" s="45"/>
      <c r="X554" s="45"/>
      <c r="Y554" s="45"/>
      <c r="Z554" s="45"/>
    </row>
    <row r="555">
      <c r="A555" s="52"/>
      <c r="B555" s="53"/>
      <c r="C555" s="53"/>
      <c r="D555" s="53"/>
      <c r="E555" s="45"/>
      <c r="F555" s="45"/>
      <c r="G555" s="45"/>
      <c r="H555" s="45"/>
      <c r="I555" s="45"/>
      <c r="J555" s="45"/>
      <c r="K555" s="45"/>
      <c r="L555" s="45"/>
      <c r="M555" s="45"/>
      <c r="N555" s="45"/>
      <c r="O555" s="45"/>
      <c r="P555" s="45"/>
      <c r="Q555" s="45"/>
      <c r="R555" s="45"/>
      <c r="S555" s="45"/>
      <c r="T555" s="45"/>
      <c r="U555" s="45"/>
      <c r="V555" s="45"/>
      <c r="W555" s="45"/>
      <c r="X555" s="45"/>
      <c r="Y555" s="45"/>
      <c r="Z555" s="45"/>
    </row>
    <row r="556">
      <c r="A556" s="52"/>
      <c r="B556" s="53"/>
      <c r="C556" s="53"/>
      <c r="D556" s="53"/>
      <c r="E556" s="45"/>
      <c r="F556" s="45"/>
      <c r="G556" s="45"/>
      <c r="H556" s="45"/>
      <c r="I556" s="45"/>
      <c r="J556" s="45"/>
      <c r="K556" s="45"/>
      <c r="L556" s="45"/>
      <c r="M556" s="45"/>
      <c r="N556" s="45"/>
      <c r="O556" s="45"/>
      <c r="P556" s="45"/>
      <c r="Q556" s="45"/>
      <c r="R556" s="45"/>
      <c r="S556" s="45"/>
      <c r="T556" s="45"/>
      <c r="U556" s="45"/>
      <c r="V556" s="45"/>
      <c r="W556" s="45"/>
      <c r="X556" s="45"/>
      <c r="Y556" s="45"/>
      <c r="Z556" s="45"/>
    </row>
    <row r="557">
      <c r="A557" s="52"/>
      <c r="B557" s="53"/>
      <c r="C557" s="53"/>
      <c r="D557" s="53"/>
      <c r="E557" s="45"/>
      <c r="F557" s="45"/>
      <c r="G557" s="45"/>
      <c r="H557" s="45"/>
      <c r="I557" s="45"/>
      <c r="J557" s="45"/>
      <c r="K557" s="45"/>
      <c r="L557" s="45"/>
      <c r="M557" s="45"/>
      <c r="N557" s="45"/>
      <c r="O557" s="45"/>
      <c r="P557" s="45"/>
      <c r="Q557" s="45"/>
      <c r="R557" s="45"/>
      <c r="S557" s="45"/>
      <c r="T557" s="45"/>
      <c r="U557" s="45"/>
      <c r="V557" s="45"/>
      <c r="W557" s="45"/>
      <c r="X557" s="45"/>
      <c r="Y557" s="45"/>
      <c r="Z557" s="45"/>
    </row>
    <row r="558">
      <c r="A558" s="52"/>
      <c r="B558" s="53"/>
      <c r="C558" s="53"/>
      <c r="D558" s="53"/>
      <c r="E558" s="45"/>
      <c r="F558" s="45"/>
      <c r="G558" s="45"/>
      <c r="H558" s="45"/>
      <c r="I558" s="45"/>
      <c r="J558" s="45"/>
      <c r="K558" s="45"/>
      <c r="L558" s="45"/>
      <c r="M558" s="45"/>
      <c r="N558" s="45"/>
      <c r="O558" s="45"/>
      <c r="P558" s="45"/>
      <c r="Q558" s="45"/>
      <c r="R558" s="45"/>
      <c r="S558" s="45"/>
      <c r="T558" s="45"/>
      <c r="U558" s="45"/>
      <c r="V558" s="45"/>
      <c r="W558" s="45"/>
      <c r="X558" s="45"/>
      <c r="Y558" s="45"/>
      <c r="Z558" s="45"/>
    </row>
    <row r="559">
      <c r="A559" s="52"/>
      <c r="B559" s="53"/>
      <c r="C559" s="53"/>
      <c r="D559" s="53"/>
      <c r="E559" s="45"/>
      <c r="F559" s="45"/>
      <c r="G559" s="45"/>
      <c r="H559" s="45"/>
      <c r="I559" s="45"/>
      <c r="J559" s="45"/>
      <c r="K559" s="45"/>
      <c r="L559" s="45"/>
      <c r="M559" s="45"/>
      <c r="N559" s="45"/>
      <c r="O559" s="45"/>
      <c r="P559" s="45"/>
      <c r="Q559" s="45"/>
      <c r="R559" s="45"/>
      <c r="S559" s="45"/>
      <c r="T559" s="45"/>
      <c r="U559" s="45"/>
      <c r="V559" s="45"/>
      <c r="W559" s="45"/>
      <c r="X559" s="45"/>
      <c r="Y559" s="45"/>
      <c r="Z559" s="45"/>
    </row>
    <row r="560">
      <c r="A560" s="52"/>
      <c r="B560" s="53"/>
      <c r="C560" s="53"/>
      <c r="D560" s="53"/>
      <c r="E560" s="45"/>
      <c r="F560" s="45"/>
      <c r="G560" s="45"/>
      <c r="H560" s="45"/>
      <c r="I560" s="45"/>
      <c r="J560" s="45"/>
      <c r="K560" s="45"/>
      <c r="L560" s="45"/>
      <c r="M560" s="45"/>
      <c r="N560" s="45"/>
      <c r="O560" s="45"/>
      <c r="P560" s="45"/>
      <c r="Q560" s="45"/>
      <c r="R560" s="45"/>
      <c r="S560" s="45"/>
      <c r="T560" s="45"/>
      <c r="U560" s="45"/>
      <c r="V560" s="45"/>
      <c r="W560" s="45"/>
      <c r="X560" s="45"/>
      <c r="Y560" s="45"/>
      <c r="Z560" s="45"/>
    </row>
    <row r="561">
      <c r="A561" s="52"/>
      <c r="B561" s="53"/>
      <c r="C561" s="53"/>
      <c r="D561" s="53"/>
      <c r="E561" s="45"/>
      <c r="F561" s="45"/>
      <c r="G561" s="45"/>
      <c r="H561" s="45"/>
      <c r="I561" s="45"/>
      <c r="J561" s="45"/>
      <c r="K561" s="45"/>
      <c r="L561" s="45"/>
      <c r="M561" s="45"/>
      <c r="N561" s="45"/>
      <c r="O561" s="45"/>
      <c r="P561" s="45"/>
      <c r="Q561" s="45"/>
      <c r="R561" s="45"/>
      <c r="S561" s="45"/>
      <c r="T561" s="45"/>
      <c r="U561" s="45"/>
      <c r="V561" s="45"/>
      <c r="W561" s="45"/>
      <c r="X561" s="45"/>
      <c r="Y561" s="45"/>
      <c r="Z561" s="45"/>
    </row>
    <row r="562">
      <c r="A562" s="52"/>
      <c r="B562" s="53"/>
      <c r="C562" s="53"/>
      <c r="D562" s="53"/>
      <c r="E562" s="45"/>
      <c r="F562" s="45"/>
      <c r="G562" s="45"/>
      <c r="H562" s="45"/>
      <c r="I562" s="45"/>
      <c r="J562" s="45"/>
      <c r="K562" s="45"/>
      <c r="L562" s="45"/>
      <c r="M562" s="45"/>
      <c r="N562" s="45"/>
      <c r="O562" s="45"/>
      <c r="P562" s="45"/>
      <c r="Q562" s="45"/>
      <c r="R562" s="45"/>
      <c r="S562" s="45"/>
      <c r="T562" s="45"/>
      <c r="U562" s="45"/>
      <c r="V562" s="45"/>
      <c r="W562" s="45"/>
      <c r="X562" s="45"/>
      <c r="Y562" s="45"/>
      <c r="Z562" s="45"/>
    </row>
    <row r="563">
      <c r="A563" s="52"/>
      <c r="B563" s="53"/>
      <c r="C563" s="53"/>
      <c r="D563" s="53"/>
      <c r="E563" s="45"/>
      <c r="F563" s="45"/>
      <c r="G563" s="45"/>
      <c r="H563" s="45"/>
      <c r="I563" s="45"/>
      <c r="J563" s="45"/>
      <c r="K563" s="45"/>
      <c r="L563" s="45"/>
      <c r="M563" s="45"/>
      <c r="N563" s="45"/>
      <c r="O563" s="45"/>
      <c r="P563" s="45"/>
      <c r="Q563" s="45"/>
      <c r="R563" s="45"/>
      <c r="S563" s="45"/>
      <c r="T563" s="45"/>
      <c r="U563" s="45"/>
      <c r="V563" s="45"/>
      <c r="W563" s="45"/>
      <c r="X563" s="45"/>
      <c r="Y563" s="45"/>
      <c r="Z563" s="45"/>
    </row>
    <row r="564">
      <c r="A564" s="52"/>
      <c r="B564" s="53"/>
      <c r="C564" s="53"/>
      <c r="D564" s="53"/>
      <c r="E564" s="45"/>
      <c r="F564" s="45"/>
      <c r="G564" s="45"/>
      <c r="H564" s="45"/>
      <c r="I564" s="45"/>
      <c r="J564" s="45"/>
      <c r="K564" s="45"/>
      <c r="L564" s="45"/>
      <c r="M564" s="45"/>
      <c r="N564" s="45"/>
      <c r="O564" s="45"/>
      <c r="P564" s="45"/>
      <c r="Q564" s="45"/>
      <c r="R564" s="45"/>
      <c r="S564" s="45"/>
      <c r="T564" s="45"/>
      <c r="U564" s="45"/>
      <c r="V564" s="45"/>
      <c r="W564" s="45"/>
      <c r="X564" s="45"/>
      <c r="Y564" s="45"/>
      <c r="Z564" s="45"/>
    </row>
    <row r="565">
      <c r="A565" s="52"/>
      <c r="B565" s="53"/>
      <c r="C565" s="53"/>
      <c r="D565" s="53"/>
      <c r="E565" s="45"/>
      <c r="F565" s="45"/>
      <c r="G565" s="45"/>
      <c r="H565" s="45"/>
      <c r="I565" s="45"/>
      <c r="J565" s="45"/>
      <c r="K565" s="45"/>
      <c r="L565" s="45"/>
      <c r="M565" s="45"/>
      <c r="N565" s="45"/>
      <c r="O565" s="45"/>
      <c r="P565" s="45"/>
      <c r="Q565" s="45"/>
      <c r="R565" s="45"/>
      <c r="S565" s="45"/>
      <c r="T565" s="45"/>
      <c r="U565" s="45"/>
      <c r="V565" s="45"/>
      <c r="W565" s="45"/>
      <c r="X565" s="45"/>
      <c r="Y565" s="45"/>
      <c r="Z565" s="45"/>
    </row>
    <row r="566">
      <c r="A566" s="52"/>
      <c r="B566" s="53"/>
      <c r="C566" s="53"/>
      <c r="D566" s="53"/>
      <c r="E566" s="45"/>
      <c r="F566" s="45"/>
      <c r="G566" s="45"/>
      <c r="H566" s="45"/>
      <c r="I566" s="45"/>
      <c r="J566" s="45"/>
      <c r="K566" s="45"/>
      <c r="L566" s="45"/>
      <c r="M566" s="45"/>
      <c r="N566" s="45"/>
      <c r="O566" s="45"/>
      <c r="P566" s="45"/>
      <c r="Q566" s="45"/>
      <c r="R566" s="45"/>
      <c r="S566" s="45"/>
      <c r="T566" s="45"/>
      <c r="U566" s="45"/>
      <c r="V566" s="45"/>
      <c r="W566" s="45"/>
      <c r="X566" s="45"/>
      <c r="Y566" s="45"/>
      <c r="Z566" s="45"/>
    </row>
    <row r="567">
      <c r="A567" s="52"/>
      <c r="B567" s="53"/>
      <c r="C567" s="53"/>
      <c r="D567" s="53"/>
      <c r="E567" s="45"/>
      <c r="F567" s="45"/>
      <c r="G567" s="45"/>
      <c r="H567" s="45"/>
      <c r="I567" s="45"/>
      <c r="J567" s="45"/>
      <c r="K567" s="45"/>
      <c r="L567" s="45"/>
      <c r="M567" s="45"/>
      <c r="N567" s="45"/>
      <c r="O567" s="45"/>
      <c r="P567" s="45"/>
      <c r="Q567" s="45"/>
      <c r="R567" s="45"/>
      <c r="S567" s="45"/>
      <c r="T567" s="45"/>
      <c r="U567" s="45"/>
      <c r="V567" s="45"/>
      <c r="W567" s="45"/>
      <c r="X567" s="45"/>
      <c r="Y567" s="45"/>
      <c r="Z567" s="45"/>
    </row>
    <row r="568">
      <c r="A568" s="52"/>
      <c r="B568" s="53"/>
      <c r="C568" s="53"/>
      <c r="D568" s="53"/>
      <c r="E568" s="45"/>
      <c r="F568" s="45"/>
      <c r="G568" s="45"/>
      <c r="H568" s="45"/>
      <c r="I568" s="45"/>
      <c r="J568" s="45"/>
      <c r="K568" s="45"/>
      <c r="L568" s="45"/>
      <c r="M568" s="45"/>
      <c r="N568" s="45"/>
      <c r="O568" s="45"/>
      <c r="P568" s="45"/>
      <c r="Q568" s="45"/>
      <c r="R568" s="45"/>
      <c r="S568" s="45"/>
      <c r="T568" s="45"/>
      <c r="U568" s="45"/>
      <c r="V568" s="45"/>
      <c r="W568" s="45"/>
      <c r="X568" s="45"/>
      <c r="Y568" s="45"/>
      <c r="Z568" s="45"/>
    </row>
    <row r="569">
      <c r="A569" s="52"/>
      <c r="B569" s="53"/>
      <c r="C569" s="53"/>
      <c r="D569" s="53"/>
      <c r="E569" s="45"/>
      <c r="F569" s="45"/>
      <c r="G569" s="45"/>
      <c r="H569" s="45"/>
      <c r="I569" s="45"/>
      <c r="J569" s="45"/>
      <c r="K569" s="45"/>
      <c r="L569" s="45"/>
      <c r="M569" s="45"/>
      <c r="N569" s="45"/>
      <c r="O569" s="45"/>
      <c r="P569" s="45"/>
      <c r="Q569" s="45"/>
      <c r="R569" s="45"/>
      <c r="S569" s="45"/>
      <c r="T569" s="45"/>
      <c r="U569" s="45"/>
      <c r="V569" s="45"/>
      <c r="W569" s="45"/>
      <c r="X569" s="45"/>
      <c r="Y569" s="45"/>
      <c r="Z569" s="45"/>
    </row>
    <row r="570">
      <c r="A570" s="52"/>
      <c r="B570" s="53"/>
      <c r="C570" s="53"/>
      <c r="D570" s="53"/>
      <c r="E570" s="45"/>
      <c r="F570" s="45"/>
      <c r="G570" s="45"/>
      <c r="H570" s="45"/>
      <c r="I570" s="45"/>
      <c r="J570" s="45"/>
      <c r="K570" s="45"/>
      <c r="L570" s="45"/>
      <c r="M570" s="45"/>
      <c r="N570" s="45"/>
      <c r="O570" s="45"/>
      <c r="P570" s="45"/>
      <c r="Q570" s="45"/>
      <c r="R570" s="45"/>
      <c r="S570" s="45"/>
      <c r="T570" s="45"/>
      <c r="U570" s="45"/>
      <c r="V570" s="45"/>
      <c r="W570" s="45"/>
      <c r="X570" s="45"/>
      <c r="Y570" s="45"/>
      <c r="Z570" s="45"/>
    </row>
    <row r="571">
      <c r="A571" s="52"/>
      <c r="B571" s="53"/>
      <c r="C571" s="53"/>
      <c r="D571" s="53"/>
      <c r="E571" s="45"/>
      <c r="F571" s="45"/>
      <c r="G571" s="45"/>
      <c r="H571" s="45"/>
      <c r="I571" s="45"/>
      <c r="J571" s="45"/>
      <c r="K571" s="45"/>
      <c r="L571" s="45"/>
      <c r="M571" s="45"/>
      <c r="N571" s="45"/>
      <c r="O571" s="45"/>
      <c r="P571" s="45"/>
      <c r="Q571" s="45"/>
      <c r="R571" s="45"/>
      <c r="S571" s="45"/>
      <c r="T571" s="45"/>
      <c r="U571" s="45"/>
      <c r="V571" s="45"/>
      <c r="W571" s="45"/>
      <c r="X571" s="45"/>
      <c r="Y571" s="45"/>
      <c r="Z571" s="45"/>
    </row>
    <row r="572">
      <c r="A572" s="52"/>
      <c r="B572" s="53"/>
      <c r="C572" s="53"/>
      <c r="D572" s="53"/>
      <c r="E572" s="45"/>
      <c r="F572" s="45"/>
      <c r="G572" s="45"/>
      <c r="H572" s="45"/>
      <c r="I572" s="45"/>
      <c r="J572" s="45"/>
      <c r="K572" s="45"/>
      <c r="L572" s="45"/>
      <c r="M572" s="45"/>
      <c r="N572" s="45"/>
      <c r="O572" s="45"/>
      <c r="P572" s="45"/>
      <c r="Q572" s="45"/>
      <c r="R572" s="45"/>
      <c r="S572" s="45"/>
      <c r="T572" s="45"/>
      <c r="U572" s="45"/>
      <c r="V572" s="45"/>
      <c r="W572" s="45"/>
      <c r="X572" s="45"/>
      <c r="Y572" s="45"/>
      <c r="Z572" s="45"/>
    </row>
    <row r="573">
      <c r="A573" s="52"/>
      <c r="B573" s="53"/>
      <c r="C573" s="53"/>
      <c r="D573" s="53"/>
      <c r="E573" s="45"/>
      <c r="F573" s="45"/>
      <c r="G573" s="45"/>
      <c r="H573" s="45"/>
      <c r="I573" s="45"/>
      <c r="J573" s="45"/>
      <c r="K573" s="45"/>
      <c r="L573" s="45"/>
      <c r="M573" s="45"/>
      <c r="N573" s="45"/>
      <c r="O573" s="45"/>
      <c r="P573" s="45"/>
      <c r="Q573" s="45"/>
      <c r="R573" s="45"/>
      <c r="S573" s="45"/>
      <c r="T573" s="45"/>
      <c r="U573" s="45"/>
      <c r="V573" s="45"/>
      <c r="W573" s="45"/>
      <c r="X573" s="45"/>
      <c r="Y573" s="45"/>
      <c r="Z573" s="45"/>
    </row>
    <row r="574">
      <c r="A574" s="52"/>
      <c r="B574" s="53"/>
      <c r="C574" s="53"/>
      <c r="D574" s="53"/>
      <c r="E574" s="45"/>
      <c r="F574" s="45"/>
      <c r="G574" s="45"/>
      <c r="H574" s="45"/>
      <c r="I574" s="45"/>
      <c r="J574" s="45"/>
      <c r="K574" s="45"/>
      <c r="L574" s="45"/>
      <c r="M574" s="45"/>
      <c r="N574" s="45"/>
      <c r="O574" s="45"/>
      <c r="P574" s="45"/>
      <c r="Q574" s="45"/>
      <c r="R574" s="45"/>
      <c r="S574" s="45"/>
      <c r="T574" s="45"/>
      <c r="U574" s="45"/>
      <c r="V574" s="45"/>
      <c r="W574" s="45"/>
      <c r="X574" s="45"/>
      <c r="Y574" s="45"/>
      <c r="Z574" s="45"/>
    </row>
    <row r="575">
      <c r="A575" s="52"/>
      <c r="B575" s="53"/>
      <c r="C575" s="53"/>
      <c r="D575" s="53"/>
      <c r="E575" s="45"/>
      <c r="F575" s="45"/>
      <c r="G575" s="45"/>
      <c r="H575" s="45"/>
      <c r="I575" s="45"/>
      <c r="J575" s="45"/>
      <c r="K575" s="45"/>
      <c r="L575" s="45"/>
      <c r="M575" s="45"/>
      <c r="N575" s="45"/>
      <c r="O575" s="45"/>
      <c r="P575" s="45"/>
      <c r="Q575" s="45"/>
      <c r="R575" s="45"/>
      <c r="S575" s="45"/>
      <c r="T575" s="45"/>
      <c r="U575" s="45"/>
      <c r="V575" s="45"/>
      <c r="W575" s="45"/>
      <c r="X575" s="45"/>
      <c r="Y575" s="45"/>
      <c r="Z575" s="45"/>
    </row>
    <row r="576">
      <c r="A576" s="52"/>
      <c r="B576" s="53"/>
      <c r="C576" s="53"/>
      <c r="D576" s="53"/>
      <c r="E576" s="45"/>
      <c r="F576" s="45"/>
      <c r="G576" s="45"/>
      <c r="H576" s="45"/>
      <c r="I576" s="45"/>
      <c r="J576" s="45"/>
      <c r="K576" s="45"/>
      <c r="L576" s="45"/>
      <c r="M576" s="45"/>
      <c r="N576" s="45"/>
      <c r="O576" s="45"/>
      <c r="P576" s="45"/>
      <c r="Q576" s="45"/>
      <c r="R576" s="45"/>
      <c r="S576" s="45"/>
      <c r="T576" s="45"/>
      <c r="U576" s="45"/>
      <c r="V576" s="45"/>
      <c r="W576" s="45"/>
      <c r="X576" s="45"/>
      <c r="Y576" s="45"/>
      <c r="Z576" s="45"/>
    </row>
    <row r="577">
      <c r="A577" s="52"/>
      <c r="B577" s="53"/>
      <c r="C577" s="53"/>
      <c r="D577" s="53"/>
      <c r="E577" s="45"/>
      <c r="F577" s="45"/>
      <c r="G577" s="45"/>
      <c r="H577" s="45"/>
      <c r="I577" s="45"/>
      <c r="J577" s="45"/>
      <c r="K577" s="45"/>
      <c r="L577" s="45"/>
      <c r="M577" s="45"/>
      <c r="N577" s="45"/>
      <c r="O577" s="45"/>
      <c r="P577" s="45"/>
      <c r="Q577" s="45"/>
      <c r="R577" s="45"/>
      <c r="S577" s="45"/>
      <c r="T577" s="45"/>
      <c r="U577" s="45"/>
      <c r="V577" s="45"/>
      <c r="W577" s="45"/>
      <c r="X577" s="45"/>
      <c r="Y577" s="45"/>
      <c r="Z577" s="45"/>
    </row>
    <row r="578">
      <c r="A578" s="52"/>
      <c r="B578" s="53"/>
      <c r="C578" s="53"/>
      <c r="D578" s="53"/>
      <c r="E578" s="45"/>
      <c r="F578" s="45"/>
      <c r="G578" s="45"/>
      <c r="H578" s="45"/>
      <c r="I578" s="45"/>
      <c r="J578" s="45"/>
      <c r="K578" s="45"/>
      <c r="L578" s="45"/>
      <c r="M578" s="45"/>
      <c r="N578" s="45"/>
      <c r="O578" s="45"/>
      <c r="P578" s="45"/>
      <c r="Q578" s="45"/>
      <c r="R578" s="45"/>
      <c r="S578" s="45"/>
      <c r="T578" s="45"/>
      <c r="U578" s="45"/>
      <c r="V578" s="45"/>
      <c r="W578" s="45"/>
      <c r="X578" s="45"/>
      <c r="Y578" s="45"/>
      <c r="Z578" s="45"/>
    </row>
    <row r="579">
      <c r="A579" s="52"/>
      <c r="B579" s="53"/>
      <c r="C579" s="53"/>
      <c r="D579" s="53"/>
      <c r="E579" s="45"/>
      <c r="F579" s="45"/>
      <c r="G579" s="45"/>
      <c r="H579" s="45"/>
      <c r="I579" s="45"/>
      <c r="J579" s="45"/>
      <c r="K579" s="45"/>
      <c r="L579" s="45"/>
      <c r="M579" s="45"/>
      <c r="N579" s="45"/>
      <c r="O579" s="45"/>
      <c r="P579" s="45"/>
      <c r="Q579" s="45"/>
      <c r="R579" s="45"/>
      <c r="S579" s="45"/>
      <c r="T579" s="45"/>
      <c r="U579" s="45"/>
      <c r="V579" s="45"/>
      <c r="W579" s="45"/>
      <c r="X579" s="45"/>
      <c r="Y579" s="45"/>
      <c r="Z579" s="45"/>
    </row>
    <row r="580">
      <c r="A580" s="52"/>
      <c r="B580" s="53"/>
      <c r="C580" s="53"/>
      <c r="D580" s="53"/>
      <c r="E580" s="45"/>
      <c r="F580" s="45"/>
      <c r="G580" s="45"/>
      <c r="H580" s="45"/>
      <c r="I580" s="45"/>
      <c r="J580" s="45"/>
      <c r="K580" s="45"/>
      <c r="L580" s="45"/>
      <c r="M580" s="45"/>
      <c r="N580" s="45"/>
      <c r="O580" s="45"/>
      <c r="P580" s="45"/>
      <c r="Q580" s="45"/>
      <c r="R580" s="45"/>
      <c r="S580" s="45"/>
      <c r="T580" s="45"/>
      <c r="U580" s="45"/>
      <c r="V580" s="45"/>
      <c r="W580" s="45"/>
      <c r="X580" s="45"/>
      <c r="Y580" s="45"/>
      <c r="Z580" s="45"/>
    </row>
    <row r="581">
      <c r="A581" s="52"/>
      <c r="B581" s="53"/>
      <c r="C581" s="53"/>
      <c r="D581" s="53"/>
      <c r="E581" s="45"/>
      <c r="F581" s="45"/>
      <c r="G581" s="45"/>
      <c r="H581" s="45"/>
      <c r="I581" s="45"/>
      <c r="J581" s="45"/>
      <c r="K581" s="45"/>
      <c r="L581" s="45"/>
      <c r="M581" s="45"/>
      <c r="N581" s="45"/>
      <c r="O581" s="45"/>
      <c r="P581" s="45"/>
      <c r="Q581" s="45"/>
      <c r="R581" s="45"/>
      <c r="S581" s="45"/>
      <c r="T581" s="45"/>
      <c r="U581" s="45"/>
      <c r="V581" s="45"/>
      <c r="W581" s="45"/>
      <c r="X581" s="45"/>
      <c r="Y581" s="45"/>
      <c r="Z581" s="45"/>
    </row>
    <row r="582">
      <c r="A582" s="52"/>
      <c r="B582" s="53"/>
      <c r="C582" s="53"/>
      <c r="D582" s="53"/>
      <c r="E582" s="45"/>
      <c r="F582" s="45"/>
      <c r="G582" s="45"/>
      <c r="H582" s="45"/>
      <c r="I582" s="45"/>
      <c r="J582" s="45"/>
      <c r="K582" s="45"/>
      <c r="L582" s="45"/>
      <c r="M582" s="45"/>
      <c r="N582" s="45"/>
      <c r="O582" s="45"/>
      <c r="P582" s="45"/>
      <c r="Q582" s="45"/>
      <c r="R582" s="45"/>
      <c r="S582" s="45"/>
      <c r="T582" s="45"/>
      <c r="U582" s="45"/>
      <c r="V582" s="45"/>
      <c r="W582" s="45"/>
      <c r="X582" s="45"/>
      <c r="Y582" s="45"/>
      <c r="Z582" s="45"/>
    </row>
    <row r="583">
      <c r="A583" s="52"/>
      <c r="B583" s="53"/>
      <c r="C583" s="53"/>
      <c r="D583" s="53"/>
      <c r="E583" s="45"/>
      <c r="F583" s="45"/>
      <c r="G583" s="45"/>
      <c r="H583" s="45"/>
      <c r="I583" s="45"/>
      <c r="J583" s="45"/>
      <c r="K583" s="45"/>
      <c r="L583" s="45"/>
      <c r="M583" s="45"/>
      <c r="N583" s="45"/>
      <c r="O583" s="45"/>
      <c r="P583" s="45"/>
      <c r="Q583" s="45"/>
      <c r="R583" s="45"/>
      <c r="S583" s="45"/>
      <c r="T583" s="45"/>
      <c r="U583" s="45"/>
      <c r="V583" s="45"/>
      <c r="W583" s="45"/>
      <c r="X583" s="45"/>
      <c r="Y583" s="45"/>
      <c r="Z583" s="45"/>
    </row>
    <row r="584">
      <c r="A584" s="52"/>
      <c r="B584" s="53"/>
      <c r="C584" s="53"/>
      <c r="D584" s="53"/>
      <c r="E584" s="45"/>
      <c r="F584" s="45"/>
      <c r="G584" s="45"/>
      <c r="H584" s="45"/>
      <c r="I584" s="45"/>
      <c r="J584" s="45"/>
      <c r="K584" s="45"/>
      <c r="L584" s="45"/>
      <c r="M584" s="45"/>
      <c r="N584" s="45"/>
      <c r="O584" s="45"/>
      <c r="P584" s="45"/>
      <c r="Q584" s="45"/>
      <c r="R584" s="45"/>
      <c r="S584" s="45"/>
      <c r="T584" s="45"/>
      <c r="U584" s="45"/>
      <c r="V584" s="45"/>
      <c r="W584" s="45"/>
      <c r="X584" s="45"/>
      <c r="Y584" s="45"/>
      <c r="Z584" s="45"/>
    </row>
    <row r="585">
      <c r="A585" s="52"/>
      <c r="B585" s="53"/>
      <c r="C585" s="53"/>
      <c r="D585" s="53"/>
      <c r="E585" s="45"/>
      <c r="F585" s="45"/>
      <c r="G585" s="45"/>
      <c r="H585" s="45"/>
      <c r="I585" s="45"/>
      <c r="J585" s="45"/>
      <c r="K585" s="45"/>
      <c r="L585" s="45"/>
      <c r="M585" s="45"/>
      <c r="N585" s="45"/>
      <c r="O585" s="45"/>
      <c r="P585" s="45"/>
      <c r="Q585" s="45"/>
      <c r="R585" s="45"/>
      <c r="S585" s="45"/>
      <c r="T585" s="45"/>
      <c r="U585" s="45"/>
      <c r="V585" s="45"/>
      <c r="W585" s="45"/>
      <c r="X585" s="45"/>
      <c r="Y585" s="45"/>
      <c r="Z585" s="45"/>
    </row>
    <row r="586">
      <c r="A586" s="52"/>
      <c r="B586" s="53"/>
      <c r="C586" s="53"/>
      <c r="D586" s="53"/>
      <c r="E586" s="45"/>
      <c r="F586" s="45"/>
      <c r="G586" s="45"/>
      <c r="H586" s="45"/>
      <c r="I586" s="45"/>
      <c r="J586" s="45"/>
      <c r="K586" s="45"/>
      <c r="L586" s="45"/>
      <c r="M586" s="45"/>
      <c r="N586" s="45"/>
      <c r="O586" s="45"/>
      <c r="P586" s="45"/>
      <c r="Q586" s="45"/>
      <c r="R586" s="45"/>
      <c r="S586" s="45"/>
      <c r="T586" s="45"/>
      <c r="U586" s="45"/>
      <c r="V586" s="45"/>
      <c r="W586" s="45"/>
      <c r="X586" s="45"/>
      <c r="Y586" s="45"/>
      <c r="Z586" s="45"/>
    </row>
    <row r="587">
      <c r="A587" s="52"/>
      <c r="B587" s="53"/>
      <c r="C587" s="53"/>
      <c r="D587" s="53"/>
      <c r="E587" s="45"/>
      <c r="F587" s="45"/>
      <c r="G587" s="45"/>
      <c r="H587" s="45"/>
      <c r="I587" s="45"/>
      <c r="J587" s="45"/>
      <c r="K587" s="45"/>
      <c r="L587" s="45"/>
      <c r="M587" s="45"/>
      <c r="N587" s="45"/>
      <c r="O587" s="45"/>
      <c r="P587" s="45"/>
      <c r="Q587" s="45"/>
      <c r="R587" s="45"/>
      <c r="S587" s="45"/>
      <c r="T587" s="45"/>
      <c r="U587" s="45"/>
      <c r="V587" s="45"/>
      <c r="W587" s="45"/>
      <c r="X587" s="45"/>
      <c r="Y587" s="45"/>
      <c r="Z587" s="45"/>
    </row>
    <row r="588">
      <c r="A588" s="52"/>
      <c r="B588" s="53"/>
      <c r="C588" s="53"/>
      <c r="D588" s="53"/>
      <c r="E588" s="45"/>
      <c r="F588" s="45"/>
      <c r="G588" s="45"/>
      <c r="H588" s="45"/>
      <c r="I588" s="45"/>
      <c r="J588" s="45"/>
      <c r="K588" s="45"/>
      <c r="L588" s="45"/>
      <c r="M588" s="45"/>
      <c r="N588" s="45"/>
      <c r="O588" s="45"/>
      <c r="P588" s="45"/>
      <c r="Q588" s="45"/>
      <c r="R588" s="45"/>
      <c r="S588" s="45"/>
      <c r="T588" s="45"/>
      <c r="U588" s="45"/>
      <c r="V588" s="45"/>
      <c r="W588" s="45"/>
      <c r="X588" s="45"/>
      <c r="Y588" s="45"/>
      <c r="Z588" s="45"/>
    </row>
    <row r="589">
      <c r="A589" s="52"/>
      <c r="B589" s="53"/>
      <c r="C589" s="53"/>
      <c r="D589" s="53"/>
      <c r="E589" s="45"/>
      <c r="F589" s="45"/>
      <c r="G589" s="45"/>
      <c r="H589" s="45"/>
      <c r="I589" s="45"/>
      <c r="J589" s="45"/>
      <c r="K589" s="45"/>
      <c r="L589" s="45"/>
      <c r="M589" s="45"/>
      <c r="N589" s="45"/>
      <c r="O589" s="45"/>
      <c r="P589" s="45"/>
      <c r="Q589" s="45"/>
      <c r="R589" s="45"/>
      <c r="S589" s="45"/>
      <c r="T589" s="45"/>
      <c r="U589" s="45"/>
      <c r="V589" s="45"/>
      <c r="W589" s="45"/>
      <c r="X589" s="45"/>
      <c r="Y589" s="45"/>
      <c r="Z589" s="45"/>
    </row>
    <row r="590">
      <c r="A590" s="52"/>
      <c r="B590" s="53"/>
      <c r="C590" s="53"/>
      <c r="D590" s="53"/>
      <c r="E590" s="45"/>
      <c r="F590" s="45"/>
      <c r="G590" s="45"/>
      <c r="H590" s="45"/>
      <c r="I590" s="45"/>
      <c r="J590" s="45"/>
      <c r="K590" s="45"/>
      <c r="L590" s="45"/>
      <c r="M590" s="45"/>
      <c r="N590" s="45"/>
      <c r="O590" s="45"/>
      <c r="P590" s="45"/>
      <c r="Q590" s="45"/>
      <c r="R590" s="45"/>
      <c r="S590" s="45"/>
      <c r="T590" s="45"/>
      <c r="U590" s="45"/>
      <c r="V590" s="45"/>
      <c r="W590" s="45"/>
      <c r="X590" s="45"/>
      <c r="Y590" s="45"/>
      <c r="Z590" s="45"/>
    </row>
    <row r="591">
      <c r="A591" s="52"/>
      <c r="B591" s="53"/>
      <c r="C591" s="53"/>
      <c r="D591" s="53"/>
      <c r="E591" s="45"/>
      <c r="F591" s="45"/>
      <c r="G591" s="45"/>
      <c r="H591" s="45"/>
      <c r="I591" s="45"/>
      <c r="J591" s="45"/>
      <c r="K591" s="45"/>
      <c r="L591" s="45"/>
      <c r="M591" s="45"/>
      <c r="N591" s="45"/>
      <c r="O591" s="45"/>
      <c r="P591" s="45"/>
      <c r="Q591" s="45"/>
      <c r="R591" s="45"/>
      <c r="S591" s="45"/>
      <c r="T591" s="45"/>
      <c r="U591" s="45"/>
      <c r="V591" s="45"/>
      <c r="W591" s="45"/>
      <c r="X591" s="45"/>
      <c r="Y591" s="45"/>
      <c r="Z591" s="45"/>
    </row>
    <row r="592">
      <c r="A592" s="52"/>
      <c r="B592" s="53"/>
      <c r="C592" s="53"/>
      <c r="D592" s="53"/>
      <c r="E592" s="45"/>
      <c r="F592" s="45"/>
      <c r="G592" s="45"/>
      <c r="H592" s="45"/>
      <c r="I592" s="45"/>
      <c r="J592" s="45"/>
      <c r="K592" s="45"/>
      <c r="L592" s="45"/>
      <c r="M592" s="45"/>
      <c r="N592" s="45"/>
      <c r="O592" s="45"/>
      <c r="P592" s="45"/>
      <c r="Q592" s="45"/>
      <c r="R592" s="45"/>
      <c r="S592" s="45"/>
      <c r="T592" s="45"/>
      <c r="U592" s="45"/>
      <c r="V592" s="45"/>
      <c r="W592" s="45"/>
      <c r="X592" s="45"/>
      <c r="Y592" s="45"/>
      <c r="Z592" s="45"/>
    </row>
    <row r="593">
      <c r="A593" s="52"/>
      <c r="B593" s="53"/>
      <c r="C593" s="53"/>
      <c r="D593" s="53"/>
      <c r="E593" s="45"/>
      <c r="F593" s="45"/>
      <c r="G593" s="45"/>
      <c r="H593" s="45"/>
      <c r="I593" s="45"/>
      <c r="J593" s="45"/>
      <c r="K593" s="45"/>
      <c r="L593" s="45"/>
      <c r="M593" s="45"/>
      <c r="N593" s="45"/>
      <c r="O593" s="45"/>
      <c r="P593" s="45"/>
      <c r="Q593" s="45"/>
      <c r="R593" s="45"/>
      <c r="S593" s="45"/>
      <c r="T593" s="45"/>
      <c r="U593" s="45"/>
      <c r="V593" s="45"/>
      <c r="W593" s="45"/>
      <c r="X593" s="45"/>
      <c r="Y593" s="45"/>
      <c r="Z593" s="45"/>
    </row>
    <row r="594">
      <c r="A594" s="52"/>
      <c r="B594" s="53"/>
      <c r="C594" s="53"/>
      <c r="D594" s="53"/>
      <c r="E594" s="45"/>
      <c r="F594" s="45"/>
      <c r="G594" s="45"/>
      <c r="H594" s="45"/>
      <c r="I594" s="45"/>
      <c r="J594" s="45"/>
      <c r="K594" s="45"/>
      <c r="L594" s="45"/>
      <c r="M594" s="45"/>
      <c r="N594" s="45"/>
      <c r="O594" s="45"/>
      <c r="P594" s="45"/>
      <c r="Q594" s="45"/>
      <c r="R594" s="45"/>
      <c r="S594" s="45"/>
      <c r="T594" s="45"/>
      <c r="U594" s="45"/>
      <c r="V594" s="45"/>
      <c r="W594" s="45"/>
      <c r="X594" s="45"/>
      <c r="Y594" s="45"/>
      <c r="Z594" s="45"/>
    </row>
    <row r="595">
      <c r="A595" s="52"/>
      <c r="B595" s="53"/>
      <c r="C595" s="53"/>
      <c r="D595" s="53"/>
      <c r="E595" s="45"/>
      <c r="F595" s="45"/>
      <c r="G595" s="45"/>
      <c r="H595" s="45"/>
      <c r="I595" s="45"/>
      <c r="J595" s="45"/>
      <c r="K595" s="45"/>
      <c r="L595" s="45"/>
      <c r="M595" s="45"/>
      <c r="N595" s="45"/>
      <c r="O595" s="45"/>
      <c r="P595" s="45"/>
      <c r="Q595" s="45"/>
      <c r="R595" s="45"/>
      <c r="S595" s="45"/>
      <c r="T595" s="45"/>
      <c r="U595" s="45"/>
      <c r="V595" s="45"/>
      <c r="W595" s="45"/>
      <c r="X595" s="45"/>
      <c r="Y595" s="45"/>
      <c r="Z595" s="45"/>
    </row>
    <row r="596">
      <c r="A596" s="52"/>
      <c r="B596" s="53"/>
      <c r="C596" s="53"/>
      <c r="D596" s="53"/>
      <c r="E596" s="45"/>
      <c r="F596" s="45"/>
      <c r="G596" s="45"/>
      <c r="H596" s="45"/>
      <c r="I596" s="45"/>
      <c r="J596" s="45"/>
      <c r="K596" s="45"/>
      <c r="L596" s="45"/>
      <c r="M596" s="45"/>
      <c r="N596" s="45"/>
      <c r="O596" s="45"/>
      <c r="P596" s="45"/>
      <c r="Q596" s="45"/>
      <c r="R596" s="45"/>
      <c r="S596" s="45"/>
      <c r="T596" s="45"/>
      <c r="U596" s="45"/>
      <c r="V596" s="45"/>
      <c r="W596" s="45"/>
      <c r="X596" s="45"/>
      <c r="Y596" s="45"/>
      <c r="Z596" s="45"/>
    </row>
    <row r="597">
      <c r="A597" s="52"/>
      <c r="B597" s="53"/>
      <c r="C597" s="53"/>
      <c r="D597" s="53"/>
      <c r="E597" s="45"/>
      <c r="F597" s="45"/>
      <c r="G597" s="45"/>
      <c r="H597" s="45"/>
      <c r="I597" s="45"/>
      <c r="J597" s="45"/>
      <c r="K597" s="45"/>
      <c r="L597" s="45"/>
      <c r="M597" s="45"/>
      <c r="N597" s="45"/>
      <c r="O597" s="45"/>
      <c r="P597" s="45"/>
      <c r="Q597" s="45"/>
      <c r="R597" s="45"/>
      <c r="S597" s="45"/>
      <c r="T597" s="45"/>
      <c r="U597" s="45"/>
      <c r="V597" s="45"/>
      <c r="W597" s="45"/>
      <c r="X597" s="45"/>
      <c r="Y597" s="45"/>
      <c r="Z597" s="45"/>
    </row>
    <row r="598">
      <c r="A598" s="52"/>
      <c r="B598" s="53"/>
      <c r="C598" s="53"/>
      <c r="D598" s="53"/>
      <c r="E598" s="45"/>
      <c r="F598" s="45"/>
      <c r="G598" s="45"/>
      <c r="H598" s="45"/>
      <c r="I598" s="45"/>
      <c r="J598" s="45"/>
      <c r="K598" s="45"/>
      <c r="L598" s="45"/>
      <c r="M598" s="45"/>
      <c r="N598" s="45"/>
      <c r="O598" s="45"/>
      <c r="P598" s="45"/>
      <c r="Q598" s="45"/>
      <c r="R598" s="45"/>
      <c r="S598" s="45"/>
      <c r="T598" s="45"/>
      <c r="U598" s="45"/>
      <c r="V598" s="45"/>
      <c r="W598" s="45"/>
      <c r="X598" s="45"/>
      <c r="Y598" s="45"/>
      <c r="Z598" s="45"/>
    </row>
    <row r="599">
      <c r="A599" s="52"/>
      <c r="B599" s="53"/>
      <c r="C599" s="53"/>
      <c r="D599" s="53"/>
      <c r="E599" s="45"/>
      <c r="F599" s="45"/>
      <c r="G599" s="45"/>
      <c r="H599" s="45"/>
      <c r="I599" s="45"/>
      <c r="J599" s="45"/>
      <c r="K599" s="45"/>
      <c r="L599" s="45"/>
      <c r="M599" s="45"/>
      <c r="N599" s="45"/>
      <c r="O599" s="45"/>
      <c r="P599" s="45"/>
      <c r="Q599" s="45"/>
      <c r="R599" s="45"/>
      <c r="S599" s="45"/>
      <c r="T599" s="45"/>
      <c r="U599" s="45"/>
      <c r="V599" s="45"/>
      <c r="W599" s="45"/>
      <c r="X599" s="45"/>
      <c r="Y599" s="45"/>
      <c r="Z599" s="45"/>
    </row>
    <row r="600">
      <c r="A600" s="52"/>
      <c r="B600" s="53"/>
      <c r="C600" s="53"/>
      <c r="D600" s="53"/>
      <c r="E600" s="45"/>
      <c r="F600" s="45"/>
      <c r="G600" s="45"/>
      <c r="H600" s="45"/>
      <c r="I600" s="45"/>
      <c r="J600" s="45"/>
      <c r="K600" s="45"/>
      <c r="L600" s="45"/>
      <c r="M600" s="45"/>
      <c r="N600" s="45"/>
      <c r="O600" s="45"/>
      <c r="P600" s="45"/>
      <c r="Q600" s="45"/>
      <c r="R600" s="45"/>
      <c r="S600" s="45"/>
      <c r="T600" s="45"/>
      <c r="U600" s="45"/>
      <c r="V600" s="45"/>
      <c r="W600" s="45"/>
      <c r="X600" s="45"/>
      <c r="Y600" s="45"/>
      <c r="Z600" s="45"/>
    </row>
    <row r="601">
      <c r="A601" s="52"/>
      <c r="B601" s="53"/>
      <c r="C601" s="53"/>
      <c r="D601" s="53"/>
      <c r="E601" s="45"/>
      <c r="F601" s="45"/>
      <c r="G601" s="45"/>
      <c r="H601" s="45"/>
      <c r="I601" s="45"/>
      <c r="J601" s="45"/>
      <c r="K601" s="45"/>
      <c r="L601" s="45"/>
      <c r="M601" s="45"/>
      <c r="N601" s="45"/>
      <c r="O601" s="45"/>
      <c r="P601" s="45"/>
      <c r="Q601" s="45"/>
      <c r="R601" s="45"/>
      <c r="S601" s="45"/>
      <c r="T601" s="45"/>
      <c r="U601" s="45"/>
      <c r="V601" s="45"/>
      <c r="W601" s="45"/>
      <c r="X601" s="45"/>
      <c r="Y601" s="45"/>
      <c r="Z601" s="45"/>
    </row>
    <row r="602">
      <c r="A602" s="52"/>
      <c r="B602" s="53"/>
      <c r="C602" s="53"/>
      <c r="D602" s="53"/>
      <c r="E602" s="45"/>
      <c r="F602" s="45"/>
      <c r="G602" s="45"/>
      <c r="H602" s="45"/>
      <c r="I602" s="45"/>
      <c r="J602" s="45"/>
      <c r="K602" s="45"/>
      <c r="L602" s="45"/>
      <c r="M602" s="45"/>
      <c r="N602" s="45"/>
      <c r="O602" s="45"/>
      <c r="P602" s="45"/>
      <c r="Q602" s="45"/>
      <c r="R602" s="45"/>
      <c r="S602" s="45"/>
      <c r="T602" s="45"/>
      <c r="U602" s="45"/>
      <c r="V602" s="45"/>
      <c r="W602" s="45"/>
      <c r="X602" s="45"/>
      <c r="Y602" s="45"/>
      <c r="Z602" s="45"/>
    </row>
    <row r="603">
      <c r="A603" s="52"/>
      <c r="B603" s="53"/>
      <c r="C603" s="53"/>
      <c r="D603" s="53"/>
      <c r="E603" s="45"/>
      <c r="F603" s="45"/>
      <c r="G603" s="45"/>
      <c r="H603" s="45"/>
      <c r="I603" s="45"/>
      <c r="J603" s="45"/>
      <c r="K603" s="45"/>
      <c r="L603" s="45"/>
      <c r="M603" s="45"/>
      <c r="N603" s="45"/>
      <c r="O603" s="45"/>
      <c r="P603" s="45"/>
      <c r="Q603" s="45"/>
      <c r="R603" s="45"/>
      <c r="S603" s="45"/>
      <c r="T603" s="45"/>
      <c r="U603" s="45"/>
      <c r="V603" s="45"/>
      <c r="W603" s="45"/>
      <c r="X603" s="45"/>
      <c r="Y603" s="45"/>
      <c r="Z603" s="45"/>
    </row>
    <row r="604">
      <c r="A604" s="52"/>
      <c r="B604" s="53"/>
      <c r="C604" s="53"/>
      <c r="D604" s="53"/>
      <c r="E604" s="45"/>
      <c r="F604" s="45"/>
      <c r="G604" s="45"/>
      <c r="H604" s="45"/>
      <c r="I604" s="45"/>
      <c r="J604" s="45"/>
      <c r="K604" s="45"/>
      <c r="L604" s="45"/>
      <c r="M604" s="45"/>
      <c r="N604" s="45"/>
      <c r="O604" s="45"/>
      <c r="P604" s="45"/>
      <c r="Q604" s="45"/>
      <c r="R604" s="45"/>
      <c r="S604" s="45"/>
      <c r="T604" s="45"/>
      <c r="U604" s="45"/>
      <c r="V604" s="45"/>
      <c r="W604" s="45"/>
      <c r="X604" s="45"/>
      <c r="Y604" s="45"/>
      <c r="Z604" s="45"/>
    </row>
    <row r="605">
      <c r="A605" s="52"/>
      <c r="B605" s="53"/>
      <c r="C605" s="53"/>
      <c r="D605" s="53"/>
      <c r="E605" s="45"/>
      <c r="F605" s="45"/>
      <c r="G605" s="45"/>
      <c r="H605" s="45"/>
      <c r="I605" s="45"/>
      <c r="J605" s="45"/>
      <c r="K605" s="45"/>
      <c r="L605" s="45"/>
      <c r="M605" s="45"/>
      <c r="N605" s="45"/>
      <c r="O605" s="45"/>
      <c r="P605" s="45"/>
      <c r="Q605" s="45"/>
      <c r="R605" s="45"/>
      <c r="S605" s="45"/>
      <c r="T605" s="45"/>
      <c r="U605" s="45"/>
      <c r="V605" s="45"/>
      <c r="W605" s="45"/>
      <c r="X605" s="45"/>
      <c r="Y605" s="45"/>
      <c r="Z605" s="45"/>
    </row>
    <row r="606">
      <c r="A606" s="52"/>
      <c r="B606" s="53"/>
      <c r="C606" s="53"/>
      <c r="D606" s="53"/>
      <c r="E606" s="45"/>
      <c r="F606" s="45"/>
      <c r="G606" s="45"/>
      <c r="H606" s="45"/>
      <c r="I606" s="45"/>
      <c r="J606" s="45"/>
      <c r="K606" s="45"/>
      <c r="L606" s="45"/>
      <c r="M606" s="45"/>
      <c r="N606" s="45"/>
      <c r="O606" s="45"/>
      <c r="P606" s="45"/>
      <c r="Q606" s="45"/>
      <c r="R606" s="45"/>
      <c r="S606" s="45"/>
      <c r="T606" s="45"/>
      <c r="U606" s="45"/>
      <c r="V606" s="45"/>
      <c r="W606" s="45"/>
      <c r="X606" s="45"/>
      <c r="Y606" s="45"/>
      <c r="Z606" s="45"/>
    </row>
    <row r="607">
      <c r="A607" s="52"/>
      <c r="B607" s="53"/>
      <c r="C607" s="53"/>
      <c r="D607" s="53"/>
      <c r="E607" s="45"/>
      <c r="F607" s="45"/>
      <c r="G607" s="45"/>
      <c r="H607" s="45"/>
      <c r="I607" s="45"/>
      <c r="J607" s="45"/>
      <c r="K607" s="45"/>
      <c r="L607" s="45"/>
      <c r="M607" s="45"/>
      <c r="N607" s="45"/>
      <c r="O607" s="45"/>
      <c r="P607" s="45"/>
      <c r="Q607" s="45"/>
      <c r="R607" s="45"/>
      <c r="S607" s="45"/>
      <c r="T607" s="45"/>
      <c r="U607" s="45"/>
      <c r="V607" s="45"/>
      <c r="W607" s="45"/>
      <c r="X607" s="45"/>
      <c r="Y607" s="45"/>
      <c r="Z607" s="45"/>
    </row>
    <row r="608">
      <c r="A608" s="52"/>
      <c r="B608" s="53"/>
      <c r="C608" s="53"/>
      <c r="D608" s="53"/>
      <c r="E608" s="45"/>
      <c r="F608" s="45"/>
      <c r="G608" s="45"/>
      <c r="H608" s="45"/>
      <c r="I608" s="45"/>
      <c r="J608" s="45"/>
      <c r="K608" s="45"/>
      <c r="L608" s="45"/>
      <c r="M608" s="45"/>
      <c r="N608" s="45"/>
      <c r="O608" s="45"/>
      <c r="P608" s="45"/>
      <c r="Q608" s="45"/>
      <c r="R608" s="45"/>
      <c r="S608" s="45"/>
      <c r="T608" s="45"/>
      <c r="U608" s="45"/>
      <c r="V608" s="45"/>
      <c r="W608" s="45"/>
      <c r="X608" s="45"/>
      <c r="Y608" s="45"/>
      <c r="Z608" s="45"/>
    </row>
    <row r="609">
      <c r="A609" s="52"/>
      <c r="B609" s="53"/>
      <c r="C609" s="53"/>
      <c r="D609" s="53"/>
      <c r="E609" s="45"/>
      <c r="F609" s="45"/>
      <c r="G609" s="45"/>
      <c r="H609" s="45"/>
      <c r="I609" s="45"/>
      <c r="J609" s="45"/>
      <c r="K609" s="45"/>
      <c r="L609" s="45"/>
      <c r="M609" s="45"/>
      <c r="N609" s="45"/>
      <c r="O609" s="45"/>
      <c r="P609" s="45"/>
      <c r="Q609" s="45"/>
      <c r="R609" s="45"/>
      <c r="S609" s="45"/>
      <c r="T609" s="45"/>
      <c r="U609" s="45"/>
      <c r="V609" s="45"/>
      <c r="W609" s="45"/>
      <c r="X609" s="45"/>
      <c r="Y609" s="45"/>
      <c r="Z609" s="45"/>
    </row>
    <row r="610">
      <c r="A610" s="52"/>
      <c r="B610" s="53"/>
      <c r="C610" s="53"/>
      <c r="D610" s="53"/>
      <c r="E610" s="45"/>
      <c r="F610" s="45"/>
      <c r="G610" s="45"/>
      <c r="H610" s="45"/>
      <c r="I610" s="45"/>
      <c r="J610" s="45"/>
      <c r="K610" s="45"/>
      <c r="L610" s="45"/>
      <c r="M610" s="45"/>
      <c r="N610" s="45"/>
      <c r="O610" s="45"/>
      <c r="P610" s="45"/>
      <c r="Q610" s="45"/>
      <c r="R610" s="45"/>
      <c r="S610" s="45"/>
      <c r="T610" s="45"/>
      <c r="U610" s="45"/>
      <c r="V610" s="45"/>
      <c r="W610" s="45"/>
      <c r="X610" s="45"/>
      <c r="Y610" s="45"/>
      <c r="Z610" s="45"/>
    </row>
    <row r="611">
      <c r="A611" s="52"/>
      <c r="B611" s="53"/>
      <c r="C611" s="53"/>
      <c r="D611" s="53"/>
      <c r="E611" s="45"/>
      <c r="F611" s="45"/>
      <c r="G611" s="45"/>
      <c r="H611" s="45"/>
      <c r="I611" s="45"/>
      <c r="J611" s="45"/>
      <c r="K611" s="45"/>
      <c r="L611" s="45"/>
      <c r="M611" s="45"/>
      <c r="N611" s="45"/>
      <c r="O611" s="45"/>
      <c r="P611" s="45"/>
      <c r="Q611" s="45"/>
      <c r="R611" s="45"/>
      <c r="S611" s="45"/>
      <c r="T611" s="45"/>
      <c r="U611" s="45"/>
      <c r="V611" s="45"/>
      <c r="W611" s="45"/>
      <c r="X611" s="45"/>
      <c r="Y611" s="45"/>
      <c r="Z611" s="45"/>
    </row>
    <row r="612">
      <c r="A612" s="52"/>
      <c r="B612" s="53"/>
      <c r="C612" s="53"/>
      <c r="D612" s="53"/>
      <c r="E612" s="45"/>
      <c r="F612" s="45"/>
      <c r="G612" s="45"/>
      <c r="H612" s="45"/>
      <c r="I612" s="45"/>
      <c r="J612" s="45"/>
      <c r="K612" s="45"/>
      <c r="L612" s="45"/>
      <c r="M612" s="45"/>
      <c r="N612" s="45"/>
      <c r="O612" s="45"/>
      <c r="P612" s="45"/>
      <c r="Q612" s="45"/>
      <c r="R612" s="45"/>
      <c r="S612" s="45"/>
      <c r="T612" s="45"/>
      <c r="U612" s="45"/>
      <c r="V612" s="45"/>
      <c r="W612" s="45"/>
      <c r="X612" s="45"/>
      <c r="Y612" s="45"/>
      <c r="Z612" s="45"/>
    </row>
    <row r="613">
      <c r="A613" s="52"/>
      <c r="B613" s="53"/>
      <c r="C613" s="53"/>
      <c r="D613" s="53"/>
      <c r="E613" s="45"/>
      <c r="F613" s="45"/>
      <c r="G613" s="45"/>
      <c r="H613" s="45"/>
      <c r="I613" s="45"/>
      <c r="J613" s="45"/>
      <c r="K613" s="45"/>
      <c r="L613" s="45"/>
      <c r="M613" s="45"/>
      <c r="N613" s="45"/>
      <c r="O613" s="45"/>
      <c r="P613" s="45"/>
      <c r="Q613" s="45"/>
      <c r="R613" s="45"/>
      <c r="S613" s="45"/>
      <c r="T613" s="45"/>
      <c r="U613" s="45"/>
      <c r="V613" s="45"/>
      <c r="W613" s="45"/>
      <c r="X613" s="45"/>
      <c r="Y613" s="45"/>
      <c r="Z613" s="45"/>
    </row>
    <row r="614">
      <c r="A614" s="52"/>
      <c r="B614" s="53"/>
      <c r="C614" s="53"/>
      <c r="D614" s="53"/>
      <c r="E614" s="45"/>
      <c r="F614" s="45"/>
      <c r="G614" s="45"/>
      <c r="H614" s="45"/>
      <c r="I614" s="45"/>
      <c r="J614" s="45"/>
      <c r="K614" s="45"/>
      <c r="L614" s="45"/>
      <c r="M614" s="45"/>
      <c r="N614" s="45"/>
      <c r="O614" s="45"/>
      <c r="P614" s="45"/>
      <c r="Q614" s="45"/>
      <c r="R614" s="45"/>
      <c r="S614" s="45"/>
      <c r="T614" s="45"/>
      <c r="U614" s="45"/>
      <c r="V614" s="45"/>
      <c r="W614" s="45"/>
      <c r="X614" s="45"/>
      <c r="Y614" s="45"/>
      <c r="Z614" s="45"/>
    </row>
    <row r="615">
      <c r="A615" s="52"/>
      <c r="B615" s="53"/>
      <c r="C615" s="53"/>
      <c r="D615" s="53"/>
      <c r="E615" s="45"/>
      <c r="F615" s="45"/>
      <c r="G615" s="45"/>
      <c r="H615" s="45"/>
      <c r="I615" s="45"/>
      <c r="J615" s="45"/>
      <c r="K615" s="45"/>
      <c r="L615" s="45"/>
      <c r="M615" s="45"/>
      <c r="N615" s="45"/>
      <c r="O615" s="45"/>
      <c r="P615" s="45"/>
      <c r="Q615" s="45"/>
      <c r="R615" s="45"/>
      <c r="S615" s="45"/>
      <c r="T615" s="45"/>
      <c r="U615" s="45"/>
      <c r="V615" s="45"/>
      <c r="W615" s="45"/>
      <c r="X615" s="45"/>
      <c r="Y615" s="45"/>
      <c r="Z615" s="45"/>
    </row>
    <row r="616">
      <c r="A616" s="52"/>
      <c r="B616" s="53"/>
      <c r="C616" s="53"/>
      <c r="D616" s="53"/>
      <c r="E616" s="45"/>
      <c r="F616" s="45"/>
      <c r="G616" s="45"/>
      <c r="H616" s="45"/>
      <c r="I616" s="45"/>
      <c r="J616" s="45"/>
      <c r="K616" s="45"/>
      <c r="L616" s="45"/>
      <c r="M616" s="45"/>
      <c r="N616" s="45"/>
      <c r="O616" s="45"/>
      <c r="P616" s="45"/>
      <c r="Q616" s="45"/>
      <c r="R616" s="45"/>
      <c r="S616" s="45"/>
      <c r="T616" s="45"/>
      <c r="U616" s="45"/>
      <c r="V616" s="45"/>
      <c r="W616" s="45"/>
      <c r="X616" s="45"/>
      <c r="Y616" s="45"/>
      <c r="Z616" s="45"/>
    </row>
    <row r="617">
      <c r="A617" s="52"/>
      <c r="B617" s="53"/>
      <c r="C617" s="53"/>
      <c r="D617" s="53"/>
      <c r="E617" s="45"/>
      <c r="F617" s="45"/>
      <c r="G617" s="45"/>
      <c r="H617" s="45"/>
      <c r="I617" s="45"/>
      <c r="J617" s="45"/>
      <c r="K617" s="45"/>
      <c r="L617" s="45"/>
      <c r="M617" s="45"/>
      <c r="N617" s="45"/>
      <c r="O617" s="45"/>
      <c r="P617" s="45"/>
      <c r="Q617" s="45"/>
      <c r="R617" s="45"/>
      <c r="S617" s="45"/>
      <c r="T617" s="45"/>
      <c r="U617" s="45"/>
      <c r="V617" s="45"/>
      <c r="W617" s="45"/>
      <c r="X617" s="45"/>
      <c r="Y617" s="45"/>
      <c r="Z617" s="45"/>
    </row>
    <row r="618">
      <c r="A618" s="52"/>
      <c r="B618" s="53"/>
      <c r="C618" s="53"/>
      <c r="D618" s="53"/>
      <c r="E618" s="45"/>
      <c r="F618" s="45"/>
      <c r="G618" s="45"/>
      <c r="H618" s="45"/>
      <c r="I618" s="45"/>
      <c r="J618" s="45"/>
      <c r="K618" s="45"/>
      <c r="L618" s="45"/>
      <c r="M618" s="45"/>
      <c r="N618" s="45"/>
      <c r="O618" s="45"/>
      <c r="P618" s="45"/>
      <c r="Q618" s="45"/>
      <c r="R618" s="45"/>
      <c r="S618" s="45"/>
      <c r="T618" s="45"/>
      <c r="U618" s="45"/>
      <c r="V618" s="45"/>
      <c r="W618" s="45"/>
      <c r="X618" s="45"/>
      <c r="Y618" s="45"/>
      <c r="Z618" s="45"/>
    </row>
    <row r="619">
      <c r="A619" s="52"/>
      <c r="B619" s="53"/>
      <c r="C619" s="53"/>
      <c r="D619" s="53"/>
      <c r="E619" s="45"/>
      <c r="F619" s="45"/>
      <c r="G619" s="45"/>
      <c r="H619" s="45"/>
      <c r="I619" s="45"/>
      <c r="J619" s="45"/>
      <c r="K619" s="45"/>
      <c r="L619" s="45"/>
      <c r="M619" s="45"/>
      <c r="N619" s="45"/>
      <c r="O619" s="45"/>
      <c r="P619" s="45"/>
      <c r="Q619" s="45"/>
      <c r="R619" s="45"/>
      <c r="S619" s="45"/>
      <c r="T619" s="45"/>
      <c r="U619" s="45"/>
      <c r="V619" s="45"/>
      <c r="W619" s="45"/>
      <c r="X619" s="45"/>
      <c r="Y619" s="45"/>
      <c r="Z619" s="45"/>
    </row>
    <row r="620">
      <c r="A620" s="52"/>
      <c r="B620" s="53"/>
      <c r="C620" s="53"/>
      <c r="D620" s="53"/>
      <c r="E620" s="45"/>
      <c r="F620" s="45"/>
      <c r="G620" s="45"/>
      <c r="H620" s="45"/>
      <c r="I620" s="45"/>
      <c r="J620" s="45"/>
      <c r="K620" s="45"/>
      <c r="L620" s="45"/>
      <c r="M620" s="45"/>
      <c r="N620" s="45"/>
      <c r="O620" s="45"/>
      <c r="P620" s="45"/>
      <c r="Q620" s="45"/>
      <c r="R620" s="45"/>
      <c r="S620" s="45"/>
      <c r="T620" s="45"/>
      <c r="U620" s="45"/>
      <c r="V620" s="45"/>
      <c r="W620" s="45"/>
      <c r="X620" s="45"/>
      <c r="Y620" s="45"/>
      <c r="Z620" s="45"/>
    </row>
    <row r="621">
      <c r="A621" s="52"/>
      <c r="B621" s="53"/>
      <c r="C621" s="53"/>
      <c r="D621" s="53"/>
      <c r="E621" s="45"/>
      <c r="F621" s="45"/>
      <c r="G621" s="45"/>
      <c r="H621" s="45"/>
      <c r="I621" s="45"/>
      <c r="J621" s="45"/>
      <c r="K621" s="45"/>
      <c r="L621" s="45"/>
      <c r="M621" s="45"/>
      <c r="N621" s="45"/>
      <c r="O621" s="45"/>
      <c r="P621" s="45"/>
      <c r="Q621" s="45"/>
      <c r="R621" s="45"/>
      <c r="S621" s="45"/>
      <c r="T621" s="45"/>
      <c r="U621" s="45"/>
      <c r="V621" s="45"/>
      <c r="W621" s="45"/>
      <c r="X621" s="45"/>
      <c r="Y621" s="45"/>
      <c r="Z621" s="45"/>
    </row>
    <row r="622">
      <c r="A622" s="52"/>
      <c r="B622" s="53"/>
      <c r="C622" s="53"/>
      <c r="D622" s="53"/>
      <c r="E622" s="45"/>
      <c r="F622" s="45"/>
      <c r="G622" s="45"/>
      <c r="H622" s="45"/>
      <c r="I622" s="45"/>
      <c r="J622" s="45"/>
      <c r="K622" s="45"/>
      <c r="L622" s="45"/>
      <c r="M622" s="45"/>
      <c r="N622" s="45"/>
      <c r="O622" s="45"/>
      <c r="P622" s="45"/>
      <c r="Q622" s="45"/>
      <c r="R622" s="45"/>
      <c r="S622" s="45"/>
      <c r="T622" s="45"/>
      <c r="U622" s="45"/>
      <c r="V622" s="45"/>
      <c r="W622" s="45"/>
      <c r="X622" s="45"/>
      <c r="Y622" s="45"/>
      <c r="Z622" s="45"/>
    </row>
    <row r="623">
      <c r="A623" s="52"/>
      <c r="B623" s="53"/>
      <c r="C623" s="53"/>
      <c r="D623" s="53"/>
      <c r="E623" s="45"/>
      <c r="F623" s="45"/>
      <c r="G623" s="45"/>
      <c r="H623" s="45"/>
      <c r="I623" s="45"/>
      <c r="J623" s="45"/>
      <c r="K623" s="45"/>
      <c r="L623" s="45"/>
      <c r="M623" s="45"/>
      <c r="N623" s="45"/>
      <c r="O623" s="45"/>
      <c r="P623" s="45"/>
      <c r="Q623" s="45"/>
      <c r="R623" s="45"/>
      <c r="S623" s="45"/>
      <c r="T623" s="45"/>
      <c r="U623" s="45"/>
      <c r="V623" s="45"/>
      <c r="W623" s="45"/>
      <c r="X623" s="45"/>
      <c r="Y623" s="45"/>
      <c r="Z623" s="45"/>
    </row>
    <row r="624">
      <c r="A624" s="52"/>
      <c r="B624" s="53"/>
      <c r="C624" s="53"/>
      <c r="D624" s="53"/>
      <c r="E624" s="45"/>
      <c r="F624" s="45"/>
      <c r="G624" s="45"/>
      <c r="H624" s="45"/>
      <c r="I624" s="45"/>
      <c r="J624" s="45"/>
      <c r="K624" s="45"/>
      <c r="L624" s="45"/>
      <c r="M624" s="45"/>
      <c r="N624" s="45"/>
      <c r="O624" s="45"/>
      <c r="P624" s="45"/>
      <c r="Q624" s="45"/>
      <c r="R624" s="45"/>
      <c r="S624" s="45"/>
      <c r="T624" s="45"/>
      <c r="U624" s="45"/>
      <c r="V624" s="45"/>
      <c r="W624" s="45"/>
      <c r="X624" s="45"/>
      <c r="Y624" s="45"/>
      <c r="Z624" s="45"/>
    </row>
    <row r="625">
      <c r="A625" s="52"/>
      <c r="B625" s="53"/>
      <c r="C625" s="53"/>
      <c r="D625" s="53"/>
      <c r="E625" s="45"/>
      <c r="F625" s="45"/>
      <c r="G625" s="45"/>
      <c r="H625" s="45"/>
      <c r="I625" s="45"/>
      <c r="J625" s="45"/>
      <c r="K625" s="45"/>
      <c r="L625" s="45"/>
      <c r="M625" s="45"/>
      <c r="N625" s="45"/>
      <c r="O625" s="45"/>
      <c r="P625" s="45"/>
      <c r="Q625" s="45"/>
      <c r="R625" s="45"/>
      <c r="S625" s="45"/>
      <c r="T625" s="45"/>
      <c r="U625" s="45"/>
      <c r="V625" s="45"/>
      <c r="W625" s="45"/>
      <c r="X625" s="45"/>
      <c r="Y625" s="45"/>
      <c r="Z625" s="45"/>
    </row>
    <row r="626">
      <c r="A626" s="52"/>
      <c r="B626" s="53"/>
      <c r="C626" s="53"/>
      <c r="D626" s="53"/>
      <c r="E626" s="45"/>
      <c r="F626" s="45"/>
      <c r="G626" s="45"/>
      <c r="H626" s="45"/>
      <c r="I626" s="45"/>
      <c r="J626" s="45"/>
      <c r="K626" s="45"/>
      <c r="L626" s="45"/>
      <c r="M626" s="45"/>
      <c r="N626" s="45"/>
      <c r="O626" s="45"/>
      <c r="P626" s="45"/>
      <c r="Q626" s="45"/>
      <c r="R626" s="45"/>
      <c r="S626" s="45"/>
      <c r="T626" s="45"/>
      <c r="U626" s="45"/>
      <c r="V626" s="45"/>
      <c r="W626" s="45"/>
      <c r="X626" s="45"/>
      <c r="Y626" s="45"/>
      <c r="Z626" s="45"/>
    </row>
    <row r="627">
      <c r="A627" s="52"/>
      <c r="B627" s="53"/>
      <c r="C627" s="53"/>
      <c r="D627" s="53"/>
      <c r="E627" s="45"/>
      <c r="F627" s="45"/>
      <c r="G627" s="45"/>
      <c r="H627" s="45"/>
      <c r="I627" s="45"/>
      <c r="J627" s="45"/>
      <c r="K627" s="45"/>
      <c r="L627" s="45"/>
      <c r="M627" s="45"/>
      <c r="N627" s="45"/>
      <c r="O627" s="45"/>
      <c r="P627" s="45"/>
      <c r="Q627" s="45"/>
      <c r="R627" s="45"/>
      <c r="S627" s="45"/>
      <c r="T627" s="45"/>
      <c r="U627" s="45"/>
      <c r="V627" s="45"/>
      <c r="W627" s="45"/>
      <c r="X627" s="45"/>
      <c r="Y627" s="45"/>
      <c r="Z627" s="45"/>
    </row>
    <row r="628">
      <c r="A628" s="52"/>
      <c r="B628" s="53"/>
      <c r="C628" s="53"/>
      <c r="D628" s="53"/>
      <c r="E628" s="45"/>
      <c r="F628" s="45"/>
      <c r="G628" s="45"/>
      <c r="H628" s="45"/>
      <c r="I628" s="45"/>
      <c r="J628" s="45"/>
      <c r="K628" s="45"/>
      <c r="L628" s="45"/>
      <c r="M628" s="45"/>
      <c r="N628" s="45"/>
      <c r="O628" s="45"/>
      <c r="P628" s="45"/>
      <c r="Q628" s="45"/>
      <c r="R628" s="45"/>
      <c r="S628" s="45"/>
      <c r="T628" s="45"/>
      <c r="U628" s="45"/>
      <c r="V628" s="45"/>
      <c r="W628" s="45"/>
      <c r="X628" s="45"/>
      <c r="Y628" s="45"/>
      <c r="Z628" s="45"/>
    </row>
    <row r="629">
      <c r="A629" s="52"/>
      <c r="B629" s="53"/>
      <c r="C629" s="53"/>
      <c r="D629" s="53"/>
      <c r="E629" s="45"/>
      <c r="F629" s="45"/>
      <c r="G629" s="45"/>
      <c r="H629" s="45"/>
      <c r="I629" s="45"/>
      <c r="J629" s="45"/>
      <c r="K629" s="45"/>
      <c r="L629" s="45"/>
      <c r="M629" s="45"/>
      <c r="N629" s="45"/>
      <c r="O629" s="45"/>
      <c r="P629" s="45"/>
      <c r="Q629" s="45"/>
      <c r="R629" s="45"/>
      <c r="S629" s="45"/>
      <c r="T629" s="45"/>
      <c r="U629" s="45"/>
      <c r="V629" s="45"/>
      <c r="W629" s="45"/>
      <c r="X629" s="45"/>
      <c r="Y629" s="45"/>
      <c r="Z629" s="45"/>
    </row>
    <row r="630">
      <c r="A630" s="52"/>
      <c r="B630" s="53"/>
      <c r="C630" s="53"/>
      <c r="D630" s="53"/>
      <c r="E630" s="45"/>
      <c r="F630" s="45"/>
      <c r="G630" s="45"/>
      <c r="H630" s="45"/>
      <c r="I630" s="45"/>
      <c r="J630" s="45"/>
      <c r="K630" s="45"/>
      <c r="L630" s="45"/>
      <c r="M630" s="45"/>
      <c r="N630" s="45"/>
      <c r="O630" s="45"/>
      <c r="P630" s="45"/>
      <c r="Q630" s="45"/>
      <c r="R630" s="45"/>
      <c r="S630" s="45"/>
      <c r="T630" s="45"/>
      <c r="U630" s="45"/>
      <c r="V630" s="45"/>
      <c r="W630" s="45"/>
      <c r="X630" s="45"/>
      <c r="Y630" s="45"/>
      <c r="Z630" s="45"/>
    </row>
    <row r="631">
      <c r="A631" s="52"/>
      <c r="B631" s="53"/>
      <c r="C631" s="53"/>
      <c r="D631" s="53"/>
      <c r="E631" s="45"/>
      <c r="F631" s="45"/>
      <c r="G631" s="45"/>
      <c r="H631" s="45"/>
      <c r="I631" s="45"/>
      <c r="J631" s="45"/>
      <c r="K631" s="45"/>
      <c r="L631" s="45"/>
      <c r="M631" s="45"/>
      <c r="N631" s="45"/>
      <c r="O631" s="45"/>
      <c r="P631" s="45"/>
      <c r="Q631" s="45"/>
      <c r="R631" s="45"/>
      <c r="S631" s="45"/>
      <c r="T631" s="45"/>
      <c r="U631" s="45"/>
      <c r="V631" s="45"/>
      <c r="W631" s="45"/>
      <c r="X631" s="45"/>
      <c r="Y631" s="45"/>
      <c r="Z631" s="45"/>
    </row>
    <row r="632">
      <c r="A632" s="52"/>
      <c r="B632" s="53"/>
      <c r="C632" s="53"/>
      <c r="D632" s="53"/>
      <c r="E632" s="45"/>
      <c r="F632" s="45"/>
      <c r="G632" s="45"/>
      <c r="H632" s="45"/>
      <c r="I632" s="45"/>
      <c r="J632" s="45"/>
      <c r="K632" s="45"/>
      <c r="L632" s="45"/>
      <c r="M632" s="45"/>
      <c r="N632" s="45"/>
      <c r="O632" s="45"/>
      <c r="P632" s="45"/>
      <c r="Q632" s="45"/>
      <c r="R632" s="45"/>
      <c r="S632" s="45"/>
      <c r="T632" s="45"/>
      <c r="U632" s="45"/>
      <c r="V632" s="45"/>
      <c r="W632" s="45"/>
      <c r="X632" s="45"/>
      <c r="Y632" s="45"/>
      <c r="Z632" s="45"/>
    </row>
    <row r="633">
      <c r="A633" s="52"/>
      <c r="B633" s="53"/>
      <c r="C633" s="53"/>
      <c r="D633" s="53"/>
      <c r="E633" s="45"/>
      <c r="F633" s="45"/>
      <c r="G633" s="45"/>
      <c r="H633" s="45"/>
      <c r="I633" s="45"/>
      <c r="J633" s="45"/>
      <c r="K633" s="45"/>
      <c r="L633" s="45"/>
      <c r="M633" s="45"/>
      <c r="N633" s="45"/>
      <c r="O633" s="45"/>
      <c r="P633" s="45"/>
      <c r="Q633" s="45"/>
      <c r="R633" s="45"/>
      <c r="S633" s="45"/>
      <c r="T633" s="45"/>
      <c r="U633" s="45"/>
      <c r="V633" s="45"/>
      <c r="W633" s="45"/>
      <c r="X633" s="45"/>
      <c r="Y633" s="45"/>
      <c r="Z633" s="45"/>
    </row>
    <row r="634">
      <c r="A634" s="52"/>
      <c r="B634" s="53"/>
      <c r="C634" s="53"/>
      <c r="D634" s="53"/>
      <c r="E634" s="45"/>
      <c r="F634" s="45"/>
      <c r="G634" s="45"/>
      <c r="H634" s="45"/>
      <c r="I634" s="45"/>
      <c r="J634" s="45"/>
      <c r="K634" s="45"/>
      <c r="L634" s="45"/>
      <c r="M634" s="45"/>
      <c r="N634" s="45"/>
      <c r="O634" s="45"/>
      <c r="P634" s="45"/>
      <c r="Q634" s="45"/>
      <c r="R634" s="45"/>
      <c r="S634" s="45"/>
      <c r="T634" s="45"/>
      <c r="U634" s="45"/>
      <c r="V634" s="45"/>
      <c r="W634" s="45"/>
      <c r="X634" s="45"/>
      <c r="Y634" s="45"/>
      <c r="Z634" s="45"/>
    </row>
    <row r="635">
      <c r="A635" s="52"/>
      <c r="B635" s="53"/>
      <c r="C635" s="53"/>
      <c r="D635" s="53"/>
      <c r="E635" s="45"/>
      <c r="F635" s="45"/>
      <c r="G635" s="45"/>
      <c r="H635" s="45"/>
      <c r="I635" s="45"/>
      <c r="J635" s="45"/>
      <c r="K635" s="45"/>
      <c r="L635" s="45"/>
      <c r="M635" s="45"/>
      <c r="N635" s="45"/>
      <c r="O635" s="45"/>
      <c r="P635" s="45"/>
      <c r="Q635" s="45"/>
      <c r="R635" s="45"/>
      <c r="S635" s="45"/>
      <c r="T635" s="45"/>
      <c r="U635" s="45"/>
      <c r="V635" s="45"/>
      <c r="W635" s="45"/>
      <c r="X635" s="45"/>
      <c r="Y635" s="45"/>
      <c r="Z635" s="45"/>
    </row>
    <row r="636">
      <c r="A636" s="52"/>
      <c r="B636" s="53"/>
      <c r="C636" s="53"/>
      <c r="D636" s="53"/>
      <c r="E636" s="45"/>
      <c r="F636" s="45"/>
      <c r="G636" s="45"/>
      <c r="H636" s="45"/>
      <c r="I636" s="45"/>
      <c r="J636" s="45"/>
      <c r="K636" s="45"/>
      <c r="L636" s="45"/>
      <c r="M636" s="45"/>
      <c r="N636" s="45"/>
      <c r="O636" s="45"/>
      <c r="P636" s="45"/>
      <c r="Q636" s="45"/>
      <c r="R636" s="45"/>
      <c r="S636" s="45"/>
      <c r="T636" s="45"/>
      <c r="U636" s="45"/>
      <c r="V636" s="45"/>
      <c r="W636" s="45"/>
      <c r="X636" s="45"/>
      <c r="Y636" s="45"/>
      <c r="Z636" s="45"/>
    </row>
    <row r="637">
      <c r="A637" s="52"/>
      <c r="B637" s="53"/>
      <c r="C637" s="53"/>
      <c r="D637" s="53"/>
      <c r="E637" s="45"/>
      <c r="F637" s="45"/>
      <c r="G637" s="45"/>
      <c r="H637" s="45"/>
      <c r="I637" s="45"/>
      <c r="J637" s="45"/>
      <c r="K637" s="45"/>
      <c r="L637" s="45"/>
      <c r="M637" s="45"/>
      <c r="N637" s="45"/>
      <c r="O637" s="45"/>
      <c r="P637" s="45"/>
      <c r="Q637" s="45"/>
      <c r="R637" s="45"/>
      <c r="S637" s="45"/>
      <c r="T637" s="45"/>
      <c r="U637" s="45"/>
      <c r="V637" s="45"/>
      <c r="W637" s="45"/>
      <c r="X637" s="45"/>
      <c r="Y637" s="45"/>
      <c r="Z637" s="45"/>
    </row>
    <row r="638">
      <c r="A638" s="52"/>
      <c r="B638" s="53"/>
      <c r="C638" s="53"/>
      <c r="D638" s="53"/>
      <c r="E638" s="45"/>
      <c r="F638" s="45"/>
      <c r="G638" s="45"/>
      <c r="H638" s="45"/>
      <c r="I638" s="45"/>
      <c r="J638" s="45"/>
      <c r="K638" s="45"/>
      <c r="L638" s="45"/>
      <c r="M638" s="45"/>
      <c r="N638" s="45"/>
      <c r="O638" s="45"/>
      <c r="P638" s="45"/>
      <c r="Q638" s="45"/>
      <c r="R638" s="45"/>
      <c r="S638" s="45"/>
      <c r="T638" s="45"/>
      <c r="U638" s="45"/>
      <c r="V638" s="45"/>
      <c r="W638" s="45"/>
      <c r="X638" s="45"/>
      <c r="Y638" s="45"/>
      <c r="Z638" s="45"/>
    </row>
    <row r="639">
      <c r="A639" s="52"/>
      <c r="B639" s="53"/>
      <c r="C639" s="53"/>
      <c r="D639" s="53"/>
      <c r="E639" s="45"/>
      <c r="F639" s="45"/>
      <c r="G639" s="45"/>
      <c r="H639" s="45"/>
      <c r="I639" s="45"/>
      <c r="J639" s="45"/>
      <c r="K639" s="45"/>
      <c r="L639" s="45"/>
      <c r="M639" s="45"/>
      <c r="N639" s="45"/>
      <c r="O639" s="45"/>
      <c r="P639" s="45"/>
      <c r="Q639" s="45"/>
      <c r="R639" s="45"/>
      <c r="S639" s="45"/>
      <c r="T639" s="45"/>
      <c r="U639" s="45"/>
      <c r="V639" s="45"/>
      <c r="W639" s="45"/>
      <c r="X639" s="45"/>
      <c r="Y639" s="45"/>
      <c r="Z639" s="45"/>
    </row>
    <row r="640">
      <c r="A640" s="52"/>
      <c r="B640" s="53"/>
      <c r="C640" s="53"/>
      <c r="D640" s="53"/>
      <c r="E640" s="45"/>
      <c r="F640" s="45"/>
      <c r="G640" s="45"/>
      <c r="H640" s="45"/>
      <c r="I640" s="45"/>
      <c r="J640" s="45"/>
      <c r="K640" s="45"/>
      <c r="L640" s="45"/>
      <c r="M640" s="45"/>
      <c r="N640" s="45"/>
      <c r="O640" s="45"/>
      <c r="P640" s="45"/>
      <c r="Q640" s="45"/>
      <c r="R640" s="45"/>
      <c r="S640" s="45"/>
      <c r="T640" s="45"/>
      <c r="U640" s="45"/>
      <c r="V640" s="45"/>
      <c r="W640" s="45"/>
      <c r="X640" s="45"/>
      <c r="Y640" s="45"/>
      <c r="Z640" s="45"/>
    </row>
    <row r="641">
      <c r="A641" s="52"/>
      <c r="B641" s="53"/>
      <c r="C641" s="53"/>
      <c r="D641" s="53"/>
      <c r="E641" s="45"/>
      <c r="F641" s="45"/>
      <c r="G641" s="45"/>
      <c r="H641" s="45"/>
      <c r="I641" s="45"/>
      <c r="J641" s="45"/>
      <c r="K641" s="45"/>
      <c r="L641" s="45"/>
      <c r="M641" s="45"/>
      <c r="N641" s="45"/>
      <c r="O641" s="45"/>
      <c r="P641" s="45"/>
      <c r="Q641" s="45"/>
      <c r="R641" s="45"/>
      <c r="S641" s="45"/>
      <c r="T641" s="45"/>
      <c r="U641" s="45"/>
      <c r="V641" s="45"/>
      <c r="W641" s="45"/>
      <c r="X641" s="45"/>
      <c r="Y641" s="45"/>
      <c r="Z641" s="45"/>
    </row>
    <row r="642">
      <c r="A642" s="52"/>
      <c r="B642" s="53"/>
      <c r="C642" s="53"/>
      <c r="D642" s="53"/>
      <c r="E642" s="45"/>
      <c r="F642" s="45"/>
      <c r="G642" s="45"/>
      <c r="H642" s="45"/>
      <c r="I642" s="45"/>
      <c r="J642" s="45"/>
      <c r="K642" s="45"/>
      <c r="L642" s="45"/>
      <c r="M642" s="45"/>
      <c r="N642" s="45"/>
      <c r="O642" s="45"/>
      <c r="P642" s="45"/>
      <c r="Q642" s="45"/>
      <c r="R642" s="45"/>
      <c r="S642" s="45"/>
      <c r="T642" s="45"/>
      <c r="U642" s="45"/>
      <c r="V642" s="45"/>
      <c r="W642" s="45"/>
      <c r="X642" s="45"/>
      <c r="Y642" s="45"/>
      <c r="Z642" s="45"/>
    </row>
    <row r="643">
      <c r="A643" s="52"/>
      <c r="B643" s="53"/>
      <c r="C643" s="53"/>
      <c r="D643" s="53"/>
      <c r="E643" s="45"/>
      <c r="F643" s="45"/>
      <c r="G643" s="45"/>
      <c r="H643" s="45"/>
      <c r="I643" s="45"/>
      <c r="J643" s="45"/>
      <c r="K643" s="45"/>
      <c r="L643" s="45"/>
      <c r="M643" s="45"/>
      <c r="N643" s="45"/>
      <c r="O643" s="45"/>
      <c r="P643" s="45"/>
      <c r="Q643" s="45"/>
      <c r="R643" s="45"/>
      <c r="S643" s="45"/>
      <c r="T643" s="45"/>
      <c r="U643" s="45"/>
      <c r="V643" s="45"/>
      <c r="W643" s="45"/>
      <c r="X643" s="45"/>
      <c r="Y643" s="45"/>
      <c r="Z643" s="45"/>
    </row>
    <row r="644">
      <c r="A644" s="52"/>
      <c r="B644" s="53"/>
      <c r="C644" s="53"/>
      <c r="D644" s="53"/>
      <c r="E644" s="45"/>
      <c r="F644" s="45"/>
      <c r="G644" s="45"/>
      <c r="H644" s="45"/>
      <c r="I644" s="45"/>
      <c r="J644" s="45"/>
      <c r="K644" s="45"/>
      <c r="L644" s="45"/>
      <c r="M644" s="45"/>
      <c r="N644" s="45"/>
      <c r="O644" s="45"/>
      <c r="P644" s="45"/>
      <c r="Q644" s="45"/>
      <c r="R644" s="45"/>
      <c r="S644" s="45"/>
      <c r="T644" s="45"/>
      <c r="U644" s="45"/>
      <c r="V644" s="45"/>
      <c r="W644" s="45"/>
      <c r="X644" s="45"/>
      <c r="Y644" s="45"/>
      <c r="Z644" s="45"/>
    </row>
    <row r="645">
      <c r="A645" s="52"/>
      <c r="B645" s="53"/>
      <c r="C645" s="53"/>
      <c r="D645" s="53"/>
      <c r="E645" s="45"/>
      <c r="F645" s="45"/>
      <c r="G645" s="45"/>
      <c r="H645" s="45"/>
      <c r="I645" s="45"/>
      <c r="J645" s="45"/>
      <c r="K645" s="45"/>
      <c r="L645" s="45"/>
      <c r="M645" s="45"/>
      <c r="N645" s="45"/>
      <c r="O645" s="45"/>
      <c r="P645" s="45"/>
      <c r="Q645" s="45"/>
      <c r="R645" s="45"/>
      <c r="S645" s="45"/>
      <c r="T645" s="45"/>
      <c r="U645" s="45"/>
      <c r="V645" s="45"/>
      <c r="W645" s="45"/>
      <c r="X645" s="45"/>
      <c r="Y645" s="45"/>
      <c r="Z645" s="45"/>
    </row>
    <row r="646">
      <c r="A646" s="52"/>
      <c r="B646" s="53"/>
      <c r="C646" s="53"/>
      <c r="D646" s="53"/>
      <c r="E646" s="45"/>
      <c r="F646" s="45"/>
      <c r="G646" s="45"/>
      <c r="H646" s="45"/>
      <c r="I646" s="45"/>
      <c r="J646" s="45"/>
      <c r="K646" s="45"/>
      <c r="L646" s="45"/>
      <c r="M646" s="45"/>
      <c r="N646" s="45"/>
      <c r="O646" s="45"/>
      <c r="P646" s="45"/>
      <c r="Q646" s="45"/>
      <c r="R646" s="45"/>
      <c r="S646" s="45"/>
      <c r="T646" s="45"/>
      <c r="U646" s="45"/>
      <c r="V646" s="45"/>
      <c r="W646" s="45"/>
      <c r="X646" s="45"/>
      <c r="Y646" s="45"/>
      <c r="Z646" s="45"/>
    </row>
    <row r="647">
      <c r="A647" s="52"/>
      <c r="B647" s="53"/>
      <c r="C647" s="53"/>
      <c r="D647" s="53"/>
      <c r="E647" s="45"/>
      <c r="F647" s="45"/>
      <c r="G647" s="45"/>
      <c r="H647" s="45"/>
      <c r="I647" s="45"/>
      <c r="J647" s="45"/>
      <c r="K647" s="45"/>
      <c r="L647" s="45"/>
      <c r="M647" s="45"/>
      <c r="N647" s="45"/>
      <c r="O647" s="45"/>
      <c r="P647" s="45"/>
      <c r="Q647" s="45"/>
      <c r="R647" s="45"/>
      <c r="S647" s="45"/>
      <c r="T647" s="45"/>
      <c r="U647" s="45"/>
      <c r="V647" s="45"/>
      <c r="W647" s="45"/>
      <c r="X647" s="45"/>
      <c r="Y647" s="45"/>
      <c r="Z647" s="45"/>
    </row>
    <row r="648">
      <c r="A648" s="52"/>
      <c r="B648" s="53"/>
      <c r="C648" s="53"/>
      <c r="D648" s="53"/>
      <c r="E648" s="45"/>
      <c r="F648" s="45"/>
      <c r="G648" s="45"/>
      <c r="H648" s="45"/>
      <c r="I648" s="45"/>
      <c r="J648" s="45"/>
      <c r="K648" s="45"/>
      <c r="L648" s="45"/>
      <c r="M648" s="45"/>
      <c r="N648" s="45"/>
      <c r="O648" s="45"/>
      <c r="P648" s="45"/>
      <c r="Q648" s="45"/>
      <c r="R648" s="45"/>
      <c r="S648" s="45"/>
      <c r="T648" s="45"/>
      <c r="U648" s="45"/>
      <c r="V648" s="45"/>
      <c r="W648" s="45"/>
      <c r="X648" s="45"/>
      <c r="Y648" s="45"/>
      <c r="Z648" s="45"/>
    </row>
    <row r="649">
      <c r="A649" s="52"/>
      <c r="B649" s="53"/>
      <c r="C649" s="53"/>
      <c r="D649" s="53"/>
      <c r="E649" s="45"/>
      <c r="F649" s="45"/>
      <c r="G649" s="45"/>
      <c r="H649" s="45"/>
      <c r="I649" s="45"/>
      <c r="J649" s="45"/>
      <c r="K649" s="45"/>
      <c r="L649" s="45"/>
      <c r="M649" s="45"/>
      <c r="N649" s="45"/>
      <c r="O649" s="45"/>
      <c r="P649" s="45"/>
      <c r="Q649" s="45"/>
      <c r="R649" s="45"/>
      <c r="S649" s="45"/>
      <c r="T649" s="45"/>
      <c r="U649" s="45"/>
      <c r="V649" s="45"/>
      <c r="W649" s="45"/>
      <c r="X649" s="45"/>
      <c r="Y649" s="45"/>
      <c r="Z649" s="45"/>
    </row>
    <row r="650">
      <c r="A650" s="52"/>
      <c r="B650" s="53"/>
      <c r="C650" s="53"/>
      <c r="D650" s="53"/>
      <c r="E650" s="45"/>
      <c r="F650" s="45"/>
      <c r="G650" s="45"/>
      <c r="H650" s="45"/>
      <c r="I650" s="45"/>
      <c r="J650" s="45"/>
      <c r="K650" s="45"/>
      <c r="L650" s="45"/>
      <c r="M650" s="45"/>
      <c r="N650" s="45"/>
      <c r="O650" s="45"/>
      <c r="P650" s="45"/>
      <c r="Q650" s="45"/>
      <c r="R650" s="45"/>
      <c r="S650" s="45"/>
      <c r="T650" s="45"/>
      <c r="U650" s="45"/>
      <c r="V650" s="45"/>
      <c r="W650" s="45"/>
      <c r="X650" s="45"/>
      <c r="Y650" s="45"/>
      <c r="Z650" s="45"/>
    </row>
    <row r="651">
      <c r="A651" s="52"/>
      <c r="B651" s="53"/>
      <c r="C651" s="53"/>
      <c r="D651" s="53"/>
      <c r="E651" s="45"/>
      <c r="F651" s="45"/>
      <c r="G651" s="45"/>
      <c r="H651" s="45"/>
      <c r="I651" s="45"/>
      <c r="J651" s="45"/>
      <c r="K651" s="45"/>
      <c r="L651" s="45"/>
      <c r="M651" s="45"/>
      <c r="N651" s="45"/>
      <c r="O651" s="45"/>
      <c r="P651" s="45"/>
      <c r="Q651" s="45"/>
      <c r="R651" s="45"/>
      <c r="S651" s="45"/>
      <c r="T651" s="45"/>
      <c r="U651" s="45"/>
      <c r="V651" s="45"/>
      <c r="W651" s="45"/>
      <c r="X651" s="45"/>
      <c r="Y651" s="45"/>
      <c r="Z651" s="45"/>
    </row>
    <row r="652">
      <c r="A652" s="52"/>
      <c r="B652" s="53"/>
      <c r="C652" s="53"/>
      <c r="D652" s="53"/>
      <c r="E652" s="45"/>
      <c r="F652" s="45"/>
      <c r="G652" s="45"/>
      <c r="H652" s="45"/>
      <c r="I652" s="45"/>
      <c r="J652" s="45"/>
      <c r="K652" s="45"/>
      <c r="L652" s="45"/>
      <c r="M652" s="45"/>
      <c r="N652" s="45"/>
      <c r="O652" s="45"/>
      <c r="P652" s="45"/>
      <c r="Q652" s="45"/>
      <c r="R652" s="45"/>
      <c r="S652" s="45"/>
      <c r="T652" s="45"/>
      <c r="U652" s="45"/>
      <c r="V652" s="45"/>
      <c r="W652" s="45"/>
      <c r="X652" s="45"/>
      <c r="Y652" s="45"/>
      <c r="Z652" s="45"/>
    </row>
    <row r="653">
      <c r="A653" s="52"/>
      <c r="B653" s="53"/>
      <c r="C653" s="53"/>
      <c r="D653" s="53"/>
      <c r="E653" s="45"/>
      <c r="F653" s="45"/>
      <c r="G653" s="45"/>
      <c r="H653" s="45"/>
      <c r="I653" s="45"/>
      <c r="J653" s="45"/>
      <c r="K653" s="45"/>
      <c r="L653" s="45"/>
      <c r="M653" s="45"/>
      <c r="N653" s="45"/>
      <c r="O653" s="45"/>
      <c r="P653" s="45"/>
      <c r="Q653" s="45"/>
      <c r="R653" s="45"/>
      <c r="S653" s="45"/>
      <c r="T653" s="45"/>
      <c r="U653" s="45"/>
      <c r="V653" s="45"/>
      <c r="W653" s="45"/>
      <c r="X653" s="45"/>
      <c r="Y653" s="45"/>
      <c r="Z653" s="45"/>
    </row>
    <row r="654">
      <c r="A654" s="52"/>
      <c r="B654" s="53"/>
      <c r="C654" s="53"/>
      <c r="D654" s="53"/>
      <c r="E654" s="45"/>
      <c r="F654" s="45"/>
      <c r="G654" s="45"/>
      <c r="H654" s="45"/>
      <c r="I654" s="45"/>
      <c r="J654" s="45"/>
      <c r="K654" s="45"/>
      <c r="L654" s="45"/>
      <c r="M654" s="45"/>
      <c r="N654" s="45"/>
      <c r="O654" s="45"/>
      <c r="P654" s="45"/>
      <c r="Q654" s="45"/>
      <c r="R654" s="45"/>
      <c r="S654" s="45"/>
      <c r="T654" s="45"/>
      <c r="U654" s="45"/>
      <c r="V654" s="45"/>
      <c r="W654" s="45"/>
      <c r="X654" s="45"/>
      <c r="Y654" s="45"/>
      <c r="Z654" s="45"/>
    </row>
    <row r="655">
      <c r="A655" s="52"/>
      <c r="B655" s="53"/>
      <c r="C655" s="53"/>
      <c r="D655" s="53"/>
      <c r="E655" s="45"/>
      <c r="F655" s="45"/>
      <c r="G655" s="45"/>
      <c r="H655" s="45"/>
      <c r="I655" s="45"/>
      <c r="J655" s="45"/>
      <c r="K655" s="45"/>
      <c r="L655" s="45"/>
      <c r="M655" s="45"/>
      <c r="N655" s="45"/>
      <c r="O655" s="45"/>
      <c r="P655" s="45"/>
      <c r="Q655" s="45"/>
      <c r="R655" s="45"/>
      <c r="S655" s="45"/>
      <c r="T655" s="45"/>
      <c r="U655" s="45"/>
      <c r="V655" s="45"/>
      <c r="W655" s="45"/>
      <c r="X655" s="45"/>
      <c r="Y655" s="45"/>
      <c r="Z655" s="45"/>
    </row>
    <row r="656">
      <c r="A656" s="52"/>
      <c r="B656" s="53"/>
      <c r="C656" s="53"/>
      <c r="D656" s="53"/>
      <c r="E656" s="45"/>
      <c r="F656" s="45"/>
      <c r="G656" s="45"/>
      <c r="H656" s="45"/>
      <c r="I656" s="45"/>
      <c r="J656" s="45"/>
      <c r="K656" s="45"/>
      <c r="L656" s="45"/>
      <c r="M656" s="45"/>
      <c r="N656" s="45"/>
      <c r="O656" s="45"/>
      <c r="P656" s="45"/>
      <c r="Q656" s="45"/>
      <c r="R656" s="45"/>
      <c r="S656" s="45"/>
      <c r="T656" s="45"/>
      <c r="U656" s="45"/>
      <c r="V656" s="45"/>
      <c r="W656" s="45"/>
      <c r="X656" s="45"/>
      <c r="Y656" s="45"/>
      <c r="Z656" s="45"/>
    </row>
    <row r="657">
      <c r="A657" s="52"/>
      <c r="B657" s="53"/>
      <c r="C657" s="53"/>
      <c r="D657" s="53"/>
      <c r="E657" s="45"/>
      <c r="F657" s="45"/>
      <c r="G657" s="45"/>
      <c r="H657" s="45"/>
      <c r="I657" s="45"/>
      <c r="J657" s="45"/>
      <c r="K657" s="45"/>
      <c r="L657" s="45"/>
      <c r="M657" s="45"/>
      <c r="N657" s="45"/>
      <c r="O657" s="45"/>
      <c r="P657" s="45"/>
      <c r="Q657" s="45"/>
      <c r="R657" s="45"/>
      <c r="S657" s="45"/>
      <c r="T657" s="45"/>
      <c r="U657" s="45"/>
      <c r="V657" s="45"/>
      <c r="W657" s="45"/>
      <c r="X657" s="45"/>
      <c r="Y657" s="45"/>
      <c r="Z657" s="45"/>
    </row>
    <row r="658">
      <c r="A658" s="52"/>
      <c r="B658" s="53"/>
      <c r="C658" s="53"/>
      <c r="D658" s="53"/>
      <c r="E658" s="45"/>
      <c r="F658" s="45"/>
      <c r="G658" s="45"/>
      <c r="H658" s="45"/>
      <c r="I658" s="45"/>
      <c r="J658" s="45"/>
      <c r="K658" s="45"/>
      <c r="L658" s="45"/>
      <c r="M658" s="45"/>
      <c r="N658" s="45"/>
      <c r="O658" s="45"/>
      <c r="P658" s="45"/>
      <c r="Q658" s="45"/>
      <c r="R658" s="45"/>
      <c r="S658" s="45"/>
      <c r="T658" s="45"/>
      <c r="U658" s="45"/>
      <c r="V658" s="45"/>
      <c r="W658" s="45"/>
      <c r="X658" s="45"/>
      <c r="Y658" s="45"/>
      <c r="Z658" s="45"/>
    </row>
    <row r="659">
      <c r="A659" s="52"/>
      <c r="B659" s="53"/>
      <c r="C659" s="53"/>
      <c r="D659" s="53"/>
      <c r="E659" s="45"/>
      <c r="F659" s="45"/>
      <c r="G659" s="45"/>
      <c r="H659" s="45"/>
      <c r="I659" s="45"/>
      <c r="J659" s="45"/>
      <c r="K659" s="45"/>
      <c r="L659" s="45"/>
      <c r="M659" s="45"/>
      <c r="N659" s="45"/>
      <c r="O659" s="45"/>
      <c r="P659" s="45"/>
      <c r="Q659" s="45"/>
      <c r="R659" s="45"/>
      <c r="S659" s="45"/>
      <c r="T659" s="45"/>
      <c r="U659" s="45"/>
      <c r="V659" s="45"/>
      <c r="W659" s="45"/>
      <c r="X659" s="45"/>
      <c r="Y659" s="45"/>
      <c r="Z659" s="45"/>
    </row>
    <row r="660">
      <c r="A660" s="52"/>
      <c r="B660" s="53"/>
      <c r="C660" s="53"/>
      <c r="D660" s="53"/>
      <c r="E660" s="45"/>
      <c r="F660" s="45"/>
      <c r="G660" s="45"/>
      <c r="H660" s="45"/>
      <c r="I660" s="45"/>
      <c r="J660" s="45"/>
      <c r="K660" s="45"/>
      <c r="L660" s="45"/>
      <c r="M660" s="45"/>
      <c r="N660" s="45"/>
      <c r="O660" s="45"/>
      <c r="P660" s="45"/>
      <c r="Q660" s="45"/>
      <c r="R660" s="45"/>
      <c r="S660" s="45"/>
      <c r="T660" s="45"/>
      <c r="U660" s="45"/>
      <c r="V660" s="45"/>
      <c r="W660" s="45"/>
      <c r="X660" s="45"/>
      <c r="Y660" s="45"/>
      <c r="Z660" s="45"/>
    </row>
    <row r="661">
      <c r="A661" s="52"/>
      <c r="B661" s="53"/>
      <c r="C661" s="53"/>
      <c r="D661" s="53"/>
      <c r="E661" s="45"/>
      <c r="F661" s="45"/>
      <c r="G661" s="45"/>
      <c r="H661" s="45"/>
      <c r="I661" s="45"/>
      <c r="J661" s="45"/>
      <c r="K661" s="45"/>
      <c r="L661" s="45"/>
      <c r="M661" s="45"/>
      <c r="N661" s="45"/>
      <c r="O661" s="45"/>
      <c r="P661" s="45"/>
      <c r="Q661" s="45"/>
      <c r="R661" s="45"/>
      <c r="S661" s="45"/>
      <c r="T661" s="45"/>
      <c r="U661" s="45"/>
      <c r="V661" s="45"/>
      <c r="W661" s="45"/>
      <c r="X661" s="45"/>
      <c r="Y661" s="45"/>
      <c r="Z661" s="45"/>
    </row>
    <row r="662">
      <c r="A662" s="52"/>
      <c r="B662" s="53"/>
      <c r="C662" s="53"/>
      <c r="D662" s="53"/>
      <c r="E662" s="45"/>
      <c r="F662" s="45"/>
      <c r="G662" s="45"/>
      <c r="H662" s="45"/>
      <c r="I662" s="45"/>
      <c r="J662" s="45"/>
      <c r="K662" s="45"/>
      <c r="L662" s="45"/>
      <c r="M662" s="45"/>
      <c r="N662" s="45"/>
      <c r="O662" s="45"/>
      <c r="P662" s="45"/>
      <c r="Q662" s="45"/>
      <c r="R662" s="45"/>
      <c r="S662" s="45"/>
      <c r="T662" s="45"/>
      <c r="U662" s="45"/>
      <c r="V662" s="45"/>
      <c r="W662" s="45"/>
      <c r="X662" s="45"/>
      <c r="Y662" s="45"/>
      <c r="Z662" s="45"/>
    </row>
    <row r="663">
      <c r="A663" s="52"/>
      <c r="B663" s="53"/>
      <c r="C663" s="53"/>
      <c r="D663" s="53"/>
      <c r="E663" s="45"/>
      <c r="F663" s="45"/>
      <c r="G663" s="45"/>
      <c r="H663" s="45"/>
      <c r="I663" s="45"/>
      <c r="J663" s="45"/>
      <c r="K663" s="45"/>
      <c r="L663" s="45"/>
      <c r="M663" s="45"/>
      <c r="N663" s="45"/>
      <c r="O663" s="45"/>
      <c r="P663" s="45"/>
      <c r="Q663" s="45"/>
      <c r="R663" s="45"/>
      <c r="S663" s="45"/>
      <c r="T663" s="45"/>
      <c r="U663" s="45"/>
      <c r="V663" s="45"/>
      <c r="W663" s="45"/>
      <c r="X663" s="45"/>
      <c r="Y663" s="45"/>
      <c r="Z663" s="45"/>
    </row>
    <row r="664">
      <c r="A664" s="52"/>
      <c r="B664" s="53"/>
      <c r="C664" s="53"/>
      <c r="D664" s="53"/>
      <c r="E664" s="45"/>
      <c r="F664" s="45"/>
      <c r="G664" s="45"/>
      <c r="H664" s="45"/>
      <c r="I664" s="45"/>
      <c r="J664" s="45"/>
      <c r="K664" s="45"/>
      <c r="L664" s="45"/>
      <c r="M664" s="45"/>
      <c r="N664" s="45"/>
      <c r="O664" s="45"/>
      <c r="P664" s="45"/>
      <c r="Q664" s="45"/>
      <c r="R664" s="45"/>
      <c r="S664" s="45"/>
      <c r="T664" s="45"/>
      <c r="U664" s="45"/>
      <c r="V664" s="45"/>
      <c r="W664" s="45"/>
      <c r="X664" s="45"/>
      <c r="Y664" s="45"/>
      <c r="Z664" s="45"/>
    </row>
    <row r="665">
      <c r="A665" s="52"/>
      <c r="B665" s="53"/>
      <c r="C665" s="53"/>
      <c r="D665" s="53"/>
      <c r="E665" s="45"/>
      <c r="F665" s="45"/>
      <c r="G665" s="45"/>
      <c r="H665" s="45"/>
      <c r="I665" s="45"/>
      <c r="J665" s="45"/>
      <c r="K665" s="45"/>
      <c r="L665" s="45"/>
      <c r="M665" s="45"/>
      <c r="N665" s="45"/>
      <c r="O665" s="45"/>
      <c r="P665" s="45"/>
      <c r="Q665" s="45"/>
      <c r="R665" s="45"/>
      <c r="S665" s="45"/>
      <c r="T665" s="45"/>
      <c r="U665" s="45"/>
      <c r="V665" s="45"/>
      <c r="W665" s="45"/>
      <c r="X665" s="45"/>
      <c r="Y665" s="45"/>
      <c r="Z665" s="45"/>
    </row>
    <row r="666">
      <c r="A666" s="52"/>
      <c r="B666" s="53"/>
      <c r="C666" s="53"/>
      <c r="D666" s="53"/>
      <c r="E666" s="45"/>
      <c r="F666" s="45"/>
      <c r="G666" s="45"/>
      <c r="H666" s="45"/>
      <c r="I666" s="45"/>
      <c r="J666" s="45"/>
      <c r="K666" s="45"/>
      <c r="L666" s="45"/>
      <c r="M666" s="45"/>
      <c r="N666" s="45"/>
      <c r="O666" s="45"/>
      <c r="P666" s="45"/>
      <c r="Q666" s="45"/>
      <c r="R666" s="45"/>
      <c r="S666" s="45"/>
      <c r="T666" s="45"/>
      <c r="U666" s="45"/>
      <c r="V666" s="45"/>
      <c r="W666" s="45"/>
      <c r="X666" s="45"/>
      <c r="Y666" s="45"/>
      <c r="Z666" s="45"/>
    </row>
    <row r="667">
      <c r="A667" s="52"/>
      <c r="B667" s="53"/>
      <c r="C667" s="53"/>
      <c r="D667" s="53"/>
      <c r="E667" s="45"/>
      <c r="F667" s="45"/>
      <c r="G667" s="45"/>
      <c r="H667" s="45"/>
      <c r="I667" s="45"/>
      <c r="J667" s="45"/>
      <c r="K667" s="45"/>
      <c r="L667" s="45"/>
      <c r="M667" s="45"/>
      <c r="N667" s="45"/>
      <c r="O667" s="45"/>
      <c r="P667" s="45"/>
      <c r="Q667" s="45"/>
      <c r="R667" s="45"/>
      <c r="S667" s="45"/>
      <c r="T667" s="45"/>
      <c r="U667" s="45"/>
      <c r="V667" s="45"/>
      <c r="W667" s="45"/>
      <c r="X667" s="45"/>
      <c r="Y667" s="45"/>
      <c r="Z667" s="45"/>
    </row>
    <row r="668">
      <c r="A668" s="52"/>
      <c r="B668" s="53"/>
      <c r="C668" s="53"/>
      <c r="D668" s="53"/>
      <c r="E668" s="45"/>
      <c r="F668" s="45"/>
      <c r="G668" s="45"/>
      <c r="H668" s="45"/>
      <c r="I668" s="45"/>
      <c r="J668" s="45"/>
      <c r="K668" s="45"/>
      <c r="L668" s="45"/>
      <c r="M668" s="45"/>
      <c r="N668" s="45"/>
      <c r="O668" s="45"/>
      <c r="P668" s="45"/>
      <c r="Q668" s="45"/>
      <c r="R668" s="45"/>
      <c r="S668" s="45"/>
      <c r="T668" s="45"/>
      <c r="U668" s="45"/>
      <c r="V668" s="45"/>
      <c r="W668" s="45"/>
      <c r="X668" s="45"/>
      <c r="Y668" s="45"/>
      <c r="Z668" s="45"/>
    </row>
    <row r="669">
      <c r="A669" s="52"/>
      <c r="B669" s="53"/>
      <c r="C669" s="53"/>
      <c r="D669" s="53"/>
      <c r="E669" s="45"/>
      <c r="F669" s="45"/>
      <c r="G669" s="45"/>
      <c r="H669" s="45"/>
      <c r="I669" s="45"/>
      <c r="J669" s="45"/>
      <c r="K669" s="45"/>
      <c r="L669" s="45"/>
      <c r="M669" s="45"/>
      <c r="N669" s="45"/>
      <c r="O669" s="45"/>
      <c r="P669" s="45"/>
      <c r="Q669" s="45"/>
      <c r="R669" s="45"/>
      <c r="S669" s="45"/>
      <c r="T669" s="45"/>
      <c r="U669" s="45"/>
      <c r="V669" s="45"/>
      <c r="W669" s="45"/>
      <c r="X669" s="45"/>
      <c r="Y669" s="45"/>
      <c r="Z669" s="45"/>
    </row>
    <row r="670">
      <c r="A670" s="52"/>
      <c r="B670" s="53"/>
      <c r="C670" s="53"/>
      <c r="D670" s="53"/>
      <c r="E670" s="45"/>
      <c r="F670" s="45"/>
      <c r="G670" s="45"/>
      <c r="H670" s="45"/>
      <c r="I670" s="45"/>
      <c r="J670" s="45"/>
      <c r="K670" s="45"/>
      <c r="L670" s="45"/>
      <c r="M670" s="45"/>
      <c r="N670" s="45"/>
      <c r="O670" s="45"/>
      <c r="P670" s="45"/>
      <c r="Q670" s="45"/>
      <c r="R670" s="45"/>
      <c r="S670" s="45"/>
      <c r="T670" s="45"/>
      <c r="U670" s="45"/>
      <c r="V670" s="45"/>
      <c r="W670" s="45"/>
      <c r="X670" s="45"/>
      <c r="Y670" s="45"/>
      <c r="Z670" s="45"/>
    </row>
    <row r="671">
      <c r="A671" s="52"/>
      <c r="B671" s="53"/>
      <c r="C671" s="53"/>
      <c r="D671" s="53"/>
      <c r="E671" s="45"/>
      <c r="F671" s="45"/>
      <c r="G671" s="45"/>
      <c r="H671" s="45"/>
      <c r="I671" s="45"/>
      <c r="J671" s="45"/>
      <c r="K671" s="45"/>
      <c r="L671" s="45"/>
      <c r="M671" s="45"/>
      <c r="N671" s="45"/>
      <c r="O671" s="45"/>
      <c r="P671" s="45"/>
      <c r="Q671" s="45"/>
      <c r="R671" s="45"/>
      <c r="S671" s="45"/>
      <c r="T671" s="45"/>
      <c r="U671" s="45"/>
      <c r="V671" s="45"/>
      <c r="W671" s="45"/>
      <c r="X671" s="45"/>
      <c r="Y671" s="45"/>
      <c r="Z671" s="45"/>
    </row>
    <row r="672">
      <c r="A672" s="52"/>
      <c r="B672" s="53"/>
      <c r="C672" s="53"/>
      <c r="D672" s="53"/>
      <c r="E672" s="45"/>
      <c r="F672" s="45"/>
      <c r="G672" s="45"/>
      <c r="H672" s="45"/>
      <c r="I672" s="45"/>
      <c r="J672" s="45"/>
      <c r="K672" s="45"/>
      <c r="L672" s="45"/>
      <c r="M672" s="45"/>
      <c r="N672" s="45"/>
      <c r="O672" s="45"/>
      <c r="P672" s="45"/>
      <c r="Q672" s="45"/>
      <c r="R672" s="45"/>
      <c r="S672" s="45"/>
      <c r="T672" s="45"/>
      <c r="U672" s="45"/>
      <c r="V672" s="45"/>
      <c r="W672" s="45"/>
      <c r="X672" s="45"/>
      <c r="Y672" s="45"/>
      <c r="Z672" s="45"/>
    </row>
    <row r="673">
      <c r="A673" s="52"/>
      <c r="B673" s="53"/>
      <c r="C673" s="53"/>
      <c r="D673" s="53"/>
      <c r="E673" s="45"/>
      <c r="F673" s="45"/>
      <c r="G673" s="45"/>
      <c r="H673" s="45"/>
      <c r="I673" s="45"/>
      <c r="J673" s="45"/>
      <c r="K673" s="45"/>
      <c r="L673" s="45"/>
      <c r="M673" s="45"/>
      <c r="N673" s="45"/>
      <c r="O673" s="45"/>
      <c r="P673" s="45"/>
      <c r="Q673" s="45"/>
      <c r="R673" s="45"/>
      <c r="S673" s="45"/>
      <c r="T673" s="45"/>
      <c r="U673" s="45"/>
      <c r="V673" s="45"/>
      <c r="W673" s="45"/>
      <c r="X673" s="45"/>
      <c r="Y673" s="45"/>
      <c r="Z673" s="45"/>
    </row>
    <row r="674">
      <c r="A674" s="52"/>
      <c r="B674" s="53"/>
      <c r="C674" s="53"/>
      <c r="D674" s="53"/>
      <c r="E674" s="45"/>
      <c r="F674" s="45"/>
      <c r="G674" s="45"/>
      <c r="H674" s="45"/>
      <c r="I674" s="45"/>
      <c r="J674" s="45"/>
      <c r="K674" s="45"/>
      <c r="L674" s="45"/>
      <c r="M674" s="45"/>
      <c r="N674" s="45"/>
      <c r="O674" s="45"/>
      <c r="P674" s="45"/>
      <c r="Q674" s="45"/>
      <c r="R674" s="45"/>
      <c r="S674" s="45"/>
      <c r="T674" s="45"/>
      <c r="U674" s="45"/>
      <c r="V674" s="45"/>
      <c r="W674" s="45"/>
      <c r="X674" s="45"/>
      <c r="Y674" s="45"/>
      <c r="Z674" s="45"/>
    </row>
    <row r="675">
      <c r="A675" s="52"/>
      <c r="B675" s="53"/>
      <c r="C675" s="53"/>
      <c r="D675" s="53"/>
      <c r="E675" s="45"/>
      <c r="F675" s="45"/>
      <c r="G675" s="45"/>
      <c r="H675" s="45"/>
      <c r="I675" s="45"/>
      <c r="J675" s="45"/>
      <c r="K675" s="45"/>
      <c r="L675" s="45"/>
      <c r="M675" s="45"/>
      <c r="N675" s="45"/>
      <c r="O675" s="45"/>
      <c r="P675" s="45"/>
      <c r="Q675" s="45"/>
      <c r="R675" s="45"/>
      <c r="S675" s="45"/>
      <c r="T675" s="45"/>
      <c r="U675" s="45"/>
      <c r="V675" s="45"/>
      <c r="W675" s="45"/>
      <c r="X675" s="45"/>
      <c r="Y675" s="45"/>
      <c r="Z675" s="45"/>
    </row>
    <row r="676">
      <c r="A676" s="52"/>
      <c r="B676" s="53"/>
      <c r="C676" s="53"/>
      <c r="D676" s="53"/>
      <c r="E676" s="45"/>
      <c r="F676" s="45"/>
      <c r="G676" s="45"/>
      <c r="H676" s="45"/>
      <c r="I676" s="45"/>
      <c r="J676" s="45"/>
      <c r="K676" s="45"/>
      <c r="L676" s="45"/>
      <c r="M676" s="45"/>
      <c r="N676" s="45"/>
      <c r="O676" s="45"/>
      <c r="P676" s="45"/>
      <c r="Q676" s="45"/>
      <c r="R676" s="45"/>
      <c r="S676" s="45"/>
      <c r="T676" s="45"/>
      <c r="U676" s="45"/>
      <c r="V676" s="45"/>
      <c r="W676" s="45"/>
      <c r="X676" s="45"/>
      <c r="Y676" s="45"/>
      <c r="Z676" s="45"/>
    </row>
    <row r="677">
      <c r="A677" s="52"/>
      <c r="B677" s="53"/>
      <c r="C677" s="53"/>
      <c r="D677" s="53"/>
      <c r="E677" s="45"/>
      <c r="F677" s="45"/>
      <c r="G677" s="45"/>
      <c r="H677" s="45"/>
      <c r="I677" s="45"/>
      <c r="J677" s="45"/>
      <c r="K677" s="45"/>
      <c r="L677" s="45"/>
      <c r="M677" s="45"/>
      <c r="N677" s="45"/>
      <c r="O677" s="45"/>
      <c r="P677" s="45"/>
      <c r="Q677" s="45"/>
      <c r="R677" s="45"/>
      <c r="S677" s="45"/>
      <c r="T677" s="45"/>
      <c r="U677" s="45"/>
      <c r="V677" s="45"/>
      <c r="W677" s="45"/>
      <c r="X677" s="45"/>
      <c r="Y677" s="45"/>
      <c r="Z677" s="45"/>
    </row>
    <row r="678">
      <c r="A678" s="52"/>
      <c r="B678" s="53"/>
      <c r="C678" s="53"/>
      <c r="D678" s="53"/>
      <c r="E678" s="45"/>
      <c r="F678" s="45"/>
      <c r="G678" s="45"/>
      <c r="H678" s="45"/>
      <c r="I678" s="45"/>
      <c r="J678" s="45"/>
      <c r="K678" s="45"/>
      <c r="L678" s="45"/>
      <c r="M678" s="45"/>
      <c r="N678" s="45"/>
      <c r="O678" s="45"/>
      <c r="P678" s="45"/>
      <c r="Q678" s="45"/>
      <c r="R678" s="45"/>
      <c r="S678" s="45"/>
      <c r="T678" s="45"/>
      <c r="U678" s="45"/>
      <c r="V678" s="45"/>
      <c r="W678" s="45"/>
      <c r="X678" s="45"/>
      <c r="Y678" s="45"/>
      <c r="Z678" s="45"/>
    </row>
    <row r="679">
      <c r="A679" s="52"/>
      <c r="B679" s="53"/>
      <c r="C679" s="53"/>
      <c r="D679" s="53"/>
      <c r="E679" s="45"/>
      <c r="F679" s="45"/>
      <c r="G679" s="45"/>
      <c r="H679" s="45"/>
      <c r="I679" s="45"/>
      <c r="J679" s="45"/>
      <c r="K679" s="45"/>
      <c r="L679" s="45"/>
      <c r="M679" s="45"/>
      <c r="N679" s="45"/>
      <c r="O679" s="45"/>
      <c r="P679" s="45"/>
      <c r="Q679" s="45"/>
      <c r="R679" s="45"/>
      <c r="S679" s="45"/>
      <c r="T679" s="45"/>
      <c r="U679" s="45"/>
      <c r="V679" s="45"/>
      <c r="W679" s="45"/>
      <c r="X679" s="45"/>
      <c r="Y679" s="45"/>
      <c r="Z679" s="45"/>
    </row>
    <row r="680">
      <c r="A680" s="52"/>
      <c r="B680" s="53"/>
      <c r="C680" s="53"/>
      <c r="D680" s="53"/>
      <c r="E680" s="45"/>
      <c r="F680" s="45"/>
      <c r="G680" s="45"/>
      <c r="H680" s="45"/>
      <c r="I680" s="45"/>
      <c r="J680" s="45"/>
      <c r="K680" s="45"/>
      <c r="L680" s="45"/>
      <c r="M680" s="45"/>
      <c r="N680" s="45"/>
      <c r="O680" s="45"/>
      <c r="P680" s="45"/>
      <c r="Q680" s="45"/>
      <c r="R680" s="45"/>
      <c r="S680" s="45"/>
      <c r="T680" s="45"/>
      <c r="U680" s="45"/>
      <c r="V680" s="45"/>
      <c r="W680" s="45"/>
      <c r="X680" s="45"/>
      <c r="Y680" s="45"/>
      <c r="Z680" s="45"/>
    </row>
    <row r="681">
      <c r="A681" s="52"/>
      <c r="B681" s="53"/>
      <c r="C681" s="53"/>
      <c r="D681" s="53"/>
      <c r="E681" s="45"/>
      <c r="F681" s="45"/>
      <c r="G681" s="45"/>
      <c r="H681" s="45"/>
      <c r="I681" s="45"/>
      <c r="J681" s="45"/>
      <c r="K681" s="45"/>
      <c r="L681" s="45"/>
      <c r="M681" s="45"/>
      <c r="N681" s="45"/>
      <c r="O681" s="45"/>
      <c r="P681" s="45"/>
      <c r="Q681" s="45"/>
      <c r="R681" s="45"/>
      <c r="S681" s="45"/>
      <c r="T681" s="45"/>
      <c r="U681" s="45"/>
      <c r="V681" s="45"/>
      <c r="W681" s="45"/>
      <c r="X681" s="45"/>
      <c r="Y681" s="45"/>
      <c r="Z681" s="45"/>
    </row>
    <row r="682">
      <c r="A682" s="52"/>
      <c r="B682" s="53"/>
      <c r="C682" s="53"/>
      <c r="D682" s="53"/>
      <c r="E682" s="45"/>
      <c r="F682" s="45"/>
      <c r="G682" s="45"/>
      <c r="H682" s="45"/>
      <c r="I682" s="45"/>
      <c r="J682" s="45"/>
      <c r="K682" s="45"/>
      <c r="L682" s="45"/>
      <c r="M682" s="45"/>
      <c r="N682" s="45"/>
      <c r="O682" s="45"/>
      <c r="P682" s="45"/>
      <c r="Q682" s="45"/>
      <c r="R682" s="45"/>
      <c r="S682" s="45"/>
      <c r="T682" s="45"/>
      <c r="U682" s="45"/>
      <c r="V682" s="45"/>
      <c r="W682" s="45"/>
      <c r="X682" s="45"/>
      <c r="Y682" s="45"/>
      <c r="Z682" s="45"/>
    </row>
    <row r="683">
      <c r="A683" s="52"/>
      <c r="B683" s="53"/>
      <c r="C683" s="53"/>
      <c r="D683" s="53"/>
      <c r="E683" s="45"/>
      <c r="F683" s="45"/>
      <c r="G683" s="45"/>
      <c r="H683" s="45"/>
      <c r="I683" s="45"/>
      <c r="J683" s="45"/>
      <c r="K683" s="45"/>
      <c r="L683" s="45"/>
      <c r="M683" s="45"/>
      <c r="N683" s="45"/>
      <c r="O683" s="45"/>
      <c r="P683" s="45"/>
      <c r="Q683" s="45"/>
      <c r="R683" s="45"/>
      <c r="S683" s="45"/>
      <c r="T683" s="45"/>
      <c r="U683" s="45"/>
      <c r="V683" s="45"/>
      <c r="W683" s="45"/>
      <c r="X683" s="45"/>
      <c r="Y683" s="45"/>
      <c r="Z683" s="45"/>
    </row>
    <row r="684">
      <c r="A684" s="52"/>
      <c r="B684" s="53"/>
      <c r="C684" s="53"/>
      <c r="D684" s="53"/>
      <c r="E684" s="45"/>
      <c r="F684" s="45"/>
      <c r="G684" s="45"/>
      <c r="H684" s="45"/>
      <c r="I684" s="45"/>
      <c r="J684" s="45"/>
      <c r="K684" s="45"/>
      <c r="L684" s="45"/>
      <c r="M684" s="45"/>
      <c r="N684" s="45"/>
      <c r="O684" s="45"/>
      <c r="P684" s="45"/>
      <c r="Q684" s="45"/>
      <c r="R684" s="45"/>
      <c r="S684" s="45"/>
      <c r="T684" s="45"/>
      <c r="U684" s="45"/>
      <c r="V684" s="45"/>
      <c r="W684" s="45"/>
      <c r="X684" s="45"/>
      <c r="Y684" s="45"/>
      <c r="Z684" s="45"/>
    </row>
    <row r="685">
      <c r="A685" s="52"/>
      <c r="B685" s="53"/>
      <c r="C685" s="53"/>
      <c r="D685" s="53"/>
      <c r="E685" s="45"/>
      <c r="F685" s="45"/>
      <c r="G685" s="45"/>
      <c r="H685" s="45"/>
      <c r="I685" s="45"/>
      <c r="J685" s="45"/>
      <c r="K685" s="45"/>
      <c r="L685" s="45"/>
      <c r="M685" s="45"/>
      <c r="N685" s="45"/>
      <c r="O685" s="45"/>
      <c r="P685" s="45"/>
      <c r="Q685" s="45"/>
      <c r="R685" s="45"/>
      <c r="S685" s="45"/>
      <c r="T685" s="45"/>
      <c r="U685" s="45"/>
      <c r="V685" s="45"/>
      <c r="W685" s="45"/>
      <c r="X685" s="45"/>
      <c r="Y685" s="45"/>
      <c r="Z685" s="45"/>
    </row>
    <row r="686">
      <c r="A686" s="52"/>
      <c r="B686" s="53"/>
      <c r="C686" s="53"/>
      <c r="D686" s="53"/>
      <c r="E686" s="45"/>
      <c r="F686" s="45"/>
      <c r="G686" s="45"/>
      <c r="H686" s="45"/>
      <c r="I686" s="45"/>
      <c r="J686" s="45"/>
      <c r="K686" s="45"/>
      <c r="L686" s="45"/>
      <c r="M686" s="45"/>
      <c r="N686" s="45"/>
      <c r="O686" s="45"/>
      <c r="P686" s="45"/>
      <c r="Q686" s="45"/>
      <c r="R686" s="45"/>
      <c r="S686" s="45"/>
      <c r="T686" s="45"/>
      <c r="U686" s="45"/>
      <c r="V686" s="45"/>
      <c r="W686" s="45"/>
      <c r="X686" s="45"/>
      <c r="Y686" s="45"/>
      <c r="Z686" s="45"/>
    </row>
    <row r="687">
      <c r="A687" s="52"/>
      <c r="B687" s="53"/>
      <c r="C687" s="53"/>
      <c r="D687" s="53"/>
      <c r="E687" s="45"/>
      <c r="F687" s="45"/>
      <c r="G687" s="45"/>
      <c r="H687" s="45"/>
      <c r="I687" s="45"/>
      <c r="J687" s="45"/>
      <c r="K687" s="45"/>
      <c r="L687" s="45"/>
      <c r="M687" s="45"/>
      <c r="N687" s="45"/>
      <c r="O687" s="45"/>
      <c r="P687" s="45"/>
      <c r="Q687" s="45"/>
      <c r="R687" s="45"/>
      <c r="S687" s="45"/>
      <c r="T687" s="45"/>
      <c r="U687" s="45"/>
      <c r="V687" s="45"/>
      <c r="W687" s="45"/>
      <c r="X687" s="45"/>
      <c r="Y687" s="45"/>
      <c r="Z687" s="45"/>
    </row>
    <row r="688">
      <c r="A688" s="52"/>
      <c r="B688" s="53"/>
      <c r="C688" s="53"/>
      <c r="D688" s="53"/>
      <c r="E688" s="45"/>
      <c r="F688" s="45"/>
      <c r="G688" s="45"/>
      <c r="H688" s="45"/>
      <c r="I688" s="45"/>
      <c r="J688" s="45"/>
      <c r="K688" s="45"/>
      <c r="L688" s="45"/>
      <c r="M688" s="45"/>
      <c r="N688" s="45"/>
      <c r="O688" s="45"/>
      <c r="P688" s="45"/>
      <c r="Q688" s="45"/>
      <c r="R688" s="45"/>
      <c r="S688" s="45"/>
      <c r="T688" s="45"/>
      <c r="U688" s="45"/>
      <c r="V688" s="45"/>
      <c r="W688" s="45"/>
      <c r="X688" s="45"/>
      <c r="Y688" s="45"/>
      <c r="Z688" s="45"/>
    </row>
    <row r="689">
      <c r="A689" s="52"/>
      <c r="B689" s="53"/>
      <c r="C689" s="53"/>
      <c r="D689" s="53"/>
      <c r="E689" s="45"/>
      <c r="F689" s="45"/>
      <c r="G689" s="45"/>
      <c r="H689" s="45"/>
      <c r="I689" s="45"/>
      <c r="J689" s="45"/>
      <c r="K689" s="45"/>
      <c r="L689" s="45"/>
      <c r="M689" s="45"/>
      <c r="N689" s="45"/>
      <c r="O689" s="45"/>
      <c r="P689" s="45"/>
      <c r="Q689" s="45"/>
      <c r="R689" s="45"/>
      <c r="S689" s="45"/>
      <c r="T689" s="45"/>
      <c r="U689" s="45"/>
      <c r="V689" s="45"/>
      <c r="W689" s="45"/>
      <c r="X689" s="45"/>
      <c r="Y689" s="45"/>
      <c r="Z689" s="45"/>
    </row>
    <row r="690">
      <c r="A690" s="52"/>
      <c r="B690" s="53"/>
      <c r="C690" s="53"/>
      <c r="D690" s="53"/>
      <c r="E690" s="45"/>
      <c r="F690" s="45"/>
      <c r="G690" s="45"/>
      <c r="H690" s="45"/>
      <c r="I690" s="45"/>
      <c r="J690" s="45"/>
      <c r="K690" s="45"/>
      <c r="L690" s="45"/>
      <c r="M690" s="45"/>
      <c r="N690" s="45"/>
      <c r="O690" s="45"/>
      <c r="P690" s="45"/>
      <c r="Q690" s="45"/>
      <c r="R690" s="45"/>
      <c r="S690" s="45"/>
      <c r="T690" s="45"/>
      <c r="U690" s="45"/>
      <c r="V690" s="45"/>
      <c r="W690" s="45"/>
      <c r="X690" s="45"/>
      <c r="Y690" s="45"/>
      <c r="Z690" s="45"/>
    </row>
    <row r="691">
      <c r="A691" s="52"/>
      <c r="B691" s="53"/>
      <c r="C691" s="53"/>
      <c r="D691" s="53"/>
      <c r="E691" s="45"/>
      <c r="F691" s="45"/>
      <c r="G691" s="45"/>
      <c r="H691" s="45"/>
      <c r="I691" s="45"/>
      <c r="J691" s="45"/>
      <c r="K691" s="45"/>
      <c r="L691" s="45"/>
      <c r="M691" s="45"/>
      <c r="N691" s="45"/>
      <c r="O691" s="45"/>
      <c r="P691" s="45"/>
      <c r="Q691" s="45"/>
      <c r="R691" s="45"/>
      <c r="S691" s="45"/>
      <c r="T691" s="45"/>
      <c r="U691" s="45"/>
      <c r="V691" s="45"/>
      <c r="W691" s="45"/>
      <c r="X691" s="45"/>
      <c r="Y691" s="45"/>
      <c r="Z691" s="45"/>
    </row>
    <row r="692">
      <c r="A692" s="52"/>
      <c r="B692" s="53"/>
      <c r="C692" s="53"/>
      <c r="D692" s="53"/>
      <c r="E692" s="45"/>
      <c r="F692" s="45"/>
      <c r="G692" s="45"/>
      <c r="H692" s="45"/>
      <c r="I692" s="45"/>
      <c r="J692" s="45"/>
      <c r="K692" s="45"/>
      <c r="L692" s="45"/>
      <c r="M692" s="45"/>
      <c r="N692" s="45"/>
      <c r="O692" s="45"/>
      <c r="P692" s="45"/>
      <c r="Q692" s="45"/>
      <c r="R692" s="45"/>
      <c r="S692" s="45"/>
      <c r="T692" s="45"/>
      <c r="U692" s="45"/>
      <c r="V692" s="45"/>
      <c r="W692" s="45"/>
      <c r="X692" s="45"/>
      <c r="Y692" s="45"/>
      <c r="Z692" s="45"/>
    </row>
    <row r="693">
      <c r="A693" s="52"/>
      <c r="B693" s="53"/>
      <c r="C693" s="53"/>
      <c r="D693" s="53"/>
      <c r="E693" s="45"/>
      <c r="F693" s="45"/>
      <c r="G693" s="45"/>
      <c r="H693" s="45"/>
      <c r="I693" s="45"/>
      <c r="J693" s="45"/>
      <c r="K693" s="45"/>
      <c r="L693" s="45"/>
      <c r="M693" s="45"/>
      <c r="N693" s="45"/>
      <c r="O693" s="45"/>
      <c r="P693" s="45"/>
      <c r="Q693" s="45"/>
      <c r="R693" s="45"/>
      <c r="S693" s="45"/>
      <c r="T693" s="45"/>
      <c r="U693" s="45"/>
      <c r="V693" s="45"/>
      <c r="W693" s="45"/>
      <c r="X693" s="45"/>
      <c r="Y693" s="45"/>
      <c r="Z693" s="45"/>
    </row>
    <row r="694">
      <c r="A694" s="52"/>
      <c r="B694" s="53"/>
      <c r="C694" s="53"/>
      <c r="D694" s="53"/>
      <c r="E694" s="45"/>
      <c r="F694" s="45"/>
      <c r="G694" s="45"/>
      <c r="H694" s="45"/>
      <c r="I694" s="45"/>
      <c r="J694" s="45"/>
      <c r="K694" s="45"/>
      <c r="L694" s="45"/>
      <c r="M694" s="45"/>
      <c r="N694" s="45"/>
      <c r="O694" s="45"/>
      <c r="P694" s="45"/>
      <c r="Q694" s="45"/>
      <c r="R694" s="45"/>
      <c r="S694" s="45"/>
      <c r="T694" s="45"/>
      <c r="U694" s="45"/>
      <c r="V694" s="45"/>
      <c r="W694" s="45"/>
      <c r="X694" s="45"/>
      <c r="Y694" s="45"/>
      <c r="Z694" s="45"/>
    </row>
    <row r="695">
      <c r="A695" s="52"/>
      <c r="B695" s="53"/>
      <c r="C695" s="53"/>
      <c r="D695" s="53"/>
      <c r="E695" s="45"/>
      <c r="F695" s="45"/>
      <c r="G695" s="45"/>
      <c r="H695" s="45"/>
      <c r="I695" s="45"/>
      <c r="J695" s="45"/>
      <c r="K695" s="45"/>
      <c r="L695" s="45"/>
      <c r="M695" s="45"/>
      <c r="N695" s="45"/>
      <c r="O695" s="45"/>
      <c r="P695" s="45"/>
      <c r="Q695" s="45"/>
      <c r="R695" s="45"/>
      <c r="S695" s="45"/>
      <c r="T695" s="45"/>
      <c r="U695" s="45"/>
      <c r="V695" s="45"/>
      <c r="W695" s="45"/>
      <c r="X695" s="45"/>
      <c r="Y695" s="45"/>
      <c r="Z695" s="45"/>
    </row>
    <row r="696">
      <c r="A696" s="52"/>
      <c r="B696" s="53"/>
      <c r="C696" s="53"/>
      <c r="D696" s="53"/>
      <c r="E696" s="45"/>
      <c r="F696" s="45"/>
      <c r="G696" s="45"/>
      <c r="H696" s="45"/>
      <c r="I696" s="45"/>
      <c r="J696" s="45"/>
      <c r="K696" s="45"/>
      <c r="L696" s="45"/>
      <c r="M696" s="45"/>
      <c r="N696" s="45"/>
      <c r="O696" s="45"/>
      <c r="P696" s="45"/>
      <c r="Q696" s="45"/>
      <c r="R696" s="45"/>
      <c r="S696" s="45"/>
      <c r="T696" s="45"/>
      <c r="U696" s="45"/>
      <c r="V696" s="45"/>
      <c r="W696" s="45"/>
      <c r="X696" s="45"/>
      <c r="Y696" s="45"/>
      <c r="Z696" s="45"/>
    </row>
    <row r="697">
      <c r="A697" s="52"/>
      <c r="B697" s="53"/>
      <c r="C697" s="53"/>
      <c r="D697" s="53"/>
      <c r="E697" s="45"/>
      <c r="F697" s="45"/>
      <c r="G697" s="45"/>
      <c r="H697" s="45"/>
      <c r="I697" s="45"/>
      <c r="J697" s="45"/>
      <c r="K697" s="45"/>
      <c r="L697" s="45"/>
      <c r="M697" s="45"/>
      <c r="N697" s="45"/>
      <c r="O697" s="45"/>
      <c r="P697" s="45"/>
      <c r="Q697" s="45"/>
      <c r="R697" s="45"/>
      <c r="S697" s="45"/>
      <c r="T697" s="45"/>
      <c r="U697" s="45"/>
      <c r="V697" s="45"/>
      <c r="W697" s="45"/>
      <c r="X697" s="45"/>
      <c r="Y697" s="45"/>
      <c r="Z697" s="45"/>
    </row>
    <row r="698">
      <c r="A698" s="52"/>
      <c r="B698" s="53"/>
      <c r="C698" s="53"/>
      <c r="D698" s="53"/>
      <c r="E698" s="45"/>
      <c r="F698" s="45"/>
      <c r="G698" s="45"/>
      <c r="H698" s="45"/>
      <c r="I698" s="45"/>
      <c r="J698" s="45"/>
      <c r="K698" s="45"/>
      <c r="L698" s="45"/>
      <c r="M698" s="45"/>
      <c r="N698" s="45"/>
      <c r="O698" s="45"/>
      <c r="P698" s="45"/>
      <c r="Q698" s="45"/>
      <c r="R698" s="45"/>
      <c r="S698" s="45"/>
      <c r="T698" s="45"/>
      <c r="U698" s="45"/>
      <c r="V698" s="45"/>
      <c r="W698" s="45"/>
      <c r="X698" s="45"/>
      <c r="Y698" s="45"/>
      <c r="Z698" s="45"/>
    </row>
    <row r="699">
      <c r="A699" s="52"/>
      <c r="B699" s="53"/>
      <c r="C699" s="53"/>
      <c r="D699" s="53"/>
      <c r="E699" s="45"/>
      <c r="F699" s="45"/>
      <c r="G699" s="45"/>
      <c r="H699" s="45"/>
      <c r="I699" s="45"/>
      <c r="J699" s="45"/>
      <c r="K699" s="45"/>
      <c r="L699" s="45"/>
      <c r="M699" s="45"/>
      <c r="N699" s="45"/>
      <c r="O699" s="45"/>
      <c r="P699" s="45"/>
      <c r="Q699" s="45"/>
      <c r="R699" s="45"/>
      <c r="S699" s="45"/>
      <c r="T699" s="45"/>
      <c r="U699" s="45"/>
      <c r="V699" s="45"/>
      <c r="W699" s="45"/>
      <c r="X699" s="45"/>
      <c r="Y699" s="45"/>
      <c r="Z699" s="45"/>
    </row>
    <row r="700">
      <c r="A700" s="52"/>
      <c r="B700" s="53"/>
      <c r="C700" s="53"/>
      <c r="D700" s="53"/>
      <c r="E700" s="45"/>
      <c r="F700" s="45"/>
      <c r="G700" s="45"/>
      <c r="H700" s="45"/>
      <c r="I700" s="45"/>
      <c r="J700" s="45"/>
      <c r="K700" s="45"/>
      <c r="L700" s="45"/>
      <c r="M700" s="45"/>
      <c r="N700" s="45"/>
      <c r="O700" s="45"/>
      <c r="P700" s="45"/>
      <c r="Q700" s="45"/>
      <c r="R700" s="45"/>
      <c r="S700" s="45"/>
      <c r="T700" s="45"/>
      <c r="U700" s="45"/>
      <c r="V700" s="45"/>
      <c r="W700" s="45"/>
      <c r="X700" s="45"/>
      <c r="Y700" s="45"/>
      <c r="Z700" s="45"/>
    </row>
    <row r="701">
      <c r="A701" s="52"/>
      <c r="B701" s="53"/>
      <c r="C701" s="53"/>
      <c r="D701" s="53"/>
      <c r="E701" s="45"/>
      <c r="F701" s="45"/>
      <c r="G701" s="45"/>
      <c r="H701" s="45"/>
      <c r="I701" s="45"/>
      <c r="J701" s="45"/>
      <c r="K701" s="45"/>
      <c r="L701" s="45"/>
      <c r="M701" s="45"/>
      <c r="N701" s="45"/>
      <c r="O701" s="45"/>
      <c r="P701" s="45"/>
      <c r="Q701" s="45"/>
      <c r="R701" s="45"/>
      <c r="S701" s="45"/>
      <c r="T701" s="45"/>
      <c r="U701" s="45"/>
      <c r="V701" s="45"/>
      <c r="W701" s="45"/>
      <c r="X701" s="45"/>
      <c r="Y701" s="45"/>
      <c r="Z701" s="45"/>
    </row>
    <row r="702">
      <c r="A702" s="52"/>
      <c r="B702" s="53"/>
      <c r="C702" s="53"/>
      <c r="D702" s="53"/>
      <c r="E702" s="45"/>
      <c r="F702" s="45"/>
      <c r="G702" s="45"/>
      <c r="H702" s="45"/>
      <c r="I702" s="45"/>
      <c r="J702" s="45"/>
      <c r="K702" s="45"/>
      <c r="L702" s="45"/>
      <c r="M702" s="45"/>
      <c r="N702" s="45"/>
      <c r="O702" s="45"/>
      <c r="P702" s="45"/>
      <c r="Q702" s="45"/>
      <c r="R702" s="45"/>
      <c r="S702" s="45"/>
      <c r="T702" s="45"/>
      <c r="U702" s="45"/>
      <c r="V702" s="45"/>
      <c r="W702" s="45"/>
      <c r="X702" s="45"/>
      <c r="Y702" s="45"/>
      <c r="Z702" s="45"/>
    </row>
    <row r="703">
      <c r="A703" s="52"/>
      <c r="B703" s="53"/>
      <c r="C703" s="53"/>
      <c r="D703" s="53"/>
      <c r="E703" s="45"/>
      <c r="F703" s="45"/>
      <c r="G703" s="45"/>
      <c r="H703" s="45"/>
      <c r="I703" s="45"/>
      <c r="J703" s="45"/>
      <c r="K703" s="45"/>
      <c r="L703" s="45"/>
      <c r="M703" s="45"/>
      <c r="N703" s="45"/>
      <c r="O703" s="45"/>
      <c r="P703" s="45"/>
      <c r="Q703" s="45"/>
      <c r="R703" s="45"/>
      <c r="S703" s="45"/>
      <c r="T703" s="45"/>
      <c r="U703" s="45"/>
      <c r="V703" s="45"/>
      <c r="W703" s="45"/>
      <c r="X703" s="45"/>
      <c r="Y703" s="45"/>
      <c r="Z703" s="45"/>
    </row>
    <row r="704">
      <c r="A704" s="52"/>
      <c r="B704" s="53"/>
      <c r="C704" s="53"/>
      <c r="D704" s="53"/>
      <c r="E704" s="45"/>
      <c r="F704" s="45"/>
      <c r="G704" s="45"/>
      <c r="H704" s="45"/>
      <c r="I704" s="45"/>
      <c r="J704" s="45"/>
      <c r="K704" s="45"/>
      <c r="L704" s="45"/>
      <c r="M704" s="45"/>
      <c r="N704" s="45"/>
      <c r="O704" s="45"/>
      <c r="P704" s="45"/>
      <c r="Q704" s="45"/>
      <c r="R704" s="45"/>
      <c r="S704" s="45"/>
      <c r="T704" s="45"/>
      <c r="U704" s="45"/>
      <c r="V704" s="45"/>
      <c r="W704" s="45"/>
      <c r="X704" s="45"/>
      <c r="Y704" s="45"/>
      <c r="Z704" s="45"/>
    </row>
    <row r="705">
      <c r="A705" s="52"/>
      <c r="B705" s="53"/>
      <c r="C705" s="53"/>
      <c r="D705" s="53"/>
      <c r="E705" s="45"/>
      <c r="F705" s="45"/>
      <c r="G705" s="45"/>
      <c r="H705" s="45"/>
      <c r="I705" s="45"/>
      <c r="J705" s="45"/>
      <c r="K705" s="45"/>
      <c r="L705" s="45"/>
      <c r="M705" s="45"/>
      <c r="N705" s="45"/>
      <c r="O705" s="45"/>
      <c r="P705" s="45"/>
      <c r="Q705" s="45"/>
      <c r="R705" s="45"/>
      <c r="S705" s="45"/>
      <c r="T705" s="45"/>
      <c r="U705" s="45"/>
      <c r="V705" s="45"/>
      <c r="W705" s="45"/>
      <c r="X705" s="45"/>
      <c r="Y705" s="45"/>
      <c r="Z705" s="45"/>
    </row>
    <row r="706">
      <c r="A706" s="52"/>
      <c r="B706" s="53"/>
      <c r="C706" s="53"/>
      <c r="D706" s="53"/>
      <c r="E706" s="45"/>
      <c r="F706" s="45"/>
      <c r="G706" s="45"/>
      <c r="H706" s="45"/>
      <c r="I706" s="45"/>
      <c r="J706" s="45"/>
      <c r="K706" s="45"/>
      <c r="L706" s="45"/>
      <c r="M706" s="45"/>
      <c r="N706" s="45"/>
      <c r="O706" s="45"/>
      <c r="P706" s="45"/>
      <c r="Q706" s="45"/>
      <c r="R706" s="45"/>
      <c r="S706" s="45"/>
      <c r="T706" s="45"/>
      <c r="U706" s="45"/>
      <c r="V706" s="45"/>
      <c r="W706" s="45"/>
      <c r="X706" s="45"/>
      <c r="Y706" s="45"/>
      <c r="Z706" s="45"/>
    </row>
    <row r="707">
      <c r="A707" s="52"/>
      <c r="B707" s="53"/>
      <c r="C707" s="53"/>
      <c r="D707" s="53"/>
      <c r="E707" s="45"/>
      <c r="F707" s="45"/>
      <c r="G707" s="45"/>
      <c r="H707" s="45"/>
      <c r="I707" s="45"/>
      <c r="J707" s="45"/>
      <c r="K707" s="45"/>
      <c r="L707" s="45"/>
      <c r="M707" s="45"/>
      <c r="N707" s="45"/>
      <c r="O707" s="45"/>
      <c r="P707" s="45"/>
      <c r="Q707" s="45"/>
      <c r="R707" s="45"/>
      <c r="S707" s="45"/>
      <c r="T707" s="45"/>
      <c r="U707" s="45"/>
      <c r="V707" s="45"/>
      <c r="W707" s="45"/>
      <c r="X707" s="45"/>
      <c r="Y707" s="45"/>
      <c r="Z707" s="45"/>
    </row>
    <row r="708">
      <c r="A708" s="52"/>
      <c r="B708" s="53"/>
      <c r="C708" s="53"/>
      <c r="D708" s="53"/>
      <c r="E708" s="45"/>
      <c r="F708" s="45"/>
      <c r="G708" s="45"/>
      <c r="H708" s="45"/>
      <c r="I708" s="45"/>
      <c r="J708" s="45"/>
      <c r="K708" s="45"/>
      <c r="L708" s="45"/>
      <c r="M708" s="45"/>
      <c r="N708" s="45"/>
      <c r="O708" s="45"/>
      <c r="P708" s="45"/>
      <c r="Q708" s="45"/>
      <c r="R708" s="45"/>
      <c r="S708" s="45"/>
      <c r="T708" s="45"/>
      <c r="U708" s="45"/>
      <c r="V708" s="45"/>
      <c r="W708" s="45"/>
      <c r="X708" s="45"/>
      <c r="Y708" s="45"/>
      <c r="Z708" s="45"/>
    </row>
    <row r="709">
      <c r="A709" s="52"/>
      <c r="B709" s="53"/>
      <c r="C709" s="53"/>
      <c r="D709" s="53"/>
      <c r="E709" s="45"/>
      <c r="F709" s="45"/>
      <c r="G709" s="45"/>
      <c r="H709" s="45"/>
      <c r="I709" s="45"/>
      <c r="J709" s="45"/>
      <c r="K709" s="45"/>
      <c r="L709" s="45"/>
      <c r="M709" s="45"/>
      <c r="N709" s="45"/>
      <c r="O709" s="45"/>
      <c r="P709" s="45"/>
      <c r="Q709" s="45"/>
      <c r="R709" s="45"/>
      <c r="S709" s="45"/>
      <c r="T709" s="45"/>
      <c r="U709" s="45"/>
      <c r="V709" s="45"/>
      <c r="W709" s="45"/>
      <c r="X709" s="45"/>
      <c r="Y709" s="45"/>
      <c r="Z709" s="45"/>
    </row>
    <row r="710">
      <c r="A710" s="52"/>
      <c r="B710" s="53"/>
      <c r="C710" s="53"/>
      <c r="D710" s="53"/>
      <c r="E710" s="45"/>
      <c r="F710" s="45"/>
      <c r="G710" s="45"/>
      <c r="H710" s="45"/>
      <c r="I710" s="45"/>
      <c r="J710" s="45"/>
      <c r="K710" s="45"/>
      <c r="L710" s="45"/>
      <c r="M710" s="45"/>
      <c r="N710" s="45"/>
      <c r="O710" s="45"/>
      <c r="P710" s="45"/>
      <c r="Q710" s="45"/>
      <c r="R710" s="45"/>
      <c r="S710" s="45"/>
      <c r="T710" s="45"/>
      <c r="U710" s="45"/>
      <c r="V710" s="45"/>
      <c r="W710" s="45"/>
      <c r="X710" s="45"/>
      <c r="Y710" s="45"/>
      <c r="Z710" s="45"/>
    </row>
    <row r="711">
      <c r="A711" s="52"/>
      <c r="B711" s="53"/>
      <c r="C711" s="53"/>
      <c r="D711" s="53"/>
      <c r="E711" s="45"/>
      <c r="F711" s="45"/>
      <c r="G711" s="45"/>
      <c r="H711" s="45"/>
      <c r="I711" s="45"/>
      <c r="J711" s="45"/>
      <c r="K711" s="45"/>
      <c r="L711" s="45"/>
      <c r="M711" s="45"/>
      <c r="N711" s="45"/>
      <c r="O711" s="45"/>
      <c r="P711" s="45"/>
      <c r="Q711" s="45"/>
      <c r="R711" s="45"/>
      <c r="S711" s="45"/>
      <c r="T711" s="45"/>
      <c r="U711" s="45"/>
      <c r="V711" s="45"/>
      <c r="W711" s="45"/>
      <c r="X711" s="45"/>
      <c r="Y711" s="45"/>
      <c r="Z711" s="45"/>
    </row>
    <row r="712">
      <c r="A712" s="52"/>
      <c r="B712" s="53"/>
      <c r="C712" s="53"/>
      <c r="D712" s="53"/>
      <c r="E712" s="45"/>
      <c r="F712" s="45"/>
      <c r="G712" s="45"/>
      <c r="H712" s="45"/>
      <c r="I712" s="45"/>
      <c r="J712" s="45"/>
      <c r="K712" s="45"/>
      <c r="L712" s="45"/>
      <c r="M712" s="45"/>
      <c r="N712" s="45"/>
      <c r="O712" s="45"/>
      <c r="P712" s="45"/>
      <c r="Q712" s="45"/>
      <c r="R712" s="45"/>
      <c r="S712" s="45"/>
      <c r="T712" s="45"/>
      <c r="U712" s="45"/>
      <c r="V712" s="45"/>
      <c r="W712" s="45"/>
      <c r="X712" s="45"/>
      <c r="Y712" s="45"/>
      <c r="Z712" s="45"/>
    </row>
    <row r="713">
      <c r="A713" s="52"/>
      <c r="B713" s="53"/>
      <c r="C713" s="53"/>
      <c r="D713" s="53"/>
      <c r="E713" s="45"/>
      <c r="F713" s="45"/>
      <c r="G713" s="45"/>
      <c r="H713" s="45"/>
      <c r="I713" s="45"/>
      <c r="J713" s="45"/>
      <c r="K713" s="45"/>
      <c r="L713" s="45"/>
      <c r="M713" s="45"/>
      <c r="N713" s="45"/>
      <c r="O713" s="45"/>
      <c r="P713" s="45"/>
      <c r="Q713" s="45"/>
      <c r="R713" s="45"/>
      <c r="S713" s="45"/>
      <c r="T713" s="45"/>
      <c r="U713" s="45"/>
      <c r="V713" s="45"/>
      <c r="W713" s="45"/>
      <c r="X713" s="45"/>
      <c r="Y713" s="45"/>
      <c r="Z713" s="45"/>
    </row>
    <row r="714">
      <c r="A714" s="52"/>
      <c r="B714" s="53"/>
      <c r="C714" s="53"/>
      <c r="D714" s="53"/>
      <c r="E714" s="45"/>
      <c r="F714" s="45"/>
      <c r="G714" s="45"/>
      <c r="H714" s="45"/>
      <c r="I714" s="45"/>
      <c r="J714" s="45"/>
      <c r="K714" s="45"/>
      <c r="L714" s="45"/>
      <c r="M714" s="45"/>
      <c r="N714" s="45"/>
      <c r="O714" s="45"/>
      <c r="P714" s="45"/>
      <c r="Q714" s="45"/>
      <c r="R714" s="45"/>
      <c r="S714" s="45"/>
      <c r="T714" s="45"/>
      <c r="U714" s="45"/>
      <c r="V714" s="45"/>
      <c r="W714" s="45"/>
      <c r="X714" s="45"/>
      <c r="Y714" s="45"/>
      <c r="Z714" s="45"/>
    </row>
    <row r="715">
      <c r="A715" s="52"/>
      <c r="B715" s="53"/>
      <c r="C715" s="53"/>
      <c r="D715" s="53"/>
      <c r="E715" s="45"/>
      <c r="F715" s="45"/>
      <c r="G715" s="45"/>
      <c r="H715" s="45"/>
      <c r="I715" s="45"/>
      <c r="J715" s="45"/>
      <c r="K715" s="45"/>
      <c r="L715" s="45"/>
      <c r="M715" s="45"/>
      <c r="N715" s="45"/>
      <c r="O715" s="45"/>
      <c r="P715" s="45"/>
      <c r="Q715" s="45"/>
      <c r="R715" s="45"/>
      <c r="S715" s="45"/>
      <c r="T715" s="45"/>
      <c r="U715" s="45"/>
      <c r="V715" s="45"/>
      <c r="W715" s="45"/>
      <c r="X715" s="45"/>
      <c r="Y715" s="45"/>
      <c r="Z715" s="45"/>
    </row>
    <row r="716">
      <c r="A716" s="52"/>
      <c r="B716" s="53"/>
      <c r="C716" s="53"/>
      <c r="D716" s="53"/>
      <c r="E716" s="45"/>
      <c r="F716" s="45"/>
      <c r="G716" s="45"/>
      <c r="H716" s="45"/>
      <c r="I716" s="45"/>
      <c r="J716" s="45"/>
      <c r="K716" s="45"/>
      <c r="L716" s="45"/>
      <c r="M716" s="45"/>
      <c r="N716" s="45"/>
      <c r="O716" s="45"/>
      <c r="P716" s="45"/>
      <c r="Q716" s="45"/>
      <c r="R716" s="45"/>
      <c r="S716" s="45"/>
      <c r="T716" s="45"/>
      <c r="U716" s="45"/>
      <c r="V716" s="45"/>
      <c r="W716" s="45"/>
      <c r="X716" s="45"/>
      <c r="Y716" s="45"/>
      <c r="Z716" s="45"/>
    </row>
    <row r="717">
      <c r="A717" s="52"/>
      <c r="B717" s="53"/>
      <c r="C717" s="53"/>
      <c r="D717" s="53"/>
      <c r="E717" s="45"/>
      <c r="F717" s="45"/>
      <c r="G717" s="45"/>
      <c r="H717" s="45"/>
      <c r="I717" s="45"/>
      <c r="J717" s="45"/>
      <c r="K717" s="45"/>
      <c r="L717" s="45"/>
      <c r="M717" s="45"/>
      <c r="N717" s="45"/>
      <c r="O717" s="45"/>
      <c r="P717" s="45"/>
      <c r="Q717" s="45"/>
      <c r="R717" s="45"/>
      <c r="S717" s="45"/>
      <c r="T717" s="45"/>
      <c r="U717" s="45"/>
      <c r="V717" s="45"/>
      <c r="W717" s="45"/>
      <c r="X717" s="45"/>
      <c r="Y717" s="45"/>
      <c r="Z717" s="45"/>
    </row>
    <row r="718">
      <c r="A718" s="52"/>
      <c r="B718" s="53"/>
      <c r="C718" s="53"/>
      <c r="D718" s="53"/>
      <c r="E718" s="45"/>
      <c r="F718" s="45"/>
      <c r="G718" s="45"/>
      <c r="H718" s="45"/>
      <c r="I718" s="45"/>
      <c r="J718" s="45"/>
      <c r="K718" s="45"/>
      <c r="L718" s="45"/>
      <c r="M718" s="45"/>
      <c r="N718" s="45"/>
      <c r="O718" s="45"/>
      <c r="P718" s="45"/>
      <c r="Q718" s="45"/>
      <c r="R718" s="45"/>
      <c r="S718" s="45"/>
      <c r="T718" s="45"/>
      <c r="U718" s="45"/>
      <c r="V718" s="45"/>
      <c r="W718" s="45"/>
      <c r="X718" s="45"/>
      <c r="Y718" s="45"/>
      <c r="Z718" s="45"/>
    </row>
    <row r="719">
      <c r="A719" s="52"/>
      <c r="B719" s="53"/>
      <c r="C719" s="53"/>
      <c r="D719" s="53"/>
      <c r="E719" s="45"/>
      <c r="F719" s="45"/>
      <c r="G719" s="45"/>
      <c r="H719" s="45"/>
      <c r="I719" s="45"/>
      <c r="J719" s="45"/>
      <c r="K719" s="45"/>
      <c r="L719" s="45"/>
      <c r="M719" s="45"/>
      <c r="N719" s="45"/>
      <c r="O719" s="45"/>
      <c r="P719" s="45"/>
      <c r="Q719" s="45"/>
      <c r="R719" s="45"/>
      <c r="S719" s="45"/>
      <c r="T719" s="45"/>
      <c r="U719" s="45"/>
      <c r="V719" s="45"/>
      <c r="W719" s="45"/>
      <c r="X719" s="45"/>
      <c r="Y719" s="45"/>
      <c r="Z719" s="45"/>
    </row>
    <row r="720">
      <c r="A720" s="52"/>
      <c r="B720" s="53"/>
      <c r="C720" s="53"/>
      <c r="D720" s="53"/>
      <c r="E720" s="45"/>
      <c r="F720" s="45"/>
      <c r="G720" s="45"/>
      <c r="H720" s="45"/>
      <c r="I720" s="45"/>
      <c r="J720" s="45"/>
      <c r="K720" s="45"/>
      <c r="L720" s="45"/>
      <c r="M720" s="45"/>
      <c r="N720" s="45"/>
      <c r="O720" s="45"/>
      <c r="P720" s="45"/>
      <c r="Q720" s="45"/>
      <c r="R720" s="45"/>
      <c r="S720" s="45"/>
      <c r="T720" s="45"/>
      <c r="U720" s="45"/>
      <c r="V720" s="45"/>
      <c r="W720" s="45"/>
      <c r="X720" s="45"/>
      <c r="Y720" s="45"/>
      <c r="Z720" s="45"/>
    </row>
    <row r="721">
      <c r="A721" s="52"/>
      <c r="B721" s="53"/>
      <c r="C721" s="53"/>
      <c r="D721" s="53"/>
      <c r="E721" s="45"/>
      <c r="F721" s="45"/>
      <c r="G721" s="45"/>
      <c r="H721" s="45"/>
      <c r="I721" s="45"/>
      <c r="J721" s="45"/>
      <c r="K721" s="45"/>
      <c r="L721" s="45"/>
      <c r="M721" s="45"/>
      <c r="N721" s="45"/>
      <c r="O721" s="45"/>
      <c r="P721" s="45"/>
      <c r="Q721" s="45"/>
      <c r="R721" s="45"/>
      <c r="S721" s="45"/>
      <c r="T721" s="45"/>
      <c r="U721" s="45"/>
      <c r="V721" s="45"/>
      <c r="W721" s="45"/>
      <c r="X721" s="45"/>
      <c r="Y721" s="45"/>
      <c r="Z721" s="45"/>
    </row>
    <row r="722">
      <c r="A722" s="52"/>
      <c r="B722" s="53"/>
      <c r="C722" s="53"/>
      <c r="D722" s="53"/>
      <c r="E722" s="45"/>
      <c r="F722" s="45"/>
      <c r="G722" s="45"/>
      <c r="H722" s="45"/>
      <c r="I722" s="45"/>
      <c r="J722" s="45"/>
      <c r="K722" s="45"/>
      <c r="L722" s="45"/>
      <c r="M722" s="45"/>
      <c r="N722" s="45"/>
      <c r="O722" s="45"/>
      <c r="P722" s="45"/>
      <c r="Q722" s="45"/>
      <c r="R722" s="45"/>
      <c r="S722" s="45"/>
      <c r="T722" s="45"/>
      <c r="U722" s="45"/>
      <c r="V722" s="45"/>
      <c r="W722" s="45"/>
      <c r="X722" s="45"/>
      <c r="Y722" s="45"/>
      <c r="Z722" s="45"/>
    </row>
    <row r="723">
      <c r="A723" s="52"/>
      <c r="B723" s="53"/>
      <c r="C723" s="53"/>
      <c r="D723" s="53"/>
      <c r="E723" s="45"/>
      <c r="F723" s="45"/>
      <c r="G723" s="45"/>
      <c r="H723" s="45"/>
      <c r="I723" s="45"/>
      <c r="J723" s="45"/>
      <c r="K723" s="45"/>
      <c r="L723" s="45"/>
      <c r="M723" s="45"/>
      <c r="N723" s="45"/>
      <c r="O723" s="45"/>
      <c r="P723" s="45"/>
      <c r="Q723" s="45"/>
      <c r="R723" s="45"/>
      <c r="S723" s="45"/>
      <c r="T723" s="45"/>
      <c r="U723" s="45"/>
      <c r="V723" s="45"/>
      <c r="W723" s="45"/>
      <c r="X723" s="45"/>
      <c r="Y723" s="45"/>
      <c r="Z723" s="45"/>
    </row>
    <row r="724">
      <c r="A724" s="52"/>
      <c r="B724" s="53"/>
      <c r="C724" s="53"/>
      <c r="D724" s="53"/>
      <c r="E724" s="45"/>
      <c r="F724" s="45"/>
      <c r="G724" s="45"/>
      <c r="H724" s="45"/>
      <c r="I724" s="45"/>
      <c r="J724" s="45"/>
      <c r="K724" s="45"/>
      <c r="L724" s="45"/>
      <c r="M724" s="45"/>
      <c r="N724" s="45"/>
      <c r="O724" s="45"/>
      <c r="P724" s="45"/>
      <c r="Q724" s="45"/>
      <c r="R724" s="45"/>
      <c r="S724" s="45"/>
      <c r="T724" s="45"/>
      <c r="U724" s="45"/>
      <c r="V724" s="45"/>
      <c r="W724" s="45"/>
      <c r="X724" s="45"/>
      <c r="Y724" s="45"/>
      <c r="Z724" s="45"/>
    </row>
    <row r="725">
      <c r="A725" s="52"/>
      <c r="B725" s="53"/>
      <c r="C725" s="53"/>
      <c r="D725" s="53"/>
      <c r="E725" s="45"/>
      <c r="F725" s="45"/>
      <c r="G725" s="45"/>
      <c r="H725" s="45"/>
      <c r="I725" s="45"/>
      <c r="J725" s="45"/>
      <c r="K725" s="45"/>
      <c r="L725" s="45"/>
      <c r="M725" s="45"/>
      <c r="N725" s="45"/>
      <c r="O725" s="45"/>
      <c r="P725" s="45"/>
      <c r="Q725" s="45"/>
      <c r="R725" s="45"/>
      <c r="S725" s="45"/>
      <c r="T725" s="45"/>
      <c r="U725" s="45"/>
      <c r="V725" s="45"/>
      <c r="W725" s="45"/>
      <c r="X725" s="45"/>
      <c r="Y725" s="45"/>
      <c r="Z725" s="45"/>
    </row>
    <row r="726">
      <c r="A726" s="52"/>
      <c r="B726" s="53"/>
      <c r="C726" s="53"/>
      <c r="D726" s="53"/>
      <c r="E726" s="45"/>
      <c r="F726" s="45"/>
      <c r="G726" s="45"/>
      <c r="H726" s="45"/>
      <c r="I726" s="45"/>
      <c r="J726" s="45"/>
      <c r="K726" s="45"/>
      <c r="L726" s="45"/>
      <c r="M726" s="45"/>
      <c r="N726" s="45"/>
      <c r="O726" s="45"/>
      <c r="P726" s="45"/>
      <c r="Q726" s="45"/>
      <c r="R726" s="45"/>
      <c r="S726" s="45"/>
      <c r="T726" s="45"/>
      <c r="U726" s="45"/>
      <c r="V726" s="45"/>
      <c r="W726" s="45"/>
      <c r="X726" s="45"/>
      <c r="Y726" s="45"/>
      <c r="Z726" s="45"/>
    </row>
    <row r="727">
      <c r="A727" s="52"/>
      <c r="B727" s="53"/>
      <c r="C727" s="53"/>
      <c r="D727" s="53"/>
      <c r="E727" s="45"/>
      <c r="F727" s="45"/>
      <c r="G727" s="45"/>
      <c r="H727" s="45"/>
      <c r="I727" s="45"/>
      <c r="J727" s="45"/>
      <c r="K727" s="45"/>
      <c r="L727" s="45"/>
      <c r="M727" s="45"/>
      <c r="N727" s="45"/>
      <c r="O727" s="45"/>
      <c r="P727" s="45"/>
      <c r="Q727" s="45"/>
      <c r="R727" s="45"/>
      <c r="S727" s="45"/>
      <c r="T727" s="45"/>
      <c r="U727" s="45"/>
      <c r="V727" s="45"/>
      <c r="W727" s="45"/>
      <c r="X727" s="45"/>
      <c r="Y727" s="45"/>
      <c r="Z727" s="45"/>
    </row>
    <row r="728">
      <c r="A728" s="52"/>
      <c r="B728" s="53"/>
      <c r="C728" s="53"/>
      <c r="D728" s="53"/>
      <c r="E728" s="45"/>
      <c r="F728" s="45"/>
      <c r="G728" s="45"/>
      <c r="H728" s="45"/>
      <c r="I728" s="45"/>
      <c r="J728" s="45"/>
      <c r="K728" s="45"/>
      <c r="L728" s="45"/>
      <c r="M728" s="45"/>
      <c r="N728" s="45"/>
      <c r="O728" s="45"/>
      <c r="P728" s="45"/>
      <c r="Q728" s="45"/>
      <c r="R728" s="45"/>
      <c r="S728" s="45"/>
      <c r="T728" s="45"/>
      <c r="U728" s="45"/>
      <c r="V728" s="45"/>
      <c r="W728" s="45"/>
      <c r="X728" s="45"/>
      <c r="Y728" s="45"/>
      <c r="Z728" s="45"/>
    </row>
    <row r="729">
      <c r="A729" s="52"/>
      <c r="B729" s="53"/>
      <c r="C729" s="53"/>
      <c r="D729" s="53"/>
      <c r="E729" s="45"/>
      <c r="F729" s="45"/>
      <c r="G729" s="45"/>
      <c r="H729" s="45"/>
      <c r="I729" s="45"/>
      <c r="J729" s="45"/>
      <c r="K729" s="45"/>
      <c r="L729" s="45"/>
      <c r="M729" s="45"/>
      <c r="N729" s="45"/>
      <c r="O729" s="45"/>
      <c r="P729" s="45"/>
      <c r="Q729" s="45"/>
      <c r="R729" s="45"/>
      <c r="S729" s="45"/>
      <c r="T729" s="45"/>
      <c r="U729" s="45"/>
      <c r="V729" s="45"/>
      <c r="W729" s="45"/>
      <c r="X729" s="45"/>
      <c r="Y729" s="45"/>
      <c r="Z729" s="45"/>
    </row>
    <row r="730">
      <c r="A730" s="52"/>
      <c r="B730" s="53"/>
      <c r="C730" s="53"/>
      <c r="D730" s="53"/>
      <c r="E730" s="45"/>
      <c r="F730" s="45"/>
      <c r="G730" s="45"/>
      <c r="H730" s="45"/>
      <c r="I730" s="45"/>
      <c r="J730" s="45"/>
      <c r="K730" s="45"/>
      <c r="L730" s="45"/>
      <c r="M730" s="45"/>
      <c r="N730" s="45"/>
      <c r="O730" s="45"/>
      <c r="P730" s="45"/>
      <c r="Q730" s="45"/>
      <c r="R730" s="45"/>
      <c r="S730" s="45"/>
      <c r="T730" s="45"/>
      <c r="U730" s="45"/>
      <c r="V730" s="45"/>
      <c r="W730" s="45"/>
      <c r="X730" s="45"/>
      <c r="Y730" s="45"/>
      <c r="Z730" s="45"/>
    </row>
    <row r="731">
      <c r="A731" s="52"/>
      <c r="B731" s="53"/>
      <c r="C731" s="53"/>
      <c r="D731" s="53"/>
      <c r="E731" s="45"/>
      <c r="F731" s="45"/>
      <c r="G731" s="45"/>
      <c r="H731" s="45"/>
      <c r="I731" s="45"/>
      <c r="J731" s="45"/>
      <c r="K731" s="45"/>
      <c r="L731" s="45"/>
      <c r="M731" s="45"/>
      <c r="N731" s="45"/>
      <c r="O731" s="45"/>
      <c r="P731" s="45"/>
      <c r="Q731" s="45"/>
      <c r="R731" s="45"/>
      <c r="S731" s="45"/>
      <c r="T731" s="45"/>
      <c r="U731" s="45"/>
      <c r="V731" s="45"/>
      <c r="W731" s="45"/>
      <c r="X731" s="45"/>
      <c r="Y731" s="45"/>
      <c r="Z731" s="45"/>
    </row>
    <row r="732">
      <c r="A732" s="52"/>
      <c r="B732" s="53"/>
      <c r="C732" s="53"/>
      <c r="D732" s="53"/>
      <c r="E732" s="45"/>
      <c r="F732" s="45"/>
      <c r="G732" s="45"/>
      <c r="H732" s="45"/>
      <c r="I732" s="45"/>
      <c r="J732" s="45"/>
      <c r="K732" s="45"/>
      <c r="L732" s="45"/>
      <c r="M732" s="45"/>
      <c r="N732" s="45"/>
      <c r="O732" s="45"/>
      <c r="P732" s="45"/>
      <c r="Q732" s="45"/>
      <c r="R732" s="45"/>
      <c r="S732" s="45"/>
      <c r="T732" s="45"/>
      <c r="U732" s="45"/>
      <c r="V732" s="45"/>
      <c r="W732" s="45"/>
      <c r="X732" s="45"/>
      <c r="Y732" s="45"/>
      <c r="Z732" s="45"/>
    </row>
    <row r="733">
      <c r="A733" s="52"/>
      <c r="B733" s="53"/>
      <c r="C733" s="53"/>
      <c r="D733" s="53"/>
      <c r="E733" s="45"/>
      <c r="F733" s="45"/>
      <c r="G733" s="45"/>
      <c r="H733" s="45"/>
      <c r="I733" s="45"/>
      <c r="J733" s="45"/>
      <c r="K733" s="45"/>
      <c r="L733" s="45"/>
      <c r="M733" s="45"/>
      <c r="N733" s="45"/>
      <c r="O733" s="45"/>
      <c r="P733" s="45"/>
      <c r="Q733" s="45"/>
      <c r="R733" s="45"/>
      <c r="S733" s="45"/>
      <c r="T733" s="45"/>
      <c r="U733" s="45"/>
      <c r="V733" s="45"/>
      <c r="W733" s="45"/>
      <c r="X733" s="45"/>
      <c r="Y733" s="45"/>
      <c r="Z733" s="45"/>
    </row>
    <row r="734">
      <c r="A734" s="52"/>
      <c r="B734" s="53"/>
      <c r="C734" s="53"/>
      <c r="D734" s="53"/>
      <c r="E734" s="45"/>
      <c r="F734" s="45"/>
      <c r="G734" s="45"/>
      <c r="H734" s="45"/>
      <c r="I734" s="45"/>
      <c r="J734" s="45"/>
      <c r="K734" s="45"/>
      <c r="L734" s="45"/>
      <c r="M734" s="45"/>
      <c r="N734" s="45"/>
      <c r="O734" s="45"/>
      <c r="P734" s="45"/>
      <c r="Q734" s="45"/>
      <c r="R734" s="45"/>
      <c r="S734" s="45"/>
      <c r="T734" s="45"/>
      <c r="U734" s="45"/>
      <c r="V734" s="45"/>
      <c r="W734" s="45"/>
      <c r="X734" s="45"/>
      <c r="Y734" s="45"/>
      <c r="Z734" s="45"/>
    </row>
    <row r="735">
      <c r="A735" s="52"/>
      <c r="B735" s="53"/>
      <c r="C735" s="53"/>
      <c r="D735" s="53"/>
      <c r="E735" s="45"/>
      <c r="F735" s="45"/>
      <c r="G735" s="45"/>
      <c r="H735" s="45"/>
      <c r="I735" s="45"/>
      <c r="J735" s="45"/>
      <c r="K735" s="45"/>
      <c r="L735" s="45"/>
      <c r="M735" s="45"/>
      <c r="N735" s="45"/>
      <c r="O735" s="45"/>
      <c r="P735" s="45"/>
      <c r="Q735" s="45"/>
      <c r="R735" s="45"/>
      <c r="S735" s="45"/>
      <c r="T735" s="45"/>
      <c r="U735" s="45"/>
      <c r="V735" s="45"/>
      <c r="W735" s="45"/>
      <c r="X735" s="45"/>
      <c r="Y735" s="45"/>
      <c r="Z735" s="45"/>
    </row>
    <row r="736">
      <c r="A736" s="52"/>
      <c r="B736" s="53"/>
      <c r="C736" s="53"/>
      <c r="D736" s="53"/>
      <c r="E736" s="45"/>
      <c r="F736" s="45"/>
      <c r="G736" s="45"/>
      <c r="H736" s="45"/>
      <c r="I736" s="45"/>
      <c r="J736" s="45"/>
      <c r="K736" s="45"/>
      <c r="L736" s="45"/>
      <c r="M736" s="45"/>
      <c r="N736" s="45"/>
      <c r="O736" s="45"/>
      <c r="P736" s="45"/>
      <c r="Q736" s="45"/>
      <c r="R736" s="45"/>
      <c r="S736" s="45"/>
      <c r="T736" s="45"/>
      <c r="U736" s="45"/>
      <c r="V736" s="45"/>
      <c r="W736" s="45"/>
      <c r="X736" s="45"/>
      <c r="Y736" s="45"/>
      <c r="Z736" s="45"/>
    </row>
    <row r="737">
      <c r="A737" s="52"/>
      <c r="B737" s="53"/>
      <c r="C737" s="53"/>
      <c r="D737" s="53"/>
      <c r="E737" s="45"/>
      <c r="F737" s="45"/>
      <c r="G737" s="45"/>
      <c r="H737" s="45"/>
      <c r="I737" s="45"/>
      <c r="J737" s="45"/>
      <c r="K737" s="45"/>
      <c r="L737" s="45"/>
      <c r="M737" s="45"/>
      <c r="N737" s="45"/>
      <c r="O737" s="45"/>
      <c r="P737" s="45"/>
      <c r="Q737" s="45"/>
      <c r="R737" s="45"/>
      <c r="S737" s="45"/>
      <c r="T737" s="45"/>
      <c r="U737" s="45"/>
      <c r="V737" s="45"/>
      <c r="W737" s="45"/>
      <c r="X737" s="45"/>
      <c r="Y737" s="45"/>
      <c r="Z737" s="45"/>
    </row>
    <row r="738">
      <c r="A738" s="52"/>
      <c r="B738" s="53"/>
      <c r="C738" s="53"/>
      <c r="D738" s="53"/>
      <c r="E738" s="45"/>
      <c r="F738" s="45"/>
      <c r="G738" s="45"/>
      <c r="H738" s="45"/>
      <c r="I738" s="45"/>
      <c r="J738" s="45"/>
      <c r="K738" s="45"/>
      <c r="L738" s="45"/>
      <c r="M738" s="45"/>
      <c r="N738" s="45"/>
      <c r="O738" s="45"/>
      <c r="P738" s="45"/>
      <c r="Q738" s="45"/>
      <c r="R738" s="45"/>
      <c r="S738" s="45"/>
      <c r="T738" s="45"/>
      <c r="U738" s="45"/>
      <c r="V738" s="45"/>
      <c r="W738" s="45"/>
      <c r="X738" s="45"/>
      <c r="Y738" s="45"/>
      <c r="Z738" s="45"/>
    </row>
    <row r="739">
      <c r="A739" s="52"/>
      <c r="B739" s="53"/>
      <c r="C739" s="53"/>
      <c r="D739" s="53"/>
      <c r="E739" s="45"/>
      <c r="F739" s="45"/>
      <c r="G739" s="45"/>
      <c r="H739" s="45"/>
      <c r="I739" s="45"/>
      <c r="J739" s="45"/>
      <c r="K739" s="45"/>
      <c r="L739" s="45"/>
      <c r="M739" s="45"/>
      <c r="N739" s="45"/>
      <c r="O739" s="45"/>
      <c r="P739" s="45"/>
      <c r="Q739" s="45"/>
      <c r="R739" s="45"/>
      <c r="S739" s="45"/>
      <c r="T739" s="45"/>
      <c r="U739" s="45"/>
      <c r="V739" s="45"/>
      <c r="W739" s="45"/>
      <c r="X739" s="45"/>
      <c r="Y739" s="45"/>
      <c r="Z739" s="45"/>
    </row>
    <row r="740">
      <c r="A740" s="52"/>
      <c r="B740" s="53"/>
      <c r="C740" s="53"/>
      <c r="D740" s="53"/>
      <c r="E740" s="45"/>
      <c r="F740" s="45"/>
      <c r="G740" s="45"/>
      <c r="H740" s="45"/>
      <c r="I740" s="45"/>
      <c r="J740" s="45"/>
      <c r="K740" s="45"/>
      <c r="L740" s="45"/>
      <c r="M740" s="45"/>
      <c r="N740" s="45"/>
      <c r="O740" s="45"/>
      <c r="P740" s="45"/>
      <c r="Q740" s="45"/>
      <c r="R740" s="45"/>
      <c r="S740" s="45"/>
      <c r="T740" s="45"/>
      <c r="U740" s="45"/>
      <c r="V740" s="45"/>
      <c r="W740" s="45"/>
      <c r="X740" s="45"/>
      <c r="Y740" s="45"/>
      <c r="Z740" s="45"/>
    </row>
    <row r="741">
      <c r="A741" s="52"/>
      <c r="B741" s="53"/>
      <c r="C741" s="53"/>
      <c r="D741" s="53"/>
      <c r="E741" s="45"/>
      <c r="F741" s="45"/>
      <c r="G741" s="45"/>
      <c r="H741" s="45"/>
      <c r="I741" s="45"/>
      <c r="J741" s="45"/>
      <c r="K741" s="45"/>
      <c r="L741" s="45"/>
      <c r="M741" s="45"/>
      <c r="N741" s="45"/>
      <c r="O741" s="45"/>
      <c r="P741" s="45"/>
      <c r="Q741" s="45"/>
      <c r="R741" s="45"/>
      <c r="S741" s="45"/>
      <c r="T741" s="45"/>
      <c r="U741" s="45"/>
      <c r="V741" s="45"/>
      <c r="W741" s="45"/>
      <c r="X741" s="45"/>
      <c r="Y741" s="45"/>
      <c r="Z741" s="45"/>
    </row>
    <row r="742">
      <c r="A742" s="52"/>
      <c r="B742" s="53"/>
      <c r="C742" s="53"/>
      <c r="D742" s="53"/>
      <c r="E742" s="45"/>
      <c r="F742" s="45"/>
      <c r="G742" s="45"/>
      <c r="H742" s="45"/>
      <c r="I742" s="45"/>
      <c r="J742" s="45"/>
      <c r="K742" s="45"/>
      <c r="L742" s="45"/>
      <c r="M742" s="45"/>
      <c r="N742" s="45"/>
      <c r="O742" s="45"/>
      <c r="P742" s="45"/>
      <c r="Q742" s="45"/>
      <c r="R742" s="45"/>
      <c r="S742" s="45"/>
      <c r="T742" s="45"/>
      <c r="U742" s="45"/>
      <c r="V742" s="45"/>
      <c r="W742" s="45"/>
      <c r="X742" s="45"/>
      <c r="Y742" s="45"/>
      <c r="Z742" s="45"/>
    </row>
    <row r="743">
      <c r="A743" s="52"/>
      <c r="B743" s="53"/>
      <c r="C743" s="53"/>
      <c r="D743" s="53"/>
      <c r="E743" s="45"/>
      <c r="F743" s="45"/>
      <c r="G743" s="45"/>
      <c r="H743" s="45"/>
      <c r="I743" s="45"/>
      <c r="J743" s="45"/>
      <c r="K743" s="45"/>
      <c r="L743" s="45"/>
      <c r="M743" s="45"/>
      <c r="N743" s="45"/>
      <c r="O743" s="45"/>
      <c r="P743" s="45"/>
      <c r="Q743" s="45"/>
      <c r="R743" s="45"/>
      <c r="S743" s="45"/>
      <c r="T743" s="45"/>
      <c r="U743" s="45"/>
      <c r="V743" s="45"/>
      <c r="W743" s="45"/>
      <c r="X743" s="45"/>
      <c r="Y743" s="45"/>
      <c r="Z743" s="45"/>
    </row>
    <row r="744">
      <c r="A744" s="52"/>
      <c r="B744" s="53"/>
      <c r="C744" s="53"/>
      <c r="D744" s="53"/>
      <c r="E744" s="45"/>
      <c r="F744" s="45"/>
      <c r="G744" s="45"/>
      <c r="H744" s="45"/>
      <c r="I744" s="45"/>
      <c r="J744" s="45"/>
      <c r="K744" s="45"/>
      <c r="L744" s="45"/>
      <c r="M744" s="45"/>
      <c r="N744" s="45"/>
      <c r="O744" s="45"/>
      <c r="P744" s="45"/>
      <c r="Q744" s="45"/>
      <c r="R744" s="45"/>
      <c r="S744" s="45"/>
      <c r="T744" s="45"/>
      <c r="U744" s="45"/>
      <c r="V744" s="45"/>
      <c r="W744" s="45"/>
      <c r="X744" s="45"/>
      <c r="Y744" s="45"/>
      <c r="Z744" s="45"/>
    </row>
    <row r="745">
      <c r="A745" s="52"/>
      <c r="B745" s="53"/>
      <c r="C745" s="53"/>
      <c r="D745" s="53"/>
      <c r="E745" s="45"/>
      <c r="F745" s="45"/>
      <c r="G745" s="45"/>
      <c r="H745" s="45"/>
      <c r="I745" s="45"/>
      <c r="J745" s="45"/>
      <c r="K745" s="45"/>
      <c r="L745" s="45"/>
      <c r="M745" s="45"/>
      <c r="N745" s="45"/>
      <c r="O745" s="45"/>
      <c r="P745" s="45"/>
      <c r="Q745" s="45"/>
      <c r="R745" s="45"/>
      <c r="S745" s="45"/>
      <c r="T745" s="45"/>
      <c r="U745" s="45"/>
      <c r="V745" s="45"/>
      <c r="W745" s="45"/>
      <c r="X745" s="45"/>
      <c r="Y745" s="45"/>
      <c r="Z745" s="45"/>
    </row>
    <row r="746">
      <c r="A746" s="52"/>
      <c r="B746" s="53"/>
      <c r="C746" s="53"/>
      <c r="D746" s="53"/>
      <c r="E746" s="45"/>
      <c r="F746" s="45"/>
      <c r="G746" s="45"/>
      <c r="H746" s="45"/>
      <c r="I746" s="45"/>
      <c r="J746" s="45"/>
      <c r="K746" s="45"/>
      <c r="L746" s="45"/>
      <c r="M746" s="45"/>
      <c r="N746" s="45"/>
      <c r="O746" s="45"/>
      <c r="P746" s="45"/>
      <c r="Q746" s="45"/>
      <c r="R746" s="45"/>
      <c r="S746" s="45"/>
      <c r="T746" s="45"/>
      <c r="U746" s="45"/>
      <c r="V746" s="45"/>
      <c r="W746" s="45"/>
      <c r="X746" s="45"/>
      <c r="Y746" s="45"/>
      <c r="Z746" s="45"/>
    </row>
    <row r="747">
      <c r="A747" s="52"/>
      <c r="B747" s="53"/>
      <c r="C747" s="53"/>
      <c r="D747" s="53"/>
      <c r="E747" s="45"/>
      <c r="F747" s="45"/>
      <c r="G747" s="45"/>
      <c r="H747" s="45"/>
      <c r="I747" s="45"/>
      <c r="J747" s="45"/>
      <c r="K747" s="45"/>
      <c r="L747" s="45"/>
      <c r="M747" s="45"/>
      <c r="N747" s="45"/>
      <c r="O747" s="45"/>
      <c r="P747" s="45"/>
      <c r="Q747" s="45"/>
      <c r="R747" s="45"/>
      <c r="S747" s="45"/>
      <c r="T747" s="45"/>
      <c r="U747" s="45"/>
      <c r="V747" s="45"/>
      <c r="W747" s="45"/>
      <c r="X747" s="45"/>
      <c r="Y747" s="45"/>
      <c r="Z747" s="45"/>
    </row>
    <row r="748">
      <c r="A748" s="52"/>
      <c r="B748" s="53"/>
      <c r="C748" s="53"/>
      <c r="D748" s="53"/>
      <c r="E748" s="45"/>
      <c r="F748" s="45"/>
      <c r="G748" s="45"/>
      <c r="H748" s="45"/>
      <c r="I748" s="45"/>
      <c r="J748" s="45"/>
      <c r="K748" s="45"/>
      <c r="L748" s="45"/>
      <c r="M748" s="45"/>
      <c r="N748" s="45"/>
      <c r="O748" s="45"/>
      <c r="P748" s="45"/>
      <c r="Q748" s="45"/>
      <c r="R748" s="45"/>
      <c r="S748" s="45"/>
      <c r="T748" s="45"/>
      <c r="U748" s="45"/>
      <c r="V748" s="45"/>
      <c r="W748" s="45"/>
      <c r="X748" s="45"/>
      <c r="Y748" s="45"/>
      <c r="Z748" s="45"/>
    </row>
    <row r="749">
      <c r="A749" s="52"/>
      <c r="B749" s="53"/>
      <c r="C749" s="53"/>
      <c r="D749" s="53"/>
      <c r="E749" s="45"/>
      <c r="F749" s="45"/>
      <c r="G749" s="45"/>
      <c r="H749" s="45"/>
      <c r="I749" s="45"/>
      <c r="J749" s="45"/>
      <c r="K749" s="45"/>
      <c r="L749" s="45"/>
      <c r="M749" s="45"/>
      <c r="N749" s="45"/>
      <c r="O749" s="45"/>
      <c r="P749" s="45"/>
      <c r="Q749" s="45"/>
      <c r="R749" s="45"/>
      <c r="S749" s="45"/>
      <c r="T749" s="45"/>
      <c r="U749" s="45"/>
      <c r="V749" s="45"/>
      <c r="W749" s="45"/>
      <c r="X749" s="45"/>
      <c r="Y749" s="45"/>
      <c r="Z749" s="45"/>
    </row>
    <row r="750">
      <c r="A750" s="52"/>
      <c r="B750" s="53"/>
      <c r="C750" s="53"/>
      <c r="D750" s="53"/>
      <c r="E750" s="45"/>
      <c r="F750" s="45"/>
      <c r="G750" s="45"/>
      <c r="H750" s="45"/>
      <c r="I750" s="45"/>
      <c r="J750" s="45"/>
      <c r="K750" s="45"/>
      <c r="L750" s="45"/>
      <c r="M750" s="45"/>
      <c r="N750" s="45"/>
      <c r="O750" s="45"/>
      <c r="P750" s="45"/>
      <c r="Q750" s="45"/>
      <c r="R750" s="45"/>
      <c r="S750" s="45"/>
      <c r="T750" s="45"/>
      <c r="U750" s="45"/>
      <c r="V750" s="45"/>
      <c r="W750" s="45"/>
      <c r="X750" s="45"/>
      <c r="Y750" s="45"/>
      <c r="Z750" s="45"/>
    </row>
    <row r="751">
      <c r="A751" s="52"/>
      <c r="B751" s="53"/>
      <c r="C751" s="53"/>
      <c r="D751" s="53"/>
      <c r="E751" s="45"/>
      <c r="F751" s="45"/>
      <c r="G751" s="45"/>
      <c r="H751" s="45"/>
      <c r="I751" s="45"/>
      <c r="J751" s="45"/>
      <c r="K751" s="45"/>
      <c r="L751" s="45"/>
      <c r="M751" s="45"/>
      <c r="N751" s="45"/>
      <c r="O751" s="45"/>
      <c r="P751" s="45"/>
      <c r="Q751" s="45"/>
      <c r="R751" s="45"/>
      <c r="S751" s="45"/>
      <c r="T751" s="45"/>
      <c r="U751" s="45"/>
      <c r="V751" s="45"/>
      <c r="W751" s="45"/>
      <c r="X751" s="45"/>
      <c r="Y751" s="45"/>
      <c r="Z751" s="45"/>
    </row>
    <row r="752">
      <c r="A752" s="52"/>
      <c r="B752" s="53"/>
      <c r="C752" s="53"/>
      <c r="D752" s="53"/>
      <c r="E752" s="45"/>
      <c r="F752" s="45"/>
      <c r="G752" s="45"/>
      <c r="H752" s="45"/>
      <c r="I752" s="45"/>
      <c r="J752" s="45"/>
      <c r="K752" s="45"/>
      <c r="L752" s="45"/>
      <c r="M752" s="45"/>
      <c r="N752" s="45"/>
      <c r="O752" s="45"/>
      <c r="P752" s="45"/>
      <c r="Q752" s="45"/>
      <c r="R752" s="45"/>
      <c r="S752" s="45"/>
      <c r="T752" s="45"/>
      <c r="U752" s="45"/>
      <c r="V752" s="45"/>
      <c r="W752" s="45"/>
      <c r="X752" s="45"/>
      <c r="Y752" s="45"/>
      <c r="Z752" s="45"/>
    </row>
    <row r="753">
      <c r="A753" s="52"/>
      <c r="B753" s="53"/>
      <c r="C753" s="53"/>
      <c r="D753" s="53"/>
      <c r="E753" s="45"/>
      <c r="F753" s="45"/>
      <c r="G753" s="45"/>
      <c r="H753" s="45"/>
      <c r="I753" s="45"/>
      <c r="J753" s="45"/>
      <c r="K753" s="45"/>
      <c r="L753" s="45"/>
      <c r="M753" s="45"/>
      <c r="N753" s="45"/>
      <c r="O753" s="45"/>
      <c r="P753" s="45"/>
      <c r="Q753" s="45"/>
      <c r="R753" s="45"/>
      <c r="S753" s="45"/>
      <c r="T753" s="45"/>
      <c r="U753" s="45"/>
      <c r="V753" s="45"/>
      <c r="W753" s="45"/>
      <c r="X753" s="45"/>
      <c r="Y753" s="45"/>
      <c r="Z753" s="45"/>
    </row>
    <row r="754">
      <c r="A754" s="52"/>
      <c r="B754" s="53"/>
      <c r="C754" s="53"/>
      <c r="D754" s="53"/>
      <c r="E754" s="45"/>
      <c r="F754" s="45"/>
      <c r="G754" s="45"/>
      <c r="H754" s="45"/>
      <c r="I754" s="45"/>
      <c r="J754" s="45"/>
      <c r="K754" s="45"/>
      <c r="L754" s="45"/>
      <c r="M754" s="45"/>
      <c r="N754" s="45"/>
      <c r="O754" s="45"/>
      <c r="P754" s="45"/>
      <c r="Q754" s="45"/>
      <c r="R754" s="45"/>
      <c r="S754" s="45"/>
      <c r="T754" s="45"/>
      <c r="U754" s="45"/>
      <c r="V754" s="45"/>
      <c r="W754" s="45"/>
      <c r="X754" s="45"/>
      <c r="Y754" s="45"/>
      <c r="Z754" s="45"/>
    </row>
    <row r="755">
      <c r="A755" s="52"/>
      <c r="B755" s="53"/>
      <c r="C755" s="53"/>
      <c r="D755" s="53"/>
      <c r="E755" s="45"/>
      <c r="F755" s="45"/>
      <c r="G755" s="45"/>
      <c r="H755" s="45"/>
      <c r="I755" s="45"/>
      <c r="J755" s="45"/>
      <c r="K755" s="45"/>
      <c r="L755" s="45"/>
      <c r="M755" s="45"/>
      <c r="N755" s="45"/>
      <c r="O755" s="45"/>
      <c r="P755" s="45"/>
      <c r="Q755" s="45"/>
      <c r="R755" s="45"/>
      <c r="S755" s="45"/>
      <c r="T755" s="45"/>
      <c r="U755" s="45"/>
      <c r="V755" s="45"/>
      <c r="W755" s="45"/>
      <c r="X755" s="45"/>
      <c r="Y755" s="45"/>
      <c r="Z755" s="45"/>
    </row>
    <row r="756">
      <c r="A756" s="52"/>
      <c r="B756" s="53"/>
      <c r="C756" s="53"/>
      <c r="D756" s="53"/>
      <c r="E756" s="45"/>
      <c r="F756" s="45"/>
      <c r="G756" s="45"/>
      <c r="H756" s="45"/>
      <c r="I756" s="45"/>
      <c r="J756" s="45"/>
      <c r="K756" s="45"/>
      <c r="L756" s="45"/>
      <c r="M756" s="45"/>
      <c r="N756" s="45"/>
      <c r="O756" s="45"/>
      <c r="P756" s="45"/>
      <c r="Q756" s="45"/>
      <c r="R756" s="45"/>
      <c r="S756" s="45"/>
      <c r="T756" s="45"/>
      <c r="U756" s="45"/>
      <c r="V756" s="45"/>
      <c r="W756" s="45"/>
      <c r="X756" s="45"/>
      <c r="Y756" s="45"/>
      <c r="Z756" s="45"/>
    </row>
    <row r="757">
      <c r="A757" s="52"/>
      <c r="B757" s="53"/>
      <c r="C757" s="53"/>
      <c r="D757" s="53"/>
      <c r="E757" s="45"/>
      <c r="F757" s="45"/>
      <c r="G757" s="45"/>
      <c r="H757" s="45"/>
      <c r="I757" s="45"/>
      <c r="J757" s="45"/>
      <c r="K757" s="45"/>
      <c r="L757" s="45"/>
      <c r="M757" s="45"/>
      <c r="N757" s="45"/>
      <c r="O757" s="45"/>
      <c r="P757" s="45"/>
      <c r="Q757" s="45"/>
      <c r="R757" s="45"/>
      <c r="S757" s="45"/>
      <c r="T757" s="45"/>
      <c r="U757" s="45"/>
      <c r="V757" s="45"/>
      <c r="W757" s="45"/>
      <c r="X757" s="45"/>
      <c r="Y757" s="45"/>
      <c r="Z757" s="45"/>
    </row>
    <row r="758">
      <c r="A758" s="52"/>
      <c r="B758" s="53"/>
      <c r="C758" s="53"/>
      <c r="D758" s="53"/>
      <c r="E758" s="45"/>
      <c r="F758" s="45"/>
      <c r="G758" s="45"/>
      <c r="H758" s="45"/>
      <c r="I758" s="45"/>
      <c r="J758" s="45"/>
      <c r="K758" s="45"/>
      <c r="L758" s="45"/>
      <c r="M758" s="45"/>
      <c r="N758" s="45"/>
      <c r="O758" s="45"/>
      <c r="P758" s="45"/>
      <c r="Q758" s="45"/>
      <c r="R758" s="45"/>
      <c r="S758" s="45"/>
      <c r="T758" s="45"/>
      <c r="U758" s="45"/>
      <c r="V758" s="45"/>
      <c r="W758" s="45"/>
      <c r="X758" s="45"/>
      <c r="Y758" s="45"/>
      <c r="Z758" s="45"/>
    </row>
    <row r="759">
      <c r="A759" s="52"/>
      <c r="B759" s="53"/>
      <c r="C759" s="53"/>
      <c r="D759" s="53"/>
      <c r="E759" s="45"/>
      <c r="F759" s="45"/>
      <c r="G759" s="45"/>
      <c r="H759" s="45"/>
      <c r="I759" s="45"/>
      <c r="J759" s="45"/>
      <c r="K759" s="45"/>
      <c r="L759" s="45"/>
      <c r="M759" s="45"/>
      <c r="N759" s="45"/>
      <c r="O759" s="45"/>
      <c r="P759" s="45"/>
      <c r="Q759" s="45"/>
      <c r="R759" s="45"/>
      <c r="S759" s="45"/>
      <c r="T759" s="45"/>
      <c r="U759" s="45"/>
      <c r="V759" s="45"/>
      <c r="W759" s="45"/>
      <c r="X759" s="45"/>
      <c r="Y759" s="45"/>
      <c r="Z759" s="45"/>
    </row>
    <row r="760">
      <c r="A760" s="52"/>
      <c r="B760" s="53"/>
      <c r="C760" s="53"/>
      <c r="D760" s="53"/>
      <c r="E760" s="45"/>
      <c r="F760" s="45"/>
      <c r="G760" s="45"/>
      <c r="H760" s="45"/>
      <c r="I760" s="45"/>
      <c r="J760" s="45"/>
      <c r="K760" s="45"/>
      <c r="L760" s="45"/>
      <c r="M760" s="45"/>
      <c r="N760" s="45"/>
      <c r="O760" s="45"/>
      <c r="P760" s="45"/>
      <c r="Q760" s="45"/>
      <c r="R760" s="45"/>
      <c r="S760" s="45"/>
      <c r="T760" s="45"/>
      <c r="U760" s="45"/>
      <c r="V760" s="45"/>
      <c r="W760" s="45"/>
      <c r="X760" s="45"/>
      <c r="Y760" s="45"/>
      <c r="Z760" s="45"/>
    </row>
    <row r="761">
      <c r="A761" s="52"/>
      <c r="B761" s="53"/>
      <c r="C761" s="53"/>
      <c r="D761" s="53"/>
      <c r="E761" s="45"/>
      <c r="F761" s="45"/>
      <c r="G761" s="45"/>
      <c r="H761" s="45"/>
      <c r="I761" s="45"/>
      <c r="J761" s="45"/>
      <c r="K761" s="45"/>
      <c r="L761" s="45"/>
      <c r="M761" s="45"/>
      <c r="N761" s="45"/>
      <c r="O761" s="45"/>
      <c r="P761" s="45"/>
      <c r="Q761" s="45"/>
      <c r="R761" s="45"/>
      <c r="S761" s="45"/>
      <c r="T761" s="45"/>
      <c r="U761" s="45"/>
      <c r="V761" s="45"/>
      <c r="W761" s="45"/>
      <c r="X761" s="45"/>
      <c r="Y761" s="45"/>
      <c r="Z761" s="45"/>
    </row>
    <row r="762">
      <c r="A762" s="52"/>
      <c r="B762" s="53"/>
      <c r="C762" s="53"/>
      <c r="D762" s="53"/>
      <c r="E762" s="45"/>
      <c r="F762" s="45"/>
      <c r="G762" s="45"/>
      <c r="H762" s="45"/>
      <c r="I762" s="45"/>
      <c r="J762" s="45"/>
      <c r="K762" s="45"/>
      <c r="L762" s="45"/>
      <c r="M762" s="45"/>
      <c r="N762" s="45"/>
      <c r="O762" s="45"/>
      <c r="P762" s="45"/>
      <c r="Q762" s="45"/>
      <c r="R762" s="45"/>
      <c r="S762" s="45"/>
      <c r="T762" s="45"/>
      <c r="U762" s="45"/>
      <c r="V762" s="45"/>
      <c r="W762" s="45"/>
      <c r="X762" s="45"/>
      <c r="Y762" s="45"/>
      <c r="Z762" s="45"/>
    </row>
    <row r="763">
      <c r="A763" s="52"/>
      <c r="B763" s="53"/>
      <c r="C763" s="53"/>
      <c r="D763" s="53"/>
      <c r="E763" s="45"/>
      <c r="F763" s="45"/>
      <c r="G763" s="45"/>
      <c r="H763" s="45"/>
      <c r="I763" s="45"/>
      <c r="J763" s="45"/>
      <c r="K763" s="45"/>
      <c r="L763" s="45"/>
      <c r="M763" s="45"/>
      <c r="N763" s="45"/>
      <c r="O763" s="45"/>
      <c r="P763" s="45"/>
      <c r="Q763" s="45"/>
      <c r="R763" s="45"/>
      <c r="S763" s="45"/>
      <c r="T763" s="45"/>
      <c r="U763" s="45"/>
      <c r="V763" s="45"/>
      <c r="W763" s="45"/>
      <c r="X763" s="45"/>
      <c r="Y763" s="45"/>
      <c r="Z763" s="45"/>
    </row>
    <row r="764">
      <c r="A764" s="52"/>
      <c r="B764" s="53"/>
      <c r="C764" s="53"/>
      <c r="D764" s="53"/>
      <c r="E764" s="45"/>
      <c r="F764" s="45"/>
      <c r="G764" s="45"/>
      <c r="H764" s="45"/>
      <c r="I764" s="45"/>
      <c r="J764" s="45"/>
      <c r="K764" s="45"/>
      <c r="L764" s="45"/>
      <c r="M764" s="45"/>
      <c r="N764" s="45"/>
      <c r="O764" s="45"/>
      <c r="P764" s="45"/>
      <c r="Q764" s="45"/>
      <c r="R764" s="45"/>
      <c r="S764" s="45"/>
      <c r="T764" s="45"/>
      <c r="U764" s="45"/>
      <c r="V764" s="45"/>
      <c r="W764" s="45"/>
      <c r="X764" s="45"/>
      <c r="Y764" s="45"/>
      <c r="Z764" s="45"/>
    </row>
    <row r="765">
      <c r="A765" s="52"/>
      <c r="B765" s="53"/>
      <c r="C765" s="53"/>
      <c r="D765" s="53"/>
      <c r="E765" s="45"/>
      <c r="F765" s="45"/>
      <c r="G765" s="45"/>
      <c r="H765" s="45"/>
      <c r="I765" s="45"/>
      <c r="J765" s="45"/>
      <c r="K765" s="45"/>
      <c r="L765" s="45"/>
      <c r="M765" s="45"/>
      <c r="N765" s="45"/>
      <c r="O765" s="45"/>
      <c r="P765" s="45"/>
      <c r="Q765" s="45"/>
      <c r="R765" s="45"/>
      <c r="S765" s="45"/>
      <c r="T765" s="45"/>
      <c r="U765" s="45"/>
      <c r="V765" s="45"/>
      <c r="W765" s="45"/>
      <c r="X765" s="45"/>
      <c r="Y765" s="45"/>
      <c r="Z765" s="45"/>
    </row>
    <row r="766">
      <c r="A766" s="52"/>
      <c r="B766" s="53"/>
      <c r="C766" s="53"/>
      <c r="D766" s="53"/>
      <c r="E766" s="45"/>
      <c r="F766" s="45"/>
      <c r="G766" s="45"/>
      <c r="H766" s="45"/>
      <c r="I766" s="45"/>
      <c r="J766" s="45"/>
      <c r="K766" s="45"/>
      <c r="L766" s="45"/>
      <c r="M766" s="45"/>
      <c r="N766" s="45"/>
      <c r="O766" s="45"/>
      <c r="P766" s="45"/>
      <c r="Q766" s="45"/>
      <c r="R766" s="45"/>
      <c r="S766" s="45"/>
      <c r="T766" s="45"/>
      <c r="U766" s="45"/>
      <c r="V766" s="45"/>
      <c r="W766" s="45"/>
      <c r="X766" s="45"/>
      <c r="Y766" s="45"/>
      <c r="Z766" s="45"/>
    </row>
    <row r="767">
      <c r="A767" s="52"/>
      <c r="B767" s="53"/>
      <c r="C767" s="53"/>
      <c r="D767" s="53"/>
      <c r="E767" s="45"/>
      <c r="F767" s="45"/>
      <c r="G767" s="45"/>
      <c r="H767" s="45"/>
      <c r="I767" s="45"/>
      <c r="J767" s="45"/>
      <c r="K767" s="45"/>
      <c r="L767" s="45"/>
      <c r="M767" s="45"/>
      <c r="N767" s="45"/>
      <c r="O767" s="45"/>
      <c r="P767" s="45"/>
      <c r="Q767" s="45"/>
      <c r="R767" s="45"/>
      <c r="S767" s="45"/>
      <c r="T767" s="45"/>
      <c r="U767" s="45"/>
      <c r="V767" s="45"/>
      <c r="W767" s="45"/>
      <c r="X767" s="45"/>
      <c r="Y767" s="45"/>
      <c r="Z767" s="45"/>
    </row>
    <row r="768">
      <c r="A768" s="52"/>
      <c r="B768" s="53"/>
      <c r="C768" s="53"/>
      <c r="D768" s="53"/>
      <c r="E768" s="45"/>
      <c r="F768" s="45"/>
      <c r="G768" s="45"/>
      <c r="H768" s="45"/>
      <c r="I768" s="45"/>
      <c r="J768" s="45"/>
      <c r="K768" s="45"/>
      <c r="L768" s="45"/>
      <c r="M768" s="45"/>
      <c r="N768" s="45"/>
      <c r="O768" s="45"/>
      <c r="P768" s="45"/>
      <c r="Q768" s="45"/>
      <c r="R768" s="45"/>
      <c r="S768" s="45"/>
      <c r="T768" s="45"/>
      <c r="U768" s="45"/>
      <c r="V768" s="45"/>
      <c r="W768" s="45"/>
      <c r="X768" s="45"/>
      <c r="Y768" s="45"/>
      <c r="Z768" s="45"/>
    </row>
    <row r="769">
      <c r="A769" s="52"/>
      <c r="B769" s="53"/>
      <c r="C769" s="53"/>
      <c r="D769" s="53"/>
      <c r="E769" s="45"/>
      <c r="F769" s="45"/>
      <c r="G769" s="45"/>
      <c r="H769" s="45"/>
      <c r="I769" s="45"/>
      <c r="J769" s="45"/>
      <c r="K769" s="45"/>
      <c r="L769" s="45"/>
      <c r="M769" s="45"/>
      <c r="N769" s="45"/>
      <c r="O769" s="45"/>
      <c r="P769" s="45"/>
      <c r="Q769" s="45"/>
      <c r="R769" s="45"/>
      <c r="S769" s="45"/>
      <c r="T769" s="45"/>
      <c r="U769" s="45"/>
      <c r="V769" s="45"/>
      <c r="W769" s="45"/>
      <c r="X769" s="45"/>
      <c r="Y769" s="45"/>
      <c r="Z769" s="45"/>
    </row>
    <row r="770">
      <c r="A770" s="52"/>
      <c r="B770" s="53"/>
      <c r="C770" s="53"/>
      <c r="D770" s="53"/>
      <c r="E770" s="45"/>
      <c r="F770" s="45"/>
      <c r="G770" s="45"/>
      <c r="H770" s="45"/>
      <c r="I770" s="45"/>
      <c r="J770" s="45"/>
      <c r="K770" s="45"/>
      <c r="L770" s="45"/>
      <c r="M770" s="45"/>
      <c r="N770" s="45"/>
      <c r="O770" s="45"/>
      <c r="P770" s="45"/>
      <c r="Q770" s="45"/>
      <c r="R770" s="45"/>
      <c r="S770" s="45"/>
      <c r="T770" s="45"/>
      <c r="U770" s="45"/>
      <c r="V770" s="45"/>
      <c r="W770" s="45"/>
      <c r="X770" s="45"/>
      <c r="Y770" s="45"/>
      <c r="Z770" s="45"/>
    </row>
    <row r="771">
      <c r="A771" s="52"/>
      <c r="B771" s="53"/>
      <c r="C771" s="53"/>
      <c r="D771" s="53"/>
      <c r="E771" s="45"/>
      <c r="F771" s="45"/>
      <c r="G771" s="45"/>
      <c r="H771" s="45"/>
      <c r="I771" s="45"/>
      <c r="J771" s="45"/>
      <c r="K771" s="45"/>
      <c r="L771" s="45"/>
      <c r="M771" s="45"/>
      <c r="N771" s="45"/>
      <c r="O771" s="45"/>
      <c r="P771" s="45"/>
      <c r="Q771" s="45"/>
      <c r="R771" s="45"/>
      <c r="S771" s="45"/>
      <c r="T771" s="45"/>
      <c r="U771" s="45"/>
      <c r="V771" s="45"/>
      <c r="W771" s="45"/>
      <c r="X771" s="45"/>
      <c r="Y771" s="45"/>
      <c r="Z771" s="45"/>
    </row>
    <row r="772">
      <c r="A772" s="52"/>
      <c r="B772" s="53"/>
      <c r="C772" s="53"/>
      <c r="D772" s="53"/>
      <c r="E772" s="45"/>
      <c r="F772" s="45"/>
      <c r="G772" s="45"/>
      <c r="H772" s="45"/>
      <c r="I772" s="45"/>
      <c r="J772" s="45"/>
      <c r="K772" s="45"/>
      <c r="L772" s="45"/>
      <c r="M772" s="45"/>
      <c r="N772" s="45"/>
      <c r="O772" s="45"/>
      <c r="P772" s="45"/>
      <c r="Q772" s="45"/>
      <c r="R772" s="45"/>
      <c r="S772" s="45"/>
      <c r="T772" s="45"/>
      <c r="U772" s="45"/>
      <c r="V772" s="45"/>
      <c r="W772" s="45"/>
      <c r="X772" s="45"/>
      <c r="Y772" s="45"/>
      <c r="Z772" s="45"/>
    </row>
    <row r="773">
      <c r="A773" s="52"/>
      <c r="B773" s="53"/>
      <c r="C773" s="53"/>
      <c r="D773" s="53"/>
      <c r="E773" s="45"/>
      <c r="F773" s="45"/>
      <c r="G773" s="45"/>
      <c r="H773" s="45"/>
      <c r="I773" s="45"/>
      <c r="J773" s="45"/>
      <c r="K773" s="45"/>
      <c r="L773" s="45"/>
      <c r="M773" s="45"/>
      <c r="N773" s="45"/>
      <c r="O773" s="45"/>
      <c r="P773" s="45"/>
      <c r="Q773" s="45"/>
      <c r="R773" s="45"/>
      <c r="S773" s="45"/>
      <c r="T773" s="45"/>
      <c r="U773" s="45"/>
      <c r="V773" s="45"/>
      <c r="W773" s="45"/>
      <c r="X773" s="45"/>
      <c r="Y773" s="45"/>
      <c r="Z773" s="45"/>
    </row>
    <row r="774">
      <c r="A774" s="52"/>
      <c r="B774" s="53"/>
      <c r="C774" s="53"/>
      <c r="D774" s="53"/>
      <c r="E774" s="45"/>
      <c r="F774" s="45"/>
      <c r="G774" s="45"/>
      <c r="H774" s="45"/>
      <c r="I774" s="45"/>
      <c r="J774" s="45"/>
      <c r="K774" s="45"/>
      <c r="L774" s="45"/>
      <c r="M774" s="45"/>
      <c r="N774" s="45"/>
      <c r="O774" s="45"/>
      <c r="P774" s="45"/>
      <c r="Q774" s="45"/>
      <c r="R774" s="45"/>
      <c r="S774" s="45"/>
      <c r="T774" s="45"/>
      <c r="U774" s="45"/>
      <c r="V774" s="45"/>
      <c r="W774" s="45"/>
      <c r="X774" s="45"/>
      <c r="Y774" s="45"/>
      <c r="Z774" s="45"/>
    </row>
    <row r="775">
      <c r="A775" s="52"/>
      <c r="B775" s="53"/>
      <c r="C775" s="53"/>
      <c r="D775" s="53"/>
      <c r="E775" s="45"/>
      <c r="F775" s="45"/>
      <c r="G775" s="45"/>
      <c r="H775" s="45"/>
      <c r="I775" s="45"/>
      <c r="J775" s="45"/>
      <c r="K775" s="45"/>
      <c r="L775" s="45"/>
      <c r="M775" s="45"/>
      <c r="N775" s="45"/>
      <c r="O775" s="45"/>
      <c r="P775" s="45"/>
      <c r="Q775" s="45"/>
      <c r="R775" s="45"/>
      <c r="S775" s="45"/>
      <c r="T775" s="45"/>
      <c r="U775" s="45"/>
      <c r="V775" s="45"/>
      <c r="W775" s="45"/>
      <c r="X775" s="45"/>
      <c r="Y775" s="45"/>
      <c r="Z775" s="45"/>
    </row>
    <row r="776">
      <c r="A776" s="52"/>
      <c r="B776" s="53"/>
      <c r="C776" s="53"/>
      <c r="D776" s="53"/>
      <c r="E776" s="45"/>
      <c r="F776" s="45"/>
      <c r="G776" s="45"/>
      <c r="H776" s="45"/>
      <c r="I776" s="45"/>
      <c r="J776" s="45"/>
      <c r="K776" s="45"/>
      <c r="L776" s="45"/>
      <c r="M776" s="45"/>
      <c r="N776" s="45"/>
      <c r="O776" s="45"/>
      <c r="P776" s="45"/>
      <c r="Q776" s="45"/>
      <c r="R776" s="45"/>
      <c r="S776" s="45"/>
      <c r="T776" s="45"/>
      <c r="U776" s="45"/>
      <c r="V776" s="45"/>
      <c r="W776" s="45"/>
      <c r="X776" s="45"/>
      <c r="Y776" s="45"/>
      <c r="Z776" s="45"/>
    </row>
    <row r="777">
      <c r="A777" s="52"/>
      <c r="B777" s="53"/>
      <c r="C777" s="53"/>
      <c r="D777" s="53"/>
      <c r="E777" s="45"/>
      <c r="F777" s="45"/>
      <c r="G777" s="45"/>
      <c r="H777" s="45"/>
      <c r="I777" s="45"/>
      <c r="J777" s="45"/>
      <c r="K777" s="45"/>
      <c r="L777" s="45"/>
      <c r="M777" s="45"/>
      <c r="N777" s="45"/>
      <c r="O777" s="45"/>
      <c r="P777" s="45"/>
      <c r="Q777" s="45"/>
      <c r="R777" s="45"/>
      <c r="S777" s="45"/>
      <c r="T777" s="45"/>
      <c r="U777" s="45"/>
      <c r="V777" s="45"/>
      <c r="W777" s="45"/>
      <c r="X777" s="45"/>
      <c r="Y777" s="45"/>
      <c r="Z777" s="45"/>
    </row>
    <row r="778">
      <c r="A778" s="52"/>
      <c r="B778" s="53"/>
      <c r="C778" s="53"/>
      <c r="D778" s="53"/>
      <c r="E778" s="45"/>
      <c r="F778" s="45"/>
      <c r="G778" s="45"/>
      <c r="H778" s="45"/>
      <c r="I778" s="45"/>
      <c r="J778" s="45"/>
      <c r="K778" s="45"/>
      <c r="L778" s="45"/>
      <c r="M778" s="45"/>
      <c r="N778" s="45"/>
      <c r="O778" s="45"/>
      <c r="P778" s="45"/>
      <c r="Q778" s="45"/>
      <c r="R778" s="45"/>
      <c r="S778" s="45"/>
      <c r="T778" s="45"/>
      <c r="U778" s="45"/>
      <c r="V778" s="45"/>
      <c r="W778" s="45"/>
      <c r="X778" s="45"/>
      <c r="Y778" s="45"/>
      <c r="Z778" s="45"/>
    </row>
    <row r="779">
      <c r="A779" s="52"/>
      <c r="B779" s="53"/>
      <c r="C779" s="53"/>
      <c r="D779" s="53"/>
      <c r="E779" s="45"/>
      <c r="F779" s="45"/>
      <c r="G779" s="45"/>
      <c r="H779" s="45"/>
      <c r="I779" s="45"/>
      <c r="J779" s="45"/>
      <c r="K779" s="45"/>
      <c r="L779" s="45"/>
      <c r="M779" s="45"/>
      <c r="N779" s="45"/>
      <c r="O779" s="45"/>
      <c r="P779" s="45"/>
      <c r="Q779" s="45"/>
      <c r="R779" s="45"/>
      <c r="S779" s="45"/>
      <c r="T779" s="45"/>
      <c r="U779" s="45"/>
      <c r="V779" s="45"/>
      <c r="W779" s="45"/>
      <c r="X779" s="45"/>
      <c r="Y779" s="45"/>
      <c r="Z779" s="45"/>
    </row>
    <row r="780">
      <c r="A780" s="52"/>
      <c r="B780" s="53"/>
      <c r="C780" s="53"/>
      <c r="D780" s="53"/>
      <c r="E780" s="45"/>
      <c r="F780" s="45"/>
      <c r="G780" s="45"/>
      <c r="H780" s="45"/>
      <c r="I780" s="45"/>
      <c r="J780" s="45"/>
      <c r="K780" s="45"/>
      <c r="L780" s="45"/>
      <c r="M780" s="45"/>
      <c r="N780" s="45"/>
      <c r="O780" s="45"/>
      <c r="P780" s="45"/>
      <c r="Q780" s="45"/>
      <c r="R780" s="45"/>
      <c r="S780" s="45"/>
      <c r="T780" s="45"/>
      <c r="U780" s="45"/>
      <c r="V780" s="45"/>
      <c r="W780" s="45"/>
      <c r="X780" s="45"/>
      <c r="Y780" s="45"/>
      <c r="Z780" s="45"/>
    </row>
    <row r="781">
      <c r="A781" s="52"/>
      <c r="B781" s="53"/>
      <c r="C781" s="53"/>
      <c r="D781" s="53"/>
      <c r="E781" s="45"/>
      <c r="F781" s="45"/>
      <c r="G781" s="45"/>
      <c r="H781" s="45"/>
      <c r="I781" s="45"/>
      <c r="J781" s="45"/>
      <c r="K781" s="45"/>
      <c r="L781" s="45"/>
      <c r="M781" s="45"/>
      <c r="N781" s="45"/>
      <c r="O781" s="45"/>
      <c r="P781" s="45"/>
      <c r="Q781" s="45"/>
      <c r="R781" s="45"/>
      <c r="S781" s="45"/>
      <c r="T781" s="45"/>
      <c r="U781" s="45"/>
      <c r="V781" s="45"/>
      <c r="W781" s="45"/>
      <c r="X781" s="45"/>
      <c r="Y781" s="45"/>
      <c r="Z781" s="45"/>
    </row>
    <row r="782">
      <c r="A782" s="52"/>
      <c r="B782" s="53"/>
      <c r="C782" s="53"/>
      <c r="D782" s="53"/>
      <c r="E782" s="45"/>
      <c r="F782" s="45"/>
      <c r="G782" s="45"/>
      <c r="H782" s="45"/>
      <c r="I782" s="45"/>
      <c r="J782" s="45"/>
      <c r="K782" s="45"/>
      <c r="L782" s="45"/>
      <c r="M782" s="45"/>
      <c r="N782" s="45"/>
      <c r="O782" s="45"/>
      <c r="P782" s="45"/>
      <c r="Q782" s="45"/>
      <c r="R782" s="45"/>
      <c r="S782" s="45"/>
      <c r="T782" s="45"/>
      <c r="U782" s="45"/>
      <c r="V782" s="45"/>
      <c r="W782" s="45"/>
      <c r="X782" s="45"/>
      <c r="Y782" s="45"/>
      <c r="Z782" s="45"/>
    </row>
    <row r="783">
      <c r="A783" s="52"/>
      <c r="B783" s="53"/>
      <c r="C783" s="53"/>
      <c r="D783" s="53"/>
      <c r="E783" s="45"/>
      <c r="F783" s="45"/>
      <c r="G783" s="45"/>
      <c r="H783" s="45"/>
      <c r="I783" s="45"/>
      <c r="J783" s="45"/>
      <c r="K783" s="45"/>
      <c r="L783" s="45"/>
      <c r="M783" s="45"/>
      <c r="N783" s="45"/>
      <c r="O783" s="45"/>
      <c r="P783" s="45"/>
      <c r="Q783" s="45"/>
      <c r="R783" s="45"/>
      <c r="S783" s="45"/>
      <c r="T783" s="45"/>
      <c r="U783" s="45"/>
      <c r="V783" s="45"/>
      <c r="W783" s="45"/>
      <c r="X783" s="45"/>
      <c r="Y783" s="45"/>
      <c r="Z783" s="45"/>
    </row>
    <row r="784">
      <c r="A784" s="52"/>
      <c r="B784" s="53"/>
      <c r="C784" s="53"/>
      <c r="D784" s="53"/>
      <c r="E784" s="45"/>
      <c r="F784" s="45"/>
      <c r="G784" s="45"/>
      <c r="H784" s="45"/>
      <c r="I784" s="45"/>
      <c r="J784" s="45"/>
      <c r="K784" s="45"/>
      <c r="L784" s="45"/>
      <c r="M784" s="45"/>
      <c r="N784" s="45"/>
      <c r="O784" s="45"/>
      <c r="P784" s="45"/>
      <c r="Q784" s="45"/>
      <c r="R784" s="45"/>
      <c r="S784" s="45"/>
      <c r="T784" s="45"/>
      <c r="U784" s="45"/>
      <c r="V784" s="45"/>
      <c r="W784" s="45"/>
      <c r="X784" s="45"/>
      <c r="Y784" s="45"/>
      <c r="Z784" s="45"/>
    </row>
    <row r="785">
      <c r="A785" s="52"/>
      <c r="B785" s="53"/>
      <c r="C785" s="53"/>
      <c r="D785" s="53"/>
      <c r="E785" s="45"/>
      <c r="F785" s="45"/>
      <c r="G785" s="45"/>
      <c r="H785" s="45"/>
      <c r="I785" s="45"/>
      <c r="J785" s="45"/>
      <c r="K785" s="45"/>
      <c r="L785" s="45"/>
      <c r="M785" s="45"/>
      <c r="N785" s="45"/>
      <c r="O785" s="45"/>
      <c r="P785" s="45"/>
      <c r="Q785" s="45"/>
      <c r="R785" s="45"/>
      <c r="S785" s="45"/>
      <c r="T785" s="45"/>
      <c r="U785" s="45"/>
      <c r="V785" s="45"/>
      <c r="W785" s="45"/>
      <c r="X785" s="45"/>
      <c r="Y785" s="45"/>
      <c r="Z785" s="45"/>
    </row>
    <row r="786">
      <c r="A786" s="52"/>
      <c r="B786" s="53"/>
      <c r="C786" s="53"/>
      <c r="D786" s="53"/>
      <c r="E786" s="45"/>
      <c r="F786" s="45"/>
      <c r="G786" s="45"/>
      <c r="H786" s="45"/>
      <c r="I786" s="45"/>
      <c r="J786" s="45"/>
      <c r="K786" s="45"/>
      <c r="L786" s="45"/>
      <c r="M786" s="45"/>
      <c r="N786" s="45"/>
      <c r="O786" s="45"/>
      <c r="P786" s="45"/>
      <c r="Q786" s="45"/>
      <c r="R786" s="45"/>
      <c r="S786" s="45"/>
      <c r="T786" s="45"/>
      <c r="U786" s="45"/>
      <c r="V786" s="45"/>
      <c r="W786" s="45"/>
      <c r="X786" s="45"/>
      <c r="Y786" s="45"/>
      <c r="Z786" s="45"/>
    </row>
    <row r="787">
      <c r="A787" s="52"/>
      <c r="B787" s="53"/>
      <c r="C787" s="53"/>
      <c r="D787" s="53"/>
      <c r="E787" s="45"/>
      <c r="F787" s="45"/>
      <c r="G787" s="45"/>
      <c r="H787" s="45"/>
      <c r="I787" s="45"/>
      <c r="J787" s="45"/>
      <c r="K787" s="45"/>
      <c r="L787" s="45"/>
      <c r="M787" s="45"/>
      <c r="N787" s="45"/>
      <c r="O787" s="45"/>
      <c r="P787" s="45"/>
      <c r="Q787" s="45"/>
      <c r="R787" s="45"/>
      <c r="S787" s="45"/>
      <c r="T787" s="45"/>
      <c r="U787" s="45"/>
      <c r="V787" s="45"/>
      <c r="W787" s="45"/>
      <c r="X787" s="45"/>
      <c r="Y787" s="45"/>
      <c r="Z787" s="45"/>
    </row>
    <row r="788">
      <c r="A788" s="52"/>
      <c r="B788" s="53"/>
      <c r="C788" s="53"/>
      <c r="D788" s="53"/>
      <c r="E788" s="45"/>
      <c r="F788" s="45"/>
      <c r="G788" s="45"/>
      <c r="H788" s="45"/>
      <c r="I788" s="45"/>
      <c r="J788" s="45"/>
      <c r="K788" s="45"/>
      <c r="L788" s="45"/>
      <c r="M788" s="45"/>
      <c r="N788" s="45"/>
      <c r="O788" s="45"/>
      <c r="P788" s="45"/>
      <c r="Q788" s="45"/>
      <c r="R788" s="45"/>
      <c r="S788" s="45"/>
      <c r="T788" s="45"/>
      <c r="U788" s="45"/>
      <c r="V788" s="45"/>
      <c r="W788" s="45"/>
      <c r="X788" s="45"/>
      <c r="Y788" s="45"/>
      <c r="Z788" s="45"/>
    </row>
    <row r="789">
      <c r="A789" s="52"/>
      <c r="B789" s="53"/>
      <c r="C789" s="53"/>
      <c r="D789" s="53"/>
      <c r="E789" s="45"/>
      <c r="F789" s="45"/>
      <c r="G789" s="45"/>
      <c r="H789" s="45"/>
      <c r="I789" s="45"/>
      <c r="J789" s="45"/>
      <c r="K789" s="45"/>
      <c r="L789" s="45"/>
      <c r="M789" s="45"/>
      <c r="N789" s="45"/>
      <c r="O789" s="45"/>
      <c r="P789" s="45"/>
      <c r="Q789" s="45"/>
      <c r="R789" s="45"/>
      <c r="S789" s="45"/>
      <c r="T789" s="45"/>
      <c r="U789" s="45"/>
      <c r="V789" s="45"/>
      <c r="W789" s="45"/>
      <c r="X789" s="45"/>
      <c r="Y789" s="45"/>
      <c r="Z789" s="45"/>
    </row>
    <row r="790">
      <c r="A790" s="52"/>
      <c r="B790" s="53"/>
      <c r="C790" s="53"/>
      <c r="D790" s="53"/>
      <c r="E790" s="45"/>
      <c r="F790" s="45"/>
      <c r="G790" s="45"/>
      <c r="H790" s="45"/>
      <c r="I790" s="45"/>
      <c r="J790" s="45"/>
      <c r="K790" s="45"/>
      <c r="L790" s="45"/>
      <c r="M790" s="45"/>
      <c r="N790" s="45"/>
      <c r="O790" s="45"/>
      <c r="P790" s="45"/>
      <c r="Q790" s="45"/>
      <c r="R790" s="45"/>
      <c r="S790" s="45"/>
      <c r="T790" s="45"/>
      <c r="U790" s="45"/>
      <c r="V790" s="45"/>
      <c r="W790" s="45"/>
      <c r="X790" s="45"/>
      <c r="Y790" s="45"/>
      <c r="Z790" s="45"/>
    </row>
    <row r="791">
      <c r="A791" s="52"/>
      <c r="B791" s="53"/>
      <c r="C791" s="53"/>
      <c r="D791" s="53"/>
      <c r="E791" s="45"/>
      <c r="F791" s="45"/>
      <c r="G791" s="45"/>
      <c r="H791" s="45"/>
      <c r="I791" s="45"/>
      <c r="J791" s="45"/>
      <c r="K791" s="45"/>
      <c r="L791" s="45"/>
      <c r="M791" s="45"/>
      <c r="N791" s="45"/>
      <c r="O791" s="45"/>
      <c r="P791" s="45"/>
      <c r="Q791" s="45"/>
      <c r="R791" s="45"/>
      <c r="S791" s="45"/>
      <c r="T791" s="45"/>
      <c r="U791" s="45"/>
      <c r="V791" s="45"/>
      <c r="W791" s="45"/>
      <c r="X791" s="45"/>
      <c r="Y791" s="45"/>
      <c r="Z791" s="45"/>
    </row>
    <row r="792">
      <c r="A792" s="52"/>
      <c r="B792" s="53"/>
      <c r="C792" s="53"/>
      <c r="D792" s="53"/>
      <c r="E792" s="45"/>
      <c r="F792" s="45"/>
      <c r="G792" s="45"/>
      <c r="H792" s="45"/>
      <c r="I792" s="45"/>
      <c r="J792" s="45"/>
      <c r="K792" s="45"/>
      <c r="L792" s="45"/>
      <c r="M792" s="45"/>
      <c r="N792" s="45"/>
      <c r="O792" s="45"/>
      <c r="P792" s="45"/>
      <c r="Q792" s="45"/>
      <c r="R792" s="45"/>
      <c r="S792" s="45"/>
      <c r="T792" s="45"/>
      <c r="U792" s="45"/>
      <c r="V792" s="45"/>
      <c r="W792" s="45"/>
      <c r="X792" s="45"/>
      <c r="Y792" s="45"/>
      <c r="Z792" s="45"/>
    </row>
    <row r="793">
      <c r="A793" s="52"/>
      <c r="B793" s="53"/>
      <c r="C793" s="53"/>
      <c r="D793" s="53"/>
      <c r="E793" s="45"/>
      <c r="F793" s="45"/>
      <c r="G793" s="45"/>
      <c r="H793" s="45"/>
      <c r="I793" s="45"/>
      <c r="J793" s="45"/>
      <c r="K793" s="45"/>
      <c r="L793" s="45"/>
      <c r="M793" s="45"/>
      <c r="N793" s="45"/>
      <c r="O793" s="45"/>
      <c r="P793" s="45"/>
      <c r="Q793" s="45"/>
      <c r="R793" s="45"/>
      <c r="S793" s="45"/>
      <c r="T793" s="45"/>
      <c r="U793" s="45"/>
      <c r="V793" s="45"/>
      <c r="W793" s="45"/>
      <c r="X793" s="45"/>
      <c r="Y793" s="45"/>
      <c r="Z793" s="45"/>
    </row>
    <row r="794">
      <c r="A794" s="52"/>
      <c r="B794" s="53"/>
      <c r="C794" s="53"/>
      <c r="D794" s="53"/>
      <c r="E794" s="45"/>
      <c r="F794" s="45"/>
      <c r="G794" s="45"/>
      <c r="H794" s="45"/>
      <c r="I794" s="45"/>
      <c r="J794" s="45"/>
      <c r="K794" s="45"/>
      <c r="L794" s="45"/>
      <c r="M794" s="45"/>
      <c r="N794" s="45"/>
      <c r="O794" s="45"/>
      <c r="P794" s="45"/>
      <c r="Q794" s="45"/>
      <c r="R794" s="45"/>
      <c r="S794" s="45"/>
      <c r="T794" s="45"/>
      <c r="U794" s="45"/>
      <c r="V794" s="45"/>
      <c r="W794" s="45"/>
      <c r="X794" s="45"/>
      <c r="Y794" s="45"/>
      <c r="Z794" s="45"/>
    </row>
    <row r="795">
      <c r="A795" s="52"/>
      <c r="B795" s="53"/>
      <c r="C795" s="53"/>
      <c r="D795" s="53"/>
      <c r="E795" s="45"/>
      <c r="F795" s="45"/>
      <c r="G795" s="45"/>
      <c r="H795" s="45"/>
      <c r="I795" s="45"/>
      <c r="J795" s="45"/>
      <c r="K795" s="45"/>
      <c r="L795" s="45"/>
      <c r="M795" s="45"/>
      <c r="N795" s="45"/>
      <c r="O795" s="45"/>
      <c r="P795" s="45"/>
      <c r="Q795" s="45"/>
      <c r="R795" s="45"/>
      <c r="S795" s="45"/>
      <c r="T795" s="45"/>
      <c r="U795" s="45"/>
      <c r="V795" s="45"/>
      <c r="W795" s="45"/>
      <c r="X795" s="45"/>
      <c r="Y795" s="45"/>
      <c r="Z795" s="45"/>
    </row>
    <row r="796">
      <c r="A796" s="52"/>
      <c r="B796" s="53"/>
      <c r="C796" s="53"/>
      <c r="D796" s="53"/>
      <c r="E796" s="45"/>
      <c r="F796" s="45"/>
      <c r="G796" s="45"/>
      <c r="H796" s="45"/>
      <c r="I796" s="45"/>
      <c r="J796" s="45"/>
      <c r="K796" s="45"/>
      <c r="L796" s="45"/>
      <c r="M796" s="45"/>
      <c r="N796" s="45"/>
      <c r="O796" s="45"/>
      <c r="P796" s="45"/>
      <c r="Q796" s="45"/>
      <c r="R796" s="45"/>
      <c r="S796" s="45"/>
      <c r="T796" s="45"/>
      <c r="U796" s="45"/>
      <c r="V796" s="45"/>
      <c r="W796" s="45"/>
      <c r="X796" s="45"/>
      <c r="Y796" s="45"/>
      <c r="Z796" s="45"/>
    </row>
    <row r="797">
      <c r="A797" s="52"/>
      <c r="B797" s="53"/>
      <c r="C797" s="53"/>
      <c r="D797" s="53"/>
      <c r="E797" s="45"/>
      <c r="F797" s="45"/>
      <c r="G797" s="45"/>
      <c r="H797" s="45"/>
      <c r="I797" s="45"/>
      <c r="J797" s="45"/>
      <c r="K797" s="45"/>
      <c r="L797" s="45"/>
      <c r="M797" s="45"/>
      <c r="N797" s="45"/>
      <c r="O797" s="45"/>
      <c r="P797" s="45"/>
      <c r="Q797" s="45"/>
      <c r="R797" s="45"/>
      <c r="S797" s="45"/>
      <c r="T797" s="45"/>
      <c r="U797" s="45"/>
      <c r="V797" s="45"/>
      <c r="W797" s="45"/>
      <c r="X797" s="45"/>
      <c r="Y797" s="45"/>
      <c r="Z797" s="45"/>
    </row>
    <row r="798">
      <c r="A798" s="52"/>
      <c r="B798" s="53"/>
      <c r="C798" s="53"/>
      <c r="D798" s="53"/>
      <c r="E798" s="45"/>
      <c r="F798" s="45"/>
      <c r="G798" s="45"/>
      <c r="H798" s="45"/>
      <c r="I798" s="45"/>
      <c r="J798" s="45"/>
      <c r="K798" s="45"/>
      <c r="L798" s="45"/>
      <c r="M798" s="45"/>
      <c r="N798" s="45"/>
      <c r="O798" s="45"/>
      <c r="P798" s="45"/>
      <c r="Q798" s="45"/>
      <c r="R798" s="45"/>
      <c r="S798" s="45"/>
      <c r="T798" s="45"/>
      <c r="U798" s="45"/>
      <c r="V798" s="45"/>
      <c r="W798" s="45"/>
      <c r="X798" s="45"/>
      <c r="Y798" s="45"/>
      <c r="Z798" s="45"/>
    </row>
    <row r="799">
      <c r="A799" s="52"/>
      <c r="B799" s="53"/>
      <c r="C799" s="53"/>
      <c r="D799" s="53"/>
      <c r="E799" s="45"/>
      <c r="F799" s="45"/>
      <c r="G799" s="45"/>
      <c r="H799" s="45"/>
      <c r="I799" s="45"/>
      <c r="J799" s="45"/>
      <c r="K799" s="45"/>
      <c r="L799" s="45"/>
      <c r="M799" s="45"/>
      <c r="N799" s="45"/>
      <c r="O799" s="45"/>
      <c r="P799" s="45"/>
      <c r="Q799" s="45"/>
      <c r="R799" s="45"/>
      <c r="S799" s="45"/>
      <c r="T799" s="45"/>
      <c r="U799" s="45"/>
      <c r="V799" s="45"/>
      <c r="W799" s="45"/>
      <c r="X799" s="45"/>
      <c r="Y799" s="45"/>
      <c r="Z799" s="45"/>
    </row>
    <row r="800">
      <c r="A800" s="52"/>
      <c r="B800" s="53"/>
      <c r="C800" s="53"/>
      <c r="D800" s="53"/>
      <c r="E800" s="45"/>
      <c r="F800" s="45"/>
      <c r="G800" s="45"/>
      <c r="H800" s="45"/>
      <c r="I800" s="45"/>
      <c r="J800" s="45"/>
      <c r="K800" s="45"/>
      <c r="L800" s="45"/>
      <c r="M800" s="45"/>
      <c r="N800" s="45"/>
      <c r="O800" s="45"/>
      <c r="P800" s="45"/>
      <c r="Q800" s="45"/>
      <c r="R800" s="45"/>
      <c r="S800" s="45"/>
      <c r="T800" s="45"/>
      <c r="U800" s="45"/>
      <c r="V800" s="45"/>
      <c r="W800" s="45"/>
      <c r="X800" s="45"/>
      <c r="Y800" s="45"/>
      <c r="Z800" s="45"/>
    </row>
    <row r="801">
      <c r="A801" s="52"/>
      <c r="B801" s="53"/>
      <c r="C801" s="53"/>
      <c r="D801" s="53"/>
      <c r="E801" s="45"/>
      <c r="F801" s="45"/>
      <c r="G801" s="45"/>
      <c r="H801" s="45"/>
      <c r="I801" s="45"/>
      <c r="J801" s="45"/>
      <c r="K801" s="45"/>
      <c r="L801" s="45"/>
      <c r="M801" s="45"/>
      <c r="N801" s="45"/>
      <c r="O801" s="45"/>
      <c r="P801" s="45"/>
      <c r="Q801" s="45"/>
      <c r="R801" s="45"/>
      <c r="S801" s="45"/>
      <c r="T801" s="45"/>
      <c r="U801" s="45"/>
      <c r="V801" s="45"/>
      <c r="W801" s="45"/>
      <c r="X801" s="45"/>
      <c r="Y801" s="45"/>
      <c r="Z801" s="45"/>
    </row>
    <row r="802">
      <c r="A802" s="52"/>
      <c r="B802" s="53"/>
      <c r="C802" s="53"/>
      <c r="D802" s="53"/>
      <c r="E802" s="45"/>
      <c r="F802" s="45"/>
      <c r="G802" s="45"/>
      <c r="H802" s="45"/>
      <c r="I802" s="45"/>
      <c r="J802" s="45"/>
      <c r="K802" s="45"/>
      <c r="L802" s="45"/>
      <c r="M802" s="45"/>
      <c r="N802" s="45"/>
      <c r="O802" s="45"/>
      <c r="P802" s="45"/>
      <c r="Q802" s="45"/>
      <c r="R802" s="45"/>
      <c r="S802" s="45"/>
      <c r="T802" s="45"/>
      <c r="U802" s="45"/>
      <c r="V802" s="45"/>
      <c r="W802" s="45"/>
      <c r="X802" s="45"/>
      <c r="Y802" s="45"/>
      <c r="Z802" s="45"/>
    </row>
    <row r="803">
      <c r="A803" s="52"/>
      <c r="B803" s="53"/>
      <c r="C803" s="53"/>
      <c r="D803" s="53"/>
      <c r="E803" s="45"/>
      <c r="F803" s="45"/>
      <c r="G803" s="45"/>
      <c r="H803" s="45"/>
      <c r="I803" s="45"/>
      <c r="J803" s="45"/>
      <c r="K803" s="45"/>
      <c r="L803" s="45"/>
      <c r="M803" s="45"/>
      <c r="N803" s="45"/>
      <c r="O803" s="45"/>
      <c r="P803" s="45"/>
      <c r="Q803" s="45"/>
      <c r="R803" s="45"/>
      <c r="S803" s="45"/>
      <c r="T803" s="45"/>
      <c r="U803" s="45"/>
      <c r="V803" s="45"/>
      <c r="W803" s="45"/>
      <c r="X803" s="45"/>
      <c r="Y803" s="45"/>
      <c r="Z803" s="45"/>
    </row>
    <row r="804">
      <c r="A804" s="52"/>
      <c r="B804" s="53"/>
      <c r="C804" s="53"/>
      <c r="D804" s="53"/>
      <c r="E804" s="45"/>
      <c r="F804" s="45"/>
      <c r="G804" s="45"/>
      <c r="H804" s="45"/>
      <c r="I804" s="45"/>
      <c r="J804" s="45"/>
      <c r="K804" s="45"/>
      <c r="L804" s="45"/>
      <c r="M804" s="45"/>
      <c r="N804" s="45"/>
      <c r="O804" s="45"/>
      <c r="P804" s="45"/>
      <c r="Q804" s="45"/>
      <c r="R804" s="45"/>
      <c r="S804" s="45"/>
      <c r="T804" s="45"/>
      <c r="U804" s="45"/>
      <c r="V804" s="45"/>
      <c r="W804" s="45"/>
      <c r="X804" s="45"/>
      <c r="Y804" s="45"/>
      <c r="Z804" s="45"/>
    </row>
    <row r="805">
      <c r="A805" s="52"/>
      <c r="B805" s="53"/>
      <c r="C805" s="53"/>
      <c r="D805" s="53"/>
      <c r="E805" s="45"/>
      <c r="F805" s="45"/>
      <c r="G805" s="45"/>
      <c r="H805" s="45"/>
      <c r="I805" s="45"/>
      <c r="J805" s="45"/>
      <c r="K805" s="45"/>
      <c r="L805" s="45"/>
      <c r="M805" s="45"/>
      <c r="N805" s="45"/>
      <c r="O805" s="45"/>
      <c r="P805" s="45"/>
      <c r="Q805" s="45"/>
      <c r="R805" s="45"/>
      <c r="S805" s="45"/>
      <c r="T805" s="45"/>
      <c r="U805" s="45"/>
      <c r="V805" s="45"/>
      <c r="W805" s="45"/>
      <c r="X805" s="45"/>
      <c r="Y805" s="45"/>
      <c r="Z805" s="45"/>
    </row>
    <row r="806">
      <c r="A806" s="52"/>
      <c r="B806" s="53"/>
      <c r="C806" s="53"/>
      <c r="D806" s="53"/>
      <c r="E806" s="45"/>
      <c r="F806" s="45"/>
      <c r="G806" s="45"/>
      <c r="H806" s="45"/>
      <c r="I806" s="45"/>
      <c r="J806" s="45"/>
      <c r="K806" s="45"/>
      <c r="L806" s="45"/>
      <c r="M806" s="45"/>
      <c r="N806" s="45"/>
      <c r="O806" s="45"/>
      <c r="P806" s="45"/>
      <c r="Q806" s="45"/>
      <c r="R806" s="45"/>
      <c r="S806" s="45"/>
      <c r="T806" s="45"/>
      <c r="U806" s="45"/>
      <c r="V806" s="45"/>
      <c r="W806" s="45"/>
      <c r="X806" s="45"/>
      <c r="Y806" s="45"/>
      <c r="Z806" s="45"/>
    </row>
    <row r="807">
      <c r="A807" s="52"/>
      <c r="B807" s="53"/>
      <c r="C807" s="53"/>
      <c r="D807" s="53"/>
      <c r="E807" s="45"/>
      <c r="F807" s="45"/>
      <c r="G807" s="45"/>
      <c r="H807" s="45"/>
      <c r="I807" s="45"/>
      <c r="J807" s="45"/>
      <c r="K807" s="45"/>
      <c r="L807" s="45"/>
      <c r="M807" s="45"/>
      <c r="N807" s="45"/>
      <c r="O807" s="45"/>
      <c r="P807" s="45"/>
      <c r="Q807" s="45"/>
      <c r="R807" s="45"/>
      <c r="S807" s="45"/>
      <c r="T807" s="45"/>
      <c r="U807" s="45"/>
      <c r="V807" s="45"/>
      <c r="W807" s="45"/>
      <c r="X807" s="45"/>
      <c r="Y807" s="45"/>
      <c r="Z807" s="45"/>
    </row>
    <row r="808">
      <c r="A808" s="52"/>
      <c r="B808" s="53"/>
      <c r="C808" s="53"/>
      <c r="D808" s="53"/>
      <c r="E808" s="45"/>
      <c r="F808" s="45"/>
      <c r="G808" s="45"/>
      <c r="H808" s="45"/>
      <c r="I808" s="45"/>
      <c r="J808" s="45"/>
      <c r="K808" s="45"/>
      <c r="L808" s="45"/>
      <c r="M808" s="45"/>
      <c r="N808" s="45"/>
      <c r="O808" s="45"/>
      <c r="P808" s="45"/>
      <c r="Q808" s="45"/>
      <c r="R808" s="45"/>
      <c r="S808" s="45"/>
      <c r="T808" s="45"/>
      <c r="U808" s="45"/>
      <c r="V808" s="45"/>
      <c r="W808" s="45"/>
      <c r="X808" s="45"/>
      <c r="Y808" s="45"/>
      <c r="Z808" s="45"/>
    </row>
    <row r="809">
      <c r="A809" s="52"/>
      <c r="B809" s="53"/>
      <c r="C809" s="53"/>
      <c r="D809" s="53"/>
      <c r="E809" s="45"/>
      <c r="F809" s="45"/>
      <c r="G809" s="45"/>
      <c r="H809" s="45"/>
      <c r="I809" s="45"/>
      <c r="J809" s="45"/>
      <c r="K809" s="45"/>
      <c r="L809" s="45"/>
      <c r="M809" s="45"/>
      <c r="N809" s="45"/>
      <c r="O809" s="45"/>
      <c r="P809" s="45"/>
      <c r="Q809" s="45"/>
      <c r="R809" s="45"/>
      <c r="S809" s="45"/>
      <c r="T809" s="45"/>
      <c r="U809" s="45"/>
      <c r="V809" s="45"/>
      <c r="W809" s="45"/>
      <c r="X809" s="45"/>
      <c r="Y809" s="45"/>
      <c r="Z809" s="45"/>
    </row>
    <row r="810">
      <c r="A810" s="52"/>
      <c r="B810" s="53"/>
      <c r="C810" s="53"/>
      <c r="D810" s="53"/>
      <c r="E810" s="45"/>
      <c r="F810" s="45"/>
      <c r="G810" s="45"/>
      <c r="H810" s="45"/>
      <c r="I810" s="45"/>
      <c r="J810" s="45"/>
      <c r="K810" s="45"/>
      <c r="L810" s="45"/>
      <c r="M810" s="45"/>
      <c r="N810" s="45"/>
      <c r="O810" s="45"/>
      <c r="P810" s="45"/>
      <c r="Q810" s="45"/>
      <c r="R810" s="45"/>
      <c r="S810" s="45"/>
      <c r="T810" s="45"/>
      <c r="U810" s="45"/>
      <c r="V810" s="45"/>
      <c r="W810" s="45"/>
      <c r="X810" s="45"/>
      <c r="Y810" s="45"/>
      <c r="Z810" s="45"/>
    </row>
    <row r="811">
      <c r="A811" s="52"/>
      <c r="B811" s="53"/>
      <c r="C811" s="53"/>
      <c r="D811" s="53"/>
      <c r="E811" s="45"/>
      <c r="F811" s="45"/>
      <c r="G811" s="45"/>
      <c r="H811" s="45"/>
      <c r="I811" s="45"/>
      <c r="J811" s="45"/>
      <c r="K811" s="45"/>
      <c r="L811" s="45"/>
      <c r="M811" s="45"/>
      <c r="N811" s="45"/>
      <c r="O811" s="45"/>
      <c r="P811" s="45"/>
      <c r="Q811" s="45"/>
      <c r="R811" s="45"/>
      <c r="S811" s="45"/>
      <c r="T811" s="45"/>
      <c r="U811" s="45"/>
      <c r="V811" s="45"/>
      <c r="W811" s="45"/>
      <c r="X811" s="45"/>
      <c r="Y811" s="45"/>
      <c r="Z811" s="45"/>
    </row>
    <row r="812">
      <c r="A812" s="52"/>
      <c r="B812" s="53"/>
      <c r="C812" s="53"/>
      <c r="D812" s="53"/>
      <c r="E812" s="45"/>
      <c r="F812" s="45"/>
      <c r="G812" s="45"/>
      <c r="H812" s="45"/>
      <c r="I812" s="45"/>
      <c r="J812" s="45"/>
      <c r="K812" s="45"/>
      <c r="L812" s="45"/>
      <c r="M812" s="45"/>
      <c r="N812" s="45"/>
      <c r="O812" s="45"/>
      <c r="P812" s="45"/>
      <c r="Q812" s="45"/>
      <c r="R812" s="45"/>
      <c r="S812" s="45"/>
      <c r="T812" s="45"/>
      <c r="U812" s="45"/>
      <c r="V812" s="45"/>
      <c r="W812" s="45"/>
      <c r="X812" s="45"/>
      <c r="Y812" s="45"/>
      <c r="Z812" s="45"/>
    </row>
    <row r="813">
      <c r="A813" s="52"/>
      <c r="B813" s="53"/>
      <c r="C813" s="53"/>
      <c r="D813" s="53"/>
      <c r="E813" s="45"/>
      <c r="F813" s="45"/>
      <c r="G813" s="45"/>
      <c r="H813" s="45"/>
      <c r="I813" s="45"/>
      <c r="J813" s="45"/>
      <c r="K813" s="45"/>
      <c r="L813" s="45"/>
      <c r="M813" s="45"/>
      <c r="N813" s="45"/>
      <c r="O813" s="45"/>
      <c r="P813" s="45"/>
      <c r="Q813" s="45"/>
      <c r="R813" s="45"/>
      <c r="S813" s="45"/>
      <c r="T813" s="45"/>
      <c r="U813" s="45"/>
      <c r="V813" s="45"/>
      <c r="W813" s="45"/>
      <c r="X813" s="45"/>
      <c r="Y813" s="45"/>
      <c r="Z813" s="45"/>
    </row>
    <row r="814">
      <c r="A814" s="52"/>
      <c r="B814" s="53"/>
      <c r="C814" s="53"/>
      <c r="D814" s="53"/>
      <c r="E814" s="45"/>
      <c r="F814" s="45"/>
      <c r="G814" s="45"/>
      <c r="H814" s="45"/>
      <c r="I814" s="45"/>
      <c r="J814" s="45"/>
      <c r="K814" s="45"/>
      <c r="L814" s="45"/>
      <c r="M814" s="45"/>
      <c r="N814" s="45"/>
      <c r="O814" s="45"/>
      <c r="P814" s="45"/>
      <c r="Q814" s="45"/>
      <c r="R814" s="45"/>
      <c r="S814" s="45"/>
      <c r="T814" s="45"/>
      <c r="U814" s="45"/>
      <c r="V814" s="45"/>
      <c r="W814" s="45"/>
      <c r="X814" s="45"/>
      <c r="Y814" s="45"/>
      <c r="Z814" s="45"/>
    </row>
    <row r="815">
      <c r="A815" s="52"/>
      <c r="B815" s="53"/>
      <c r="C815" s="53"/>
      <c r="D815" s="53"/>
      <c r="E815" s="45"/>
      <c r="F815" s="45"/>
      <c r="G815" s="45"/>
      <c r="H815" s="45"/>
      <c r="I815" s="45"/>
      <c r="J815" s="45"/>
      <c r="K815" s="45"/>
      <c r="L815" s="45"/>
      <c r="M815" s="45"/>
      <c r="N815" s="45"/>
      <c r="O815" s="45"/>
      <c r="P815" s="45"/>
      <c r="Q815" s="45"/>
      <c r="R815" s="45"/>
      <c r="S815" s="45"/>
      <c r="T815" s="45"/>
      <c r="U815" s="45"/>
      <c r="V815" s="45"/>
      <c r="W815" s="45"/>
      <c r="X815" s="45"/>
      <c r="Y815" s="45"/>
      <c r="Z815" s="45"/>
    </row>
    <row r="816">
      <c r="A816" s="52"/>
      <c r="B816" s="53"/>
      <c r="C816" s="53"/>
      <c r="D816" s="53"/>
      <c r="E816" s="45"/>
      <c r="F816" s="45"/>
      <c r="G816" s="45"/>
      <c r="H816" s="45"/>
      <c r="I816" s="45"/>
      <c r="J816" s="45"/>
      <c r="K816" s="45"/>
      <c r="L816" s="45"/>
      <c r="M816" s="45"/>
      <c r="N816" s="45"/>
      <c r="O816" s="45"/>
      <c r="P816" s="45"/>
      <c r="Q816" s="45"/>
      <c r="R816" s="45"/>
      <c r="S816" s="45"/>
      <c r="T816" s="45"/>
      <c r="U816" s="45"/>
      <c r="V816" s="45"/>
      <c r="W816" s="45"/>
      <c r="X816" s="45"/>
      <c r="Y816" s="45"/>
      <c r="Z816" s="45"/>
    </row>
    <row r="817">
      <c r="A817" s="52"/>
      <c r="B817" s="53"/>
      <c r="C817" s="53"/>
      <c r="D817" s="53"/>
      <c r="E817" s="45"/>
      <c r="F817" s="45"/>
      <c r="G817" s="45"/>
      <c r="H817" s="45"/>
      <c r="I817" s="45"/>
      <c r="J817" s="45"/>
      <c r="K817" s="45"/>
      <c r="L817" s="45"/>
      <c r="M817" s="45"/>
      <c r="N817" s="45"/>
      <c r="O817" s="45"/>
      <c r="P817" s="45"/>
      <c r="Q817" s="45"/>
      <c r="R817" s="45"/>
      <c r="S817" s="45"/>
      <c r="T817" s="45"/>
      <c r="U817" s="45"/>
      <c r="V817" s="45"/>
      <c r="W817" s="45"/>
      <c r="X817" s="45"/>
      <c r="Y817" s="45"/>
      <c r="Z817" s="45"/>
    </row>
    <row r="818">
      <c r="A818" s="52"/>
      <c r="B818" s="53"/>
      <c r="C818" s="53"/>
      <c r="D818" s="53"/>
      <c r="E818" s="45"/>
      <c r="F818" s="45"/>
      <c r="G818" s="45"/>
      <c r="H818" s="45"/>
      <c r="I818" s="45"/>
      <c r="J818" s="45"/>
      <c r="K818" s="45"/>
      <c r="L818" s="45"/>
      <c r="M818" s="45"/>
      <c r="N818" s="45"/>
      <c r="O818" s="45"/>
      <c r="P818" s="45"/>
      <c r="Q818" s="45"/>
      <c r="R818" s="45"/>
      <c r="S818" s="45"/>
      <c r="T818" s="45"/>
      <c r="U818" s="45"/>
      <c r="V818" s="45"/>
      <c r="W818" s="45"/>
      <c r="X818" s="45"/>
      <c r="Y818" s="45"/>
      <c r="Z818" s="45"/>
    </row>
    <row r="819">
      <c r="A819" s="52"/>
      <c r="B819" s="53"/>
      <c r="C819" s="53"/>
      <c r="D819" s="53"/>
      <c r="E819" s="45"/>
      <c r="F819" s="45"/>
      <c r="G819" s="45"/>
      <c r="H819" s="45"/>
      <c r="I819" s="45"/>
      <c r="J819" s="45"/>
      <c r="K819" s="45"/>
      <c r="L819" s="45"/>
      <c r="M819" s="45"/>
      <c r="N819" s="45"/>
      <c r="O819" s="45"/>
      <c r="P819" s="45"/>
      <c r="Q819" s="45"/>
      <c r="R819" s="45"/>
      <c r="S819" s="45"/>
      <c r="T819" s="45"/>
      <c r="U819" s="45"/>
      <c r="V819" s="45"/>
      <c r="W819" s="45"/>
      <c r="X819" s="45"/>
      <c r="Y819" s="45"/>
      <c r="Z819" s="45"/>
    </row>
    <row r="820">
      <c r="A820" s="52"/>
      <c r="B820" s="53"/>
      <c r="C820" s="53"/>
      <c r="D820" s="53"/>
      <c r="E820" s="45"/>
      <c r="F820" s="45"/>
      <c r="G820" s="45"/>
      <c r="H820" s="45"/>
      <c r="I820" s="45"/>
      <c r="J820" s="45"/>
      <c r="K820" s="45"/>
      <c r="L820" s="45"/>
      <c r="M820" s="45"/>
      <c r="N820" s="45"/>
      <c r="O820" s="45"/>
      <c r="P820" s="45"/>
      <c r="Q820" s="45"/>
      <c r="R820" s="45"/>
      <c r="S820" s="45"/>
      <c r="T820" s="45"/>
      <c r="U820" s="45"/>
      <c r="V820" s="45"/>
      <c r="W820" s="45"/>
      <c r="X820" s="45"/>
      <c r="Y820" s="45"/>
      <c r="Z820" s="45"/>
    </row>
    <row r="821">
      <c r="A821" s="52"/>
      <c r="B821" s="53"/>
      <c r="C821" s="53"/>
      <c r="D821" s="53"/>
      <c r="E821" s="45"/>
      <c r="F821" s="45"/>
      <c r="G821" s="45"/>
      <c r="H821" s="45"/>
      <c r="I821" s="45"/>
      <c r="J821" s="45"/>
      <c r="K821" s="45"/>
      <c r="L821" s="45"/>
      <c r="M821" s="45"/>
      <c r="N821" s="45"/>
      <c r="O821" s="45"/>
      <c r="P821" s="45"/>
      <c r="Q821" s="45"/>
      <c r="R821" s="45"/>
      <c r="S821" s="45"/>
      <c r="T821" s="45"/>
      <c r="U821" s="45"/>
      <c r="V821" s="45"/>
      <c r="W821" s="45"/>
      <c r="X821" s="45"/>
      <c r="Y821" s="45"/>
      <c r="Z821" s="45"/>
    </row>
    <row r="822">
      <c r="A822" s="52"/>
      <c r="B822" s="53"/>
      <c r="C822" s="53"/>
      <c r="D822" s="53"/>
      <c r="E822" s="45"/>
      <c r="F822" s="45"/>
      <c r="G822" s="45"/>
      <c r="H822" s="45"/>
      <c r="I822" s="45"/>
      <c r="J822" s="45"/>
      <c r="K822" s="45"/>
      <c r="L822" s="45"/>
      <c r="M822" s="45"/>
      <c r="N822" s="45"/>
      <c r="O822" s="45"/>
      <c r="P822" s="45"/>
      <c r="Q822" s="45"/>
      <c r="R822" s="45"/>
      <c r="S822" s="45"/>
      <c r="T822" s="45"/>
      <c r="U822" s="45"/>
      <c r="V822" s="45"/>
      <c r="W822" s="45"/>
      <c r="X822" s="45"/>
      <c r="Y822" s="45"/>
      <c r="Z822" s="45"/>
    </row>
    <row r="823">
      <c r="A823" s="52"/>
      <c r="B823" s="53"/>
      <c r="C823" s="53"/>
      <c r="D823" s="53"/>
      <c r="E823" s="45"/>
      <c r="F823" s="45"/>
      <c r="G823" s="45"/>
      <c r="H823" s="45"/>
      <c r="I823" s="45"/>
      <c r="J823" s="45"/>
      <c r="K823" s="45"/>
      <c r="L823" s="45"/>
      <c r="M823" s="45"/>
      <c r="N823" s="45"/>
      <c r="O823" s="45"/>
      <c r="P823" s="45"/>
      <c r="Q823" s="45"/>
      <c r="R823" s="45"/>
      <c r="S823" s="45"/>
      <c r="T823" s="45"/>
      <c r="U823" s="45"/>
      <c r="V823" s="45"/>
      <c r="W823" s="45"/>
      <c r="X823" s="45"/>
      <c r="Y823" s="45"/>
      <c r="Z823" s="45"/>
    </row>
    <row r="824">
      <c r="A824" s="52"/>
      <c r="B824" s="53"/>
      <c r="C824" s="53"/>
      <c r="D824" s="53"/>
      <c r="E824" s="45"/>
      <c r="F824" s="45"/>
      <c r="G824" s="45"/>
      <c r="H824" s="45"/>
      <c r="I824" s="45"/>
      <c r="J824" s="45"/>
      <c r="K824" s="45"/>
      <c r="L824" s="45"/>
      <c r="M824" s="45"/>
      <c r="N824" s="45"/>
      <c r="O824" s="45"/>
      <c r="P824" s="45"/>
      <c r="Q824" s="45"/>
      <c r="R824" s="45"/>
      <c r="S824" s="45"/>
      <c r="T824" s="45"/>
      <c r="U824" s="45"/>
      <c r="V824" s="45"/>
      <c r="W824" s="45"/>
      <c r="X824" s="45"/>
      <c r="Y824" s="45"/>
      <c r="Z824" s="45"/>
    </row>
    <row r="825">
      <c r="A825" s="52"/>
      <c r="B825" s="53"/>
      <c r="C825" s="53"/>
      <c r="D825" s="53"/>
      <c r="E825" s="45"/>
      <c r="F825" s="45"/>
      <c r="G825" s="45"/>
      <c r="H825" s="45"/>
      <c r="I825" s="45"/>
      <c r="J825" s="45"/>
      <c r="K825" s="45"/>
      <c r="L825" s="45"/>
      <c r="M825" s="45"/>
      <c r="N825" s="45"/>
      <c r="O825" s="45"/>
      <c r="P825" s="45"/>
      <c r="Q825" s="45"/>
      <c r="R825" s="45"/>
      <c r="S825" s="45"/>
      <c r="T825" s="45"/>
      <c r="U825" s="45"/>
      <c r="V825" s="45"/>
      <c r="W825" s="45"/>
      <c r="X825" s="45"/>
      <c r="Y825" s="45"/>
      <c r="Z825" s="45"/>
    </row>
    <row r="826">
      <c r="A826" s="52"/>
      <c r="B826" s="53"/>
      <c r="C826" s="53"/>
      <c r="D826" s="53"/>
      <c r="E826" s="45"/>
      <c r="F826" s="45"/>
      <c r="G826" s="45"/>
      <c r="H826" s="45"/>
      <c r="I826" s="45"/>
      <c r="J826" s="45"/>
      <c r="K826" s="45"/>
      <c r="L826" s="45"/>
      <c r="M826" s="45"/>
      <c r="N826" s="45"/>
      <c r="O826" s="45"/>
      <c r="P826" s="45"/>
      <c r="Q826" s="45"/>
      <c r="R826" s="45"/>
      <c r="S826" s="45"/>
      <c r="T826" s="45"/>
      <c r="U826" s="45"/>
      <c r="V826" s="45"/>
      <c r="W826" s="45"/>
      <c r="X826" s="45"/>
      <c r="Y826" s="45"/>
      <c r="Z826" s="45"/>
    </row>
    <row r="827">
      <c r="A827" s="52"/>
      <c r="B827" s="53"/>
      <c r="C827" s="53"/>
      <c r="D827" s="53"/>
      <c r="E827" s="45"/>
      <c r="F827" s="45"/>
      <c r="G827" s="45"/>
      <c r="H827" s="45"/>
      <c r="I827" s="45"/>
      <c r="J827" s="45"/>
      <c r="K827" s="45"/>
      <c r="L827" s="45"/>
      <c r="M827" s="45"/>
      <c r="N827" s="45"/>
      <c r="O827" s="45"/>
      <c r="P827" s="45"/>
      <c r="Q827" s="45"/>
      <c r="R827" s="45"/>
      <c r="S827" s="45"/>
      <c r="T827" s="45"/>
      <c r="U827" s="45"/>
      <c r="V827" s="45"/>
      <c r="W827" s="45"/>
      <c r="X827" s="45"/>
      <c r="Y827" s="45"/>
      <c r="Z827" s="45"/>
    </row>
    <row r="828">
      <c r="A828" s="52"/>
      <c r="B828" s="53"/>
      <c r="C828" s="53"/>
      <c r="D828" s="53"/>
      <c r="E828" s="45"/>
      <c r="F828" s="45"/>
      <c r="G828" s="45"/>
      <c r="H828" s="45"/>
      <c r="I828" s="45"/>
      <c r="J828" s="45"/>
      <c r="K828" s="45"/>
      <c r="L828" s="45"/>
      <c r="M828" s="45"/>
      <c r="N828" s="45"/>
      <c r="O828" s="45"/>
      <c r="P828" s="45"/>
      <c r="Q828" s="45"/>
      <c r="R828" s="45"/>
      <c r="S828" s="45"/>
      <c r="T828" s="45"/>
      <c r="U828" s="45"/>
      <c r="V828" s="45"/>
      <c r="W828" s="45"/>
      <c r="X828" s="45"/>
      <c r="Y828" s="45"/>
      <c r="Z828" s="45"/>
    </row>
    <row r="829">
      <c r="A829" s="52"/>
      <c r="B829" s="53"/>
      <c r="C829" s="53"/>
      <c r="D829" s="53"/>
      <c r="E829" s="45"/>
      <c r="F829" s="45"/>
      <c r="G829" s="45"/>
      <c r="H829" s="45"/>
      <c r="I829" s="45"/>
      <c r="J829" s="45"/>
      <c r="K829" s="45"/>
      <c r="L829" s="45"/>
      <c r="M829" s="45"/>
      <c r="N829" s="45"/>
      <c r="O829" s="45"/>
      <c r="P829" s="45"/>
      <c r="Q829" s="45"/>
      <c r="R829" s="45"/>
      <c r="S829" s="45"/>
      <c r="T829" s="45"/>
      <c r="U829" s="45"/>
      <c r="V829" s="45"/>
      <c r="W829" s="45"/>
      <c r="X829" s="45"/>
      <c r="Y829" s="45"/>
      <c r="Z829" s="45"/>
    </row>
    <row r="830">
      <c r="A830" s="52"/>
      <c r="B830" s="53"/>
      <c r="C830" s="53"/>
      <c r="D830" s="53"/>
      <c r="E830" s="45"/>
      <c r="F830" s="45"/>
      <c r="G830" s="45"/>
      <c r="H830" s="45"/>
      <c r="I830" s="45"/>
      <c r="J830" s="45"/>
      <c r="K830" s="45"/>
      <c r="L830" s="45"/>
      <c r="M830" s="45"/>
      <c r="N830" s="45"/>
      <c r="O830" s="45"/>
      <c r="P830" s="45"/>
      <c r="Q830" s="45"/>
      <c r="R830" s="45"/>
      <c r="S830" s="45"/>
      <c r="T830" s="45"/>
      <c r="U830" s="45"/>
      <c r="V830" s="45"/>
      <c r="W830" s="45"/>
      <c r="X830" s="45"/>
      <c r="Y830" s="45"/>
      <c r="Z830" s="45"/>
    </row>
    <row r="831">
      <c r="A831" s="52"/>
      <c r="B831" s="53"/>
      <c r="C831" s="53"/>
      <c r="D831" s="53"/>
      <c r="E831" s="45"/>
      <c r="F831" s="45"/>
      <c r="G831" s="45"/>
      <c r="H831" s="45"/>
      <c r="I831" s="45"/>
      <c r="J831" s="45"/>
      <c r="K831" s="45"/>
      <c r="L831" s="45"/>
      <c r="M831" s="45"/>
      <c r="N831" s="45"/>
      <c r="O831" s="45"/>
      <c r="P831" s="45"/>
      <c r="Q831" s="45"/>
      <c r="R831" s="45"/>
      <c r="S831" s="45"/>
      <c r="T831" s="45"/>
      <c r="U831" s="45"/>
      <c r="V831" s="45"/>
      <c r="W831" s="45"/>
      <c r="X831" s="45"/>
      <c r="Y831" s="45"/>
      <c r="Z831" s="45"/>
    </row>
    <row r="832">
      <c r="A832" s="52"/>
      <c r="B832" s="53"/>
      <c r="C832" s="53"/>
      <c r="D832" s="53"/>
      <c r="E832" s="45"/>
      <c r="F832" s="45"/>
      <c r="G832" s="45"/>
      <c r="H832" s="45"/>
      <c r="I832" s="45"/>
      <c r="J832" s="45"/>
      <c r="K832" s="45"/>
      <c r="L832" s="45"/>
      <c r="M832" s="45"/>
      <c r="N832" s="45"/>
      <c r="O832" s="45"/>
      <c r="P832" s="45"/>
      <c r="Q832" s="45"/>
      <c r="R832" s="45"/>
      <c r="S832" s="45"/>
      <c r="T832" s="45"/>
      <c r="U832" s="45"/>
      <c r="V832" s="45"/>
      <c r="W832" s="45"/>
      <c r="X832" s="45"/>
      <c r="Y832" s="45"/>
      <c r="Z832" s="45"/>
    </row>
    <row r="833">
      <c r="A833" s="52"/>
      <c r="B833" s="53"/>
      <c r="C833" s="53"/>
      <c r="D833" s="53"/>
      <c r="E833" s="45"/>
      <c r="F833" s="45"/>
      <c r="G833" s="45"/>
      <c r="H833" s="45"/>
      <c r="I833" s="45"/>
      <c r="J833" s="45"/>
      <c r="K833" s="45"/>
      <c r="L833" s="45"/>
      <c r="M833" s="45"/>
      <c r="N833" s="45"/>
      <c r="O833" s="45"/>
      <c r="P833" s="45"/>
      <c r="Q833" s="45"/>
      <c r="R833" s="45"/>
      <c r="S833" s="45"/>
      <c r="T833" s="45"/>
      <c r="U833" s="45"/>
      <c r="V833" s="45"/>
      <c r="W833" s="45"/>
      <c r="X833" s="45"/>
      <c r="Y833" s="45"/>
      <c r="Z833" s="45"/>
    </row>
    <row r="834">
      <c r="A834" s="52"/>
      <c r="B834" s="53"/>
      <c r="C834" s="53"/>
      <c r="D834" s="53"/>
      <c r="E834" s="45"/>
      <c r="F834" s="45"/>
      <c r="G834" s="45"/>
      <c r="H834" s="45"/>
      <c r="I834" s="45"/>
      <c r="J834" s="45"/>
      <c r="K834" s="45"/>
      <c r="L834" s="45"/>
      <c r="M834" s="45"/>
      <c r="N834" s="45"/>
      <c r="O834" s="45"/>
      <c r="P834" s="45"/>
      <c r="Q834" s="45"/>
      <c r="R834" s="45"/>
      <c r="S834" s="45"/>
      <c r="T834" s="45"/>
      <c r="U834" s="45"/>
      <c r="V834" s="45"/>
      <c r="W834" s="45"/>
      <c r="X834" s="45"/>
      <c r="Y834" s="45"/>
      <c r="Z834" s="45"/>
    </row>
    <row r="835">
      <c r="A835" s="52"/>
      <c r="B835" s="53"/>
      <c r="C835" s="53"/>
      <c r="D835" s="53"/>
      <c r="E835" s="45"/>
      <c r="F835" s="45"/>
      <c r="G835" s="45"/>
      <c r="H835" s="45"/>
      <c r="I835" s="45"/>
      <c r="J835" s="45"/>
      <c r="K835" s="45"/>
      <c r="L835" s="45"/>
      <c r="M835" s="45"/>
      <c r="N835" s="45"/>
      <c r="O835" s="45"/>
      <c r="P835" s="45"/>
      <c r="Q835" s="45"/>
      <c r="R835" s="45"/>
      <c r="S835" s="45"/>
      <c r="T835" s="45"/>
      <c r="U835" s="45"/>
      <c r="V835" s="45"/>
      <c r="W835" s="45"/>
      <c r="X835" s="45"/>
      <c r="Y835" s="45"/>
      <c r="Z835" s="45"/>
    </row>
    <row r="836">
      <c r="A836" s="52"/>
      <c r="B836" s="53"/>
      <c r="C836" s="53"/>
      <c r="D836" s="53"/>
      <c r="E836" s="45"/>
      <c r="F836" s="45"/>
      <c r="G836" s="45"/>
      <c r="H836" s="45"/>
      <c r="I836" s="45"/>
      <c r="J836" s="45"/>
      <c r="K836" s="45"/>
      <c r="L836" s="45"/>
      <c r="M836" s="45"/>
      <c r="N836" s="45"/>
      <c r="O836" s="45"/>
      <c r="P836" s="45"/>
      <c r="Q836" s="45"/>
      <c r="R836" s="45"/>
      <c r="S836" s="45"/>
      <c r="T836" s="45"/>
      <c r="U836" s="45"/>
      <c r="V836" s="45"/>
      <c r="W836" s="45"/>
      <c r="X836" s="45"/>
      <c r="Y836" s="45"/>
      <c r="Z836" s="45"/>
    </row>
    <row r="837">
      <c r="A837" s="52"/>
      <c r="B837" s="53"/>
      <c r="C837" s="53"/>
      <c r="D837" s="53"/>
      <c r="E837" s="45"/>
      <c r="F837" s="45"/>
      <c r="G837" s="45"/>
      <c r="H837" s="45"/>
      <c r="I837" s="45"/>
      <c r="J837" s="45"/>
      <c r="K837" s="45"/>
      <c r="L837" s="45"/>
      <c r="M837" s="45"/>
      <c r="N837" s="45"/>
      <c r="O837" s="45"/>
      <c r="P837" s="45"/>
      <c r="Q837" s="45"/>
      <c r="R837" s="45"/>
      <c r="S837" s="45"/>
      <c r="T837" s="45"/>
      <c r="U837" s="45"/>
      <c r="V837" s="45"/>
      <c r="W837" s="45"/>
      <c r="X837" s="45"/>
      <c r="Y837" s="45"/>
      <c r="Z837" s="45"/>
    </row>
    <row r="838">
      <c r="A838" s="52"/>
      <c r="B838" s="53"/>
      <c r="C838" s="53"/>
      <c r="D838" s="53"/>
      <c r="E838" s="45"/>
      <c r="F838" s="45"/>
      <c r="G838" s="45"/>
      <c r="H838" s="45"/>
      <c r="I838" s="45"/>
      <c r="J838" s="45"/>
      <c r="K838" s="45"/>
      <c r="L838" s="45"/>
      <c r="M838" s="45"/>
      <c r="N838" s="45"/>
      <c r="O838" s="45"/>
      <c r="P838" s="45"/>
      <c r="Q838" s="45"/>
      <c r="R838" s="45"/>
      <c r="S838" s="45"/>
      <c r="T838" s="45"/>
      <c r="U838" s="45"/>
      <c r="V838" s="45"/>
      <c r="W838" s="45"/>
      <c r="X838" s="45"/>
      <c r="Y838" s="45"/>
      <c r="Z838" s="45"/>
    </row>
    <row r="839">
      <c r="A839" s="52"/>
      <c r="B839" s="53"/>
      <c r="C839" s="53"/>
      <c r="D839" s="53"/>
      <c r="E839" s="45"/>
      <c r="F839" s="45"/>
      <c r="G839" s="45"/>
      <c r="H839" s="45"/>
      <c r="I839" s="45"/>
      <c r="J839" s="45"/>
      <c r="K839" s="45"/>
      <c r="L839" s="45"/>
      <c r="M839" s="45"/>
      <c r="N839" s="45"/>
      <c r="O839" s="45"/>
      <c r="P839" s="45"/>
      <c r="Q839" s="45"/>
      <c r="R839" s="45"/>
      <c r="S839" s="45"/>
      <c r="T839" s="45"/>
      <c r="U839" s="45"/>
      <c r="V839" s="45"/>
      <c r="W839" s="45"/>
      <c r="X839" s="45"/>
      <c r="Y839" s="45"/>
      <c r="Z839" s="45"/>
    </row>
    <row r="840">
      <c r="A840" s="52"/>
      <c r="B840" s="53"/>
      <c r="C840" s="53"/>
      <c r="D840" s="53"/>
      <c r="E840" s="45"/>
      <c r="F840" s="45"/>
      <c r="G840" s="45"/>
      <c r="H840" s="45"/>
      <c r="I840" s="45"/>
      <c r="J840" s="45"/>
      <c r="K840" s="45"/>
      <c r="L840" s="45"/>
      <c r="M840" s="45"/>
      <c r="N840" s="45"/>
      <c r="O840" s="45"/>
      <c r="P840" s="45"/>
      <c r="Q840" s="45"/>
      <c r="R840" s="45"/>
      <c r="S840" s="45"/>
      <c r="T840" s="45"/>
      <c r="U840" s="45"/>
      <c r="V840" s="45"/>
      <c r="W840" s="45"/>
      <c r="X840" s="45"/>
      <c r="Y840" s="45"/>
      <c r="Z840" s="45"/>
    </row>
    <row r="841">
      <c r="A841" s="52"/>
      <c r="B841" s="53"/>
      <c r="C841" s="53"/>
      <c r="D841" s="53"/>
      <c r="E841" s="45"/>
      <c r="F841" s="45"/>
      <c r="G841" s="45"/>
      <c r="H841" s="45"/>
      <c r="I841" s="45"/>
      <c r="J841" s="45"/>
      <c r="K841" s="45"/>
      <c r="L841" s="45"/>
      <c r="M841" s="45"/>
      <c r="N841" s="45"/>
      <c r="O841" s="45"/>
      <c r="P841" s="45"/>
      <c r="Q841" s="45"/>
      <c r="R841" s="45"/>
      <c r="S841" s="45"/>
      <c r="T841" s="45"/>
      <c r="U841" s="45"/>
      <c r="V841" s="45"/>
      <c r="W841" s="45"/>
      <c r="X841" s="45"/>
      <c r="Y841" s="45"/>
      <c r="Z841" s="45"/>
    </row>
    <row r="842">
      <c r="A842" s="52"/>
      <c r="B842" s="53"/>
      <c r="C842" s="53"/>
      <c r="D842" s="53"/>
      <c r="E842" s="45"/>
      <c r="F842" s="45"/>
      <c r="G842" s="45"/>
      <c r="H842" s="45"/>
      <c r="I842" s="45"/>
      <c r="J842" s="45"/>
      <c r="K842" s="45"/>
      <c r="L842" s="45"/>
      <c r="M842" s="45"/>
      <c r="N842" s="45"/>
      <c r="O842" s="45"/>
      <c r="P842" s="45"/>
      <c r="Q842" s="45"/>
      <c r="R842" s="45"/>
      <c r="S842" s="45"/>
      <c r="T842" s="45"/>
      <c r="U842" s="45"/>
      <c r="V842" s="45"/>
      <c r="W842" s="45"/>
      <c r="X842" s="45"/>
      <c r="Y842" s="45"/>
      <c r="Z842" s="45"/>
    </row>
    <row r="843">
      <c r="A843" s="52"/>
      <c r="B843" s="53"/>
      <c r="C843" s="53"/>
      <c r="D843" s="53"/>
      <c r="E843" s="45"/>
      <c r="F843" s="45"/>
      <c r="G843" s="45"/>
      <c r="H843" s="45"/>
      <c r="I843" s="45"/>
      <c r="J843" s="45"/>
      <c r="K843" s="45"/>
      <c r="L843" s="45"/>
      <c r="M843" s="45"/>
      <c r="N843" s="45"/>
      <c r="O843" s="45"/>
      <c r="P843" s="45"/>
      <c r="Q843" s="45"/>
      <c r="R843" s="45"/>
      <c r="S843" s="45"/>
      <c r="T843" s="45"/>
      <c r="U843" s="45"/>
      <c r="V843" s="45"/>
      <c r="W843" s="45"/>
      <c r="X843" s="45"/>
      <c r="Y843" s="45"/>
      <c r="Z843" s="45"/>
    </row>
    <row r="844">
      <c r="A844" s="52"/>
      <c r="B844" s="53"/>
      <c r="C844" s="53"/>
      <c r="D844" s="53"/>
      <c r="E844" s="45"/>
      <c r="F844" s="45"/>
      <c r="G844" s="45"/>
      <c r="H844" s="45"/>
      <c r="I844" s="45"/>
      <c r="J844" s="45"/>
      <c r="K844" s="45"/>
      <c r="L844" s="45"/>
      <c r="M844" s="45"/>
      <c r="N844" s="45"/>
      <c r="O844" s="45"/>
      <c r="P844" s="45"/>
      <c r="Q844" s="45"/>
      <c r="R844" s="45"/>
      <c r="S844" s="45"/>
      <c r="T844" s="45"/>
      <c r="U844" s="45"/>
      <c r="V844" s="45"/>
      <c r="W844" s="45"/>
      <c r="X844" s="45"/>
      <c r="Y844" s="45"/>
      <c r="Z844" s="45"/>
    </row>
    <row r="845">
      <c r="A845" s="52"/>
      <c r="B845" s="53"/>
      <c r="C845" s="53"/>
      <c r="D845" s="53"/>
      <c r="E845" s="45"/>
      <c r="F845" s="45"/>
      <c r="G845" s="45"/>
      <c r="H845" s="45"/>
      <c r="I845" s="45"/>
      <c r="J845" s="45"/>
      <c r="K845" s="45"/>
      <c r="L845" s="45"/>
      <c r="M845" s="45"/>
      <c r="N845" s="45"/>
      <c r="O845" s="45"/>
      <c r="P845" s="45"/>
      <c r="Q845" s="45"/>
      <c r="R845" s="45"/>
      <c r="S845" s="45"/>
      <c r="T845" s="45"/>
      <c r="U845" s="45"/>
      <c r="V845" s="45"/>
      <c r="W845" s="45"/>
      <c r="X845" s="45"/>
      <c r="Y845" s="45"/>
      <c r="Z845" s="45"/>
    </row>
    <row r="846">
      <c r="A846" s="52"/>
      <c r="B846" s="53"/>
      <c r="C846" s="53"/>
      <c r="D846" s="53"/>
      <c r="E846" s="45"/>
      <c r="F846" s="45"/>
      <c r="G846" s="45"/>
      <c r="H846" s="45"/>
      <c r="I846" s="45"/>
      <c r="J846" s="45"/>
      <c r="K846" s="45"/>
      <c r="L846" s="45"/>
      <c r="M846" s="45"/>
      <c r="N846" s="45"/>
      <c r="O846" s="45"/>
      <c r="P846" s="45"/>
      <c r="Q846" s="45"/>
      <c r="R846" s="45"/>
      <c r="S846" s="45"/>
      <c r="T846" s="45"/>
      <c r="U846" s="45"/>
      <c r="V846" s="45"/>
      <c r="W846" s="45"/>
      <c r="X846" s="45"/>
      <c r="Y846" s="45"/>
      <c r="Z846" s="45"/>
    </row>
    <row r="847">
      <c r="A847" s="52"/>
      <c r="B847" s="53"/>
      <c r="C847" s="53"/>
      <c r="D847" s="53"/>
      <c r="E847" s="45"/>
      <c r="F847" s="45"/>
      <c r="G847" s="45"/>
      <c r="H847" s="45"/>
      <c r="I847" s="45"/>
      <c r="J847" s="45"/>
      <c r="K847" s="45"/>
      <c r="L847" s="45"/>
      <c r="M847" s="45"/>
      <c r="N847" s="45"/>
      <c r="O847" s="45"/>
      <c r="P847" s="45"/>
      <c r="Q847" s="45"/>
      <c r="R847" s="45"/>
      <c r="S847" s="45"/>
      <c r="T847" s="45"/>
      <c r="U847" s="45"/>
      <c r="V847" s="45"/>
      <c r="W847" s="45"/>
      <c r="X847" s="45"/>
      <c r="Y847" s="45"/>
      <c r="Z847" s="45"/>
    </row>
    <row r="848">
      <c r="A848" s="52"/>
      <c r="B848" s="53"/>
      <c r="C848" s="53"/>
      <c r="D848" s="53"/>
      <c r="E848" s="45"/>
      <c r="F848" s="45"/>
      <c r="G848" s="45"/>
      <c r="H848" s="45"/>
      <c r="I848" s="45"/>
      <c r="J848" s="45"/>
      <c r="K848" s="45"/>
      <c r="L848" s="45"/>
      <c r="M848" s="45"/>
      <c r="N848" s="45"/>
      <c r="O848" s="45"/>
      <c r="P848" s="45"/>
      <c r="Q848" s="45"/>
      <c r="R848" s="45"/>
      <c r="S848" s="45"/>
      <c r="T848" s="45"/>
      <c r="U848" s="45"/>
      <c r="V848" s="45"/>
      <c r="W848" s="45"/>
      <c r="X848" s="45"/>
      <c r="Y848" s="45"/>
      <c r="Z848" s="45"/>
    </row>
    <row r="849">
      <c r="A849" s="52"/>
      <c r="B849" s="53"/>
      <c r="C849" s="53"/>
      <c r="D849" s="53"/>
      <c r="E849" s="45"/>
      <c r="F849" s="45"/>
      <c r="G849" s="45"/>
      <c r="H849" s="45"/>
      <c r="I849" s="45"/>
      <c r="J849" s="45"/>
      <c r="K849" s="45"/>
      <c r="L849" s="45"/>
      <c r="M849" s="45"/>
      <c r="N849" s="45"/>
      <c r="O849" s="45"/>
      <c r="P849" s="45"/>
      <c r="Q849" s="45"/>
      <c r="R849" s="45"/>
      <c r="S849" s="45"/>
      <c r="T849" s="45"/>
      <c r="U849" s="45"/>
      <c r="V849" s="45"/>
      <c r="W849" s="45"/>
      <c r="X849" s="45"/>
      <c r="Y849" s="45"/>
      <c r="Z849" s="45"/>
    </row>
    <row r="850">
      <c r="A850" s="52"/>
      <c r="B850" s="53"/>
      <c r="C850" s="53"/>
      <c r="D850" s="53"/>
      <c r="E850" s="45"/>
      <c r="F850" s="45"/>
      <c r="G850" s="45"/>
      <c r="H850" s="45"/>
      <c r="I850" s="45"/>
      <c r="J850" s="45"/>
      <c r="K850" s="45"/>
      <c r="L850" s="45"/>
      <c r="M850" s="45"/>
      <c r="N850" s="45"/>
      <c r="O850" s="45"/>
      <c r="P850" s="45"/>
      <c r="Q850" s="45"/>
      <c r="R850" s="45"/>
      <c r="S850" s="45"/>
      <c r="T850" s="45"/>
      <c r="U850" s="45"/>
      <c r="V850" s="45"/>
      <c r="W850" s="45"/>
      <c r="X850" s="45"/>
      <c r="Y850" s="45"/>
      <c r="Z850" s="45"/>
    </row>
    <row r="851">
      <c r="A851" s="52"/>
      <c r="B851" s="53"/>
      <c r="C851" s="53"/>
      <c r="D851" s="53"/>
      <c r="E851" s="45"/>
      <c r="F851" s="45"/>
      <c r="G851" s="45"/>
      <c r="H851" s="45"/>
      <c r="I851" s="45"/>
      <c r="J851" s="45"/>
      <c r="K851" s="45"/>
      <c r="L851" s="45"/>
      <c r="M851" s="45"/>
      <c r="N851" s="45"/>
      <c r="O851" s="45"/>
      <c r="P851" s="45"/>
      <c r="Q851" s="45"/>
      <c r="R851" s="45"/>
      <c r="S851" s="45"/>
      <c r="T851" s="45"/>
      <c r="U851" s="45"/>
      <c r="V851" s="45"/>
      <c r="W851" s="45"/>
      <c r="X851" s="45"/>
      <c r="Y851" s="45"/>
      <c r="Z851" s="45"/>
    </row>
    <row r="852">
      <c r="A852" s="52"/>
      <c r="B852" s="53"/>
      <c r="C852" s="53"/>
      <c r="D852" s="53"/>
      <c r="E852" s="45"/>
      <c r="F852" s="45"/>
      <c r="G852" s="45"/>
      <c r="H852" s="45"/>
      <c r="I852" s="45"/>
      <c r="J852" s="45"/>
      <c r="K852" s="45"/>
      <c r="L852" s="45"/>
      <c r="M852" s="45"/>
      <c r="N852" s="45"/>
      <c r="O852" s="45"/>
      <c r="P852" s="45"/>
      <c r="Q852" s="45"/>
      <c r="R852" s="45"/>
      <c r="S852" s="45"/>
      <c r="T852" s="45"/>
      <c r="U852" s="45"/>
      <c r="V852" s="45"/>
      <c r="W852" s="45"/>
      <c r="X852" s="45"/>
      <c r="Y852" s="45"/>
      <c r="Z852" s="45"/>
    </row>
    <row r="853">
      <c r="A853" s="52"/>
      <c r="B853" s="53"/>
      <c r="C853" s="53"/>
      <c r="D853" s="53"/>
      <c r="E853" s="45"/>
      <c r="F853" s="45"/>
      <c r="G853" s="45"/>
      <c r="H853" s="45"/>
      <c r="I853" s="45"/>
      <c r="J853" s="45"/>
      <c r="K853" s="45"/>
      <c r="L853" s="45"/>
      <c r="M853" s="45"/>
      <c r="N853" s="45"/>
      <c r="O853" s="45"/>
      <c r="P853" s="45"/>
      <c r="Q853" s="45"/>
      <c r="R853" s="45"/>
      <c r="S853" s="45"/>
      <c r="T853" s="45"/>
      <c r="U853" s="45"/>
      <c r="V853" s="45"/>
      <c r="W853" s="45"/>
      <c r="X853" s="45"/>
      <c r="Y853" s="45"/>
      <c r="Z853" s="45"/>
    </row>
    <row r="854">
      <c r="A854" s="52"/>
      <c r="B854" s="53"/>
      <c r="C854" s="53"/>
      <c r="D854" s="53"/>
      <c r="E854" s="45"/>
      <c r="F854" s="45"/>
      <c r="G854" s="45"/>
      <c r="H854" s="45"/>
      <c r="I854" s="45"/>
      <c r="J854" s="45"/>
      <c r="K854" s="45"/>
      <c r="L854" s="45"/>
      <c r="M854" s="45"/>
      <c r="N854" s="45"/>
      <c r="O854" s="45"/>
      <c r="P854" s="45"/>
      <c r="Q854" s="45"/>
      <c r="R854" s="45"/>
      <c r="S854" s="45"/>
      <c r="T854" s="45"/>
      <c r="U854" s="45"/>
      <c r="V854" s="45"/>
      <c r="W854" s="45"/>
      <c r="X854" s="45"/>
      <c r="Y854" s="45"/>
      <c r="Z854" s="45"/>
    </row>
    <row r="855">
      <c r="A855" s="52"/>
      <c r="B855" s="53"/>
      <c r="C855" s="53"/>
      <c r="D855" s="53"/>
      <c r="E855" s="45"/>
      <c r="F855" s="45"/>
      <c r="G855" s="45"/>
      <c r="H855" s="45"/>
      <c r="I855" s="45"/>
      <c r="J855" s="45"/>
      <c r="K855" s="45"/>
      <c r="L855" s="45"/>
      <c r="M855" s="45"/>
      <c r="N855" s="45"/>
      <c r="O855" s="45"/>
      <c r="P855" s="45"/>
      <c r="Q855" s="45"/>
      <c r="R855" s="45"/>
      <c r="S855" s="45"/>
      <c r="T855" s="45"/>
      <c r="U855" s="45"/>
      <c r="V855" s="45"/>
      <c r="W855" s="45"/>
      <c r="X855" s="45"/>
      <c r="Y855" s="45"/>
      <c r="Z855" s="45"/>
    </row>
    <row r="856">
      <c r="A856" s="52"/>
      <c r="B856" s="53"/>
      <c r="C856" s="53"/>
      <c r="D856" s="53"/>
      <c r="E856" s="45"/>
      <c r="F856" s="45"/>
      <c r="G856" s="45"/>
      <c r="H856" s="45"/>
      <c r="I856" s="45"/>
      <c r="J856" s="45"/>
      <c r="K856" s="45"/>
      <c r="L856" s="45"/>
      <c r="M856" s="45"/>
      <c r="N856" s="45"/>
      <c r="O856" s="45"/>
      <c r="P856" s="45"/>
      <c r="Q856" s="45"/>
      <c r="R856" s="45"/>
      <c r="S856" s="45"/>
      <c r="T856" s="45"/>
      <c r="U856" s="45"/>
      <c r="V856" s="45"/>
      <c r="W856" s="45"/>
      <c r="X856" s="45"/>
      <c r="Y856" s="45"/>
      <c r="Z856" s="45"/>
    </row>
    <row r="857">
      <c r="A857" s="52"/>
      <c r="B857" s="53"/>
      <c r="C857" s="53"/>
      <c r="D857" s="53"/>
      <c r="E857" s="45"/>
      <c r="F857" s="45"/>
      <c r="G857" s="45"/>
      <c r="H857" s="45"/>
      <c r="I857" s="45"/>
      <c r="J857" s="45"/>
      <c r="K857" s="45"/>
      <c r="L857" s="45"/>
      <c r="M857" s="45"/>
      <c r="N857" s="45"/>
      <c r="O857" s="45"/>
      <c r="P857" s="45"/>
      <c r="Q857" s="45"/>
      <c r="R857" s="45"/>
      <c r="S857" s="45"/>
      <c r="T857" s="45"/>
      <c r="U857" s="45"/>
      <c r="V857" s="45"/>
      <c r="W857" s="45"/>
      <c r="X857" s="45"/>
      <c r="Y857" s="45"/>
      <c r="Z857" s="45"/>
    </row>
    <row r="858">
      <c r="A858" s="52"/>
      <c r="B858" s="53"/>
      <c r="C858" s="53"/>
      <c r="D858" s="53"/>
      <c r="E858" s="45"/>
      <c r="F858" s="45"/>
      <c r="G858" s="45"/>
      <c r="H858" s="45"/>
      <c r="I858" s="45"/>
      <c r="J858" s="45"/>
      <c r="K858" s="45"/>
      <c r="L858" s="45"/>
      <c r="M858" s="45"/>
      <c r="N858" s="45"/>
      <c r="O858" s="45"/>
      <c r="P858" s="45"/>
      <c r="Q858" s="45"/>
      <c r="R858" s="45"/>
      <c r="S858" s="45"/>
      <c r="T858" s="45"/>
      <c r="U858" s="45"/>
      <c r="V858" s="45"/>
      <c r="W858" s="45"/>
      <c r="X858" s="45"/>
      <c r="Y858" s="45"/>
      <c r="Z858" s="45"/>
    </row>
    <row r="859">
      <c r="A859" s="52"/>
      <c r="B859" s="53"/>
      <c r="C859" s="53"/>
      <c r="D859" s="53"/>
      <c r="E859" s="45"/>
      <c r="F859" s="45"/>
      <c r="G859" s="45"/>
      <c r="H859" s="45"/>
      <c r="I859" s="45"/>
      <c r="J859" s="45"/>
      <c r="K859" s="45"/>
      <c r="L859" s="45"/>
      <c r="M859" s="45"/>
      <c r="N859" s="45"/>
      <c r="O859" s="45"/>
      <c r="P859" s="45"/>
      <c r="Q859" s="45"/>
      <c r="R859" s="45"/>
      <c r="S859" s="45"/>
      <c r="T859" s="45"/>
      <c r="U859" s="45"/>
      <c r="V859" s="45"/>
      <c r="W859" s="45"/>
      <c r="X859" s="45"/>
      <c r="Y859" s="45"/>
      <c r="Z859" s="45"/>
    </row>
    <row r="860">
      <c r="A860" s="52"/>
      <c r="B860" s="53"/>
      <c r="C860" s="53"/>
      <c r="D860" s="53"/>
      <c r="E860" s="45"/>
      <c r="F860" s="45"/>
      <c r="G860" s="45"/>
      <c r="H860" s="45"/>
      <c r="I860" s="45"/>
      <c r="J860" s="45"/>
      <c r="K860" s="45"/>
      <c r="L860" s="45"/>
      <c r="M860" s="45"/>
      <c r="N860" s="45"/>
      <c r="O860" s="45"/>
      <c r="P860" s="45"/>
      <c r="Q860" s="45"/>
      <c r="R860" s="45"/>
      <c r="S860" s="45"/>
      <c r="T860" s="45"/>
      <c r="U860" s="45"/>
      <c r="V860" s="45"/>
      <c r="W860" s="45"/>
      <c r="X860" s="45"/>
      <c r="Y860" s="45"/>
      <c r="Z860" s="45"/>
    </row>
    <row r="861">
      <c r="A861" s="52"/>
      <c r="B861" s="53"/>
      <c r="C861" s="53"/>
      <c r="D861" s="53"/>
      <c r="E861" s="45"/>
      <c r="F861" s="45"/>
      <c r="G861" s="45"/>
      <c r="H861" s="45"/>
      <c r="I861" s="45"/>
      <c r="J861" s="45"/>
      <c r="K861" s="45"/>
      <c r="L861" s="45"/>
      <c r="M861" s="45"/>
      <c r="N861" s="45"/>
      <c r="O861" s="45"/>
      <c r="P861" s="45"/>
      <c r="Q861" s="45"/>
      <c r="R861" s="45"/>
      <c r="S861" s="45"/>
      <c r="T861" s="45"/>
      <c r="U861" s="45"/>
      <c r="V861" s="45"/>
      <c r="W861" s="45"/>
      <c r="X861" s="45"/>
      <c r="Y861" s="45"/>
      <c r="Z861" s="45"/>
    </row>
    <row r="862">
      <c r="A862" s="52"/>
      <c r="B862" s="53"/>
      <c r="C862" s="53"/>
      <c r="D862" s="53"/>
      <c r="E862" s="45"/>
      <c r="F862" s="45"/>
      <c r="G862" s="45"/>
      <c r="H862" s="45"/>
      <c r="I862" s="45"/>
      <c r="J862" s="45"/>
      <c r="K862" s="45"/>
      <c r="L862" s="45"/>
      <c r="M862" s="45"/>
      <c r="N862" s="45"/>
      <c r="O862" s="45"/>
      <c r="P862" s="45"/>
      <c r="Q862" s="45"/>
      <c r="R862" s="45"/>
      <c r="S862" s="45"/>
      <c r="T862" s="45"/>
      <c r="U862" s="45"/>
      <c r="V862" s="45"/>
      <c r="W862" s="45"/>
      <c r="X862" s="45"/>
      <c r="Y862" s="45"/>
      <c r="Z862" s="45"/>
    </row>
    <row r="863">
      <c r="A863" s="52"/>
      <c r="B863" s="53"/>
      <c r="C863" s="53"/>
      <c r="D863" s="53"/>
      <c r="E863" s="45"/>
      <c r="F863" s="45"/>
      <c r="G863" s="45"/>
      <c r="H863" s="45"/>
      <c r="I863" s="45"/>
      <c r="J863" s="45"/>
      <c r="K863" s="45"/>
      <c r="L863" s="45"/>
      <c r="M863" s="45"/>
      <c r="N863" s="45"/>
      <c r="O863" s="45"/>
      <c r="P863" s="45"/>
      <c r="Q863" s="45"/>
      <c r="R863" s="45"/>
      <c r="S863" s="45"/>
      <c r="T863" s="45"/>
      <c r="U863" s="45"/>
      <c r="V863" s="45"/>
      <c r="W863" s="45"/>
      <c r="X863" s="45"/>
      <c r="Y863" s="45"/>
      <c r="Z863" s="45"/>
    </row>
    <row r="864">
      <c r="A864" s="52"/>
      <c r="B864" s="53"/>
      <c r="C864" s="53"/>
      <c r="D864" s="53"/>
      <c r="E864" s="45"/>
      <c r="F864" s="45"/>
      <c r="G864" s="45"/>
      <c r="H864" s="45"/>
      <c r="I864" s="45"/>
      <c r="J864" s="45"/>
      <c r="K864" s="45"/>
      <c r="L864" s="45"/>
      <c r="M864" s="45"/>
      <c r="N864" s="45"/>
      <c r="O864" s="45"/>
      <c r="P864" s="45"/>
      <c r="Q864" s="45"/>
      <c r="R864" s="45"/>
      <c r="S864" s="45"/>
      <c r="T864" s="45"/>
      <c r="U864" s="45"/>
      <c r="V864" s="45"/>
      <c r="W864" s="45"/>
      <c r="X864" s="45"/>
      <c r="Y864" s="45"/>
      <c r="Z864" s="45"/>
    </row>
    <row r="865">
      <c r="A865" s="52"/>
      <c r="B865" s="53"/>
      <c r="C865" s="53"/>
      <c r="D865" s="53"/>
      <c r="E865" s="45"/>
      <c r="F865" s="45"/>
      <c r="G865" s="45"/>
      <c r="H865" s="45"/>
      <c r="I865" s="45"/>
      <c r="J865" s="45"/>
      <c r="K865" s="45"/>
      <c r="L865" s="45"/>
      <c r="M865" s="45"/>
      <c r="N865" s="45"/>
      <c r="O865" s="45"/>
      <c r="P865" s="45"/>
      <c r="Q865" s="45"/>
      <c r="R865" s="45"/>
      <c r="S865" s="45"/>
      <c r="T865" s="45"/>
      <c r="U865" s="45"/>
      <c r="V865" s="45"/>
      <c r="W865" s="45"/>
      <c r="X865" s="45"/>
      <c r="Y865" s="45"/>
      <c r="Z865" s="45"/>
    </row>
    <row r="866">
      <c r="A866" s="52"/>
      <c r="B866" s="53"/>
      <c r="C866" s="53"/>
      <c r="D866" s="53"/>
      <c r="E866" s="45"/>
      <c r="F866" s="45"/>
      <c r="G866" s="45"/>
      <c r="H866" s="45"/>
      <c r="I866" s="45"/>
      <c r="J866" s="45"/>
      <c r="K866" s="45"/>
      <c r="L866" s="45"/>
      <c r="M866" s="45"/>
      <c r="N866" s="45"/>
      <c r="O866" s="45"/>
      <c r="P866" s="45"/>
      <c r="Q866" s="45"/>
      <c r="R866" s="45"/>
      <c r="S866" s="45"/>
      <c r="T866" s="45"/>
      <c r="U866" s="45"/>
      <c r="V866" s="45"/>
      <c r="W866" s="45"/>
      <c r="X866" s="45"/>
      <c r="Y866" s="45"/>
      <c r="Z866" s="45"/>
    </row>
    <row r="867">
      <c r="A867" s="52"/>
      <c r="B867" s="53"/>
      <c r="C867" s="53"/>
      <c r="D867" s="53"/>
      <c r="E867" s="45"/>
      <c r="F867" s="45"/>
      <c r="G867" s="45"/>
      <c r="H867" s="45"/>
      <c r="I867" s="45"/>
      <c r="J867" s="45"/>
      <c r="K867" s="45"/>
      <c r="L867" s="45"/>
      <c r="M867" s="45"/>
      <c r="N867" s="45"/>
      <c r="O867" s="45"/>
      <c r="P867" s="45"/>
      <c r="Q867" s="45"/>
      <c r="R867" s="45"/>
      <c r="S867" s="45"/>
      <c r="T867" s="45"/>
      <c r="U867" s="45"/>
      <c r="V867" s="45"/>
      <c r="W867" s="45"/>
      <c r="X867" s="45"/>
      <c r="Y867" s="45"/>
      <c r="Z867" s="45"/>
    </row>
    <row r="868">
      <c r="A868" s="52"/>
      <c r="B868" s="53"/>
      <c r="C868" s="53"/>
      <c r="D868" s="53"/>
      <c r="E868" s="45"/>
      <c r="F868" s="45"/>
      <c r="G868" s="45"/>
      <c r="H868" s="45"/>
      <c r="I868" s="45"/>
      <c r="J868" s="45"/>
      <c r="K868" s="45"/>
      <c r="L868" s="45"/>
      <c r="M868" s="45"/>
      <c r="N868" s="45"/>
      <c r="O868" s="45"/>
      <c r="P868" s="45"/>
      <c r="Q868" s="45"/>
      <c r="R868" s="45"/>
      <c r="S868" s="45"/>
      <c r="T868" s="45"/>
      <c r="U868" s="45"/>
      <c r="V868" s="45"/>
      <c r="W868" s="45"/>
      <c r="X868" s="45"/>
      <c r="Y868" s="45"/>
      <c r="Z868" s="45"/>
    </row>
    <row r="869">
      <c r="A869" s="52"/>
      <c r="B869" s="53"/>
      <c r="C869" s="53"/>
      <c r="D869" s="53"/>
      <c r="E869" s="45"/>
      <c r="F869" s="45"/>
      <c r="G869" s="45"/>
      <c r="H869" s="45"/>
      <c r="I869" s="45"/>
      <c r="J869" s="45"/>
      <c r="K869" s="45"/>
      <c r="L869" s="45"/>
      <c r="M869" s="45"/>
      <c r="N869" s="45"/>
      <c r="O869" s="45"/>
      <c r="P869" s="45"/>
      <c r="Q869" s="45"/>
      <c r="R869" s="45"/>
      <c r="S869" s="45"/>
      <c r="T869" s="45"/>
      <c r="U869" s="45"/>
      <c r="V869" s="45"/>
      <c r="W869" s="45"/>
      <c r="X869" s="45"/>
      <c r="Y869" s="45"/>
      <c r="Z869" s="45"/>
    </row>
    <row r="870">
      <c r="A870" s="52"/>
      <c r="B870" s="53"/>
      <c r="C870" s="53"/>
      <c r="D870" s="53"/>
      <c r="E870" s="45"/>
      <c r="F870" s="45"/>
      <c r="G870" s="45"/>
      <c r="H870" s="45"/>
      <c r="I870" s="45"/>
      <c r="J870" s="45"/>
      <c r="K870" s="45"/>
      <c r="L870" s="45"/>
      <c r="M870" s="45"/>
      <c r="N870" s="45"/>
      <c r="O870" s="45"/>
      <c r="P870" s="45"/>
      <c r="Q870" s="45"/>
      <c r="R870" s="45"/>
      <c r="S870" s="45"/>
      <c r="T870" s="45"/>
      <c r="U870" s="45"/>
      <c r="V870" s="45"/>
      <c r="W870" s="45"/>
      <c r="X870" s="45"/>
      <c r="Y870" s="45"/>
      <c r="Z870" s="45"/>
    </row>
    <row r="871">
      <c r="A871" s="52"/>
      <c r="B871" s="53"/>
      <c r="C871" s="53"/>
      <c r="D871" s="53"/>
      <c r="E871" s="45"/>
      <c r="F871" s="45"/>
      <c r="G871" s="45"/>
      <c r="H871" s="45"/>
      <c r="I871" s="45"/>
      <c r="J871" s="45"/>
      <c r="K871" s="45"/>
      <c r="L871" s="45"/>
      <c r="M871" s="45"/>
      <c r="N871" s="45"/>
      <c r="O871" s="45"/>
      <c r="P871" s="45"/>
      <c r="Q871" s="45"/>
      <c r="R871" s="45"/>
      <c r="S871" s="45"/>
      <c r="T871" s="45"/>
      <c r="U871" s="45"/>
      <c r="V871" s="45"/>
      <c r="W871" s="45"/>
      <c r="X871" s="45"/>
      <c r="Y871" s="45"/>
      <c r="Z871" s="45"/>
    </row>
    <row r="872">
      <c r="A872" s="52"/>
      <c r="B872" s="53"/>
      <c r="C872" s="53"/>
      <c r="D872" s="53"/>
      <c r="E872" s="45"/>
      <c r="F872" s="45"/>
      <c r="G872" s="45"/>
      <c r="H872" s="45"/>
      <c r="I872" s="45"/>
      <c r="J872" s="45"/>
      <c r="K872" s="45"/>
      <c r="L872" s="45"/>
      <c r="M872" s="45"/>
      <c r="N872" s="45"/>
      <c r="O872" s="45"/>
      <c r="P872" s="45"/>
      <c r="Q872" s="45"/>
      <c r="R872" s="45"/>
      <c r="S872" s="45"/>
      <c r="T872" s="45"/>
      <c r="U872" s="45"/>
      <c r="V872" s="45"/>
      <c r="W872" s="45"/>
      <c r="X872" s="45"/>
      <c r="Y872" s="45"/>
      <c r="Z872" s="45"/>
    </row>
    <row r="873">
      <c r="A873" s="52"/>
      <c r="B873" s="53"/>
      <c r="C873" s="53"/>
      <c r="D873" s="53"/>
      <c r="E873" s="45"/>
      <c r="F873" s="45"/>
      <c r="G873" s="45"/>
      <c r="H873" s="45"/>
      <c r="I873" s="45"/>
      <c r="J873" s="45"/>
      <c r="K873" s="45"/>
      <c r="L873" s="45"/>
      <c r="M873" s="45"/>
      <c r="N873" s="45"/>
      <c r="O873" s="45"/>
      <c r="P873" s="45"/>
      <c r="Q873" s="45"/>
      <c r="R873" s="45"/>
      <c r="S873" s="45"/>
      <c r="T873" s="45"/>
      <c r="U873" s="45"/>
      <c r="V873" s="45"/>
      <c r="W873" s="45"/>
      <c r="X873" s="45"/>
      <c r="Y873" s="45"/>
      <c r="Z873" s="45"/>
    </row>
    <row r="874">
      <c r="A874" s="52"/>
      <c r="B874" s="53"/>
      <c r="C874" s="53"/>
      <c r="D874" s="53"/>
      <c r="E874" s="45"/>
      <c r="F874" s="45"/>
      <c r="G874" s="45"/>
      <c r="H874" s="45"/>
      <c r="I874" s="45"/>
      <c r="J874" s="45"/>
      <c r="K874" s="45"/>
      <c r="L874" s="45"/>
      <c r="M874" s="45"/>
      <c r="N874" s="45"/>
      <c r="O874" s="45"/>
      <c r="P874" s="45"/>
      <c r="Q874" s="45"/>
      <c r="R874" s="45"/>
      <c r="S874" s="45"/>
      <c r="T874" s="45"/>
      <c r="U874" s="45"/>
      <c r="V874" s="45"/>
      <c r="W874" s="45"/>
      <c r="X874" s="45"/>
      <c r="Y874" s="45"/>
      <c r="Z874" s="45"/>
    </row>
    <row r="875">
      <c r="A875" s="52"/>
      <c r="B875" s="53"/>
      <c r="C875" s="53"/>
      <c r="D875" s="53"/>
      <c r="E875" s="45"/>
      <c r="F875" s="45"/>
      <c r="G875" s="45"/>
      <c r="H875" s="45"/>
      <c r="I875" s="45"/>
      <c r="J875" s="45"/>
      <c r="K875" s="45"/>
      <c r="L875" s="45"/>
      <c r="M875" s="45"/>
      <c r="N875" s="45"/>
      <c r="O875" s="45"/>
      <c r="P875" s="45"/>
      <c r="Q875" s="45"/>
      <c r="R875" s="45"/>
      <c r="S875" s="45"/>
      <c r="T875" s="45"/>
      <c r="U875" s="45"/>
      <c r="V875" s="45"/>
      <c r="W875" s="45"/>
      <c r="X875" s="45"/>
      <c r="Y875" s="45"/>
      <c r="Z875" s="45"/>
    </row>
    <row r="876">
      <c r="A876" s="52"/>
      <c r="B876" s="53"/>
      <c r="C876" s="53"/>
      <c r="D876" s="53"/>
      <c r="E876" s="45"/>
      <c r="F876" s="45"/>
      <c r="G876" s="45"/>
      <c r="H876" s="45"/>
      <c r="I876" s="45"/>
      <c r="J876" s="45"/>
      <c r="K876" s="45"/>
      <c r="L876" s="45"/>
      <c r="M876" s="45"/>
      <c r="N876" s="45"/>
      <c r="O876" s="45"/>
      <c r="P876" s="45"/>
      <c r="Q876" s="45"/>
      <c r="R876" s="45"/>
      <c r="S876" s="45"/>
      <c r="T876" s="45"/>
      <c r="U876" s="45"/>
      <c r="V876" s="45"/>
      <c r="W876" s="45"/>
      <c r="X876" s="45"/>
      <c r="Y876" s="45"/>
      <c r="Z876" s="45"/>
    </row>
    <row r="877">
      <c r="A877" s="52"/>
      <c r="B877" s="53"/>
      <c r="C877" s="53"/>
      <c r="D877" s="53"/>
      <c r="E877" s="45"/>
      <c r="F877" s="45"/>
      <c r="G877" s="45"/>
      <c r="H877" s="45"/>
      <c r="I877" s="45"/>
      <c r="J877" s="45"/>
      <c r="K877" s="45"/>
      <c r="L877" s="45"/>
      <c r="M877" s="45"/>
      <c r="N877" s="45"/>
      <c r="O877" s="45"/>
      <c r="P877" s="45"/>
      <c r="Q877" s="45"/>
      <c r="R877" s="45"/>
      <c r="S877" s="45"/>
      <c r="T877" s="45"/>
      <c r="U877" s="45"/>
      <c r="V877" s="45"/>
      <c r="W877" s="45"/>
      <c r="X877" s="45"/>
      <c r="Y877" s="45"/>
      <c r="Z877" s="45"/>
    </row>
    <row r="878">
      <c r="A878" s="52"/>
      <c r="B878" s="53"/>
      <c r="C878" s="53"/>
      <c r="D878" s="53"/>
      <c r="E878" s="45"/>
      <c r="F878" s="45"/>
      <c r="G878" s="45"/>
      <c r="H878" s="45"/>
      <c r="I878" s="45"/>
      <c r="J878" s="45"/>
      <c r="K878" s="45"/>
      <c r="L878" s="45"/>
      <c r="M878" s="45"/>
      <c r="N878" s="45"/>
      <c r="O878" s="45"/>
      <c r="P878" s="45"/>
      <c r="Q878" s="45"/>
      <c r="R878" s="45"/>
      <c r="S878" s="45"/>
      <c r="T878" s="45"/>
      <c r="U878" s="45"/>
      <c r="V878" s="45"/>
      <c r="W878" s="45"/>
      <c r="X878" s="45"/>
      <c r="Y878" s="45"/>
      <c r="Z878" s="45"/>
    </row>
    <row r="879">
      <c r="A879" s="52"/>
      <c r="B879" s="53"/>
      <c r="C879" s="53"/>
      <c r="D879" s="53"/>
      <c r="E879" s="45"/>
      <c r="F879" s="45"/>
      <c r="G879" s="45"/>
      <c r="H879" s="45"/>
      <c r="I879" s="45"/>
      <c r="J879" s="45"/>
      <c r="K879" s="45"/>
      <c r="L879" s="45"/>
      <c r="M879" s="45"/>
      <c r="N879" s="45"/>
      <c r="O879" s="45"/>
      <c r="P879" s="45"/>
      <c r="Q879" s="45"/>
      <c r="R879" s="45"/>
      <c r="S879" s="45"/>
      <c r="T879" s="45"/>
      <c r="U879" s="45"/>
      <c r="V879" s="45"/>
      <c r="W879" s="45"/>
      <c r="X879" s="45"/>
      <c r="Y879" s="45"/>
      <c r="Z879" s="45"/>
    </row>
    <row r="880">
      <c r="A880" s="52"/>
      <c r="B880" s="53"/>
      <c r="C880" s="53"/>
      <c r="D880" s="53"/>
      <c r="E880" s="45"/>
      <c r="F880" s="45"/>
      <c r="G880" s="45"/>
      <c r="H880" s="45"/>
      <c r="I880" s="45"/>
      <c r="J880" s="45"/>
      <c r="K880" s="45"/>
      <c r="L880" s="45"/>
      <c r="M880" s="45"/>
      <c r="N880" s="45"/>
      <c r="O880" s="45"/>
      <c r="P880" s="45"/>
      <c r="Q880" s="45"/>
      <c r="R880" s="45"/>
      <c r="S880" s="45"/>
      <c r="T880" s="45"/>
      <c r="U880" s="45"/>
      <c r="V880" s="45"/>
      <c r="W880" s="45"/>
      <c r="X880" s="45"/>
      <c r="Y880" s="45"/>
      <c r="Z880" s="45"/>
    </row>
    <row r="881">
      <c r="A881" s="52"/>
      <c r="B881" s="53"/>
      <c r="C881" s="53"/>
      <c r="D881" s="53"/>
      <c r="E881" s="45"/>
      <c r="F881" s="45"/>
      <c r="G881" s="45"/>
      <c r="H881" s="45"/>
      <c r="I881" s="45"/>
      <c r="J881" s="45"/>
      <c r="K881" s="45"/>
      <c r="L881" s="45"/>
      <c r="M881" s="45"/>
      <c r="N881" s="45"/>
      <c r="O881" s="45"/>
      <c r="P881" s="45"/>
      <c r="Q881" s="45"/>
      <c r="R881" s="45"/>
      <c r="S881" s="45"/>
      <c r="T881" s="45"/>
      <c r="U881" s="45"/>
      <c r="V881" s="45"/>
      <c r="W881" s="45"/>
      <c r="X881" s="45"/>
      <c r="Y881" s="45"/>
      <c r="Z881" s="45"/>
    </row>
    <row r="882">
      <c r="A882" s="52"/>
      <c r="B882" s="53"/>
      <c r="C882" s="53"/>
      <c r="D882" s="53"/>
      <c r="E882" s="45"/>
      <c r="F882" s="45"/>
      <c r="G882" s="45"/>
      <c r="H882" s="45"/>
      <c r="I882" s="45"/>
      <c r="J882" s="45"/>
      <c r="K882" s="45"/>
      <c r="L882" s="45"/>
      <c r="M882" s="45"/>
      <c r="N882" s="45"/>
      <c r="O882" s="45"/>
      <c r="P882" s="45"/>
      <c r="Q882" s="45"/>
      <c r="R882" s="45"/>
      <c r="S882" s="45"/>
      <c r="T882" s="45"/>
      <c r="U882" s="45"/>
      <c r="V882" s="45"/>
      <c r="W882" s="45"/>
      <c r="X882" s="45"/>
      <c r="Y882" s="45"/>
      <c r="Z882" s="45"/>
    </row>
    <row r="883">
      <c r="A883" s="52"/>
      <c r="B883" s="53"/>
      <c r="C883" s="53"/>
      <c r="D883" s="53"/>
      <c r="E883" s="45"/>
      <c r="F883" s="45"/>
      <c r="G883" s="45"/>
      <c r="H883" s="45"/>
      <c r="I883" s="45"/>
      <c r="J883" s="45"/>
      <c r="K883" s="45"/>
      <c r="L883" s="45"/>
      <c r="M883" s="45"/>
      <c r="N883" s="45"/>
      <c r="O883" s="45"/>
      <c r="P883" s="45"/>
      <c r="Q883" s="45"/>
      <c r="R883" s="45"/>
      <c r="S883" s="45"/>
      <c r="T883" s="45"/>
      <c r="U883" s="45"/>
      <c r="V883" s="45"/>
      <c r="W883" s="45"/>
      <c r="X883" s="45"/>
      <c r="Y883" s="45"/>
      <c r="Z883" s="45"/>
    </row>
    <row r="884">
      <c r="A884" s="52"/>
      <c r="B884" s="53"/>
      <c r="C884" s="53"/>
      <c r="D884" s="53"/>
      <c r="E884" s="45"/>
      <c r="F884" s="45"/>
      <c r="G884" s="45"/>
      <c r="H884" s="45"/>
      <c r="I884" s="45"/>
      <c r="J884" s="45"/>
      <c r="K884" s="45"/>
      <c r="L884" s="45"/>
      <c r="M884" s="45"/>
      <c r="N884" s="45"/>
      <c r="O884" s="45"/>
      <c r="P884" s="45"/>
      <c r="Q884" s="45"/>
      <c r="R884" s="45"/>
      <c r="S884" s="45"/>
      <c r="T884" s="45"/>
      <c r="U884" s="45"/>
      <c r="V884" s="45"/>
      <c r="W884" s="45"/>
      <c r="X884" s="45"/>
      <c r="Y884" s="45"/>
      <c r="Z884" s="45"/>
    </row>
    <row r="885">
      <c r="A885" s="52"/>
      <c r="B885" s="53"/>
      <c r="C885" s="53"/>
      <c r="D885" s="53"/>
      <c r="E885" s="45"/>
      <c r="F885" s="45"/>
      <c r="G885" s="45"/>
      <c r="H885" s="45"/>
      <c r="I885" s="45"/>
      <c r="J885" s="45"/>
      <c r="K885" s="45"/>
      <c r="L885" s="45"/>
      <c r="M885" s="45"/>
      <c r="N885" s="45"/>
      <c r="O885" s="45"/>
      <c r="P885" s="45"/>
      <c r="Q885" s="45"/>
      <c r="R885" s="45"/>
      <c r="S885" s="45"/>
      <c r="T885" s="45"/>
      <c r="U885" s="45"/>
      <c r="V885" s="45"/>
      <c r="W885" s="45"/>
      <c r="X885" s="45"/>
      <c r="Y885" s="45"/>
      <c r="Z885" s="45"/>
    </row>
    <row r="886">
      <c r="A886" s="52"/>
      <c r="B886" s="53"/>
      <c r="C886" s="53"/>
      <c r="D886" s="53"/>
      <c r="E886" s="45"/>
      <c r="F886" s="45"/>
      <c r="G886" s="45"/>
      <c r="H886" s="45"/>
      <c r="I886" s="45"/>
      <c r="J886" s="45"/>
      <c r="K886" s="45"/>
      <c r="L886" s="45"/>
      <c r="M886" s="45"/>
      <c r="N886" s="45"/>
      <c r="O886" s="45"/>
      <c r="P886" s="45"/>
      <c r="Q886" s="45"/>
      <c r="R886" s="45"/>
      <c r="S886" s="45"/>
      <c r="T886" s="45"/>
      <c r="U886" s="45"/>
      <c r="V886" s="45"/>
      <c r="W886" s="45"/>
      <c r="X886" s="45"/>
      <c r="Y886" s="45"/>
      <c r="Z886" s="45"/>
    </row>
    <row r="887">
      <c r="A887" s="52"/>
      <c r="B887" s="53"/>
      <c r="C887" s="53"/>
      <c r="D887" s="53"/>
      <c r="E887" s="45"/>
      <c r="F887" s="45"/>
      <c r="G887" s="45"/>
      <c r="H887" s="45"/>
      <c r="I887" s="45"/>
      <c r="J887" s="45"/>
      <c r="K887" s="45"/>
      <c r="L887" s="45"/>
      <c r="M887" s="45"/>
      <c r="N887" s="45"/>
      <c r="O887" s="45"/>
      <c r="P887" s="45"/>
      <c r="Q887" s="45"/>
      <c r="R887" s="45"/>
      <c r="S887" s="45"/>
      <c r="T887" s="45"/>
      <c r="U887" s="45"/>
      <c r="V887" s="45"/>
      <c r="W887" s="45"/>
      <c r="X887" s="45"/>
      <c r="Y887" s="45"/>
      <c r="Z887" s="45"/>
    </row>
    <row r="888">
      <c r="A888" s="52"/>
      <c r="B888" s="53"/>
      <c r="C888" s="53"/>
      <c r="D888" s="53"/>
      <c r="E888" s="45"/>
      <c r="F888" s="45"/>
      <c r="G888" s="45"/>
      <c r="H888" s="45"/>
      <c r="I888" s="45"/>
      <c r="J888" s="45"/>
      <c r="K888" s="45"/>
      <c r="L888" s="45"/>
      <c r="M888" s="45"/>
      <c r="N888" s="45"/>
      <c r="O888" s="45"/>
      <c r="P888" s="45"/>
      <c r="Q888" s="45"/>
      <c r="R888" s="45"/>
      <c r="S888" s="45"/>
      <c r="T888" s="45"/>
      <c r="U888" s="45"/>
      <c r="V888" s="45"/>
      <c r="W888" s="45"/>
      <c r="X888" s="45"/>
      <c r="Y888" s="45"/>
      <c r="Z888" s="45"/>
    </row>
    <row r="889">
      <c r="A889" s="52"/>
      <c r="B889" s="53"/>
      <c r="C889" s="53"/>
      <c r="D889" s="53"/>
      <c r="E889" s="45"/>
      <c r="F889" s="45"/>
      <c r="G889" s="45"/>
      <c r="H889" s="45"/>
      <c r="I889" s="45"/>
      <c r="J889" s="45"/>
      <c r="K889" s="45"/>
      <c r="L889" s="45"/>
      <c r="M889" s="45"/>
      <c r="N889" s="45"/>
      <c r="O889" s="45"/>
      <c r="P889" s="45"/>
      <c r="Q889" s="45"/>
      <c r="R889" s="45"/>
      <c r="S889" s="45"/>
      <c r="T889" s="45"/>
      <c r="U889" s="45"/>
      <c r="V889" s="45"/>
      <c r="W889" s="45"/>
      <c r="X889" s="45"/>
      <c r="Y889" s="45"/>
      <c r="Z889" s="45"/>
    </row>
    <row r="890">
      <c r="A890" s="52"/>
      <c r="B890" s="53"/>
      <c r="C890" s="53"/>
      <c r="D890" s="53"/>
      <c r="E890" s="45"/>
      <c r="F890" s="45"/>
      <c r="G890" s="45"/>
      <c r="H890" s="45"/>
      <c r="I890" s="45"/>
      <c r="J890" s="45"/>
      <c r="K890" s="45"/>
      <c r="L890" s="45"/>
      <c r="M890" s="45"/>
      <c r="N890" s="45"/>
      <c r="O890" s="45"/>
      <c r="P890" s="45"/>
      <c r="Q890" s="45"/>
      <c r="R890" s="45"/>
      <c r="S890" s="45"/>
      <c r="T890" s="45"/>
      <c r="U890" s="45"/>
      <c r="V890" s="45"/>
      <c r="W890" s="45"/>
      <c r="X890" s="45"/>
      <c r="Y890" s="45"/>
      <c r="Z890" s="45"/>
    </row>
    <row r="891">
      <c r="A891" s="52"/>
      <c r="B891" s="53"/>
      <c r="C891" s="53"/>
      <c r="D891" s="53"/>
      <c r="E891" s="45"/>
      <c r="F891" s="45"/>
      <c r="G891" s="45"/>
      <c r="H891" s="45"/>
      <c r="I891" s="45"/>
      <c r="J891" s="45"/>
      <c r="K891" s="45"/>
      <c r="L891" s="45"/>
      <c r="M891" s="45"/>
      <c r="N891" s="45"/>
      <c r="O891" s="45"/>
      <c r="P891" s="45"/>
      <c r="Q891" s="45"/>
      <c r="R891" s="45"/>
      <c r="S891" s="45"/>
      <c r="T891" s="45"/>
      <c r="U891" s="45"/>
      <c r="V891" s="45"/>
      <c r="W891" s="45"/>
      <c r="X891" s="45"/>
      <c r="Y891" s="45"/>
      <c r="Z891" s="45"/>
    </row>
    <row r="892">
      <c r="A892" s="52"/>
      <c r="B892" s="53"/>
      <c r="C892" s="53"/>
      <c r="D892" s="53"/>
      <c r="E892" s="45"/>
      <c r="F892" s="45"/>
      <c r="G892" s="45"/>
      <c r="H892" s="45"/>
      <c r="I892" s="45"/>
      <c r="J892" s="45"/>
      <c r="K892" s="45"/>
      <c r="L892" s="45"/>
      <c r="M892" s="45"/>
      <c r="N892" s="45"/>
      <c r="O892" s="45"/>
      <c r="P892" s="45"/>
      <c r="Q892" s="45"/>
      <c r="R892" s="45"/>
      <c r="S892" s="45"/>
      <c r="T892" s="45"/>
      <c r="U892" s="45"/>
      <c r="V892" s="45"/>
      <c r="W892" s="45"/>
      <c r="X892" s="45"/>
      <c r="Y892" s="45"/>
      <c r="Z892" s="45"/>
    </row>
    <row r="893">
      <c r="A893" s="52"/>
      <c r="B893" s="53"/>
      <c r="C893" s="53"/>
      <c r="D893" s="53"/>
      <c r="E893" s="45"/>
      <c r="F893" s="45"/>
      <c r="G893" s="45"/>
      <c r="H893" s="45"/>
      <c r="I893" s="45"/>
      <c r="J893" s="45"/>
      <c r="K893" s="45"/>
      <c r="L893" s="45"/>
      <c r="M893" s="45"/>
      <c r="N893" s="45"/>
      <c r="O893" s="45"/>
      <c r="P893" s="45"/>
      <c r="Q893" s="45"/>
      <c r="R893" s="45"/>
      <c r="S893" s="45"/>
      <c r="T893" s="45"/>
      <c r="U893" s="45"/>
      <c r="V893" s="45"/>
      <c r="W893" s="45"/>
      <c r="X893" s="45"/>
      <c r="Y893" s="45"/>
      <c r="Z893" s="45"/>
    </row>
    <row r="894">
      <c r="A894" s="52"/>
      <c r="B894" s="53"/>
      <c r="C894" s="53"/>
      <c r="D894" s="53"/>
      <c r="E894" s="45"/>
      <c r="F894" s="45"/>
      <c r="G894" s="45"/>
      <c r="H894" s="45"/>
      <c r="I894" s="45"/>
      <c r="J894" s="45"/>
      <c r="K894" s="45"/>
      <c r="L894" s="45"/>
      <c r="M894" s="45"/>
      <c r="N894" s="45"/>
      <c r="O894" s="45"/>
      <c r="P894" s="45"/>
      <c r="Q894" s="45"/>
      <c r="R894" s="45"/>
      <c r="S894" s="45"/>
      <c r="T894" s="45"/>
      <c r="U894" s="45"/>
      <c r="V894" s="45"/>
      <c r="W894" s="45"/>
      <c r="X894" s="45"/>
      <c r="Y894" s="45"/>
      <c r="Z894" s="45"/>
    </row>
    <row r="895">
      <c r="A895" s="52"/>
      <c r="B895" s="53"/>
      <c r="C895" s="53"/>
      <c r="D895" s="53"/>
      <c r="E895" s="45"/>
      <c r="F895" s="45"/>
      <c r="G895" s="45"/>
      <c r="H895" s="45"/>
      <c r="I895" s="45"/>
      <c r="J895" s="45"/>
      <c r="K895" s="45"/>
      <c r="L895" s="45"/>
      <c r="M895" s="45"/>
      <c r="N895" s="45"/>
      <c r="O895" s="45"/>
      <c r="P895" s="45"/>
      <c r="Q895" s="45"/>
      <c r="R895" s="45"/>
      <c r="S895" s="45"/>
      <c r="T895" s="45"/>
      <c r="U895" s="45"/>
      <c r="V895" s="45"/>
      <c r="W895" s="45"/>
      <c r="X895" s="45"/>
      <c r="Y895" s="45"/>
      <c r="Z895" s="45"/>
    </row>
    <row r="896">
      <c r="A896" s="52"/>
      <c r="B896" s="53"/>
      <c r="C896" s="53"/>
      <c r="D896" s="53"/>
      <c r="E896" s="45"/>
      <c r="F896" s="45"/>
      <c r="G896" s="45"/>
      <c r="H896" s="45"/>
      <c r="I896" s="45"/>
      <c r="J896" s="45"/>
      <c r="K896" s="45"/>
      <c r="L896" s="45"/>
      <c r="M896" s="45"/>
      <c r="N896" s="45"/>
      <c r="O896" s="45"/>
      <c r="P896" s="45"/>
      <c r="Q896" s="45"/>
      <c r="R896" s="45"/>
      <c r="S896" s="45"/>
      <c r="T896" s="45"/>
      <c r="U896" s="45"/>
      <c r="V896" s="45"/>
      <c r="W896" s="45"/>
      <c r="X896" s="45"/>
      <c r="Y896" s="45"/>
      <c r="Z896" s="45"/>
    </row>
    <row r="897">
      <c r="A897" s="52"/>
      <c r="B897" s="53"/>
      <c r="C897" s="53"/>
      <c r="D897" s="53"/>
      <c r="E897" s="45"/>
      <c r="F897" s="45"/>
      <c r="G897" s="45"/>
      <c r="H897" s="45"/>
      <c r="I897" s="45"/>
      <c r="J897" s="45"/>
      <c r="K897" s="45"/>
      <c r="L897" s="45"/>
      <c r="M897" s="45"/>
      <c r="N897" s="45"/>
      <c r="O897" s="45"/>
      <c r="P897" s="45"/>
      <c r="Q897" s="45"/>
      <c r="R897" s="45"/>
      <c r="S897" s="45"/>
      <c r="T897" s="45"/>
      <c r="U897" s="45"/>
      <c r="V897" s="45"/>
      <c r="W897" s="45"/>
      <c r="X897" s="45"/>
      <c r="Y897" s="45"/>
      <c r="Z897" s="45"/>
    </row>
    <row r="898">
      <c r="A898" s="52"/>
      <c r="B898" s="53"/>
      <c r="C898" s="53"/>
      <c r="D898" s="53"/>
      <c r="E898" s="45"/>
      <c r="F898" s="45"/>
      <c r="G898" s="45"/>
      <c r="H898" s="45"/>
      <c r="I898" s="45"/>
      <c r="J898" s="45"/>
      <c r="K898" s="45"/>
      <c r="L898" s="45"/>
      <c r="M898" s="45"/>
      <c r="N898" s="45"/>
      <c r="O898" s="45"/>
      <c r="P898" s="45"/>
      <c r="Q898" s="45"/>
      <c r="R898" s="45"/>
      <c r="S898" s="45"/>
      <c r="T898" s="45"/>
      <c r="U898" s="45"/>
      <c r="V898" s="45"/>
      <c r="W898" s="45"/>
      <c r="X898" s="45"/>
      <c r="Y898" s="45"/>
      <c r="Z898" s="45"/>
    </row>
    <row r="899">
      <c r="A899" s="52"/>
      <c r="B899" s="53"/>
      <c r="C899" s="53"/>
      <c r="D899" s="53"/>
      <c r="E899" s="45"/>
      <c r="F899" s="45"/>
      <c r="G899" s="45"/>
      <c r="H899" s="45"/>
      <c r="I899" s="45"/>
      <c r="J899" s="45"/>
      <c r="K899" s="45"/>
      <c r="L899" s="45"/>
      <c r="M899" s="45"/>
      <c r="N899" s="45"/>
      <c r="O899" s="45"/>
      <c r="P899" s="45"/>
      <c r="Q899" s="45"/>
      <c r="R899" s="45"/>
      <c r="S899" s="45"/>
      <c r="T899" s="45"/>
      <c r="U899" s="45"/>
      <c r="V899" s="45"/>
      <c r="W899" s="45"/>
      <c r="X899" s="45"/>
      <c r="Y899" s="45"/>
      <c r="Z899" s="45"/>
    </row>
    <row r="900">
      <c r="A900" s="52"/>
      <c r="B900" s="53"/>
      <c r="C900" s="53"/>
      <c r="D900" s="53"/>
      <c r="E900" s="45"/>
      <c r="F900" s="45"/>
      <c r="G900" s="45"/>
      <c r="H900" s="45"/>
      <c r="I900" s="45"/>
      <c r="J900" s="45"/>
      <c r="K900" s="45"/>
      <c r="L900" s="45"/>
      <c r="M900" s="45"/>
      <c r="N900" s="45"/>
      <c r="O900" s="45"/>
      <c r="P900" s="45"/>
      <c r="Q900" s="45"/>
      <c r="R900" s="45"/>
      <c r="S900" s="45"/>
      <c r="T900" s="45"/>
      <c r="U900" s="45"/>
      <c r="V900" s="45"/>
      <c r="W900" s="45"/>
      <c r="X900" s="45"/>
      <c r="Y900" s="45"/>
      <c r="Z900" s="45"/>
    </row>
    <row r="901">
      <c r="A901" s="52"/>
      <c r="B901" s="53"/>
      <c r="C901" s="53"/>
      <c r="D901" s="53"/>
      <c r="E901" s="45"/>
      <c r="F901" s="45"/>
      <c r="G901" s="45"/>
      <c r="H901" s="45"/>
      <c r="I901" s="45"/>
      <c r="J901" s="45"/>
      <c r="K901" s="45"/>
      <c r="L901" s="45"/>
      <c r="M901" s="45"/>
      <c r="N901" s="45"/>
      <c r="O901" s="45"/>
      <c r="P901" s="45"/>
      <c r="Q901" s="45"/>
      <c r="R901" s="45"/>
      <c r="S901" s="45"/>
      <c r="T901" s="45"/>
      <c r="U901" s="45"/>
      <c r="V901" s="45"/>
      <c r="W901" s="45"/>
      <c r="X901" s="45"/>
      <c r="Y901" s="45"/>
      <c r="Z901" s="45"/>
    </row>
    <row r="902">
      <c r="A902" s="52"/>
      <c r="B902" s="53"/>
      <c r="C902" s="53"/>
      <c r="D902" s="53"/>
      <c r="E902" s="45"/>
      <c r="F902" s="45"/>
      <c r="G902" s="45"/>
      <c r="H902" s="45"/>
      <c r="I902" s="45"/>
      <c r="J902" s="45"/>
      <c r="K902" s="45"/>
      <c r="L902" s="45"/>
      <c r="M902" s="45"/>
      <c r="N902" s="45"/>
      <c r="O902" s="45"/>
      <c r="P902" s="45"/>
      <c r="Q902" s="45"/>
      <c r="R902" s="45"/>
      <c r="S902" s="45"/>
      <c r="T902" s="45"/>
      <c r="U902" s="45"/>
      <c r="V902" s="45"/>
      <c r="W902" s="45"/>
      <c r="X902" s="45"/>
      <c r="Y902" s="45"/>
      <c r="Z902" s="45"/>
    </row>
    <row r="903">
      <c r="A903" s="52"/>
      <c r="B903" s="53"/>
      <c r="C903" s="53"/>
      <c r="D903" s="53"/>
      <c r="E903" s="45"/>
      <c r="F903" s="45"/>
      <c r="G903" s="45"/>
      <c r="H903" s="45"/>
      <c r="I903" s="45"/>
      <c r="J903" s="45"/>
      <c r="K903" s="45"/>
      <c r="L903" s="45"/>
      <c r="M903" s="45"/>
      <c r="N903" s="45"/>
      <c r="O903" s="45"/>
      <c r="P903" s="45"/>
      <c r="Q903" s="45"/>
      <c r="R903" s="45"/>
      <c r="S903" s="45"/>
      <c r="T903" s="45"/>
      <c r="U903" s="45"/>
      <c r="V903" s="45"/>
      <c r="W903" s="45"/>
      <c r="X903" s="45"/>
      <c r="Y903" s="45"/>
      <c r="Z903" s="45"/>
    </row>
    <row r="904">
      <c r="A904" s="52"/>
      <c r="B904" s="53"/>
      <c r="C904" s="53"/>
      <c r="D904" s="53"/>
      <c r="E904" s="45"/>
      <c r="F904" s="45"/>
      <c r="G904" s="45"/>
      <c r="H904" s="45"/>
      <c r="I904" s="45"/>
      <c r="J904" s="45"/>
      <c r="K904" s="45"/>
      <c r="L904" s="45"/>
      <c r="M904" s="45"/>
      <c r="N904" s="45"/>
      <c r="O904" s="45"/>
      <c r="P904" s="45"/>
      <c r="Q904" s="45"/>
      <c r="R904" s="45"/>
      <c r="S904" s="45"/>
      <c r="T904" s="45"/>
      <c r="U904" s="45"/>
      <c r="V904" s="45"/>
      <c r="W904" s="45"/>
      <c r="X904" s="45"/>
      <c r="Y904" s="45"/>
      <c r="Z904" s="45"/>
    </row>
    <row r="905">
      <c r="A905" s="52"/>
      <c r="B905" s="53"/>
      <c r="C905" s="53"/>
      <c r="D905" s="53"/>
      <c r="E905" s="45"/>
      <c r="F905" s="45"/>
      <c r="G905" s="45"/>
      <c r="H905" s="45"/>
      <c r="I905" s="45"/>
      <c r="J905" s="45"/>
      <c r="K905" s="45"/>
      <c r="L905" s="45"/>
      <c r="M905" s="45"/>
      <c r="N905" s="45"/>
      <c r="O905" s="45"/>
      <c r="P905" s="45"/>
      <c r="Q905" s="45"/>
      <c r="R905" s="45"/>
      <c r="S905" s="45"/>
      <c r="T905" s="45"/>
      <c r="U905" s="45"/>
      <c r="V905" s="45"/>
      <c r="W905" s="45"/>
      <c r="X905" s="45"/>
      <c r="Y905" s="45"/>
      <c r="Z905" s="45"/>
    </row>
    <row r="906">
      <c r="A906" s="52"/>
      <c r="B906" s="53"/>
      <c r="C906" s="53"/>
      <c r="D906" s="53"/>
      <c r="E906" s="45"/>
      <c r="F906" s="45"/>
      <c r="G906" s="45"/>
      <c r="H906" s="45"/>
      <c r="I906" s="45"/>
      <c r="J906" s="45"/>
      <c r="K906" s="45"/>
      <c r="L906" s="45"/>
      <c r="M906" s="45"/>
      <c r="N906" s="45"/>
      <c r="O906" s="45"/>
      <c r="P906" s="45"/>
      <c r="Q906" s="45"/>
      <c r="R906" s="45"/>
      <c r="S906" s="45"/>
      <c r="T906" s="45"/>
      <c r="U906" s="45"/>
      <c r="V906" s="45"/>
      <c r="W906" s="45"/>
      <c r="X906" s="45"/>
      <c r="Y906" s="45"/>
      <c r="Z906" s="45"/>
    </row>
    <row r="907">
      <c r="A907" s="52"/>
      <c r="B907" s="53"/>
      <c r="C907" s="53"/>
      <c r="D907" s="53"/>
      <c r="E907" s="45"/>
      <c r="F907" s="45"/>
      <c r="G907" s="45"/>
      <c r="H907" s="45"/>
      <c r="I907" s="45"/>
      <c r="J907" s="45"/>
      <c r="K907" s="45"/>
      <c r="L907" s="45"/>
      <c r="M907" s="45"/>
      <c r="N907" s="45"/>
      <c r="O907" s="45"/>
      <c r="P907" s="45"/>
      <c r="Q907" s="45"/>
      <c r="R907" s="45"/>
      <c r="S907" s="45"/>
      <c r="T907" s="45"/>
      <c r="U907" s="45"/>
      <c r="V907" s="45"/>
      <c r="W907" s="45"/>
      <c r="X907" s="45"/>
      <c r="Y907" s="45"/>
      <c r="Z907" s="45"/>
    </row>
    <row r="908">
      <c r="A908" s="52"/>
      <c r="B908" s="53"/>
      <c r="C908" s="53"/>
      <c r="D908" s="53"/>
      <c r="E908" s="45"/>
      <c r="F908" s="45"/>
      <c r="G908" s="45"/>
      <c r="H908" s="45"/>
      <c r="I908" s="45"/>
      <c r="J908" s="45"/>
      <c r="K908" s="45"/>
      <c r="L908" s="45"/>
      <c r="M908" s="45"/>
      <c r="N908" s="45"/>
      <c r="O908" s="45"/>
      <c r="P908" s="45"/>
      <c r="Q908" s="45"/>
      <c r="R908" s="45"/>
      <c r="S908" s="45"/>
      <c r="T908" s="45"/>
      <c r="U908" s="45"/>
      <c r="V908" s="45"/>
      <c r="W908" s="45"/>
      <c r="X908" s="45"/>
      <c r="Y908" s="45"/>
      <c r="Z908" s="45"/>
    </row>
    <row r="909">
      <c r="A909" s="52"/>
      <c r="B909" s="53"/>
      <c r="C909" s="53"/>
      <c r="D909" s="53"/>
      <c r="E909" s="45"/>
      <c r="F909" s="45"/>
      <c r="G909" s="45"/>
      <c r="H909" s="45"/>
      <c r="I909" s="45"/>
      <c r="J909" s="45"/>
      <c r="K909" s="45"/>
      <c r="L909" s="45"/>
      <c r="M909" s="45"/>
      <c r="N909" s="45"/>
      <c r="O909" s="45"/>
      <c r="P909" s="45"/>
      <c r="Q909" s="45"/>
      <c r="R909" s="45"/>
      <c r="S909" s="45"/>
      <c r="T909" s="45"/>
      <c r="U909" s="45"/>
      <c r="V909" s="45"/>
      <c r="W909" s="45"/>
      <c r="X909" s="45"/>
      <c r="Y909" s="45"/>
      <c r="Z909" s="45"/>
    </row>
    <row r="910">
      <c r="A910" s="52"/>
      <c r="B910" s="53"/>
      <c r="C910" s="53"/>
      <c r="D910" s="53"/>
      <c r="E910" s="45"/>
      <c r="F910" s="45"/>
      <c r="G910" s="45"/>
      <c r="H910" s="45"/>
      <c r="I910" s="45"/>
      <c r="J910" s="45"/>
      <c r="K910" s="45"/>
      <c r="L910" s="45"/>
      <c r="M910" s="45"/>
      <c r="N910" s="45"/>
      <c r="O910" s="45"/>
      <c r="P910" s="45"/>
      <c r="Q910" s="45"/>
      <c r="R910" s="45"/>
      <c r="S910" s="45"/>
      <c r="T910" s="45"/>
      <c r="U910" s="45"/>
      <c r="V910" s="45"/>
      <c r="W910" s="45"/>
      <c r="X910" s="45"/>
      <c r="Y910" s="45"/>
      <c r="Z910" s="45"/>
    </row>
    <row r="911">
      <c r="A911" s="52"/>
      <c r="B911" s="53"/>
      <c r="C911" s="53"/>
      <c r="D911" s="53"/>
      <c r="E911" s="45"/>
      <c r="F911" s="45"/>
      <c r="G911" s="45"/>
      <c r="H911" s="45"/>
      <c r="I911" s="45"/>
      <c r="J911" s="45"/>
      <c r="K911" s="45"/>
      <c r="L911" s="45"/>
      <c r="M911" s="45"/>
      <c r="N911" s="45"/>
      <c r="O911" s="45"/>
      <c r="P911" s="45"/>
      <c r="Q911" s="45"/>
      <c r="R911" s="45"/>
      <c r="S911" s="45"/>
      <c r="T911" s="45"/>
      <c r="U911" s="45"/>
      <c r="V911" s="45"/>
      <c r="W911" s="45"/>
      <c r="X911" s="45"/>
      <c r="Y911" s="45"/>
      <c r="Z911" s="45"/>
    </row>
    <row r="912">
      <c r="A912" s="52"/>
      <c r="B912" s="53"/>
      <c r="C912" s="53"/>
      <c r="D912" s="53"/>
      <c r="E912" s="45"/>
      <c r="F912" s="45"/>
      <c r="G912" s="45"/>
      <c r="H912" s="45"/>
      <c r="I912" s="45"/>
      <c r="J912" s="45"/>
      <c r="K912" s="45"/>
      <c r="L912" s="45"/>
      <c r="M912" s="45"/>
      <c r="N912" s="45"/>
      <c r="O912" s="45"/>
      <c r="P912" s="45"/>
      <c r="Q912" s="45"/>
      <c r="R912" s="45"/>
      <c r="S912" s="45"/>
      <c r="T912" s="45"/>
      <c r="U912" s="45"/>
      <c r="V912" s="45"/>
      <c r="W912" s="45"/>
      <c r="X912" s="45"/>
      <c r="Y912" s="45"/>
      <c r="Z912" s="45"/>
    </row>
    <row r="913">
      <c r="A913" s="52"/>
      <c r="B913" s="53"/>
      <c r="C913" s="53"/>
      <c r="D913" s="53"/>
      <c r="E913" s="45"/>
      <c r="F913" s="45"/>
      <c r="G913" s="45"/>
      <c r="H913" s="45"/>
      <c r="I913" s="45"/>
      <c r="J913" s="45"/>
      <c r="K913" s="45"/>
      <c r="L913" s="45"/>
      <c r="M913" s="45"/>
      <c r="N913" s="45"/>
      <c r="O913" s="45"/>
      <c r="P913" s="45"/>
      <c r="Q913" s="45"/>
      <c r="R913" s="45"/>
      <c r="S913" s="45"/>
      <c r="T913" s="45"/>
      <c r="U913" s="45"/>
      <c r="V913" s="45"/>
      <c r="W913" s="45"/>
      <c r="X913" s="45"/>
      <c r="Y913" s="45"/>
      <c r="Z913" s="45"/>
    </row>
    <row r="914">
      <c r="A914" s="52"/>
      <c r="B914" s="53"/>
      <c r="C914" s="53"/>
      <c r="D914" s="53"/>
      <c r="E914" s="45"/>
      <c r="F914" s="45"/>
      <c r="G914" s="45"/>
      <c r="H914" s="45"/>
      <c r="I914" s="45"/>
      <c r="J914" s="45"/>
      <c r="K914" s="45"/>
      <c r="L914" s="45"/>
      <c r="M914" s="45"/>
      <c r="N914" s="45"/>
      <c r="O914" s="45"/>
      <c r="P914" s="45"/>
      <c r="Q914" s="45"/>
      <c r="R914" s="45"/>
      <c r="S914" s="45"/>
      <c r="T914" s="45"/>
      <c r="U914" s="45"/>
      <c r="V914" s="45"/>
      <c r="W914" s="45"/>
      <c r="X914" s="45"/>
      <c r="Y914" s="45"/>
      <c r="Z914" s="45"/>
    </row>
    <row r="915">
      <c r="A915" s="52"/>
      <c r="B915" s="53"/>
      <c r="C915" s="53"/>
      <c r="D915" s="53"/>
      <c r="E915" s="45"/>
      <c r="F915" s="45"/>
      <c r="G915" s="45"/>
      <c r="H915" s="45"/>
      <c r="I915" s="45"/>
      <c r="J915" s="45"/>
      <c r="K915" s="45"/>
      <c r="L915" s="45"/>
      <c r="M915" s="45"/>
      <c r="N915" s="45"/>
      <c r="O915" s="45"/>
      <c r="P915" s="45"/>
      <c r="Q915" s="45"/>
      <c r="R915" s="45"/>
      <c r="S915" s="45"/>
      <c r="T915" s="45"/>
      <c r="U915" s="45"/>
      <c r="V915" s="45"/>
      <c r="W915" s="45"/>
      <c r="X915" s="45"/>
      <c r="Y915" s="45"/>
      <c r="Z915" s="45"/>
    </row>
    <row r="916">
      <c r="A916" s="52"/>
      <c r="B916" s="53"/>
      <c r="C916" s="53"/>
      <c r="D916" s="53"/>
      <c r="E916" s="45"/>
      <c r="F916" s="45"/>
      <c r="G916" s="45"/>
      <c r="H916" s="45"/>
      <c r="I916" s="45"/>
      <c r="J916" s="45"/>
      <c r="K916" s="45"/>
      <c r="L916" s="45"/>
      <c r="M916" s="45"/>
      <c r="N916" s="45"/>
      <c r="O916" s="45"/>
      <c r="P916" s="45"/>
      <c r="Q916" s="45"/>
      <c r="R916" s="45"/>
      <c r="S916" s="45"/>
      <c r="T916" s="45"/>
      <c r="U916" s="45"/>
      <c r="V916" s="45"/>
      <c r="W916" s="45"/>
      <c r="X916" s="45"/>
      <c r="Y916" s="45"/>
      <c r="Z916" s="45"/>
    </row>
    <row r="917">
      <c r="A917" s="52"/>
      <c r="B917" s="53"/>
      <c r="C917" s="53"/>
      <c r="D917" s="53"/>
      <c r="E917" s="45"/>
      <c r="F917" s="45"/>
      <c r="G917" s="45"/>
      <c r="H917" s="45"/>
      <c r="I917" s="45"/>
      <c r="J917" s="45"/>
      <c r="K917" s="45"/>
      <c r="L917" s="45"/>
      <c r="M917" s="45"/>
      <c r="N917" s="45"/>
      <c r="O917" s="45"/>
      <c r="P917" s="45"/>
      <c r="Q917" s="45"/>
      <c r="R917" s="45"/>
      <c r="S917" s="45"/>
      <c r="T917" s="45"/>
      <c r="U917" s="45"/>
      <c r="V917" s="45"/>
      <c r="W917" s="45"/>
      <c r="X917" s="45"/>
      <c r="Y917" s="45"/>
      <c r="Z917" s="45"/>
    </row>
    <row r="918">
      <c r="A918" s="52"/>
      <c r="B918" s="53"/>
      <c r="C918" s="53"/>
      <c r="D918" s="53"/>
      <c r="E918" s="45"/>
      <c r="F918" s="45"/>
      <c r="G918" s="45"/>
      <c r="H918" s="45"/>
      <c r="I918" s="45"/>
      <c r="J918" s="45"/>
      <c r="K918" s="45"/>
      <c r="L918" s="45"/>
      <c r="M918" s="45"/>
      <c r="N918" s="45"/>
      <c r="O918" s="45"/>
      <c r="P918" s="45"/>
      <c r="Q918" s="45"/>
      <c r="R918" s="45"/>
      <c r="S918" s="45"/>
      <c r="T918" s="45"/>
      <c r="U918" s="45"/>
      <c r="V918" s="45"/>
      <c r="W918" s="45"/>
      <c r="X918" s="45"/>
      <c r="Y918" s="45"/>
      <c r="Z918" s="45"/>
    </row>
    <row r="919">
      <c r="A919" s="52"/>
      <c r="B919" s="53"/>
      <c r="C919" s="53"/>
      <c r="D919" s="53"/>
      <c r="E919" s="45"/>
      <c r="F919" s="45"/>
      <c r="G919" s="45"/>
      <c r="H919" s="45"/>
      <c r="I919" s="45"/>
      <c r="J919" s="45"/>
      <c r="K919" s="45"/>
      <c r="L919" s="45"/>
      <c r="M919" s="45"/>
      <c r="N919" s="45"/>
      <c r="O919" s="45"/>
      <c r="P919" s="45"/>
      <c r="Q919" s="45"/>
      <c r="R919" s="45"/>
      <c r="S919" s="45"/>
      <c r="T919" s="45"/>
      <c r="U919" s="45"/>
      <c r="V919" s="45"/>
      <c r="W919" s="45"/>
      <c r="X919" s="45"/>
      <c r="Y919" s="45"/>
      <c r="Z919" s="45"/>
    </row>
    <row r="920">
      <c r="A920" s="52"/>
      <c r="B920" s="53"/>
      <c r="C920" s="53"/>
      <c r="D920" s="53"/>
      <c r="E920" s="45"/>
      <c r="F920" s="45"/>
      <c r="G920" s="45"/>
      <c r="H920" s="45"/>
      <c r="I920" s="45"/>
      <c r="J920" s="45"/>
      <c r="K920" s="45"/>
      <c r="L920" s="45"/>
      <c r="M920" s="45"/>
      <c r="N920" s="45"/>
      <c r="O920" s="45"/>
      <c r="P920" s="45"/>
      <c r="Q920" s="45"/>
      <c r="R920" s="45"/>
      <c r="S920" s="45"/>
      <c r="T920" s="45"/>
      <c r="U920" s="45"/>
      <c r="V920" s="45"/>
      <c r="W920" s="45"/>
      <c r="X920" s="45"/>
      <c r="Y920" s="45"/>
      <c r="Z920" s="45"/>
    </row>
    <row r="921">
      <c r="A921" s="52"/>
      <c r="B921" s="53"/>
      <c r="C921" s="53"/>
      <c r="D921" s="53"/>
      <c r="E921" s="45"/>
      <c r="F921" s="45"/>
      <c r="G921" s="45"/>
      <c r="H921" s="45"/>
      <c r="I921" s="45"/>
      <c r="J921" s="45"/>
      <c r="K921" s="45"/>
      <c r="L921" s="45"/>
      <c r="M921" s="45"/>
      <c r="N921" s="45"/>
      <c r="O921" s="45"/>
      <c r="P921" s="45"/>
      <c r="Q921" s="45"/>
      <c r="R921" s="45"/>
      <c r="S921" s="45"/>
      <c r="T921" s="45"/>
      <c r="U921" s="45"/>
      <c r="V921" s="45"/>
      <c r="W921" s="45"/>
      <c r="X921" s="45"/>
      <c r="Y921" s="45"/>
      <c r="Z921" s="45"/>
    </row>
    <row r="922">
      <c r="A922" s="52"/>
      <c r="B922" s="53"/>
      <c r="C922" s="53"/>
      <c r="D922" s="53"/>
      <c r="E922" s="45"/>
      <c r="F922" s="45"/>
      <c r="G922" s="45"/>
      <c r="H922" s="45"/>
      <c r="I922" s="45"/>
      <c r="J922" s="45"/>
      <c r="K922" s="45"/>
      <c r="L922" s="45"/>
      <c r="M922" s="45"/>
      <c r="N922" s="45"/>
      <c r="O922" s="45"/>
      <c r="P922" s="45"/>
      <c r="Q922" s="45"/>
      <c r="R922" s="45"/>
      <c r="S922" s="45"/>
      <c r="T922" s="45"/>
      <c r="U922" s="45"/>
      <c r="V922" s="45"/>
      <c r="W922" s="45"/>
      <c r="X922" s="45"/>
      <c r="Y922" s="45"/>
      <c r="Z922" s="45"/>
    </row>
    <row r="923">
      <c r="A923" s="52"/>
      <c r="B923" s="53"/>
      <c r="C923" s="53"/>
      <c r="D923" s="53"/>
      <c r="E923" s="45"/>
      <c r="F923" s="45"/>
      <c r="G923" s="45"/>
      <c r="H923" s="45"/>
      <c r="I923" s="45"/>
      <c r="J923" s="45"/>
      <c r="K923" s="45"/>
      <c r="L923" s="45"/>
      <c r="M923" s="45"/>
      <c r="N923" s="45"/>
      <c r="O923" s="45"/>
      <c r="P923" s="45"/>
      <c r="Q923" s="45"/>
      <c r="R923" s="45"/>
      <c r="S923" s="45"/>
      <c r="T923" s="45"/>
      <c r="U923" s="45"/>
      <c r="V923" s="45"/>
      <c r="W923" s="45"/>
      <c r="X923" s="45"/>
      <c r="Y923" s="45"/>
      <c r="Z923" s="45"/>
    </row>
    <row r="924">
      <c r="A924" s="52"/>
      <c r="B924" s="53"/>
      <c r="C924" s="53"/>
      <c r="D924" s="53"/>
      <c r="E924" s="45"/>
      <c r="F924" s="45"/>
      <c r="G924" s="45"/>
      <c r="H924" s="45"/>
      <c r="I924" s="45"/>
      <c r="J924" s="45"/>
      <c r="K924" s="45"/>
      <c r="L924" s="45"/>
      <c r="M924" s="45"/>
      <c r="N924" s="45"/>
      <c r="O924" s="45"/>
      <c r="P924" s="45"/>
      <c r="Q924" s="45"/>
      <c r="R924" s="45"/>
      <c r="S924" s="45"/>
      <c r="T924" s="45"/>
      <c r="U924" s="45"/>
      <c r="V924" s="45"/>
      <c r="W924" s="45"/>
      <c r="X924" s="45"/>
      <c r="Y924" s="45"/>
      <c r="Z924" s="45"/>
    </row>
    <row r="925">
      <c r="A925" s="52"/>
      <c r="B925" s="53"/>
      <c r="C925" s="53"/>
      <c r="D925" s="53"/>
      <c r="E925" s="45"/>
      <c r="F925" s="45"/>
      <c r="G925" s="45"/>
      <c r="H925" s="45"/>
      <c r="I925" s="45"/>
      <c r="J925" s="45"/>
      <c r="K925" s="45"/>
      <c r="L925" s="45"/>
      <c r="M925" s="45"/>
      <c r="N925" s="45"/>
      <c r="O925" s="45"/>
      <c r="P925" s="45"/>
      <c r="Q925" s="45"/>
      <c r="R925" s="45"/>
      <c r="S925" s="45"/>
      <c r="T925" s="45"/>
      <c r="U925" s="45"/>
      <c r="V925" s="45"/>
      <c r="W925" s="45"/>
      <c r="X925" s="45"/>
      <c r="Y925" s="45"/>
      <c r="Z925" s="45"/>
    </row>
    <row r="926">
      <c r="A926" s="52"/>
      <c r="B926" s="53"/>
      <c r="C926" s="53"/>
      <c r="D926" s="53"/>
      <c r="E926" s="45"/>
      <c r="F926" s="45"/>
      <c r="G926" s="45"/>
      <c r="H926" s="45"/>
      <c r="I926" s="45"/>
      <c r="J926" s="45"/>
      <c r="K926" s="45"/>
      <c r="L926" s="45"/>
      <c r="M926" s="45"/>
      <c r="N926" s="45"/>
      <c r="O926" s="45"/>
      <c r="P926" s="45"/>
      <c r="Q926" s="45"/>
      <c r="R926" s="45"/>
      <c r="S926" s="45"/>
      <c r="T926" s="45"/>
      <c r="U926" s="45"/>
      <c r="V926" s="45"/>
      <c r="W926" s="45"/>
      <c r="X926" s="45"/>
      <c r="Y926" s="45"/>
      <c r="Z926" s="45"/>
    </row>
    <row r="927">
      <c r="A927" s="52"/>
      <c r="B927" s="53"/>
      <c r="C927" s="53"/>
      <c r="D927" s="53"/>
      <c r="E927" s="45"/>
      <c r="F927" s="45"/>
      <c r="G927" s="45"/>
      <c r="H927" s="45"/>
      <c r="I927" s="45"/>
      <c r="J927" s="45"/>
      <c r="K927" s="45"/>
      <c r="L927" s="45"/>
      <c r="M927" s="45"/>
      <c r="N927" s="45"/>
      <c r="O927" s="45"/>
      <c r="P927" s="45"/>
      <c r="Q927" s="45"/>
      <c r="R927" s="45"/>
      <c r="S927" s="45"/>
      <c r="T927" s="45"/>
      <c r="U927" s="45"/>
      <c r="V927" s="45"/>
      <c r="W927" s="45"/>
      <c r="X927" s="45"/>
      <c r="Y927" s="45"/>
      <c r="Z927" s="45"/>
    </row>
    <row r="928">
      <c r="A928" s="52"/>
      <c r="B928" s="53"/>
      <c r="C928" s="53"/>
      <c r="D928" s="53"/>
      <c r="E928" s="45"/>
      <c r="F928" s="45"/>
      <c r="G928" s="45"/>
      <c r="H928" s="45"/>
      <c r="I928" s="45"/>
      <c r="J928" s="45"/>
      <c r="K928" s="45"/>
      <c r="L928" s="45"/>
      <c r="M928" s="45"/>
      <c r="N928" s="45"/>
      <c r="O928" s="45"/>
      <c r="P928" s="45"/>
      <c r="Q928" s="45"/>
      <c r="R928" s="45"/>
      <c r="S928" s="45"/>
      <c r="T928" s="45"/>
      <c r="U928" s="45"/>
      <c r="V928" s="45"/>
      <c r="W928" s="45"/>
      <c r="X928" s="45"/>
      <c r="Y928" s="45"/>
      <c r="Z928" s="45"/>
    </row>
    <row r="929">
      <c r="A929" s="52"/>
      <c r="B929" s="53"/>
      <c r="C929" s="53"/>
      <c r="D929" s="53"/>
      <c r="E929" s="45"/>
      <c r="F929" s="45"/>
      <c r="G929" s="45"/>
      <c r="H929" s="45"/>
      <c r="I929" s="45"/>
      <c r="J929" s="45"/>
      <c r="K929" s="45"/>
      <c r="L929" s="45"/>
      <c r="M929" s="45"/>
      <c r="N929" s="45"/>
      <c r="O929" s="45"/>
      <c r="P929" s="45"/>
      <c r="Q929" s="45"/>
      <c r="R929" s="45"/>
      <c r="S929" s="45"/>
      <c r="T929" s="45"/>
      <c r="U929" s="45"/>
      <c r="V929" s="45"/>
      <c r="W929" s="45"/>
      <c r="X929" s="45"/>
      <c r="Y929" s="45"/>
      <c r="Z929" s="45"/>
    </row>
    <row r="930">
      <c r="A930" s="52"/>
      <c r="B930" s="53"/>
      <c r="C930" s="53"/>
      <c r="D930" s="53"/>
      <c r="E930" s="45"/>
      <c r="F930" s="45"/>
      <c r="G930" s="45"/>
      <c r="H930" s="45"/>
      <c r="I930" s="45"/>
      <c r="J930" s="45"/>
      <c r="K930" s="45"/>
      <c r="L930" s="45"/>
      <c r="M930" s="45"/>
      <c r="N930" s="45"/>
      <c r="O930" s="45"/>
      <c r="P930" s="45"/>
      <c r="Q930" s="45"/>
      <c r="R930" s="45"/>
      <c r="S930" s="45"/>
      <c r="T930" s="45"/>
      <c r="U930" s="45"/>
      <c r="V930" s="45"/>
      <c r="W930" s="45"/>
      <c r="X930" s="45"/>
      <c r="Y930" s="45"/>
      <c r="Z930" s="45"/>
    </row>
    <row r="931">
      <c r="A931" s="52"/>
      <c r="B931" s="53"/>
      <c r="C931" s="53"/>
      <c r="D931" s="53"/>
      <c r="E931" s="45"/>
      <c r="F931" s="45"/>
      <c r="G931" s="45"/>
      <c r="H931" s="45"/>
      <c r="I931" s="45"/>
      <c r="J931" s="45"/>
      <c r="K931" s="45"/>
      <c r="L931" s="45"/>
      <c r="M931" s="45"/>
      <c r="N931" s="45"/>
      <c r="O931" s="45"/>
      <c r="P931" s="45"/>
      <c r="Q931" s="45"/>
      <c r="R931" s="45"/>
      <c r="S931" s="45"/>
      <c r="T931" s="45"/>
      <c r="U931" s="45"/>
      <c r="V931" s="45"/>
      <c r="W931" s="45"/>
      <c r="X931" s="45"/>
      <c r="Y931" s="45"/>
      <c r="Z931" s="45"/>
    </row>
    <row r="932">
      <c r="A932" s="52"/>
      <c r="B932" s="53"/>
      <c r="C932" s="53"/>
      <c r="D932" s="53"/>
      <c r="E932" s="45"/>
      <c r="F932" s="45"/>
      <c r="G932" s="45"/>
      <c r="H932" s="45"/>
      <c r="I932" s="45"/>
      <c r="J932" s="45"/>
      <c r="K932" s="45"/>
      <c r="L932" s="45"/>
      <c r="M932" s="45"/>
      <c r="N932" s="45"/>
      <c r="O932" s="45"/>
      <c r="P932" s="45"/>
      <c r="Q932" s="45"/>
      <c r="R932" s="45"/>
      <c r="S932" s="45"/>
      <c r="T932" s="45"/>
      <c r="U932" s="45"/>
      <c r="V932" s="45"/>
      <c r="W932" s="45"/>
      <c r="X932" s="45"/>
      <c r="Y932" s="45"/>
      <c r="Z932" s="45"/>
    </row>
    <row r="933">
      <c r="A933" s="52"/>
      <c r="B933" s="53"/>
      <c r="C933" s="53"/>
      <c r="D933" s="53"/>
      <c r="E933" s="45"/>
      <c r="F933" s="45"/>
      <c r="G933" s="45"/>
      <c r="H933" s="45"/>
      <c r="I933" s="45"/>
      <c r="J933" s="45"/>
      <c r="K933" s="45"/>
      <c r="L933" s="45"/>
      <c r="M933" s="45"/>
      <c r="N933" s="45"/>
      <c r="O933" s="45"/>
      <c r="P933" s="45"/>
      <c r="Q933" s="45"/>
      <c r="R933" s="45"/>
      <c r="S933" s="45"/>
      <c r="T933" s="45"/>
      <c r="U933" s="45"/>
      <c r="V933" s="45"/>
      <c r="W933" s="45"/>
      <c r="X933" s="45"/>
      <c r="Y933" s="45"/>
      <c r="Z933" s="45"/>
    </row>
    <row r="934">
      <c r="A934" s="52"/>
      <c r="B934" s="53"/>
      <c r="C934" s="53"/>
      <c r="D934" s="53"/>
      <c r="E934" s="45"/>
      <c r="F934" s="45"/>
      <c r="G934" s="45"/>
      <c r="H934" s="45"/>
      <c r="I934" s="45"/>
      <c r="J934" s="45"/>
      <c r="K934" s="45"/>
      <c r="L934" s="45"/>
      <c r="M934" s="45"/>
      <c r="N934" s="45"/>
      <c r="O934" s="45"/>
      <c r="P934" s="45"/>
      <c r="Q934" s="45"/>
      <c r="R934" s="45"/>
      <c r="S934" s="45"/>
      <c r="T934" s="45"/>
      <c r="U934" s="45"/>
      <c r="V934" s="45"/>
      <c r="W934" s="45"/>
      <c r="X934" s="45"/>
      <c r="Y934" s="45"/>
      <c r="Z934" s="45"/>
    </row>
    <row r="935">
      <c r="A935" s="52"/>
      <c r="B935" s="53"/>
      <c r="C935" s="53"/>
      <c r="D935" s="53"/>
      <c r="E935" s="45"/>
      <c r="F935" s="45"/>
      <c r="G935" s="45"/>
      <c r="H935" s="45"/>
      <c r="I935" s="45"/>
      <c r="J935" s="45"/>
      <c r="K935" s="45"/>
      <c r="L935" s="45"/>
      <c r="M935" s="45"/>
      <c r="N935" s="45"/>
      <c r="O935" s="45"/>
      <c r="P935" s="45"/>
      <c r="Q935" s="45"/>
      <c r="R935" s="45"/>
      <c r="S935" s="45"/>
      <c r="T935" s="45"/>
      <c r="U935" s="45"/>
      <c r="V935" s="45"/>
      <c r="W935" s="45"/>
      <c r="X935" s="45"/>
      <c r="Y935" s="45"/>
      <c r="Z935" s="45"/>
    </row>
    <row r="936">
      <c r="A936" s="52"/>
      <c r="B936" s="53"/>
      <c r="C936" s="53"/>
      <c r="D936" s="53"/>
      <c r="E936" s="45"/>
      <c r="F936" s="45"/>
      <c r="G936" s="45"/>
      <c r="H936" s="45"/>
      <c r="I936" s="45"/>
      <c r="J936" s="45"/>
      <c r="K936" s="45"/>
      <c r="L936" s="45"/>
      <c r="M936" s="45"/>
      <c r="N936" s="45"/>
      <c r="O936" s="45"/>
      <c r="P936" s="45"/>
      <c r="Q936" s="45"/>
      <c r="R936" s="45"/>
      <c r="S936" s="45"/>
      <c r="T936" s="45"/>
      <c r="U936" s="45"/>
      <c r="V936" s="45"/>
      <c r="W936" s="45"/>
      <c r="X936" s="45"/>
      <c r="Y936" s="45"/>
      <c r="Z936" s="45"/>
    </row>
    <row r="937">
      <c r="A937" s="52"/>
      <c r="B937" s="53"/>
      <c r="C937" s="53"/>
      <c r="D937" s="53"/>
      <c r="E937" s="45"/>
      <c r="F937" s="45"/>
      <c r="G937" s="45"/>
      <c r="H937" s="45"/>
      <c r="I937" s="45"/>
      <c r="J937" s="45"/>
      <c r="K937" s="45"/>
      <c r="L937" s="45"/>
      <c r="M937" s="45"/>
      <c r="N937" s="45"/>
      <c r="O937" s="45"/>
      <c r="P937" s="45"/>
      <c r="Q937" s="45"/>
      <c r="R937" s="45"/>
      <c r="S937" s="45"/>
      <c r="T937" s="45"/>
      <c r="U937" s="45"/>
      <c r="V937" s="45"/>
      <c r="W937" s="45"/>
      <c r="X937" s="45"/>
      <c r="Y937" s="45"/>
      <c r="Z937" s="45"/>
    </row>
    <row r="938">
      <c r="A938" s="52"/>
      <c r="B938" s="53"/>
      <c r="C938" s="53"/>
      <c r="D938" s="53"/>
      <c r="E938" s="45"/>
      <c r="F938" s="45"/>
      <c r="G938" s="45"/>
      <c r="H938" s="45"/>
      <c r="I938" s="45"/>
      <c r="J938" s="45"/>
      <c r="K938" s="45"/>
      <c r="L938" s="45"/>
      <c r="M938" s="45"/>
      <c r="N938" s="45"/>
      <c r="O938" s="45"/>
      <c r="P938" s="45"/>
      <c r="Q938" s="45"/>
      <c r="R938" s="45"/>
      <c r="S938" s="45"/>
      <c r="T938" s="45"/>
      <c r="U938" s="45"/>
      <c r="V938" s="45"/>
      <c r="W938" s="45"/>
      <c r="X938" s="45"/>
      <c r="Y938" s="45"/>
      <c r="Z938" s="45"/>
    </row>
    <row r="939">
      <c r="A939" s="52"/>
      <c r="B939" s="53"/>
      <c r="C939" s="53"/>
      <c r="D939" s="53"/>
      <c r="E939" s="45"/>
      <c r="F939" s="45"/>
      <c r="G939" s="45"/>
      <c r="H939" s="45"/>
      <c r="I939" s="45"/>
      <c r="J939" s="45"/>
      <c r="K939" s="45"/>
      <c r="L939" s="45"/>
      <c r="M939" s="45"/>
      <c r="N939" s="45"/>
      <c r="O939" s="45"/>
      <c r="P939" s="45"/>
      <c r="Q939" s="45"/>
      <c r="R939" s="45"/>
      <c r="S939" s="45"/>
      <c r="T939" s="45"/>
      <c r="U939" s="45"/>
      <c r="V939" s="45"/>
      <c r="W939" s="45"/>
      <c r="X939" s="45"/>
      <c r="Y939" s="45"/>
      <c r="Z939" s="45"/>
    </row>
    <row r="940">
      <c r="A940" s="52"/>
      <c r="B940" s="53"/>
      <c r="C940" s="53"/>
      <c r="D940" s="53"/>
      <c r="E940" s="45"/>
      <c r="F940" s="45"/>
      <c r="G940" s="45"/>
      <c r="H940" s="45"/>
      <c r="I940" s="45"/>
      <c r="J940" s="45"/>
      <c r="K940" s="45"/>
      <c r="L940" s="45"/>
      <c r="M940" s="45"/>
      <c r="N940" s="45"/>
      <c r="O940" s="45"/>
      <c r="P940" s="45"/>
      <c r="Q940" s="45"/>
      <c r="R940" s="45"/>
      <c r="S940" s="45"/>
      <c r="T940" s="45"/>
      <c r="U940" s="45"/>
      <c r="V940" s="45"/>
      <c r="W940" s="45"/>
      <c r="X940" s="45"/>
      <c r="Y940" s="45"/>
      <c r="Z940" s="45"/>
    </row>
    <row r="941">
      <c r="A941" s="52"/>
      <c r="B941" s="53"/>
      <c r="C941" s="53"/>
      <c r="D941" s="53"/>
      <c r="E941" s="45"/>
      <c r="F941" s="45"/>
      <c r="G941" s="45"/>
      <c r="H941" s="45"/>
      <c r="I941" s="45"/>
      <c r="J941" s="45"/>
      <c r="K941" s="45"/>
      <c r="L941" s="45"/>
      <c r="M941" s="45"/>
      <c r="N941" s="45"/>
      <c r="O941" s="45"/>
      <c r="P941" s="45"/>
      <c r="Q941" s="45"/>
      <c r="R941" s="45"/>
      <c r="S941" s="45"/>
      <c r="T941" s="45"/>
      <c r="U941" s="45"/>
      <c r="V941" s="45"/>
      <c r="W941" s="45"/>
      <c r="X941" s="45"/>
      <c r="Y941" s="45"/>
      <c r="Z941" s="45"/>
    </row>
    <row r="942">
      <c r="A942" s="52"/>
      <c r="B942" s="53"/>
      <c r="C942" s="53"/>
      <c r="D942" s="53"/>
      <c r="E942" s="45"/>
      <c r="F942" s="45"/>
      <c r="G942" s="45"/>
      <c r="H942" s="45"/>
      <c r="I942" s="45"/>
      <c r="J942" s="45"/>
      <c r="K942" s="45"/>
      <c r="L942" s="45"/>
      <c r="M942" s="45"/>
      <c r="N942" s="45"/>
      <c r="O942" s="45"/>
      <c r="P942" s="45"/>
      <c r="Q942" s="45"/>
      <c r="R942" s="45"/>
      <c r="S942" s="45"/>
      <c r="T942" s="45"/>
      <c r="U942" s="45"/>
      <c r="V942" s="45"/>
      <c r="W942" s="45"/>
      <c r="X942" s="45"/>
      <c r="Y942" s="45"/>
      <c r="Z942" s="45"/>
    </row>
    <row r="943">
      <c r="A943" s="52"/>
      <c r="B943" s="53"/>
      <c r="C943" s="53"/>
      <c r="D943" s="53"/>
      <c r="E943" s="45"/>
      <c r="F943" s="45"/>
      <c r="G943" s="45"/>
      <c r="H943" s="45"/>
      <c r="I943" s="45"/>
      <c r="J943" s="45"/>
      <c r="K943" s="45"/>
      <c r="L943" s="45"/>
      <c r="M943" s="45"/>
      <c r="N943" s="45"/>
      <c r="O943" s="45"/>
      <c r="P943" s="45"/>
      <c r="Q943" s="45"/>
      <c r="R943" s="45"/>
      <c r="S943" s="45"/>
      <c r="T943" s="45"/>
      <c r="U943" s="45"/>
      <c r="V943" s="45"/>
      <c r="W943" s="45"/>
      <c r="X943" s="45"/>
      <c r="Y943" s="45"/>
      <c r="Z943" s="45"/>
    </row>
    <row r="944">
      <c r="A944" s="52"/>
      <c r="B944" s="53"/>
      <c r="C944" s="53"/>
      <c r="D944" s="53"/>
      <c r="E944" s="45"/>
      <c r="F944" s="45"/>
      <c r="G944" s="45"/>
      <c r="H944" s="45"/>
      <c r="I944" s="45"/>
      <c r="J944" s="45"/>
      <c r="K944" s="45"/>
      <c r="L944" s="45"/>
      <c r="M944" s="45"/>
      <c r="N944" s="45"/>
      <c r="O944" s="45"/>
      <c r="P944" s="45"/>
      <c r="Q944" s="45"/>
      <c r="R944" s="45"/>
      <c r="S944" s="45"/>
      <c r="T944" s="45"/>
      <c r="U944" s="45"/>
      <c r="V944" s="45"/>
      <c r="W944" s="45"/>
      <c r="X944" s="45"/>
      <c r="Y944" s="45"/>
      <c r="Z944" s="45"/>
    </row>
    <row r="945">
      <c r="A945" s="52"/>
      <c r="B945" s="53"/>
      <c r="C945" s="53"/>
      <c r="D945" s="53"/>
      <c r="E945" s="45"/>
      <c r="F945" s="45"/>
      <c r="G945" s="45"/>
      <c r="H945" s="45"/>
      <c r="I945" s="45"/>
      <c r="J945" s="45"/>
      <c r="K945" s="45"/>
      <c r="L945" s="45"/>
      <c r="M945" s="45"/>
      <c r="N945" s="45"/>
      <c r="O945" s="45"/>
      <c r="P945" s="45"/>
      <c r="Q945" s="45"/>
      <c r="R945" s="45"/>
      <c r="S945" s="45"/>
      <c r="T945" s="45"/>
      <c r="U945" s="45"/>
      <c r="V945" s="45"/>
      <c r="W945" s="45"/>
      <c r="X945" s="45"/>
      <c r="Y945" s="45"/>
      <c r="Z945" s="45"/>
    </row>
    <row r="946">
      <c r="A946" s="52"/>
      <c r="B946" s="53"/>
      <c r="C946" s="53"/>
      <c r="D946" s="53"/>
      <c r="E946" s="45"/>
      <c r="F946" s="45"/>
      <c r="G946" s="45"/>
      <c r="H946" s="45"/>
      <c r="I946" s="45"/>
      <c r="J946" s="45"/>
      <c r="K946" s="45"/>
      <c r="L946" s="45"/>
      <c r="M946" s="45"/>
      <c r="N946" s="45"/>
      <c r="O946" s="45"/>
      <c r="P946" s="45"/>
      <c r="Q946" s="45"/>
      <c r="R946" s="45"/>
      <c r="S946" s="45"/>
      <c r="T946" s="45"/>
      <c r="U946" s="45"/>
      <c r="V946" s="45"/>
      <c r="W946" s="45"/>
      <c r="X946" s="45"/>
      <c r="Y946" s="45"/>
      <c r="Z946" s="45"/>
    </row>
    <row r="947">
      <c r="A947" s="52"/>
      <c r="B947" s="53"/>
      <c r="C947" s="53"/>
      <c r="D947" s="53"/>
      <c r="E947" s="45"/>
      <c r="F947" s="45"/>
      <c r="G947" s="45"/>
      <c r="H947" s="45"/>
      <c r="I947" s="45"/>
      <c r="J947" s="45"/>
      <c r="K947" s="45"/>
      <c r="L947" s="45"/>
      <c r="M947" s="45"/>
      <c r="N947" s="45"/>
      <c r="O947" s="45"/>
      <c r="P947" s="45"/>
      <c r="Q947" s="45"/>
      <c r="R947" s="45"/>
      <c r="S947" s="45"/>
      <c r="T947" s="45"/>
      <c r="U947" s="45"/>
      <c r="V947" s="45"/>
      <c r="W947" s="45"/>
      <c r="X947" s="45"/>
      <c r="Y947" s="45"/>
      <c r="Z947" s="45"/>
    </row>
    <row r="948">
      <c r="A948" s="52"/>
      <c r="B948" s="53"/>
      <c r="C948" s="53"/>
      <c r="D948" s="53"/>
      <c r="E948" s="45"/>
      <c r="F948" s="45"/>
      <c r="G948" s="45"/>
      <c r="H948" s="45"/>
      <c r="I948" s="45"/>
      <c r="J948" s="45"/>
      <c r="K948" s="45"/>
      <c r="L948" s="45"/>
      <c r="M948" s="45"/>
      <c r="N948" s="45"/>
      <c r="O948" s="45"/>
      <c r="P948" s="45"/>
      <c r="Q948" s="45"/>
      <c r="R948" s="45"/>
      <c r="S948" s="45"/>
      <c r="T948" s="45"/>
      <c r="U948" s="45"/>
      <c r="V948" s="45"/>
      <c r="W948" s="45"/>
      <c r="X948" s="45"/>
      <c r="Y948" s="45"/>
      <c r="Z948" s="45"/>
    </row>
    <row r="949">
      <c r="A949" s="52"/>
      <c r="B949" s="53"/>
      <c r="C949" s="53"/>
      <c r="D949" s="53"/>
      <c r="E949" s="45"/>
      <c r="F949" s="45"/>
      <c r="G949" s="45"/>
      <c r="H949" s="45"/>
      <c r="I949" s="45"/>
      <c r="J949" s="45"/>
      <c r="K949" s="45"/>
      <c r="L949" s="45"/>
      <c r="M949" s="45"/>
      <c r="N949" s="45"/>
      <c r="O949" s="45"/>
      <c r="P949" s="45"/>
      <c r="Q949" s="45"/>
      <c r="R949" s="45"/>
      <c r="S949" s="45"/>
      <c r="T949" s="45"/>
      <c r="U949" s="45"/>
      <c r="V949" s="45"/>
      <c r="W949" s="45"/>
      <c r="X949" s="45"/>
      <c r="Y949" s="45"/>
      <c r="Z949" s="45"/>
    </row>
    <row r="950">
      <c r="A950" s="52"/>
      <c r="B950" s="53"/>
      <c r="C950" s="53"/>
      <c r="D950" s="53"/>
      <c r="E950" s="45"/>
      <c r="F950" s="45"/>
      <c r="G950" s="45"/>
      <c r="H950" s="45"/>
      <c r="I950" s="45"/>
      <c r="J950" s="45"/>
      <c r="K950" s="45"/>
      <c r="L950" s="45"/>
      <c r="M950" s="45"/>
      <c r="N950" s="45"/>
      <c r="O950" s="45"/>
      <c r="P950" s="45"/>
      <c r="Q950" s="45"/>
      <c r="R950" s="45"/>
      <c r="S950" s="45"/>
      <c r="T950" s="45"/>
      <c r="U950" s="45"/>
      <c r="V950" s="45"/>
      <c r="W950" s="45"/>
      <c r="X950" s="45"/>
      <c r="Y950" s="45"/>
      <c r="Z950" s="45"/>
    </row>
    <row r="951">
      <c r="A951" s="52"/>
      <c r="B951" s="53"/>
      <c r="C951" s="53"/>
      <c r="D951" s="53"/>
      <c r="E951" s="45"/>
      <c r="F951" s="45"/>
      <c r="G951" s="45"/>
      <c r="H951" s="45"/>
      <c r="I951" s="45"/>
      <c r="J951" s="45"/>
      <c r="K951" s="45"/>
      <c r="L951" s="45"/>
      <c r="M951" s="45"/>
      <c r="N951" s="45"/>
      <c r="O951" s="45"/>
      <c r="P951" s="45"/>
      <c r="Q951" s="45"/>
      <c r="R951" s="45"/>
      <c r="S951" s="45"/>
      <c r="T951" s="45"/>
      <c r="U951" s="45"/>
      <c r="V951" s="45"/>
      <c r="W951" s="45"/>
      <c r="X951" s="45"/>
      <c r="Y951" s="45"/>
      <c r="Z951" s="45"/>
    </row>
    <row r="952">
      <c r="A952" s="52"/>
      <c r="B952" s="53"/>
      <c r="C952" s="53"/>
      <c r="D952" s="53"/>
      <c r="E952" s="45"/>
      <c r="F952" s="45"/>
      <c r="G952" s="45"/>
      <c r="H952" s="45"/>
      <c r="I952" s="45"/>
      <c r="J952" s="45"/>
      <c r="K952" s="45"/>
      <c r="L952" s="45"/>
      <c r="M952" s="45"/>
      <c r="N952" s="45"/>
      <c r="O952" s="45"/>
      <c r="P952" s="45"/>
      <c r="Q952" s="45"/>
      <c r="R952" s="45"/>
      <c r="S952" s="45"/>
      <c r="T952" s="45"/>
      <c r="U952" s="45"/>
      <c r="V952" s="45"/>
      <c r="W952" s="45"/>
      <c r="X952" s="45"/>
      <c r="Y952" s="45"/>
      <c r="Z952" s="45"/>
    </row>
    <row r="953">
      <c r="A953" s="52"/>
      <c r="B953" s="53"/>
      <c r="C953" s="53"/>
      <c r="D953" s="53"/>
      <c r="E953" s="45"/>
      <c r="F953" s="45"/>
      <c r="G953" s="45"/>
      <c r="H953" s="45"/>
      <c r="I953" s="45"/>
      <c r="J953" s="45"/>
      <c r="K953" s="45"/>
      <c r="L953" s="45"/>
      <c r="M953" s="45"/>
      <c r="N953" s="45"/>
      <c r="O953" s="45"/>
      <c r="P953" s="45"/>
      <c r="Q953" s="45"/>
      <c r="R953" s="45"/>
      <c r="S953" s="45"/>
      <c r="T953" s="45"/>
      <c r="U953" s="45"/>
      <c r="V953" s="45"/>
      <c r="W953" s="45"/>
      <c r="X953" s="45"/>
      <c r="Y953" s="45"/>
      <c r="Z953" s="45"/>
    </row>
    <row r="954">
      <c r="A954" s="52"/>
      <c r="B954" s="53"/>
      <c r="C954" s="53"/>
      <c r="D954" s="53"/>
      <c r="E954" s="45"/>
      <c r="F954" s="45"/>
      <c r="G954" s="45"/>
      <c r="H954" s="45"/>
      <c r="I954" s="45"/>
      <c r="J954" s="45"/>
      <c r="K954" s="45"/>
      <c r="L954" s="45"/>
      <c r="M954" s="45"/>
      <c r="N954" s="45"/>
      <c r="O954" s="45"/>
      <c r="P954" s="45"/>
      <c r="Q954" s="45"/>
      <c r="R954" s="45"/>
      <c r="S954" s="45"/>
      <c r="T954" s="45"/>
      <c r="U954" s="45"/>
      <c r="V954" s="45"/>
      <c r="W954" s="45"/>
      <c r="X954" s="45"/>
      <c r="Y954" s="45"/>
      <c r="Z954" s="45"/>
    </row>
    <row r="955">
      <c r="A955" s="52"/>
      <c r="B955" s="53"/>
      <c r="C955" s="53"/>
      <c r="D955" s="53"/>
      <c r="E955" s="45"/>
      <c r="F955" s="45"/>
      <c r="G955" s="45"/>
      <c r="H955" s="45"/>
      <c r="I955" s="45"/>
      <c r="J955" s="45"/>
      <c r="K955" s="45"/>
      <c r="L955" s="45"/>
      <c r="M955" s="45"/>
      <c r="N955" s="45"/>
      <c r="O955" s="45"/>
      <c r="P955" s="45"/>
      <c r="Q955" s="45"/>
      <c r="R955" s="45"/>
      <c r="S955" s="45"/>
      <c r="T955" s="45"/>
      <c r="U955" s="45"/>
      <c r="V955" s="45"/>
      <c r="W955" s="45"/>
      <c r="X955" s="45"/>
      <c r="Y955" s="45"/>
      <c r="Z955" s="45"/>
    </row>
    <row r="956">
      <c r="A956" s="52"/>
      <c r="B956" s="53"/>
      <c r="C956" s="53"/>
      <c r="D956" s="53"/>
      <c r="E956" s="45"/>
      <c r="F956" s="45"/>
      <c r="G956" s="45"/>
      <c r="H956" s="45"/>
      <c r="I956" s="45"/>
      <c r="J956" s="45"/>
      <c r="K956" s="45"/>
      <c r="L956" s="45"/>
      <c r="M956" s="45"/>
      <c r="N956" s="45"/>
      <c r="O956" s="45"/>
      <c r="P956" s="45"/>
      <c r="Q956" s="45"/>
      <c r="R956" s="45"/>
      <c r="S956" s="45"/>
      <c r="T956" s="45"/>
      <c r="U956" s="45"/>
      <c r="V956" s="45"/>
      <c r="W956" s="45"/>
      <c r="X956" s="45"/>
      <c r="Y956" s="45"/>
      <c r="Z956" s="45"/>
    </row>
    <row r="957">
      <c r="A957" s="52"/>
      <c r="B957" s="53"/>
      <c r="C957" s="53"/>
      <c r="D957" s="53"/>
      <c r="E957" s="45"/>
      <c r="F957" s="45"/>
      <c r="G957" s="45"/>
      <c r="H957" s="45"/>
      <c r="I957" s="45"/>
      <c r="J957" s="45"/>
      <c r="K957" s="45"/>
      <c r="L957" s="45"/>
      <c r="M957" s="45"/>
      <c r="N957" s="45"/>
      <c r="O957" s="45"/>
      <c r="P957" s="45"/>
      <c r="Q957" s="45"/>
      <c r="R957" s="45"/>
      <c r="S957" s="45"/>
      <c r="T957" s="45"/>
      <c r="U957" s="45"/>
      <c r="V957" s="45"/>
      <c r="W957" s="45"/>
      <c r="X957" s="45"/>
      <c r="Y957" s="45"/>
      <c r="Z957" s="45"/>
    </row>
    <row r="958">
      <c r="A958" s="52"/>
      <c r="B958" s="53"/>
      <c r="C958" s="53"/>
      <c r="D958" s="53"/>
      <c r="E958" s="45"/>
      <c r="F958" s="45"/>
      <c r="G958" s="45"/>
      <c r="H958" s="45"/>
      <c r="I958" s="45"/>
      <c r="J958" s="45"/>
      <c r="K958" s="45"/>
      <c r="L958" s="45"/>
      <c r="M958" s="45"/>
      <c r="N958" s="45"/>
      <c r="O958" s="45"/>
      <c r="P958" s="45"/>
      <c r="Q958" s="45"/>
      <c r="R958" s="45"/>
      <c r="S958" s="45"/>
      <c r="T958" s="45"/>
      <c r="U958" s="45"/>
      <c r="V958" s="45"/>
      <c r="W958" s="45"/>
      <c r="X958" s="45"/>
      <c r="Y958" s="45"/>
      <c r="Z958" s="45"/>
    </row>
    <row r="959">
      <c r="A959" s="52"/>
      <c r="B959" s="53"/>
      <c r="C959" s="53"/>
      <c r="D959" s="53"/>
      <c r="E959" s="45"/>
      <c r="F959" s="45"/>
      <c r="G959" s="45"/>
      <c r="H959" s="45"/>
      <c r="I959" s="45"/>
      <c r="J959" s="45"/>
      <c r="K959" s="45"/>
      <c r="L959" s="45"/>
      <c r="M959" s="45"/>
      <c r="N959" s="45"/>
      <c r="O959" s="45"/>
      <c r="P959" s="45"/>
      <c r="Q959" s="45"/>
      <c r="R959" s="45"/>
      <c r="S959" s="45"/>
      <c r="T959" s="45"/>
      <c r="U959" s="45"/>
      <c r="V959" s="45"/>
      <c r="W959" s="45"/>
      <c r="X959" s="45"/>
      <c r="Y959" s="45"/>
      <c r="Z959" s="45"/>
    </row>
    <row r="960">
      <c r="A960" s="52"/>
      <c r="B960" s="53"/>
      <c r="C960" s="53"/>
      <c r="D960" s="53"/>
      <c r="E960" s="45"/>
      <c r="F960" s="45"/>
      <c r="G960" s="45"/>
      <c r="H960" s="45"/>
      <c r="I960" s="45"/>
      <c r="J960" s="45"/>
      <c r="K960" s="45"/>
      <c r="L960" s="45"/>
      <c r="M960" s="45"/>
      <c r="N960" s="45"/>
      <c r="O960" s="45"/>
      <c r="P960" s="45"/>
      <c r="Q960" s="45"/>
      <c r="R960" s="45"/>
      <c r="S960" s="45"/>
      <c r="T960" s="45"/>
      <c r="U960" s="45"/>
      <c r="V960" s="45"/>
      <c r="W960" s="45"/>
      <c r="X960" s="45"/>
      <c r="Y960" s="45"/>
      <c r="Z960" s="45"/>
    </row>
    <row r="961">
      <c r="A961" s="52"/>
      <c r="B961" s="53"/>
      <c r="C961" s="53"/>
      <c r="D961" s="53"/>
      <c r="E961" s="45"/>
      <c r="F961" s="45"/>
      <c r="G961" s="45"/>
      <c r="H961" s="45"/>
      <c r="I961" s="45"/>
      <c r="J961" s="45"/>
      <c r="K961" s="45"/>
      <c r="L961" s="45"/>
      <c r="M961" s="45"/>
      <c r="N961" s="45"/>
      <c r="O961" s="45"/>
      <c r="P961" s="45"/>
      <c r="Q961" s="45"/>
      <c r="R961" s="45"/>
      <c r="S961" s="45"/>
      <c r="T961" s="45"/>
      <c r="U961" s="45"/>
      <c r="V961" s="45"/>
      <c r="W961" s="45"/>
      <c r="X961" s="45"/>
      <c r="Y961" s="45"/>
      <c r="Z961" s="45"/>
    </row>
    <row r="962">
      <c r="A962" s="52"/>
      <c r="B962" s="53"/>
      <c r="C962" s="53"/>
      <c r="D962" s="53"/>
      <c r="E962" s="45"/>
      <c r="F962" s="45"/>
      <c r="G962" s="45"/>
      <c r="H962" s="45"/>
      <c r="I962" s="45"/>
      <c r="J962" s="45"/>
      <c r="K962" s="45"/>
      <c r="L962" s="45"/>
      <c r="M962" s="45"/>
      <c r="N962" s="45"/>
      <c r="O962" s="45"/>
      <c r="P962" s="45"/>
      <c r="Q962" s="45"/>
      <c r="R962" s="45"/>
      <c r="S962" s="45"/>
      <c r="T962" s="45"/>
      <c r="U962" s="45"/>
      <c r="V962" s="45"/>
      <c r="W962" s="45"/>
      <c r="X962" s="45"/>
      <c r="Y962" s="45"/>
      <c r="Z962" s="45"/>
    </row>
    <row r="963">
      <c r="A963" s="52"/>
      <c r="B963" s="53"/>
      <c r="C963" s="53"/>
      <c r="D963" s="53"/>
      <c r="E963" s="45"/>
      <c r="F963" s="45"/>
      <c r="G963" s="45"/>
      <c r="H963" s="45"/>
      <c r="I963" s="45"/>
      <c r="J963" s="45"/>
      <c r="K963" s="45"/>
      <c r="L963" s="45"/>
      <c r="M963" s="45"/>
      <c r="N963" s="45"/>
      <c r="O963" s="45"/>
      <c r="P963" s="45"/>
      <c r="Q963" s="45"/>
      <c r="R963" s="45"/>
      <c r="S963" s="45"/>
      <c r="T963" s="45"/>
      <c r="U963" s="45"/>
      <c r="V963" s="45"/>
      <c r="W963" s="45"/>
      <c r="X963" s="45"/>
      <c r="Y963" s="45"/>
      <c r="Z963" s="45"/>
    </row>
    <row r="964">
      <c r="A964" s="52"/>
      <c r="B964" s="53"/>
      <c r="C964" s="53"/>
      <c r="D964" s="53"/>
      <c r="E964" s="45"/>
      <c r="F964" s="45"/>
      <c r="G964" s="45"/>
      <c r="H964" s="45"/>
      <c r="I964" s="45"/>
      <c r="J964" s="45"/>
      <c r="K964" s="45"/>
      <c r="L964" s="45"/>
      <c r="M964" s="45"/>
      <c r="N964" s="45"/>
      <c r="O964" s="45"/>
      <c r="P964" s="45"/>
      <c r="Q964" s="45"/>
      <c r="R964" s="45"/>
      <c r="S964" s="45"/>
      <c r="T964" s="45"/>
      <c r="U964" s="45"/>
      <c r="V964" s="45"/>
      <c r="W964" s="45"/>
      <c r="X964" s="45"/>
      <c r="Y964" s="45"/>
      <c r="Z964" s="45"/>
    </row>
    <row r="965">
      <c r="A965" s="52"/>
      <c r="B965" s="53"/>
      <c r="C965" s="53"/>
      <c r="D965" s="53"/>
      <c r="E965" s="45"/>
      <c r="F965" s="45"/>
      <c r="G965" s="45"/>
      <c r="H965" s="45"/>
      <c r="I965" s="45"/>
      <c r="J965" s="45"/>
      <c r="K965" s="45"/>
      <c r="L965" s="45"/>
      <c r="M965" s="45"/>
      <c r="N965" s="45"/>
      <c r="O965" s="45"/>
      <c r="P965" s="45"/>
      <c r="Q965" s="45"/>
      <c r="R965" s="45"/>
      <c r="S965" s="45"/>
      <c r="T965" s="45"/>
      <c r="U965" s="45"/>
      <c r="V965" s="45"/>
      <c r="W965" s="45"/>
      <c r="X965" s="45"/>
      <c r="Y965" s="45"/>
      <c r="Z965" s="45"/>
    </row>
    <row r="966">
      <c r="A966" s="52"/>
      <c r="B966" s="53"/>
      <c r="C966" s="53"/>
      <c r="D966" s="53"/>
      <c r="E966" s="45"/>
      <c r="F966" s="45"/>
      <c r="G966" s="45"/>
      <c r="H966" s="45"/>
      <c r="I966" s="45"/>
      <c r="J966" s="45"/>
      <c r="K966" s="45"/>
      <c r="L966" s="45"/>
      <c r="M966" s="45"/>
      <c r="N966" s="45"/>
      <c r="O966" s="45"/>
      <c r="P966" s="45"/>
      <c r="Q966" s="45"/>
      <c r="R966" s="45"/>
      <c r="S966" s="45"/>
      <c r="T966" s="45"/>
      <c r="U966" s="45"/>
      <c r="V966" s="45"/>
      <c r="W966" s="45"/>
      <c r="X966" s="45"/>
      <c r="Y966" s="45"/>
      <c r="Z966" s="45"/>
    </row>
    <row r="967">
      <c r="A967" s="52"/>
      <c r="B967" s="53"/>
      <c r="C967" s="53"/>
      <c r="D967" s="53"/>
      <c r="E967" s="45"/>
      <c r="F967" s="45"/>
      <c r="G967" s="45"/>
      <c r="H967" s="45"/>
      <c r="I967" s="45"/>
      <c r="J967" s="45"/>
      <c r="K967" s="45"/>
      <c r="L967" s="45"/>
      <c r="M967" s="45"/>
      <c r="N967" s="45"/>
      <c r="O967" s="45"/>
      <c r="P967" s="45"/>
      <c r="Q967" s="45"/>
      <c r="R967" s="45"/>
      <c r="S967" s="45"/>
      <c r="T967" s="45"/>
      <c r="U967" s="45"/>
      <c r="V967" s="45"/>
      <c r="W967" s="45"/>
      <c r="X967" s="45"/>
      <c r="Y967" s="45"/>
      <c r="Z967" s="45"/>
    </row>
    <row r="968">
      <c r="A968" s="52"/>
      <c r="B968" s="53"/>
      <c r="C968" s="53"/>
      <c r="D968" s="53"/>
      <c r="E968" s="45"/>
      <c r="F968" s="45"/>
      <c r="G968" s="45"/>
      <c r="H968" s="45"/>
      <c r="I968" s="45"/>
      <c r="J968" s="45"/>
      <c r="K968" s="45"/>
      <c r="L968" s="45"/>
      <c r="M968" s="45"/>
      <c r="N968" s="45"/>
      <c r="O968" s="45"/>
      <c r="P968" s="45"/>
      <c r="Q968" s="45"/>
      <c r="R968" s="45"/>
      <c r="S968" s="45"/>
      <c r="T968" s="45"/>
      <c r="U968" s="45"/>
      <c r="V968" s="45"/>
      <c r="W968" s="45"/>
      <c r="X968" s="45"/>
      <c r="Y968" s="45"/>
      <c r="Z968" s="45"/>
    </row>
    <row r="969">
      <c r="A969" s="52"/>
      <c r="B969" s="53"/>
      <c r="C969" s="53"/>
      <c r="D969" s="53"/>
      <c r="E969" s="45"/>
      <c r="F969" s="45"/>
      <c r="G969" s="45"/>
      <c r="H969" s="45"/>
      <c r="I969" s="45"/>
      <c r="J969" s="45"/>
      <c r="K969" s="45"/>
      <c r="L969" s="45"/>
      <c r="M969" s="45"/>
      <c r="N969" s="45"/>
      <c r="O969" s="45"/>
      <c r="P969" s="45"/>
      <c r="Q969" s="45"/>
      <c r="R969" s="45"/>
      <c r="S969" s="45"/>
      <c r="T969" s="45"/>
      <c r="U969" s="45"/>
      <c r="V969" s="45"/>
      <c r="W969" s="45"/>
      <c r="X969" s="45"/>
      <c r="Y969" s="45"/>
      <c r="Z969" s="45"/>
    </row>
    <row r="970">
      <c r="A970" s="52"/>
      <c r="B970" s="53"/>
      <c r="C970" s="53"/>
      <c r="D970" s="53"/>
      <c r="E970" s="45"/>
      <c r="F970" s="45"/>
      <c r="G970" s="45"/>
      <c r="H970" s="45"/>
      <c r="I970" s="45"/>
      <c r="J970" s="45"/>
      <c r="K970" s="45"/>
      <c r="L970" s="45"/>
      <c r="M970" s="45"/>
      <c r="N970" s="45"/>
      <c r="O970" s="45"/>
      <c r="P970" s="45"/>
      <c r="Q970" s="45"/>
      <c r="R970" s="45"/>
      <c r="S970" s="45"/>
      <c r="T970" s="45"/>
      <c r="U970" s="45"/>
      <c r="V970" s="45"/>
      <c r="W970" s="45"/>
      <c r="X970" s="45"/>
      <c r="Y970" s="45"/>
      <c r="Z970" s="45"/>
    </row>
    <row r="971">
      <c r="A971" s="52"/>
      <c r="B971" s="53"/>
      <c r="C971" s="53"/>
      <c r="D971" s="53"/>
      <c r="E971" s="45"/>
      <c r="F971" s="45"/>
      <c r="G971" s="45"/>
      <c r="H971" s="45"/>
      <c r="I971" s="45"/>
      <c r="J971" s="45"/>
      <c r="K971" s="45"/>
      <c r="L971" s="45"/>
      <c r="M971" s="45"/>
      <c r="N971" s="45"/>
      <c r="O971" s="45"/>
      <c r="P971" s="45"/>
      <c r="Q971" s="45"/>
      <c r="R971" s="45"/>
      <c r="S971" s="45"/>
      <c r="T971" s="45"/>
      <c r="U971" s="45"/>
      <c r="V971" s="45"/>
      <c r="W971" s="45"/>
      <c r="X971" s="45"/>
      <c r="Y971" s="45"/>
      <c r="Z971" s="45"/>
    </row>
    <row r="972">
      <c r="A972" s="52"/>
      <c r="B972" s="53"/>
      <c r="C972" s="53"/>
      <c r="D972" s="53"/>
      <c r="E972" s="45"/>
      <c r="F972" s="45"/>
      <c r="G972" s="45"/>
      <c r="H972" s="45"/>
      <c r="I972" s="45"/>
      <c r="J972" s="45"/>
      <c r="K972" s="45"/>
      <c r="L972" s="45"/>
      <c r="M972" s="45"/>
      <c r="N972" s="45"/>
      <c r="O972" s="45"/>
      <c r="P972" s="45"/>
      <c r="Q972" s="45"/>
      <c r="R972" s="45"/>
      <c r="S972" s="45"/>
      <c r="T972" s="45"/>
      <c r="U972" s="45"/>
      <c r="V972" s="45"/>
      <c r="W972" s="45"/>
      <c r="X972" s="45"/>
      <c r="Y972" s="45"/>
      <c r="Z972" s="45"/>
    </row>
    <row r="973">
      <c r="A973" s="52"/>
      <c r="B973" s="53"/>
      <c r="C973" s="53"/>
      <c r="D973" s="53"/>
      <c r="E973" s="45"/>
      <c r="F973" s="45"/>
      <c r="G973" s="45"/>
      <c r="H973" s="45"/>
      <c r="I973" s="45"/>
      <c r="J973" s="45"/>
      <c r="K973" s="45"/>
      <c r="L973" s="45"/>
      <c r="M973" s="45"/>
      <c r="N973" s="45"/>
      <c r="O973" s="45"/>
      <c r="P973" s="45"/>
      <c r="Q973" s="45"/>
      <c r="R973" s="45"/>
      <c r="S973" s="45"/>
      <c r="T973" s="45"/>
      <c r="U973" s="45"/>
      <c r="V973" s="45"/>
      <c r="W973" s="45"/>
      <c r="X973" s="45"/>
      <c r="Y973" s="45"/>
      <c r="Z973" s="45"/>
    </row>
    <row r="974">
      <c r="A974" s="52"/>
      <c r="B974" s="53"/>
      <c r="C974" s="53"/>
      <c r="D974" s="53"/>
      <c r="E974" s="45"/>
      <c r="F974" s="45"/>
      <c r="G974" s="45"/>
      <c r="H974" s="45"/>
      <c r="I974" s="45"/>
      <c r="J974" s="45"/>
      <c r="K974" s="45"/>
      <c r="L974" s="45"/>
      <c r="M974" s="45"/>
      <c r="N974" s="45"/>
      <c r="O974" s="45"/>
      <c r="P974" s="45"/>
      <c r="Q974" s="45"/>
      <c r="R974" s="45"/>
      <c r="S974" s="45"/>
      <c r="T974" s="45"/>
      <c r="U974" s="45"/>
      <c r="V974" s="45"/>
      <c r="W974" s="45"/>
      <c r="X974" s="45"/>
      <c r="Y974" s="45"/>
      <c r="Z974" s="45"/>
    </row>
    <row r="975">
      <c r="A975" s="52"/>
      <c r="B975" s="53"/>
      <c r="C975" s="53"/>
      <c r="D975" s="53"/>
      <c r="E975" s="45"/>
      <c r="F975" s="45"/>
      <c r="G975" s="45"/>
      <c r="H975" s="45"/>
      <c r="I975" s="45"/>
      <c r="J975" s="45"/>
      <c r="K975" s="45"/>
      <c r="L975" s="45"/>
      <c r="M975" s="45"/>
      <c r="N975" s="45"/>
      <c r="O975" s="45"/>
      <c r="P975" s="45"/>
      <c r="Q975" s="45"/>
      <c r="R975" s="45"/>
      <c r="S975" s="45"/>
      <c r="T975" s="45"/>
      <c r="U975" s="45"/>
      <c r="V975" s="45"/>
      <c r="W975" s="45"/>
      <c r="X975" s="45"/>
      <c r="Y975" s="45"/>
      <c r="Z975" s="45"/>
    </row>
    <row r="976">
      <c r="A976" s="52"/>
      <c r="B976" s="53"/>
      <c r="C976" s="53"/>
      <c r="D976" s="53"/>
      <c r="E976" s="45"/>
      <c r="F976" s="45"/>
      <c r="G976" s="45"/>
      <c r="H976" s="45"/>
      <c r="I976" s="45"/>
      <c r="J976" s="45"/>
      <c r="K976" s="45"/>
      <c r="L976" s="45"/>
      <c r="M976" s="45"/>
      <c r="N976" s="45"/>
      <c r="O976" s="45"/>
      <c r="P976" s="45"/>
      <c r="Q976" s="45"/>
      <c r="R976" s="45"/>
      <c r="S976" s="45"/>
      <c r="T976" s="45"/>
      <c r="U976" s="45"/>
      <c r="V976" s="45"/>
      <c r="W976" s="45"/>
      <c r="X976" s="45"/>
      <c r="Y976" s="45"/>
      <c r="Z976" s="45"/>
    </row>
    <row r="977">
      <c r="A977" s="52"/>
      <c r="B977" s="53"/>
      <c r="C977" s="53"/>
      <c r="D977" s="53"/>
      <c r="E977" s="45"/>
      <c r="F977" s="45"/>
      <c r="G977" s="45"/>
      <c r="H977" s="45"/>
      <c r="I977" s="45"/>
      <c r="J977" s="45"/>
      <c r="K977" s="45"/>
      <c r="L977" s="45"/>
      <c r="M977" s="45"/>
      <c r="N977" s="45"/>
      <c r="O977" s="45"/>
      <c r="P977" s="45"/>
      <c r="Q977" s="45"/>
      <c r="R977" s="45"/>
      <c r="S977" s="45"/>
      <c r="T977" s="45"/>
      <c r="U977" s="45"/>
      <c r="V977" s="45"/>
      <c r="W977" s="45"/>
      <c r="X977" s="45"/>
      <c r="Y977" s="45"/>
      <c r="Z977" s="45"/>
    </row>
    <row r="978">
      <c r="A978" s="52"/>
      <c r="B978" s="53"/>
      <c r="C978" s="53"/>
      <c r="D978" s="53"/>
      <c r="E978" s="45"/>
      <c r="F978" s="45"/>
      <c r="G978" s="45"/>
      <c r="H978" s="45"/>
      <c r="I978" s="45"/>
      <c r="J978" s="45"/>
      <c r="K978" s="45"/>
      <c r="L978" s="45"/>
      <c r="M978" s="45"/>
      <c r="N978" s="45"/>
      <c r="O978" s="45"/>
      <c r="P978" s="45"/>
      <c r="Q978" s="45"/>
      <c r="R978" s="45"/>
      <c r="S978" s="45"/>
      <c r="T978" s="45"/>
      <c r="U978" s="45"/>
      <c r="V978" s="45"/>
      <c r="W978" s="45"/>
      <c r="X978" s="45"/>
      <c r="Y978" s="45"/>
      <c r="Z978" s="45"/>
    </row>
    <row r="979">
      <c r="A979" s="52"/>
      <c r="B979" s="53"/>
      <c r="C979" s="53"/>
      <c r="D979" s="53"/>
      <c r="E979" s="45"/>
      <c r="F979" s="45"/>
      <c r="G979" s="45"/>
      <c r="H979" s="45"/>
      <c r="I979" s="45"/>
      <c r="J979" s="45"/>
      <c r="K979" s="45"/>
      <c r="L979" s="45"/>
      <c r="M979" s="45"/>
      <c r="N979" s="45"/>
      <c r="O979" s="45"/>
      <c r="P979" s="45"/>
      <c r="Q979" s="45"/>
      <c r="R979" s="45"/>
      <c r="S979" s="45"/>
      <c r="T979" s="45"/>
      <c r="U979" s="45"/>
      <c r="V979" s="45"/>
      <c r="W979" s="45"/>
      <c r="X979" s="45"/>
      <c r="Y979" s="45"/>
      <c r="Z979" s="45"/>
    </row>
    <row r="980">
      <c r="A980" s="52"/>
      <c r="B980" s="53"/>
      <c r="C980" s="53"/>
      <c r="D980" s="53"/>
      <c r="E980" s="45"/>
      <c r="F980" s="45"/>
      <c r="G980" s="45"/>
      <c r="H980" s="45"/>
      <c r="I980" s="45"/>
      <c r="J980" s="45"/>
      <c r="K980" s="45"/>
      <c r="L980" s="45"/>
      <c r="M980" s="45"/>
      <c r="N980" s="45"/>
      <c r="O980" s="45"/>
      <c r="P980" s="45"/>
      <c r="Q980" s="45"/>
      <c r="R980" s="45"/>
      <c r="S980" s="45"/>
      <c r="T980" s="45"/>
      <c r="U980" s="45"/>
      <c r="V980" s="45"/>
      <c r="W980" s="45"/>
      <c r="X980" s="45"/>
      <c r="Y980" s="45"/>
      <c r="Z980" s="45"/>
    </row>
    <row r="981">
      <c r="A981" s="52"/>
      <c r="B981" s="53"/>
      <c r="C981" s="53"/>
      <c r="D981" s="53"/>
      <c r="E981" s="45"/>
      <c r="F981" s="45"/>
      <c r="G981" s="45"/>
      <c r="H981" s="45"/>
      <c r="I981" s="45"/>
      <c r="J981" s="45"/>
      <c r="K981" s="45"/>
      <c r="L981" s="45"/>
      <c r="M981" s="45"/>
      <c r="N981" s="45"/>
      <c r="O981" s="45"/>
      <c r="P981" s="45"/>
      <c r="Q981" s="45"/>
      <c r="R981" s="45"/>
      <c r="S981" s="45"/>
      <c r="T981" s="45"/>
      <c r="U981" s="45"/>
      <c r="V981" s="45"/>
      <c r="W981" s="45"/>
      <c r="X981" s="45"/>
      <c r="Y981" s="45"/>
      <c r="Z981" s="45"/>
    </row>
    <row r="982">
      <c r="A982" s="52"/>
      <c r="B982" s="53"/>
      <c r="C982" s="53"/>
      <c r="D982" s="53"/>
      <c r="E982" s="45"/>
      <c r="F982" s="45"/>
      <c r="G982" s="45"/>
      <c r="H982" s="45"/>
      <c r="I982" s="45"/>
      <c r="J982" s="45"/>
      <c r="K982" s="45"/>
      <c r="L982" s="45"/>
      <c r="M982" s="45"/>
      <c r="N982" s="45"/>
      <c r="O982" s="45"/>
      <c r="P982" s="45"/>
      <c r="Q982" s="45"/>
      <c r="R982" s="45"/>
      <c r="S982" s="45"/>
      <c r="T982" s="45"/>
      <c r="U982" s="45"/>
      <c r="V982" s="45"/>
      <c r="W982" s="45"/>
      <c r="X982" s="45"/>
      <c r="Y982" s="45"/>
      <c r="Z982" s="45"/>
    </row>
    <row r="983">
      <c r="A983" s="52"/>
      <c r="B983" s="53"/>
      <c r="C983" s="53"/>
      <c r="D983" s="53"/>
      <c r="E983" s="45"/>
      <c r="F983" s="45"/>
      <c r="G983" s="45"/>
      <c r="H983" s="45"/>
      <c r="I983" s="45"/>
      <c r="J983" s="45"/>
      <c r="K983" s="45"/>
      <c r="L983" s="45"/>
      <c r="M983" s="45"/>
      <c r="N983" s="45"/>
      <c r="O983" s="45"/>
      <c r="P983" s="45"/>
      <c r="Q983" s="45"/>
      <c r="R983" s="45"/>
      <c r="S983" s="45"/>
      <c r="T983" s="45"/>
      <c r="U983" s="45"/>
      <c r="V983" s="45"/>
      <c r="W983" s="45"/>
      <c r="X983" s="45"/>
      <c r="Y983" s="45"/>
      <c r="Z983" s="45"/>
    </row>
    <row r="984">
      <c r="A984" s="52"/>
      <c r="B984" s="53"/>
      <c r="C984" s="53"/>
      <c r="D984" s="53"/>
      <c r="E984" s="45"/>
      <c r="F984" s="45"/>
      <c r="G984" s="45"/>
      <c r="H984" s="45"/>
      <c r="I984" s="45"/>
      <c r="J984" s="45"/>
      <c r="K984" s="45"/>
      <c r="L984" s="45"/>
      <c r="M984" s="45"/>
      <c r="N984" s="45"/>
      <c r="O984" s="45"/>
      <c r="P984" s="45"/>
      <c r="Q984" s="45"/>
      <c r="R984" s="45"/>
      <c r="S984" s="45"/>
      <c r="T984" s="45"/>
      <c r="U984" s="45"/>
      <c r="V984" s="45"/>
      <c r="W984" s="45"/>
      <c r="X984" s="45"/>
      <c r="Y984" s="45"/>
      <c r="Z984" s="45"/>
    </row>
    <row r="985">
      <c r="A985" s="52"/>
      <c r="B985" s="53"/>
      <c r="C985" s="53"/>
      <c r="D985" s="53"/>
      <c r="E985" s="45"/>
      <c r="F985" s="45"/>
      <c r="G985" s="45"/>
      <c r="H985" s="45"/>
      <c r="I985" s="45"/>
      <c r="J985" s="45"/>
      <c r="K985" s="45"/>
      <c r="L985" s="45"/>
      <c r="M985" s="45"/>
      <c r="N985" s="45"/>
      <c r="O985" s="45"/>
      <c r="P985" s="45"/>
      <c r="Q985" s="45"/>
      <c r="R985" s="45"/>
      <c r="S985" s="45"/>
      <c r="T985" s="45"/>
      <c r="U985" s="45"/>
      <c r="V985" s="45"/>
      <c r="W985" s="45"/>
      <c r="X985" s="45"/>
      <c r="Y985" s="45"/>
      <c r="Z985" s="45"/>
    </row>
    <row r="986">
      <c r="A986" s="52"/>
      <c r="B986" s="53"/>
      <c r="C986" s="53"/>
      <c r="D986" s="53"/>
      <c r="E986" s="45"/>
      <c r="F986" s="45"/>
      <c r="G986" s="45"/>
      <c r="H986" s="45"/>
      <c r="I986" s="45"/>
      <c r="J986" s="45"/>
      <c r="K986" s="45"/>
      <c r="L986" s="45"/>
      <c r="M986" s="45"/>
      <c r="N986" s="45"/>
      <c r="O986" s="45"/>
      <c r="P986" s="45"/>
      <c r="Q986" s="45"/>
      <c r="R986" s="45"/>
      <c r="S986" s="45"/>
      <c r="T986" s="45"/>
      <c r="U986" s="45"/>
      <c r="V986" s="45"/>
      <c r="W986" s="45"/>
      <c r="X986" s="45"/>
      <c r="Y986" s="45"/>
      <c r="Z986" s="45"/>
    </row>
    <row r="987">
      <c r="A987" s="52"/>
      <c r="B987" s="53"/>
      <c r="C987" s="53"/>
      <c r="D987" s="53"/>
      <c r="E987" s="45"/>
      <c r="F987" s="45"/>
      <c r="G987" s="45"/>
      <c r="H987" s="45"/>
      <c r="I987" s="45"/>
      <c r="J987" s="45"/>
      <c r="K987" s="45"/>
      <c r="L987" s="45"/>
      <c r="M987" s="45"/>
      <c r="N987" s="45"/>
      <c r="O987" s="45"/>
      <c r="P987" s="45"/>
      <c r="Q987" s="45"/>
      <c r="R987" s="45"/>
      <c r="S987" s="45"/>
      <c r="T987" s="45"/>
      <c r="U987" s="45"/>
      <c r="V987" s="45"/>
      <c r="W987" s="45"/>
      <c r="X987" s="45"/>
      <c r="Y987" s="45"/>
      <c r="Z987" s="45"/>
    </row>
    <row r="988">
      <c r="A988" s="52"/>
      <c r="B988" s="53"/>
      <c r="C988" s="53"/>
      <c r="D988" s="53"/>
      <c r="E988" s="45"/>
      <c r="F988" s="45"/>
      <c r="G988" s="45"/>
      <c r="H988" s="45"/>
      <c r="I988" s="45"/>
      <c r="J988" s="45"/>
      <c r="K988" s="45"/>
      <c r="L988" s="45"/>
      <c r="M988" s="45"/>
      <c r="N988" s="45"/>
      <c r="O988" s="45"/>
      <c r="P988" s="45"/>
      <c r="Q988" s="45"/>
      <c r="R988" s="45"/>
      <c r="S988" s="45"/>
      <c r="T988" s="45"/>
      <c r="U988" s="45"/>
      <c r="V988" s="45"/>
      <c r="W988" s="45"/>
      <c r="X988" s="45"/>
      <c r="Y988" s="45"/>
      <c r="Z988" s="45"/>
    </row>
    <row r="989">
      <c r="A989" s="52"/>
      <c r="B989" s="53"/>
      <c r="C989" s="53"/>
      <c r="D989" s="53"/>
      <c r="E989" s="45"/>
      <c r="F989" s="45"/>
      <c r="G989" s="45"/>
      <c r="H989" s="45"/>
      <c r="I989" s="45"/>
      <c r="J989" s="45"/>
      <c r="K989" s="45"/>
      <c r="L989" s="45"/>
      <c r="M989" s="45"/>
      <c r="N989" s="45"/>
      <c r="O989" s="45"/>
      <c r="P989" s="45"/>
      <c r="Q989" s="45"/>
      <c r="R989" s="45"/>
      <c r="S989" s="45"/>
      <c r="T989" s="45"/>
      <c r="U989" s="45"/>
      <c r="V989" s="45"/>
      <c r="W989" s="45"/>
      <c r="X989" s="45"/>
      <c r="Y989" s="45"/>
      <c r="Z989" s="45"/>
    </row>
    <row r="990">
      <c r="A990" s="52"/>
      <c r="B990" s="53"/>
      <c r="C990" s="53"/>
      <c r="D990" s="53"/>
      <c r="E990" s="45"/>
      <c r="F990" s="45"/>
      <c r="G990" s="45"/>
      <c r="H990" s="45"/>
      <c r="I990" s="45"/>
      <c r="J990" s="45"/>
      <c r="K990" s="45"/>
      <c r="L990" s="45"/>
      <c r="M990" s="45"/>
      <c r="N990" s="45"/>
      <c r="O990" s="45"/>
      <c r="P990" s="45"/>
      <c r="Q990" s="45"/>
      <c r="R990" s="45"/>
      <c r="S990" s="45"/>
      <c r="T990" s="45"/>
      <c r="U990" s="45"/>
      <c r="V990" s="45"/>
      <c r="W990" s="45"/>
      <c r="X990" s="45"/>
      <c r="Y990" s="45"/>
      <c r="Z990" s="45"/>
    </row>
    <row r="991">
      <c r="A991" s="52"/>
      <c r="B991" s="53"/>
      <c r="C991" s="53"/>
      <c r="D991" s="53"/>
      <c r="E991" s="45"/>
      <c r="F991" s="45"/>
      <c r="G991" s="45"/>
      <c r="H991" s="45"/>
      <c r="I991" s="45"/>
      <c r="J991" s="45"/>
      <c r="K991" s="45"/>
      <c r="L991" s="45"/>
      <c r="M991" s="45"/>
      <c r="N991" s="45"/>
      <c r="O991" s="45"/>
      <c r="P991" s="45"/>
      <c r="Q991" s="45"/>
      <c r="R991" s="45"/>
      <c r="S991" s="45"/>
      <c r="T991" s="45"/>
      <c r="U991" s="45"/>
      <c r="V991" s="45"/>
      <c r="W991" s="45"/>
      <c r="X991" s="45"/>
      <c r="Y991" s="45"/>
      <c r="Z991" s="45"/>
    </row>
    <row r="992">
      <c r="A992" s="52"/>
      <c r="B992" s="53"/>
      <c r="C992" s="53"/>
      <c r="D992" s="53"/>
      <c r="E992" s="45"/>
      <c r="F992" s="45"/>
      <c r="G992" s="45"/>
      <c r="H992" s="45"/>
      <c r="I992" s="45"/>
      <c r="J992" s="45"/>
      <c r="K992" s="45"/>
      <c r="L992" s="45"/>
      <c r="M992" s="45"/>
      <c r="N992" s="45"/>
      <c r="O992" s="45"/>
      <c r="P992" s="45"/>
      <c r="Q992" s="45"/>
      <c r="R992" s="45"/>
      <c r="S992" s="45"/>
      <c r="T992" s="45"/>
      <c r="U992" s="45"/>
      <c r="V992" s="45"/>
      <c r="W992" s="45"/>
      <c r="X992" s="45"/>
      <c r="Y992" s="45"/>
      <c r="Z992" s="45"/>
    </row>
    <row r="993">
      <c r="A993" s="52"/>
      <c r="B993" s="53"/>
      <c r="C993" s="53"/>
      <c r="D993" s="53"/>
      <c r="E993" s="45"/>
      <c r="F993" s="45"/>
      <c r="G993" s="45"/>
      <c r="H993" s="45"/>
      <c r="I993" s="45"/>
      <c r="J993" s="45"/>
      <c r="K993" s="45"/>
      <c r="L993" s="45"/>
      <c r="M993" s="45"/>
      <c r="N993" s="45"/>
      <c r="O993" s="45"/>
      <c r="P993" s="45"/>
      <c r="Q993" s="45"/>
      <c r="R993" s="45"/>
      <c r="S993" s="45"/>
      <c r="T993" s="45"/>
      <c r="U993" s="45"/>
      <c r="V993" s="45"/>
      <c r="W993" s="45"/>
      <c r="X993" s="45"/>
      <c r="Y993" s="45"/>
      <c r="Z993" s="45"/>
    </row>
    <row r="994">
      <c r="A994" s="52"/>
      <c r="B994" s="53"/>
      <c r="C994" s="53"/>
      <c r="D994" s="53"/>
      <c r="E994" s="45"/>
      <c r="F994" s="45"/>
      <c r="G994" s="45"/>
      <c r="H994" s="45"/>
      <c r="I994" s="45"/>
      <c r="J994" s="45"/>
      <c r="K994" s="45"/>
      <c r="L994" s="45"/>
      <c r="M994" s="45"/>
      <c r="N994" s="45"/>
      <c r="O994" s="45"/>
      <c r="P994" s="45"/>
      <c r="Q994" s="45"/>
      <c r="R994" s="45"/>
      <c r="S994" s="45"/>
      <c r="T994" s="45"/>
      <c r="U994" s="45"/>
      <c r="V994" s="45"/>
      <c r="W994" s="45"/>
      <c r="X994" s="45"/>
      <c r="Y994" s="45"/>
      <c r="Z994" s="45"/>
    </row>
    <row r="995">
      <c r="A995" s="52"/>
      <c r="B995" s="53"/>
      <c r="C995" s="53"/>
      <c r="D995" s="53"/>
      <c r="E995" s="45"/>
      <c r="F995" s="45"/>
      <c r="G995" s="45"/>
      <c r="H995" s="45"/>
      <c r="I995" s="45"/>
      <c r="J995" s="45"/>
      <c r="K995" s="45"/>
      <c r="L995" s="45"/>
      <c r="M995" s="45"/>
      <c r="N995" s="45"/>
      <c r="O995" s="45"/>
      <c r="P995" s="45"/>
      <c r="Q995" s="45"/>
      <c r="R995" s="45"/>
      <c r="S995" s="45"/>
      <c r="T995" s="45"/>
      <c r="U995" s="45"/>
      <c r="V995" s="45"/>
      <c r="W995" s="45"/>
      <c r="X995" s="45"/>
      <c r="Y995" s="45"/>
      <c r="Z995" s="45"/>
    </row>
    <row r="996">
      <c r="A996" s="52"/>
      <c r="B996" s="53"/>
      <c r="C996" s="53"/>
      <c r="D996" s="53"/>
      <c r="E996" s="45"/>
      <c r="F996" s="45"/>
      <c r="G996" s="45"/>
      <c r="H996" s="45"/>
      <c r="I996" s="45"/>
      <c r="J996" s="45"/>
      <c r="K996" s="45"/>
      <c r="L996" s="45"/>
      <c r="M996" s="45"/>
      <c r="N996" s="45"/>
      <c r="O996" s="45"/>
      <c r="P996" s="45"/>
      <c r="Q996" s="45"/>
      <c r="R996" s="45"/>
      <c r="S996" s="45"/>
      <c r="T996" s="45"/>
      <c r="U996" s="45"/>
      <c r="V996" s="45"/>
      <c r="W996" s="45"/>
      <c r="X996" s="45"/>
      <c r="Y996" s="45"/>
      <c r="Z996" s="45"/>
    </row>
    <row r="997">
      <c r="A997" s="52"/>
      <c r="B997" s="53"/>
      <c r="C997" s="53"/>
      <c r="D997" s="53"/>
      <c r="E997" s="45"/>
      <c r="F997" s="45"/>
      <c r="G997" s="45"/>
      <c r="H997" s="45"/>
      <c r="I997" s="45"/>
      <c r="J997" s="45"/>
      <c r="K997" s="45"/>
      <c r="L997" s="45"/>
      <c r="M997" s="45"/>
      <c r="N997" s="45"/>
      <c r="O997" s="45"/>
      <c r="P997" s="45"/>
      <c r="Q997" s="45"/>
      <c r="R997" s="45"/>
      <c r="S997" s="45"/>
      <c r="T997" s="45"/>
      <c r="U997" s="45"/>
      <c r="V997" s="45"/>
      <c r="W997" s="45"/>
      <c r="X997" s="45"/>
      <c r="Y997" s="45"/>
      <c r="Z997" s="45"/>
    </row>
    <row r="998">
      <c r="A998" s="52"/>
      <c r="B998" s="53"/>
      <c r="C998" s="53"/>
      <c r="D998" s="53"/>
      <c r="E998" s="45"/>
      <c r="F998" s="45"/>
      <c r="G998" s="45"/>
      <c r="H998" s="45"/>
      <c r="I998" s="45"/>
      <c r="J998" s="45"/>
      <c r="K998" s="45"/>
      <c r="L998" s="45"/>
      <c r="M998" s="45"/>
      <c r="N998" s="45"/>
      <c r="O998" s="45"/>
      <c r="P998" s="45"/>
      <c r="Q998" s="45"/>
      <c r="R998" s="45"/>
      <c r="S998" s="45"/>
      <c r="T998" s="45"/>
      <c r="U998" s="45"/>
      <c r="V998" s="45"/>
      <c r="W998" s="45"/>
      <c r="X998" s="45"/>
      <c r="Y998" s="45"/>
      <c r="Z998" s="45"/>
    </row>
    <row r="999">
      <c r="A999" s="52"/>
      <c r="B999" s="53"/>
      <c r="C999" s="53"/>
      <c r="D999" s="53"/>
      <c r="E999" s="45"/>
      <c r="F999" s="45"/>
      <c r="G999" s="45"/>
      <c r="H999" s="45"/>
      <c r="I999" s="45"/>
      <c r="J999" s="45"/>
      <c r="K999" s="45"/>
      <c r="L999" s="45"/>
      <c r="M999" s="45"/>
      <c r="N999" s="45"/>
      <c r="O999" s="45"/>
      <c r="P999" s="45"/>
      <c r="Q999" s="45"/>
      <c r="R999" s="45"/>
      <c r="S999" s="45"/>
      <c r="T999" s="45"/>
      <c r="U999" s="45"/>
      <c r="V999" s="45"/>
      <c r="W999" s="45"/>
      <c r="X999" s="45"/>
      <c r="Y999" s="45"/>
      <c r="Z999" s="45"/>
    </row>
    <row r="1000">
      <c r="A1000" s="52"/>
      <c r="B1000" s="53"/>
      <c r="C1000" s="53"/>
      <c r="D1000" s="53"/>
      <c r="E1000" s="45"/>
      <c r="F1000" s="45"/>
      <c r="G1000" s="45"/>
      <c r="H1000" s="45"/>
      <c r="I1000" s="45"/>
      <c r="J1000" s="45"/>
      <c r="K1000" s="45"/>
      <c r="L1000" s="45"/>
      <c r="M1000" s="45"/>
      <c r="N1000" s="45"/>
      <c r="O1000" s="45"/>
      <c r="P1000" s="45"/>
      <c r="Q1000" s="45"/>
      <c r="R1000" s="45"/>
      <c r="S1000" s="45"/>
      <c r="T1000" s="45"/>
      <c r="U1000" s="45"/>
      <c r="V1000" s="45"/>
      <c r="W1000" s="45"/>
      <c r="X1000" s="45"/>
      <c r="Y1000" s="45"/>
      <c r="Z1000" s="45"/>
    </row>
  </sheetData>
  <conditionalFormatting sqref="E2:E1000">
    <cfRule type="cellIs" dxfId="14" priority="1" stopIfTrue="1" operator="equal">
      <formula>"CÓ THỂ ĐI"</formula>
    </cfRule>
  </conditionalFormatting>
  <conditionalFormatting sqref="E2:E1000">
    <cfRule type="cellIs" dxfId="15"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